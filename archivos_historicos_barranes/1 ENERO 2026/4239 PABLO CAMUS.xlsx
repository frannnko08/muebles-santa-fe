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6\"/>
    </mc:Choice>
  </mc:AlternateContent>
  <xr:revisionPtr revIDLastSave="0" documentId="13_ncr:1_{5C693D1E-DF82-4262-82BA-CC35104D8D7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CUBIERTA!$B$36:$G$62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H26" i="4" l="1"/>
  <c r="G27" i="3" l="1"/>
  <c r="F27" i="3"/>
  <c r="L14" i="3" s="1"/>
  <c r="E27" i="3"/>
  <c r="K14" i="3" s="1"/>
  <c r="E14" i="3" s="1"/>
  <c r="C27" i="3"/>
  <c r="G48" i="3"/>
  <c r="F48" i="3"/>
  <c r="E48" i="3"/>
  <c r="D48" i="3"/>
  <c r="D27" i="3" s="1"/>
  <c r="C48" i="3"/>
  <c r="L21" i="4" l="1"/>
  <c r="K21" i="4"/>
  <c r="M21" i="4" l="1"/>
  <c r="N21" i="4" s="1"/>
  <c r="G21" i="3" l="1"/>
  <c r="L21" i="3"/>
  <c r="F21" i="3" s="1"/>
  <c r="J21" i="3" l="1"/>
  <c r="I27" i="3"/>
  <c r="J27" i="3" s="1"/>
  <c r="K21" i="3"/>
  <c r="E21" i="3" s="1"/>
  <c r="I48" i="3"/>
  <c r="J48" i="3" s="1"/>
  <c r="G14" i="3"/>
  <c r="F14" i="3"/>
  <c r="C21" i="3" l="1"/>
  <c r="J14" i="3"/>
  <c r="C14" i="3" s="1"/>
  <c r="J29" i="3"/>
  <c r="K48" i="3"/>
  <c r="J52" i="3"/>
  <c r="O5" i="3"/>
  <c r="K52" i="3" l="1"/>
  <c r="N5" i="3"/>
  <c r="M5" i="3"/>
  <c r="L5" i="3"/>
  <c r="D41" i="3" l="1"/>
  <c r="D7" i="3"/>
  <c r="E39" i="3"/>
  <c r="E5" i="3"/>
  <c r="E41" i="3"/>
  <c r="E7" i="3"/>
  <c r="E38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<sst xmlns="http://schemas.openxmlformats.org/spreadsheetml/2006/main" count="248" uniqueCount="144">
  <si>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</si>
  <si>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</si>
  <si>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</si>
  <si>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</si>
  <si>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</si>
  <si>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</si>
  <si>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</si>
  <si>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</si>
  <si>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</si>
  <si>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</si>
  <si>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</si>
  <si>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</si>
  <si>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</si>
  <si>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</si>
  <si>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</si>
  <si>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</si>
  <si>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</si>
  <si>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</si>
  <si>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</si>
  <si>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</si>
  <si>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</si>
  <si>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</si>
  <si>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</si>
  <si>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</si>
  <si>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</si>
  <si>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</si>
  <si>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</si>
  <si>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</si>
  <si>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</si>
  <si>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</si>
  <si>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</si>
  <si>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</si>
  <si>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</si>
  <si>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</si>
  <si>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</si>
  <si>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</si>
  <si>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</si>
  <si>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</si>
  <si>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</si>
  <si>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</si>
  <si>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</si>
  <si>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</si>
  <si>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</si>
  <si>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</si>
  <si>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</si>
  <si>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</si>
  <si>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</si>
  <si>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</si>
  <si>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</si>
  <si>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</si>
  <si>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</si>
  <si>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</si>
  <si>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</si>
  <si>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</si>
  <si>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</si>
  <si>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</si>
  <si>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</si>
  <si>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</si>
  <si>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</si>
  <si>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</si>
  <si>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</si>
  <si>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</si>
  <si>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</si>
  <si>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</si>
  <si>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</si>
  <si>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</si>
  <si>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</si>
  <si>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</si>
  <si>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</si>
  <si>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</si>
  <si>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</si>
  <si>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</si>
  <si>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</si>
  <si>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</si>
  <si>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</si>
  <si>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</si>
  <si>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</si>
  <si>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</si>
  <si>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</si>
  <si>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</si>
  <si>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</si>
  <si>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</si>
  <si>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</si>
  <si>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</si>
  <si>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</si>
  <si>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</si>
  <si>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</si>
  <si>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</si>
  <si>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</si>
  <si>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</si>
  <si>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</si>
  <si>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</si>
  <si>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</si>
  <si>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</si>
  <si>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</si>
  <si>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</si>
  <si>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</si>
  <si>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</si>
  <si>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</si>
  <si>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</si>
  <si>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</si>
  <si>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</si>
  <si>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</si>
  <si>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</si>
  <si>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</si>
  <si>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</si>
  <si>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</si>
  <si>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</si>
  <si>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</si>
  <si>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</si>
  <si>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</si>
  <si>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</si>
  <si>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</si>
  <si>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</si>
  <si>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</si>
  <si>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</si>
  <si>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</si>
  <si>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</si>
  <si>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</si>
  <si>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</si>
  <si>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</si>
  <si>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</si>
  <si>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</si>
  <si>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</si>
  <si>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</si>
  <si>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</si>
  <si>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</si>
  <si>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</si>
  <si>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</si>
  <si>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</si>
  <si>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</si>
  <si>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</si>
  <si>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</si>
  <si>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</si>
  <si>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</si>
  <si>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</si>
  <si>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</si>
  <si>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</si>
  <si>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C/R R8</t>
  </si>
  <si>
    <t>PABLO CAMUS</t>
  </si>
  <si>
    <t>569 9732 2890</t>
  </si>
  <si>
    <t>CLASICC 3111 BR</t>
  </si>
  <si>
    <t xml:space="preserve">N° </t>
  </si>
  <si>
    <t>"MUEBLES SANTA FE SPA." - RUT : 77.054.606-0,CORREO: FDONOSO@TOPMOBILI.CL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</si>
</sst>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9" fillId="0" borderId="0" xfId="0" quotePrefix="1" applyFont="1" applyAlignment="1">
      <alignment horizontal="left"/>
    </xf>
    <xf numFmtId="0" fontId="20" fillId="3" borderId="0" xfId="0" applyFont="1" applyFill="1"/>
    <xf numFmtId="0" fontId="21" fillId="0" borderId="9" xfId="2" applyFont="1" applyFill="1" applyBorder="1" applyAlignment="1">
      <alignment horizontal="left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  ABONO $ 40.000.-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693963</xdr:colOff>
      <xdr:row>36</xdr:row>
      <xdr:rowOff>1</xdr:rowOff>
    </xdr:from>
    <xdr:to>
      <xdr:col>4</xdr:col>
      <xdr:colOff>373223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65902" y="8638593"/>
          <a:ext cx="2727260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42</xdr:row>
      <xdr:rowOff>190500</xdr:rowOff>
    </xdr:from>
    <xdr:to>
      <xdr:col>7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39</xdr:row>
      <xdr:rowOff>30479</xdr:rowOff>
    </xdr:from>
    <xdr:to>
      <xdr:col>6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209549</xdr:rowOff>
    </xdr:from>
    <xdr:to>
      <xdr:col>7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171450</xdr:rowOff>
    </xdr:from>
    <xdr:to>
      <xdr:col>7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28</xdr:row>
      <xdr:rowOff>15239</xdr:rowOff>
    </xdr:from>
    <xdr:to>
      <xdr:col>7</xdr:col>
      <xdr:colOff>0</xdr:colOff>
      <xdr:row>32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CORTAR A LA MEDIDA Y ENCHAPAR SIN REGRUESO</a:t>
          </a:r>
          <a:endParaRPr lang="es-ES" sz="1400" u="none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53</xdr:row>
      <xdr:rowOff>32385</xdr:rowOff>
    </xdr:from>
    <xdr:to>
      <xdr:col>7</xdr:col>
      <xdr:colOff>7620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MEDIDA Y ENCHAPAR SIN REGRUESO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36</xdr:row>
      <xdr:rowOff>146685</xdr:rowOff>
    </xdr:from>
    <xdr:to>
      <xdr:col>2</xdr:col>
      <xdr:colOff>786523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22" zoomScale="98" zoomScaleNormal="98" workbookViewId="0">
      <selection activeCell="A29" sqref="A29:XFD2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3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142</v>
      </c>
      <c r="E8" s="30"/>
      <c r="F8" s="35" t="s">
        <v>25</v>
      </c>
      <c r="G8" s="36">
        <v>4239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38" t="s">
        <v>139</v>
      </c>
      <c r="D10" s="39"/>
      <c r="E10" s="39"/>
      <c r="F10" s="40" t="s">
        <v>26</v>
      </c>
      <c r="G10" s="41">
        <v>46049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119</v>
      </c>
      <c r="G11" s="45"/>
      <c r="H11" s="46"/>
      <c r="I11" s="30"/>
    </row>
    <row r="12" spans="1:17" ht="18" x14ac:dyDescent="0.35">
      <c r="A12" s="30"/>
      <c r="B12" s="47" t="s">
        <v>125</v>
      </c>
      <c r="C12" s="114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126</v>
      </c>
      <c r="C13" s="115"/>
      <c r="D13" s="48"/>
      <c r="E13" s="48"/>
      <c r="F13" s="48" t="s">
        <v>123</v>
      </c>
      <c r="G13" s="49" t="s">
        <v>133</v>
      </c>
      <c r="H13" s="50"/>
      <c r="I13" s="30"/>
    </row>
    <row r="14" spans="1:17" ht="18" x14ac:dyDescent="0.35">
      <c r="A14" s="30"/>
      <c r="B14" s="43" t="s">
        <v>16</v>
      </c>
      <c r="C14" s="118" t="s">
        <v>140</v>
      </c>
      <c r="D14" s="51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9"/>
      <c r="D15" s="48"/>
      <c r="E15" s="48"/>
      <c r="F15" s="52" t="s">
        <v>72</v>
      </c>
      <c r="G15" s="52" t="s">
        <v>128</v>
      </c>
      <c r="H15" s="50"/>
      <c r="I15" s="30"/>
    </row>
    <row r="16" spans="1:17" ht="18.600000000000001" thickBot="1" x14ac:dyDescent="0.4">
      <c r="A16" s="30"/>
      <c r="B16" s="53" t="s">
        <v>3</v>
      </c>
      <c r="C16" s="120" t="s">
        <v>136</v>
      </c>
      <c r="D16" s="54"/>
      <c r="E16" s="55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6" t="s">
        <v>127</v>
      </c>
      <c r="C20" s="111" t="s">
        <v>19</v>
      </c>
      <c r="D20" s="111" t="s">
        <v>20</v>
      </c>
      <c r="E20" s="111" t="s">
        <v>7</v>
      </c>
      <c r="F20" s="112" t="s">
        <v>21</v>
      </c>
      <c r="G20" s="56" t="s">
        <v>22</v>
      </c>
      <c r="H20" s="112" t="s">
        <v>4</v>
      </c>
      <c r="I20" s="30"/>
      <c r="N20">
        <v>65000</v>
      </c>
    </row>
    <row r="21" spans="1:16" ht="20.100000000000001" customHeight="1" x14ac:dyDescent="0.35">
      <c r="A21" s="30"/>
      <c r="B21" s="99">
        <v>1</v>
      </c>
      <c r="C21" s="99" t="s">
        <v>138</v>
      </c>
      <c r="D21" s="100">
        <v>2080</v>
      </c>
      <c r="E21" s="100">
        <v>530</v>
      </c>
      <c r="F21" s="99" t="s">
        <v>141</v>
      </c>
      <c r="G21" s="110">
        <v>60000</v>
      </c>
      <c r="H21" s="110">
        <f t="shared" ref="H21" si="0">G21*B21</f>
        <v>60000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1"/>
      <c r="C22" s="101"/>
      <c r="D22" s="102"/>
      <c r="E22" s="102"/>
      <c r="F22" s="101"/>
      <c r="G22" s="103"/>
      <c r="H22" s="103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1"/>
      <c r="C23" s="101"/>
      <c r="D23" s="109"/>
      <c r="E23" s="109"/>
      <c r="F23" s="101"/>
      <c r="G23" s="103"/>
      <c r="H23" s="10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1"/>
      <c r="C24" s="101"/>
      <c r="D24" s="109"/>
      <c r="E24" s="109"/>
      <c r="F24" s="101"/>
      <c r="G24" s="58" t="s">
        <v>5</v>
      </c>
      <c r="H24" s="59">
        <f>SUM(H21:H23)</f>
        <v>60000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1"/>
      <c r="C25" s="101"/>
      <c r="D25" s="109"/>
      <c r="E25" s="109"/>
      <c r="F25" s="101"/>
      <c r="G25" s="60" t="s">
        <v>135</v>
      </c>
      <c r="H25" s="61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1"/>
      <c r="C26" s="101"/>
      <c r="D26" s="109"/>
      <c r="E26" s="109"/>
      <c r="F26" s="101"/>
      <c r="G26" s="62" t="s">
        <v>4</v>
      </c>
      <c r="H26" s="63">
        <f>H24</f>
        <v>60000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1"/>
      <c r="C27" s="101"/>
      <c r="D27" s="109"/>
      <c r="E27" s="109"/>
      <c r="F27" s="101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1"/>
      <c r="C28" s="101"/>
      <c r="D28" s="109"/>
      <c r="E28" s="109"/>
      <c r="F28" s="101"/>
      <c r="G28" s="103"/>
      <c r="H28" s="103"/>
      <c r="I28" s="30"/>
      <c r="K28" s="11"/>
      <c r="L28" s="15"/>
      <c r="M28" s="11"/>
      <c r="N28" s="11"/>
      <c r="O28" s="15"/>
      <c r="P28" s="21"/>
    </row>
    <row r="29" spans="1:16" ht="18" x14ac:dyDescent="0.35">
      <c r="A29" s="30"/>
      <c r="B29" s="65" t="s">
        <v>132</v>
      </c>
      <c r="C29" s="66"/>
      <c r="D29" s="67"/>
      <c r="E29" s="67"/>
      <c r="F29" s="57"/>
      <c r="G29" s="30"/>
      <c r="H29" s="30"/>
      <c r="I29" s="30"/>
    </row>
    <row r="30" spans="1:16" ht="18" x14ac:dyDescent="0.35">
      <c r="A30" s="30"/>
      <c r="B30" s="65" t="s">
        <v>143</v>
      </c>
      <c r="C30" s="66"/>
      <c r="D30" s="67"/>
      <c r="E30" s="67"/>
      <c r="F30" s="57"/>
      <c r="G30" s="30"/>
      <c r="H30" s="30"/>
      <c r="I30" s="30"/>
    </row>
    <row r="31" spans="1:16" ht="18" x14ac:dyDescent="0.35">
      <c r="A31" s="30"/>
      <c r="B31" s="30" t="s">
        <v>23</v>
      </c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68" t="s">
        <v>24</v>
      </c>
      <c r="C32" s="68"/>
      <c r="D32" s="30"/>
      <c r="E32" s="30"/>
      <c r="F32" s="30"/>
      <c r="G32" s="30"/>
      <c r="H32" s="30"/>
      <c r="I32" s="30"/>
    </row>
    <row r="33" spans="1:9" ht="18" x14ac:dyDescent="0.35">
      <c r="A33" s="30"/>
      <c r="B33" s="30"/>
      <c r="C33" s="30"/>
      <c r="D33" s="30"/>
      <c r="E33" s="68"/>
      <c r="F33" s="30"/>
      <c r="G33" s="30"/>
      <c r="H33" s="30"/>
      <c r="I33" s="30"/>
    </row>
    <row r="34" spans="1:9" ht="18" x14ac:dyDescent="0.35">
      <c r="A34" s="30"/>
      <c r="B34" s="31" t="s">
        <v>130</v>
      </c>
      <c r="C34" s="31"/>
      <c r="D34" s="31"/>
      <c r="E34" s="69"/>
      <c r="F34" s="30"/>
      <c r="G34" s="30"/>
      <c r="H34" s="30"/>
      <c r="I34" s="30"/>
    </row>
    <row r="35" spans="1:9" ht="18" x14ac:dyDescent="0.35">
      <c r="A35" s="30"/>
      <c r="B35" s="31"/>
      <c r="C35" s="31"/>
      <c r="D35" s="31"/>
      <c r="E35" s="69"/>
      <c r="F35" s="30"/>
      <c r="G35" s="30"/>
      <c r="H35" s="30"/>
      <c r="I35" s="30"/>
    </row>
    <row r="36" spans="1:9" ht="18" x14ac:dyDescent="0.35">
      <c r="A36" s="30"/>
      <c r="B36" s="31" t="s">
        <v>131</v>
      </c>
      <c r="C36" s="30"/>
      <c r="D36" s="30"/>
      <c r="E36" s="68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68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2"/>
  </sortState>
  <mergeCells count="2">
    <mergeCell ref="F16:H16"/>
    <mergeCell ref="B19:H19"/>
  </mergeCells>
  <phoneticPr fontId="8" type="noConversion"/>
  <hyperlinks>
    <hyperlink ref="B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topLeftCell="A25" zoomScaleNormal="100" workbookViewId="0">
      <selection activeCell="B36" sqref="B36:G6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1" t="s">
        <v>25</v>
      </c>
      <c r="E4" s="72">
        <f>'4637'!G8</f>
        <v>4239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3" t="s">
        <v>64</v>
      </c>
      <c r="E5" s="74" t="str">
        <f>'4637'!C10</f>
        <v>PABLO CAMUS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5"/>
      <c r="E6" s="76"/>
      <c r="F6" s="30"/>
      <c r="G6" s="30"/>
      <c r="H6" s="30"/>
    </row>
    <row r="7" spans="1:15" ht="18" x14ac:dyDescent="0.35">
      <c r="B7" s="30"/>
      <c r="C7" s="30"/>
      <c r="D7" s="86" t="str">
        <f>'4637'!F11</f>
        <v>FECHA LIMITE :</v>
      </c>
      <c r="E7" s="78">
        <f>'4637'!G11</f>
        <v>0</v>
      </c>
      <c r="F7" s="30"/>
      <c r="G7" s="30" t="s">
        <v>134</v>
      </c>
      <c r="H7" s="30"/>
    </row>
    <row r="8" spans="1:15" ht="18" x14ac:dyDescent="0.35">
      <c r="B8" s="30"/>
      <c r="C8" s="30"/>
      <c r="D8" s="87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88"/>
      <c r="E11" s="30"/>
      <c r="F11" s="30"/>
      <c r="G11" s="30"/>
      <c r="H11" s="30"/>
    </row>
    <row r="12" spans="1:15" ht="18" x14ac:dyDescent="0.35">
      <c r="B12" s="30"/>
      <c r="C12" s="30"/>
      <c r="D12" s="30"/>
      <c r="E12" s="64" t="s">
        <v>6</v>
      </c>
      <c r="F12" s="64" t="s">
        <v>7</v>
      </c>
      <c r="G12" s="30"/>
      <c r="H12" s="30"/>
    </row>
    <row r="13" spans="1:15" ht="18" x14ac:dyDescent="0.35">
      <c r="B13" s="64" t="s">
        <v>8</v>
      </c>
      <c r="C13" s="89" t="s">
        <v>9</v>
      </c>
      <c r="D13" s="89" t="s">
        <v>10</v>
      </c>
      <c r="E13" s="90">
        <v>80</v>
      </c>
      <c r="F13" s="90">
        <v>-30</v>
      </c>
      <c r="G13" s="89" t="s">
        <v>107</v>
      </c>
      <c r="H13" s="30"/>
      <c r="K13" s="5" t="s">
        <v>6</v>
      </c>
      <c r="L13" s="5" t="s">
        <v>7</v>
      </c>
    </row>
    <row r="14" spans="1:15" ht="18" x14ac:dyDescent="0.35">
      <c r="A14" s="107"/>
      <c r="B14" s="98" t="s">
        <v>137</v>
      </c>
      <c r="C14" s="91">
        <f>J14</f>
        <v>1</v>
      </c>
      <c r="D14" s="91"/>
      <c r="E14" s="91">
        <f>K14+E$13</f>
        <v>2160</v>
      </c>
      <c r="F14" s="91">
        <f>L14+F$13</f>
        <v>500</v>
      </c>
      <c r="G14" s="91" t="str">
        <f>D27</f>
        <v>CUB C/R R8</v>
      </c>
      <c r="H14" s="30"/>
      <c r="J14" s="3">
        <f>J21</f>
        <v>1</v>
      </c>
      <c r="K14" s="4">
        <f t="shared" ref="K14:L14" si="0">E27</f>
        <v>2080</v>
      </c>
      <c r="L14" s="4">
        <f t="shared" si="0"/>
        <v>530</v>
      </c>
    </row>
    <row r="15" spans="1:15" ht="18" x14ac:dyDescent="0.35">
      <c r="A15" s="2"/>
      <c r="B15" s="80"/>
      <c r="C15" s="70"/>
      <c r="D15" s="70"/>
      <c r="E15" s="70"/>
      <c r="F15" s="70"/>
      <c r="G15" s="70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30"/>
    </row>
    <row r="18" spans="1:12" ht="10.5" customHeight="1" x14ac:dyDescent="0.35">
      <c r="A18" s="2"/>
      <c r="B18" s="30"/>
      <c r="C18" s="30"/>
      <c r="D18" s="88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4" t="s">
        <v>6</v>
      </c>
      <c r="F19" s="64" t="s">
        <v>7</v>
      </c>
      <c r="G19" s="30"/>
      <c r="H19" s="30"/>
    </row>
    <row r="20" spans="1:12" ht="18" x14ac:dyDescent="0.35">
      <c r="A20" s="2"/>
      <c r="B20" s="64" t="s">
        <v>8</v>
      </c>
      <c r="C20" s="79" t="s">
        <v>9</v>
      </c>
      <c r="D20" s="79" t="s">
        <v>10</v>
      </c>
      <c r="E20" s="92">
        <v>40</v>
      </c>
      <c r="F20" s="92">
        <v>130</v>
      </c>
      <c r="G20" s="79" t="s">
        <v>107</v>
      </c>
      <c r="H20" s="30"/>
      <c r="K20" s="5" t="s">
        <v>6</v>
      </c>
      <c r="L20" s="5" t="s">
        <v>7</v>
      </c>
    </row>
    <row r="21" spans="1:12" ht="18" x14ac:dyDescent="0.35">
      <c r="A21" s="107"/>
      <c r="B21" s="98"/>
      <c r="C21" s="93">
        <f t="shared" ref="C21" si="1">J21</f>
        <v>1</v>
      </c>
      <c r="D21" s="93"/>
      <c r="E21" s="93">
        <f>K21+E20</f>
        <v>2120</v>
      </c>
      <c r="F21" s="93">
        <f t="shared" ref="F21" si="2">L21+F$20</f>
        <v>660</v>
      </c>
      <c r="G21" s="93" t="str">
        <f>D27</f>
        <v>CUB C/R R8</v>
      </c>
      <c r="H21" s="30"/>
      <c r="J21" s="3">
        <f>C27</f>
        <v>1</v>
      </c>
      <c r="K21" s="104">
        <f>E27</f>
        <v>2080</v>
      </c>
      <c r="L21" s="104">
        <f>F27</f>
        <v>530</v>
      </c>
    </row>
    <row r="22" spans="1:12" ht="18" x14ac:dyDescent="0.35">
      <c r="A22" s="107"/>
      <c r="B22" s="98"/>
      <c r="C22" s="70"/>
      <c r="D22" s="70"/>
      <c r="E22" s="70"/>
      <c r="F22" s="70"/>
      <c r="G22" s="70"/>
      <c r="H22" s="30"/>
      <c r="J22" s="23"/>
      <c r="K22" s="117"/>
      <c r="L22" s="117"/>
    </row>
    <row r="23" spans="1:12" ht="18.600000000000001" thickBot="1" x14ac:dyDescent="0.4">
      <c r="A23" s="2"/>
      <c r="B23" s="80"/>
      <c r="C23" s="70"/>
      <c r="D23" s="70"/>
      <c r="E23" s="70"/>
      <c r="F23" s="70"/>
      <c r="G23" s="70"/>
      <c r="H23" s="30"/>
      <c r="I23" s="105"/>
      <c r="J23" s="106"/>
      <c r="K23" s="106"/>
      <c r="L23" s="106"/>
    </row>
    <row r="24" spans="1:12" ht="18.600000000000001" thickBot="1" x14ac:dyDescent="0.4">
      <c r="A24" s="2"/>
      <c r="B24" s="64"/>
      <c r="C24" s="94" t="s">
        <v>104</v>
      </c>
      <c r="D24" s="33"/>
      <c r="E24" s="33"/>
      <c r="F24" s="33"/>
      <c r="G24" s="95"/>
      <c r="H24" s="30"/>
      <c r="J24" s="2"/>
      <c r="K24" s="2"/>
      <c r="L24" s="2"/>
    </row>
    <row r="25" spans="1:12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2" ht="18" x14ac:dyDescent="0.35">
      <c r="A26" s="2"/>
      <c r="B26" s="64" t="s">
        <v>8</v>
      </c>
      <c r="C26" s="96" t="s">
        <v>9</v>
      </c>
      <c r="D26" s="96" t="s">
        <v>107</v>
      </c>
      <c r="E26" s="96" t="s">
        <v>6</v>
      </c>
      <c r="F26" s="96" t="s">
        <v>7</v>
      </c>
      <c r="G26" s="96" t="s">
        <v>21</v>
      </c>
      <c r="H26" s="30"/>
    </row>
    <row r="27" spans="1:12" ht="18" x14ac:dyDescent="0.35">
      <c r="A27" s="107"/>
      <c r="B27" s="98" t="s">
        <v>137</v>
      </c>
      <c r="C27" s="91">
        <f>'4637'!B21</f>
        <v>1</v>
      </c>
      <c r="D27" s="91" t="str">
        <f>D48</f>
        <v>CUB C/R R8</v>
      </c>
      <c r="E27" s="113">
        <f>'4637'!D21</f>
        <v>2080</v>
      </c>
      <c r="F27" s="113">
        <f>'4637'!E21</f>
        <v>530</v>
      </c>
      <c r="G27" s="4" t="str">
        <f>'4637'!F21</f>
        <v>CLASICC 3111 BR</v>
      </c>
      <c r="H27" s="30"/>
      <c r="I27" s="28">
        <f>E27*F27/1000000</f>
        <v>1.1024</v>
      </c>
      <c r="J27" s="28">
        <f>I27*C27</f>
        <v>1.1024</v>
      </c>
    </row>
    <row r="28" spans="1:12" ht="18" x14ac:dyDescent="0.35">
      <c r="A28" s="2"/>
      <c r="B28" s="30"/>
      <c r="C28" s="70"/>
      <c r="D28" s="70"/>
      <c r="E28" s="70"/>
      <c r="F28" s="70"/>
      <c r="G28" s="70"/>
      <c r="H28" s="30"/>
    </row>
    <row r="29" spans="1:12" ht="18" x14ac:dyDescent="0.35">
      <c r="A29" s="2"/>
      <c r="B29" s="30"/>
      <c r="C29" s="70"/>
      <c r="D29" s="70"/>
      <c r="E29" s="70"/>
      <c r="F29" s="70"/>
      <c r="G29" s="70"/>
      <c r="H29" s="30"/>
      <c r="J29" s="28">
        <f>SUM(J27:J27)*2</f>
        <v>2.2048000000000001</v>
      </c>
    </row>
    <row r="30" spans="1:12" ht="18" x14ac:dyDescent="0.35">
      <c r="A30" s="2"/>
      <c r="B30" s="30"/>
      <c r="C30" s="70"/>
      <c r="D30" s="70"/>
      <c r="E30" s="70"/>
      <c r="F30" s="70"/>
      <c r="G30" s="70"/>
      <c r="H30" s="30"/>
    </row>
    <row r="31" spans="1:12" ht="18" x14ac:dyDescent="0.35">
      <c r="A31" s="2"/>
      <c r="B31" s="30"/>
      <c r="C31" s="70"/>
      <c r="D31" s="70"/>
      <c r="E31" s="70"/>
      <c r="F31" s="70"/>
      <c r="G31" s="70"/>
      <c r="H31" s="30"/>
    </row>
    <row r="32" spans="1:12" ht="18" x14ac:dyDescent="0.35">
      <c r="A32" s="2"/>
      <c r="B32" s="30"/>
      <c r="C32" s="70"/>
      <c r="D32" s="70"/>
      <c r="E32" s="70"/>
      <c r="F32" s="70"/>
      <c r="G32" s="70"/>
      <c r="H32" s="30"/>
    </row>
    <row r="33" spans="1:13" ht="18" x14ac:dyDescent="0.35">
      <c r="A33" s="2"/>
      <c r="B33" s="30"/>
      <c r="C33" s="70"/>
      <c r="D33" s="70"/>
      <c r="E33" s="70"/>
      <c r="F33" s="70"/>
      <c r="G33" s="70"/>
      <c r="H33" s="30"/>
    </row>
    <row r="34" spans="1:13" ht="18" x14ac:dyDescent="0.35">
      <c r="A34" s="2"/>
      <c r="B34" s="30"/>
      <c r="C34" s="70"/>
      <c r="D34" s="70"/>
      <c r="E34" s="70"/>
      <c r="F34" s="70"/>
      <c r="G34" s="70"/>
      <c r="H34" s="30"/>
    </row>
    <row r="35" spans="1:13" ht="18" x14ac:dyDescent="0.35">
      <c r="A35" s="2"/>
      <c r="B35" s="30"/>
      <c r="C35" s="70"/>
      <c r="D35" s="70"/>
      <c r="E35" s="70"/>
      <c r="F35" s="70"/>
      <c r="G35" s="70"/>
      <c r="H35" s="30"/>
    </row>
    <row r="36" spans="1:13" ht="18" x14ac:dyDescent="0.35">
      <c r="A36" s="2"/>
      <c r="B36" s="30"/>
      <c r="C36" s="70"/>
      <c r="D36" s="70"/>
      <c r="E36" s="70"/>
      <c r="F36" s="70"/>
      <c r="G36" s="70"/>
      <c r="H36" s="30"/>
    </row>
    <row r="37" spans="1:13" ht="18" x14ac:dyDescent="0.35">
      <c r="A37" s="2"/>
      <c r="B37" s="30"/>
      <c r="C37" s="30"/>
      <c r="D37" s="30"/>
      <c r="E37" s="30"/>
      <c r="F37" s="30"/>
      <c r="G37" s="30"/>
      <c r="H37" s="30"/>
    </row>
    <row r="38" spans="1:13" ht="18" x14ac:dyDescent="0.35">
      <c r="A38" s="2"/>
      <c r="B38" s="30"/>
      <c r="C38" s="30"/>
      <c r="D38" s="71" t="s">
        <v>25</v>
      </c>
      <c r="E38" s="72">
        <f>'4637'!G8</f>
        <v>4239</v>
      </c>
      <c r="F38" s="30"/>
      <c r="G38" s="30"/>
      <c r="H38" s="30"/>
    </row>
    <row r="39" spans="1:13" ht="17.25" customHeight="1" x14ac:dyDescent="0.35">
      <c r="A39" s="2"/>
      <c r="B39" s="30"/>
      <c r="C39" s="30"/>
      <c r="D39" s="73" t="s">
        <v>64</v>
      </c>
      <c r="E39" s="74" t="str">
        <f>'4637'!C10</f>
        <v>PABLO CAMUS</v>
      </c>
      <c r="F39" s="48"/>
      <c r="G39" s="48"/>
      <c r="H39" s="30"/>
    </row>
    <row r="40" spans="1:13" ht="4.5" customHeight="1" x14ac:dyDescent="0.35">
      <c r="A40" s="2"/>
      <c r="B40" s="30"/>
      <c r="C40" s="30"/>
      <c r="D40" s="75"/>
      <c r="E40" s="76"/>
      <c r="F40" s="30"/>
      <c r="G40" s="30"/>
      <c r="H40" s="30"/>
    </row>
    <row r="41" spans="1:13" ht="18" x14ac:dyDescent="0.35">
      <c r="A41" s="2"/>
      <c r="B41" s="30"/>
      <c r="C41" s="30"/>
      <c r="D41" s="77" t="str">
        <f>'4637'!F11</f>
        <v>FECHA LIMITE :</v>
      </c>
      <c r="E41" s="78">
        <f>'4637'!G11</f>
        <v>0</v>
      </c>
      <c r="F41" s="30"/>
      <c r="G41" s="30"/>
      <c r="H41" s="30"/>
    </row>
    <row r="42" spans="1:13" ht="18" x14ac:dyDescent="0.35">
      <c r="A42" s="2"/>
      <c r="B42" s="30"/>
      <c r="C42" s="30"/>
      <c r="D42" s="30"/>
      <c r="E42" s="30"/>
      <c r="F42" s="30"/>
      <c r="G42" s="30" t="s">
        <v>134</v>
      </c>
      <c r="H42" s="30"/>
    </row>
    <row r="43" spans="1:13" ht="18" x14ac:dyDescent="0.35">
      <c r="A43" s="2"/>
      <c r="B43" s="30"/>
      <c r="C43" s="30"/>
      <c r="D43" s="30"/>
      <c r="E43" s="30"/>
      <c r="F43" s="30"/>
      <c r="G43" s="30"/>
      <c r="H43" s="30"/>
    </row>
    <row r="44" spans="1:13" ht="18" x14ac:dyDescent="0.35">
      <c r="A44" s="2"/>
      <c r="B44" s="130" t="s">
        <v>65</v>
      </c>
      <c r="C44" s="130"/>
      <c r="D44" s="130"/>
      <c r="E44" s="130"/>
      <c r="F44" s="130"/>
      <c r="G44" s="130"/>
      <c r="H44" s="30"/>
    </row>
    <row r="45" spans="1:13" ht="18" x14ac:dyDescent="0.35">
      <c r="A45" s="2"/>
      <c r="B45" s="30"/>
      <c r="C45" s="30"/>
      <c r="D45" s="30"/>
      <c r="E45" s="30"/>
      <c r="F45" s="30"/>
      <c r="G45" s="30"/>
      <c r="H45" s="30"/>
    </row>
    <row r="46" spans="1:13" ht="20.100000000000001" customHeight="1" x14ac:dyDescent="0.35">
      <c r="A46" s="2"/>
      <c r="B46" s="30"/>
      <c r="C46" s="131" t="s">
        <v>66</v>
      </c>
      <c r="D46" s="132"/>
      <c r="E46" s="133"/>
      <c r="F46" s="133"/>
      <c r="G46" s="134"/>
      <c r="H46" s="30"/>
      <c r="I46" s="25" t="s">
        <v>129</v>
      </c>
    </row>
    <row r="47" spans="1:13" s="10" customFormat="1" ht="20.100000000000001" customHeight="1" x14ac:dyDescent="0.35">
      <c r="A47" s="108"/>
      <c r="B47" s="30"/>
      <c r="C47" s="81" t="s">
        <v>9</v>
      </c>
      <c r="D47" s="82" t="s">
        <v>10</v>
      </c>
      <c r="E47" s="85" t="s">
        <v>6</v>
      </c>
      <c r="F47" s="85" t="s">
        <v>7</v>
      </c>
      <c r="G47" s="83" t="s">
        <v>11</v>
      </c>
      <c r="H47" s="30"/>
      <c r="K47" s="10">
        <v>15000</v>
      </c>
    </row>
    <row r="48" spans="1:13" s="10" customFormat="1" ht="20.100000000000001" customHeight="1" x14ac:dyDescent="0.35">
      <c r="A48" s="107"/>
      <c r="B48" s="97" t="s">
        <v>137</v>
      </c>
      <c r="C48" s="93">
        <f>'4637'!B21</f>
        <v>1</v>
      </c>
      <c r="D48" s="4" t="str">
        <f>'4637'!C21</f>
        <v>CUB C/R R8</v>
      </c>
      <c r="E48" s="113">
        <f>'4637'!D21</f>
        <v>2080</v>
      </c>
      <c r="F48" s="100">
        <f>'4637'!E21</f>
        <v>530</v>
      </c>
      <c r="G48" s="4" t="str">
        <f>'4637'!F21</f>
        <v>CLASICC 3111 BR</v>
      </c>
      <c r="H48" s="30"/>
      <c r="I48" s="10">
        <f>E48*F48/1000000</f>
        <v>1.1024</v>
      </c>
      <c r="J48" s="10">
        <f>I48*C48</f>
        <v>1.1024</v>
      </c>
      <c r="K48" s="26">
        <f>J48*K$47</f>
        <v>16536</v>
      </c>
      <c r="M48" s="24">
        <v>12096</v>
      </c>
    </row>
    <row r="49" spans="1:13" s="10" customFormat="1" ht="20.100000000000001" customHeight="1" x14ac:dyDescent="0.35">
      <c r="A49" s="107"/>
      <c r="B49" s="97"/>
      <c r="C49" s="70"/>
      <c r="D49" s="2"/>
      <c r="E49" s="116"/>
      <c r="F49" s="102"/>
      <c r="G49" s="2"/>
      <c r="H49" s="30"/>
      <c r="K49" s="26"/>
      <c r="M49" s="29"/>
    </row>
    <row r="50" spans="1:13" s="10" customFormat="1" ht="15" customHeight="1" x14ac:dyDescent="0.35">
      <c r="B50" s="80"/>
      <c r="C50" s="64"/>
      <c r="D50" s="64"/>
      <c r="E50" s="64"/>
      <c r="F50" s="64"/>
      <c r="G50" s="64"/>
      <c r="H50" s="30"/>
    </row>
    <row r="51" spans="1:13" ht="18" x14ac:dyDescent="0.35">
      <c r="B51" s="70"/>
      <c r="C51" s="70"/>
      <c r="D51" s="30"/>
      <c r="E51" s="70"/>
      <c r="F51" s="70"/>
      <c r="G51" s="75"/>
      <c r="H51" s="30"/>
    </row>
    <row r="52" spans="1:13" ht="18" x14ac:dyDescent="0.35">
      <c r="B52" s="70"/>
      <c r="C52" s="70"/>
      <c r="D52" s="30"/>
      <c r="E52" s="70"/>
      <c r="F52" s="70"/>
      <c r="G52" s="70"/>
      <c r="H52" s="30"/>
      <c r="J52" s="10">
        <f>SUM(J48:J48)</f>
        <v>1.1024</v>
      </c>
      <c r="K52" s="27">
        <f>SUM(K48:K48)</f>
        <v>16536</v>
      </c>
    </row>
    <row r="53" spans="1:13" ht="18" x14ac:dyDescent="0.35">
      <c r="B53" s="30"/>
      <c r="C53" s="30"/>
      <c r="D53" s="30"/>
      <c r="E53" s="30"/>
      <c r="F53" s="30"/>
      <c r="G53" s="30"/>
      <c r="H53" s="30"/>
    </row>
    <row r="54" spans="1:13" ht="18" x14ac:dyDescent="0.35">
      <c r="B54" s="30"/>
      <c r="C54" s="30"/>
      <c r="D54" s="30"/>
      <c r="E54" s="30"/>
      <c r="F54" s="30"/>
      <c r="G54" s="30"/>
      <c r="H54" s="30"/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5" customHeight="1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70"/>
      <c r="C58" s="84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4:G44"/>
    <mergeCell ref="C46:G4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2026-01-28T12:14:00Z</cp:lastPrinted>
  <dcterms:created xsi:type="dcterms:W3CDTF">2013-03-19T12:54:14Z</dcterms:created>
  <dcterms:modified xsi:type="dcterms:W3CDTF">2026-01-28T12:14:11Z</dcterms:modified>
</cp:coreProperties>
</file>