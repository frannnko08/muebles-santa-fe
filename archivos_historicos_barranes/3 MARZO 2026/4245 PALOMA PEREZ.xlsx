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6\"/>
    </mc:Choice>
  </mc:AlternateContent>
  <xr:revisionPtr revIDLastSave="0" documentId="13_ncr:1_{15C9AD0A-FDB5-452C-B17D-91F1045303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6" i="4"/>
  <c r="H22" i="4" l="1"/>
  <c r="C29" i="3"/>
  <c r="J23" i="3" s="1"/>
  <c r="E29" i="3"/>
  <c r="K15" i="3" s="1"/>
  <c r="E15" i="3" s="1"/>
  <c r="F29" i="3"/>
  <c r="L15" i="3" s="1"/>
  <c r="F15" i="3" s="1"/>
  <c r="G29" i="3"/>
  <c r="C51" i="3"/>
  <c r="D51" i="3"/>
  <c r="D29" i="3" s="1"/>
  <c r="G15" i="3" s="1"/>
  <c r="E51" i="3"/>
  <c r="F51" i="3"/>
  <c r="G51" i="3"/>
  <c r="H21" i="4"/>
  <c r="H25" i="4" l="1"/>
  <c r="L23" i="3"/>
  <c r="F23" i="3" s="1"/>
  <c r="C23" i="3"/>
  <c r="J15" i="3"/>
  <c r="C15" i="3" s="1"/>
  <c r="K23" i="3"/>
  <c r="E23" i="3" s="1"/>
  <c r="G23" i="3"/>
  <c r="G28" i="3"/>
  <c r="F28" i="3"/>
  <c r="L14" i="3" s="1"/>
  <c r="E28" i="3"/>
  <c r="K14" i="3" s="1"/>
  <c r="E14" i="3" s="1"/>
  <c r="C28" i="3"/>
  <c r="G50" i="3"/>
  <c r="F50" i="3"/>
  <c r="E50" i="3"/>
  <c r="D50" i="3"/>
  <c r="D28" i="3" s="1"/>
  <c r="C50" i="3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0" i="3"/>
  <c r="J50" i="3" s="1"/>
  <c r="G14" i="3"/>
  <c r="F14" i="3"/>
  <c r="C22" i="3" l="1"/>
  <c r="J14" i="3"/>
  <c r="C14" i="3" s="1"/>
  <c r="J31" i="3"/>
  <c r="K50" i="3"/>
  <c r="J54" i="3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<sst xmlns="http://schemas.openxmlformats.org/spreadsheetml/2006/main" count="250" uniqueCount="144">
  <si>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</si>
  <si>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</si>
  <si>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</si>
  <si>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</si>
  <si>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</si>
  <si>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</si>
  <si>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</si>
  <si>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</si>
  <si>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</si>
  <si>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</si>
  <si>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</si>
  <si>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</si>
  <si>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</si>
  <si>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</si>
  <si>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</si>
  <si>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</si>
  <si>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</si>
  <si>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</si>
  <si>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</si>
  <si>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</si>
  <si>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</si>
  <si>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</si>
  <si>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</si>
  <si>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</si>
  <si>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</si>
  <si>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</si>
  <si>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</si>
  <si>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</si>
  <si>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</si>
  <si>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</si>
  <si>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</si>
  <si>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</si>
  <si>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</si>
  <si>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</si>
  <si>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</si>
  <si>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</si>
  <si>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</si>
  <si>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</si>
  <si>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</si>
  <si>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</si>
  <si>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</si>
  <si>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</si>
  <si>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</si>
  <si>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</si>
  <si>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</si>
  <si>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</si>
  <si>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</si>
  <si>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</si>
  <si>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</si>
  <si>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</si>
  <si>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</si>
  <si>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</si>
  <si>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</si>
  <si>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</si>
  <si>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</si>
  <si>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</si>
  <si>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</si>
  <si>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</si>
  <si>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</si>
  <si>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</si>
  <si>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</si>
  <si>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</si>
  <si>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</si>
  <si>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</si>
  <si>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</si>
  <si>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</si>
  <si>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</si>
  <si>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</si>
  <si>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</si>
  <si>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</si>
  <si>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</si>
  <si>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</si>
  <si>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</si>
  <si>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</si>
  <si>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</si>
  <si>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</si>
  <si>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</si>
  <si>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</si>
  <si>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</si>
  <si>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</si>
  <si>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</si>
  <si>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</si>
  <si>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</si>
  <si>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</si>
  <si>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</si>
  <si>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</si>
  <si>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</si>
  <si>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</si>
  <si>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</si>
  <si>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</si>
  <si>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</si>
  <si>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</si>
  <si>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</si>
  <si>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</si>
  <si>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</si>
  <si>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</si>
  <si>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</si>
  <si>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</si>
  <si>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</si>
  <si>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</si>
  <si>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</si>
  <si>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</si>
  <si>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</si>
  <si>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</si>
  <si>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</si>
  <si>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</si>
  <si>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</si>
  <si>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</si>
  <si>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</si>
  <si>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</si>
  <si>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</si>
  <si>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</si>
  <si>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</si>
  <si>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</si>
  <si>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</si>
  <si>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</si>
  <si>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</si>
  <si>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</si>
  <si>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</si>
  <si>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</si>
  <si>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</si>
  <si>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</si>
  <si>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</si>
  <si>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</si>
  <si>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</si>
  <si>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</si>
  <si>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</si>
  <si>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</si>
  <si>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</si>
  <si>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</si>
  <si>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</si>
  <si>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</si>
  <si>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</si>
  <si>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</si>
  <si>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</si>
  <si>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</si>
  <si>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</si>
  <si>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</si>
  <si>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</si>
  <si>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PALOMA PEREZ</t>
  </si>
  <si>
    <t>569 5539 0505</t>
  </si>
  <si>
    <t>CUB C/R 90° SIN REGRUESO</t>
  </si>
  <si>
    <t>VERDASTRO GRANITE 42009 GL</t>
  </si>
  <si>
    <t>N° 12023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</si>
</sst>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CANCELADO $ 110.065.-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FRENTE R8 SIN REGRUESO, CORTAR A LA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55</xdr:row>
      <xdr:rowOff>32385</xdr:rowOff>
    </xdr:from>
    <xdr:to>
      <xdr:col>7</xdr:col>
      <xdr:colOff>7620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FRENTE R8 SIN REGRUESO, CORTAR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zoomScale="98" zoomScaleNormal="98" workbookViewId="0">
      <selection activeCell="B22" sqref="B22:H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143</v>
      </c>
      <c r="E8" s="30"/>
      <c r="F8" s="35" t="s">
        <v>25</v>
      </c>
      <c r="G8" s="36">
        <v>4245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46087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140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121" t="s">
        <v>1</v>
      </c>
      <c r="C15" s="120"/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31" t="s">
        <v>17</v>
      </c>
      <c r="G16" s="131"/>
      <c r="H16" s="13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3" t="s">
        <v>18</v>
      </c>
      <c r="C19" s="134"/>
      <c r="D19" s="134"/>
      <c r="E19" s="134"/>
      <c r="F19" s="134"/>
      <c r="G19" s="134"/>
      <c r="H19" s="13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141</v>
      </c>
      <c r="D21" s="103">
        <v>1820</v>
      </c>
      <c r="E21" s="103">
        <v>360</v>
      </c>
      <c r="F21" s="102" t="s">
        <v>142</v>
      </c>
      <c r="G21" s="113">
        <v>72492</v>
      </c>
      <c r="H21" s="113">
        <f>G21*B21</f>
        <v>72492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22">
        <v>1</v>
      </c>
      <c r="C22" s="102" t="s">
        <v>141</v>
      </c>
      <c r="D22" s="123">
        <v>460</v>
      </c>
      <c r="E22" s="123">
        <v>490</v>
      </c>
      <c r="F22" s="102" t="s">
        <v>142</v>
      </c>
      <c r="G22" s="113">
        <v>20000</v>
      </c>
      <c r="H22" s="113">
        <f t="shared" ref="H22" si="0">G22*B22</f>
        <v>20000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/>
      <c r="C23" s="104"/>
      <c r="D23" s="105"/>
      <c r="E23" s="105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12"/>
      <c r="E24" s="112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0" t="s">
        <v>5</v>
      </c>
      <c r="H25" s="61">
        <f>SUM(H21:H24)</f>
        <v>92492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2" t="s">
        <v>136</v>
      </c>
      <c r="H26" s="63">
        <f>H25*19%</f>
        <v>17573.48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64" t="s">
        <v>4</v>
      </c>
      <c r="H27" s="65">
        <f>H25+H26</f>
        <v>110065.48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9"/>
      <c r="C33" s="59"/>
      <c r="D33" s="59"/>
      <c r="E33" s="59"/>
      <c r="F33" s="59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8" t="s">
        <v>133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68" t="s">
        <v>119</v>
      </c>
      <c r="C40" s="69"/>
      <c r="D40" s="70"/>
      <c r="E40" s="70"/>
      <c r="F40" s="59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1" t="s">
        <v>24</v>
      </c>
      <c r="C42" s="71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2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zoomScaleNormal="100" workbookViewId="0">
      <selection sqref="A1:G3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30"/>
      <c r="C4" s="30"/>
      <c r="D4" s="74" t="s">
        <v>25</v>
      </c>
      <c r="E4" s="75">
        <f>'4637'!G8</f>
        <v>4245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PALOMA PEREZ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1900</v>
      </c>
      <c r="F14" s="94">
        <f>L14+F$13</f>
        <v>330</v>
      </c>
      <c r="G14" s="94" t="str">
        <f>D28</f>
        <v>CUB C/R 90° SIN REGRUESO</v>
      </c>
      <c r="H14" s="30"/>
      <c r="J14" s="3">
        <f>J22</f>
        <v>1</v>
      </c>
      <c r="K14" s="4">
        <f t="shared" ref="K14:L14" si="0">E28</f>
        <v>1820</v>
      </c>
      <c r="L14" s="4">
        <f t="shared" si="0"/>
        <v>360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540</v>
      </c>
      <c r="F15" s="94">
        <f>L15+F$13</f>
        <v>460</v>
      </c>
      <c r="G15" s="94" t="str">
        <f>D29</f>
        <v>CUB C/R 90° SIN REGRUESO</v>
      </c>
      <c r="H15" s="30"/>
      <c r="J15" s="3">
        <f>J23</f>
        <v>1</v>
      </c>
      <c r="K15" s="4">
        <f t="shared" ref="K15" si="1">E29</f>
        <v>460</v>
      </c>
      <c r="L15" s="4">
        <f t="shared" ref="L15" si="2">F29</f>
        <v>490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5" t="s">
        <v>13</v>
      </c>
      <c r="C18" s="125"/>
      <c r="D18" s="125"/>
      <c r="E18" s="125"/>
      <c r="F18" s="125"/>
      <c r="G18" s="125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100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3">J22</f>
        <v>1</v>
      </c>
      <c r="D22" s="96"/>
      <c r="E22" s="96">
        <f>K22+E21</f>
        <v>1860</v>
      </c>
      <c r="F22" s="96">
        <f t="shared" ref="F22" si="4">L22+F$21</f>
        <v>460</v>
      </c>
      <c r="G22" s="96" t="str">
        <f>D28</f>
        <v>CUB C/R 90° SIN REGRUESO</v>
      </c>
      <c r="H22" s="30"/>
      <c r="J22" s="3">
        <f>C28</f>
        <v>1</v>
      </c>
      <c r="K22" s="107">
        <f>E28</f>
        <v>1820</v>
      </c>
      <c r="L22" s="107">
        <f>F28</f>
        <v>360</v>
      </c>
    </row>
    <row r="23" spans="1:12" ht="18" x14ac:dyDescent="0.35">
      <c r="A23" s="110"/>
      <c r="B23" s="101"/>
      <c r="C23" s="96">
        <f t="shared" ref="C23" si="5">J23</f>
        <v>1</v>
      </c>
      <c r="D23" s="96"/>
      <c r="E23" s="96">
        <f>K23+E21</f>
        <v>500</v>
      </c>
      <c r="F23" s="96">
        <f t="shared" ref="F23" si="6">L23+F$21</f>
        <v>590</v>
      </c>
      <c r="G23" s="96" t="str">
        <f>D29</f>
        <v>CUB C/R 90° SIN REGRUESO</v>
      </c>
      <c r="H23" s="30"/>
      <c r="J23" s="3">
        <f>C29</f>
        <v>1</v>
      </c>
      <c r="K23" s="107">
        <f>E29</f>
        <v>460</v>
      </c>
      <c r="L23" s="107">
        <f>F29</f>
        <v>490</v>
      </c>
    </row>
    <row r="24" spans="1:12" ht="18.600000000000001" thickBot="1" x14ac:dyDescent="0.4">
      <c r="A24" s="2"/>
      <c r="B24" s="83"/>
      <c r="C24" s="73"/>
      <c r="D24" s="73"/>
      <c r="E24" s="73"/>
      <c r="F24" s="73"/>
      <c r="G24" s="73"/>
      <c r="H24" s="30"/>
      <c r="I24" s="108"/>
      <c r="J24" s="109"/>
      <c r="K24" s="109"/>
      <c r="L24" s="109"/>
    </row>
    <row r="25" spans="1:12" ht="18.600000000000001" thickBot="1" x14ac:dyDescent="0.4">
      <c r="A25" s="2"/>
      <c r="B25" s="66"/>
      <c r="C25" s="97" t="s">
        <v>104</v>
      </c>
      <c r="D25" s="33"/>
      <c r="E25" s="33"/>
      <c r="F25" s="33"/>
      <c r="G25" s="98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6" t="s">
        <v>8</v>
      </c>
      <c r="C27" s="99" t="s">
        <v>9</v>
      </c>
      <c r="D27" s="99" t="s">
        <v>107</v>
      </c>
      <c r="E27" s="99" t="s">
        <v>6</v>
      </c>
      <c r="F27" s="99" t="s">
        <v>7</v>
      </c>
      <c r="G27" s="99" t="s">
        <v>21</v>
      </c>
      <c r="H27" s="30"/>
    </row>
    <row r="28" spans="1:12" ht="18" x14ac:dyDescent="0.35">
      <c r="A28" s="110">
        <v>1</v>
      </c>
      <c r="B28" s="101" t="s">
        <v>138</v>
      </c>
      <c r="C28" s="94">
        <f>'4637'!B21</f>
        <v>1</v>
      </c>
      <c r="D28" s="94" t="str">
        <f>D50</f>
        <v>CUB C/R 90° SIN REGRUESO</v>
      </c>
      <c r="E28" s="116">
        <f>'4637'!D21</f>
        <v>1820</v>
      </c>
      <c r="F28" s="116">
        <f>'4637'!E21</f>
        <v>360</v>
      </c>
      <c r="G28" s="4" t="str">
        <f>'4637'!F21</f>
        <v>VERDASTRO GRANITE 42009 GL</v>
      </c>
      <c r="H28" s="30"/>
      <c r="I28" s="28">
        <f>E28*F28/1000000</f>
        <v>0.6552</v>
      </c>
      <c r="J28" s="28">
        <f>I28*C28</f>
        <v>0.6552</v>
      </c>
    </row>
    <row r="29" spans="1:12" ht="18" x14ac:dyDescent="0.35">
      <c r="A29" s="110"/>
      <c r="B29" s="101"/>
      <c r="C29" s="94">
        <f>'4637'!B22</f>
        <v>1</v>
      </c>
      <c r="D29" s="94" t="str">
        <f t="shared" ref="D29" si="7">D51</f>
        <v>CUB C/R 90° SIN REGRUESO</v>
      </c>
      <c r="E29" s="116">
        <f>'4637'!D22</f>
        <v>460</v>
      </c>
      <c r="F29" s="116">
        <f>'4637'!E22</f>
        <v>490</v>
      </c>
      <c r="G29" s="4" t="str">
        <f>'4637'!F22</f>
        <v>VERDASTRO GRANITE 42009 GL</v>
      </c>
      <c r="H29" s="30"/>
      <c r="I29" s="28"/>
      <c r="J29" s="28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  <c r="J31" s="28">
        <f>SUM(J28:J28)*2</f>
        <v>1.3104</v>
      </c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9" ht="18" x14ac:dyDescent="0.35">
      <c r="A33" s="2"/>
      <c r="B33" s="30"/>
      <c r="C33" s="73"/>
      <c r="D33" s="73"/>
      <c r="E33" s="73"/>
      <c r="F33" s="73"/>
      <c r="G33" s="73"/>
      <c r="H33" s="30"/>
    </row>
    <row r="34" spans="1:9" ht="18" x14ac:dyDescent="0.35">
      <c r="A34" s="2"/>
      <c r="B34" s="30"/>
      <c r="C34" s="73"/>
      <c r="D34" s="73"/>
      <c r="E34" s="73"/>
      <c r="F34" s="73"/>
      <c r="G34" s="73"/>
      <c r="H34" s="30"/>
    </row>
    <row r="35" spans="1:9" ht="18" x14ac:dyDescent="0.35">
      <c r="A35" s="2"/>
      <c r="B35" s="30"/>
      <c r="C35" s="73"/>
      <c r="D35" s="73"/>
      <c r="E35" s="73"/>
      <c r="F35" s="73"/>
      <c r="G35" s="73"/>
      <c r="H35" s="30"/>
    </row>
    <row r="36" spans="1:9" ht="18" x14ac:dyDescent="0.35">
      <c r="A36" s="2"/>
      <c r="B36" s="30"/>
      <c r="C36" s="73"/>
      <c r="D36" s="73"/>
      <c r="E36" s="73"/>
      <c r="F36" s="73"/>
      <c r="G36" s="73"/>
      <c r="H36" s="30"/>
    </row>
    <row r="37" spans="1:9" ht="18" x14ac:dyDescent="0.35">
      <c r="A37" s="2"/>
      <c r="B37" s="30"/>
      <c r="C37" s="73"/>
      <c r="D37" s="73"/>
      <c r="E37" s="73"/>
      <c r="F37" s="73"/>
      <c r="G37" s="73"/>
      <c r="H37" s="30"/>
    </row>
    <row r="38" spans="1:9" ht="18" x14ac:dyDescent="0.35">
      <c r="A38" s="2"/>
      <c r="B38" s="30"/>
      <c r="C38" s="73"/>
      <c r="D38" s="73"/>
      <c r="E38" s="73"/>
      <c r="F38" s="73"/>
      <c r="G38" s="73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74" t="s">
        <v>25</v>
      </c>
      <c r="E40" s="75">
        <f>'4637'!G8</f>
        <v>4245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6" t="s">
        <v>64</v>
      </c>
      <c r="E41" s="77" t="str">
        <f>'4637'!C10</f>
        <v>PALOMA PEREZ</v>
      </c>
      <c r="F41" s="48"/>
      <c r="G41" s="48"/>
      <c r="H41" s="30"/>
    </row>
    <row r="42" spans="1:9" ht="4.5" customHeight="1" x14ac:dyDescent="0.35">
      <c r="A42" s="2"/>
      <c r="B42" s="30"/>
      <c r="C42" s="30"/>
      <c r="D42" s="78"/>
      <c r="E42" s="79"/>
      <c r="F42" s="30"/>
      <c r="G42" s="30"/>
      <c r="H42" s="30"/>
    </row>
    <row r="43" spans="1:9" ht="18" x14ac:dyDescent="0.35">
      <c r="A43" s="2"/>
      <c r="B43" s="30"/>
      <c r="C43" s="30"/>
      <c r="D43" s="80" t="str">
        <f>'4637'!F11</f>
        <v>FECHA LIMITE :</v>
      </c>
      <c r="E43" s="81">
        <f>'4637'!G11</f>
        <v>0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26" t="s">
        <v>65</v>
      </c>
      <c r="C46" s="126"/>
      <c r="D46" s="126"/>
      <c r="E46" s="126"/>
      <c r="F46" s="126"/>
      <c r="G46" s="126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27" t="s">
        <v>66</v>
      </c>
      <c r="D48" s="128"/>
      <c r="E48" s="129"/>
      <c r="F48" s="129"/>
      <c r="G48" s="130"/>
      <c r="H48" s="30"/>
      <c r="I48" s="25" t="s">
        <v>130</v>
      </c>
    </row>
    <row r="49" spans="1:13" s="10" customFormat="1" ht="20.100000000000001" customHeight="1" x14ac:dyDescent="0.35">
      <c r="A49" s="111"/>
      <c r="B49" s="30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30"/>
      <c r="K49" s="10">
        <v>15000</v>
      </c>
    </row>
    <row r="50" spans="1:13" s="10" customFormat="1" ht="20.100000000000001" customHeight="1" x14ac:dyDescent="0.35">
      <c r="A50" s="110">
        <v>1</v>
      </c>
      <c r="B50" s="100" t="s">
        <v>138</v>
      </c>
      <c r="C50" s="96">
        <f>'4637'!B21</f>
        <v>1</v>
      </c>
      <c r="D50" s="4" t="str">
        <f>'4637'!C21</f>
        <v>CUB C/R 90° SIN REGRUESO</v>
      </c>
      <c r="E50" s="116">
        <f>'4637'!D21</f>
        <v>1820</v>
      </c>
      <c r="F50" s="103">
        <f>'4637'!E21</f>
        <v>360</v>
      </c>
      <c r="G50" s="4" t="str">
        <f>'4637'!F21</f>
        <v>VERDASTRO GRANITE 42009 GL</v>
      </c>
      <c r="H50" s="30"/>
      <c r="I50" s="10">
        <f>E50*F50/1000000</f>
        <v>0.6552</v>
      </c>
      <c r="J50" s="10">
        <f>I50*C50</f>
        <v>0.6552</v>
      </c>
      <c r="K50" s="26">
        <f>J50*K$49</f>
        <v>9828</v>
      </c>
      <c r="M50" s="24">
        <v>12096</v>
      </c>
    </row>
    <row r="51" spans="1:13" s="10" customFormat="1" ht="20.100000000000001" customHeight="1" x14ac:dyDescent="0.35">
      <c r="A51" s="110"/>
      <c r="B51" s="100"/>
      <c r="C51" s="96">
        <f>'4637'!B22</f>
        <v>1</v>
      </c>
      <c r="D51" s="4" t="str">
        <f>'4637'!C22</f>
        <v>CUB C/R 90° SIN REGRUESO</v>
      </c>
      <c r="E51" s="116">
        <f>'4637'!D22</f>
        <v>460</v>
      </c>
      <c r="F51" s="103">
        <f>'4637'!E22</f>
        <v>490</v>
      </c>
      <c r="G51" s="4" t="str">
        <f>'4637'!F22</f>
        <v>VERDASTRO GRANITE 42009 GL</v>
      </c>
      <c r="H51" s="30"/>
      <c r="K51" s="26"/>
      <c r="M51" s="29"/>
    </row>
    <row r="52" spans="1:13" s="10" customFormat="1" ht="15" customHeight="1" x14ac:dyDescent="0.35">
      <c r="B52" s="83"/>
      <c r="C52" s="66"/>
      <c r="D52" s="66"/>
      <c r="E52" s="66"/>
      <c r="F52" s="66"/>
      <c r="G52" s="66"/>
      <c r="H52" s="30"/>
    </row>
    <row r="53" spans="1:13" ht="18" x14ac:dyDescent="0.35">
      <c r="B53" s="73"/>
      <c r="C53" s="73"/>
      <c r="D53" s="30"/>
      <c r="E53" s="73"/>
      <c r="F53" s="73"/>
      <c r="G53" s="78"/>
      <c r="H53" s="30"/>
    </row>
    <row r="54" spans="1:13" ht="18" x14ac:dyDescent="0.35">
      <c r="B54" s="73"/>
      <c r="C54" s="73"/>
      <c r="D54" s="30"/>
      <c r="E54" s="73"/>
      <c r="F54" s="73"/>
      <c r="G54" s="73"/>
      <c r="H54" s="30"/>
      <c r="J54" s="10">
        <f>SUM(J50:J50)</f>
        <v>0.6552</v>
      </c>
      <c r="K54" s="27">
        <f>SUM(K50:K50)</f>
        <v>9828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73"/>
      <c r="C60" s="87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2026-03-06T16:34:55Z</cp:lastPrinted>
  <dcterms:created xsi:type="dcterms:W3CDTF">2013-03-19T12:54:14Z</dcterms:created>
  <dcterms:modified xsi:type="dcterms:W3CDTF">2026-03-06T16:36:24Z</dcterms:modified>
</cp:coreProperties>
</file>