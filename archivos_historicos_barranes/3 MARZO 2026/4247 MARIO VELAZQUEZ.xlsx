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3 MARZO 2026\"/>
    </mc:Choice>
  </mc:AlternateContent>
  <xr:revisionPtr revIDLastSave="0" documentId="13_ncr:1_{628783D4-1531-4029-8225-022B15F2E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'4637'!$B$1:$H$47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3" i="4" l="1"/>
  <c r="G26" i="3"/>
  <c r="F26" i="3"/>
  <c r="L14" i="3" s="1"/>
  <c r="E26" i="3"/>
  <c r="K14" i="3" s="1"/>
  <c r="E14" i="3" s="1"/>
  <c r="C26" i="3"/>
  <c r="G47" i="3"/>
  <c r="F47" i="3"/>
  <c r="E47" i="3"/>
  <c r="D47" i="3"/>
  <c r="D26" i="3" s="1"/>
  <c r="C47" i="3"/>
  <c r="H25" i="4" l="1"/>
  <c r="L21" i="4"/>
  <c r="K21" i="4"/>
  <c r="M21" i="4" l="1"/>
  <c r="N21" i="4" s="1"/>
  <c r="G21" i="3" l="1"/>
  <c r="L21" i="3"/>
  <c r="F21" i="3" s="1"/>
  <c r="J21" i="3" l="1"/>
  <c r="I26" i="3"/>
  <c r="J26" i="3" s="1"/>
  <c r="K21" i="3"/>
  <c r="E21" i="3" s="1"/>
  <c r="I47" i="3"/>
  <c r="J47" i="3" s="1"/>
  <c r="G14" i="3"/>
  <c r="F14" i="3"/>
  <c r="C21" i="3" l="1"/>
  <c r="J14" i="3"/>
  <c r="C14" i="3" s="1"/>
  <c r="J28" i="3"/>
  <c r="K47" i="3"/>
  <c r="J50" i="3"/>
  <c r="O5" i="3"/>
  <c r="K50" i="3" l="1"/>
  <c r="N5" i="3"/>
  <c r="M5" i="3"/>
  <c r="L5" i="3"/>
  <c r="D40" i="3" l="1"/>
  <c r="D7" i="3"/>
  <c r="E38" i="3"/>
  <c r="E5" i="3"/>
  <c r="E40" i="3"/>
  <c r="E7" i="3"/>
  <c r="E37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<sst xmlns="http://schemas.openxmlformats.org/spreadsheetml/2006/main" count="248" uniqueCount="144">
  <si>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</si>
  <si>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</si>
  <si>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</si>
  <si>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</si>
  <si>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</si>
  <si>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</si>
  <si>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</si>
  <si>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</si>
  <si>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</si>
  <si>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</si>
  <si>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</si>
  <si>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</si>
  <si>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</si>
  <si>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</si>
  <si>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</si>
  <si>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</si>
  <si>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</si>
  <si>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</si>
  <si>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</si>
  <si>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</si>
  <si>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</si>
  <si>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</si>
  <si>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</si>
  <si>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</si>
  <si>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</si>
  <si>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</si>
  <si>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</si>
  <si>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</si>
  <si>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</si>
  <si>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</si>
  <si>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</si>
  <si>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</si>
  <si>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</si>
  <si>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</si>
  <si>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</si>
  <si>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</si>
  <si>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</si>
  <si>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</si>
  <si>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</si>
  <si>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</si>
  <si>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</si>
  <si>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</si>
  <si>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</si>
  <si>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</si>
  <si>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</si>
  <si>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</si>
  <si>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</si>
  <si>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</si>
  <si>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</si>
  <si>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</si>
  <si>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</si>
  <si>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</si>
  <si>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</si>
  <si>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</si>
  <si>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</si>
  <si>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</si>
  <si>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</si>
  <si>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</si>
  <si>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</si>
  <si>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</si>
  <si>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</si>
  <si>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</si>
  <si>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</si>
  <si>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</si>
  <si>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</si>
  <si>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</si>
  <si>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</si>
  <si>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</si>
  <si>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</si>
  <si>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</si>
  <si>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</si>
  <si>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</si>
  <si>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</si>
  <si>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</si>
  <si>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</si>
  <si>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</si>
  <si>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</si>
  <si>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</si>
  <si>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</si>
  <si>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</si>
  <si>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</si>
  <si>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</si>
  <si>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</si>
  <si>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</si>
  <si>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</si>
  <si>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</si>
  <si>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</si>
  <si>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</si>
  <si>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</si>
  <si>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</si>
  <si>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</si>
  <si>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</si>
  <si>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</si>
  <si>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</si>
  <si>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</si>
  <si>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</si>
  <si>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</si>
  <si>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</si>
  <si>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</si>
  <si>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</si>
  <si>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</si>
  <si>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</si>
  <si>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</si>
  <si>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</si>
  <si>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</si>
  <si>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</si>
  <si>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</si>
  <si>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</si>
  <si>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</si>
  <si>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</si>
  <si>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</si>
  <si>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</si>
  <si>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</si>
  <si>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</si>
  <si>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</si>
  <si>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</si>
  <si>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</si>
  <si>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</si>
  <si>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</si>
  <si>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</si>
  <si>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</si>
  <si>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</si>
  <si>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</si>
  <si>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</si>
  <si>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</si>
  <si>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</si>
  <si>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</si>
  <si>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</si>
  <si>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</si>
  <si>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</si>
  <si>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</si>
  <si>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</si>
  <si>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</si>
  <si>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</si>
  <si>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</si>
  <si>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</si>
  <si>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</si>
  <si>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</si>
  <si>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</si>
  <si>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S/R R8</t>
  </si>
  <si>
    <t>MARIO VELAZQUEZ</t>
  </si>
  <si>
    <t>+569 2088 1320</t>
  </si>
  <si>
    <t>N° 12042</t>
  </si>
  <si>
    <t>NEW BLACK GRANITE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</si>
</sst>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/>
    </xf>
    <xf numFmtId="0" fontId="20" fillId="3" borderId="0" xfId="0" applyFont="1" applyFill="1"/>
    <xf numFmtId="0" fontId="2" fillId="3" borderId="6" xfId="0" applyFont="1" applyFill="1" applyBorder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23327</xdr:rowOff>
    </xdr:from>
    <xdr:to>
      <xdr:col>5</xdr:col>
      <xdr:colOff>1539552</xdr:colOff>
      <xdr:row>25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</a:t>
          </a:r>
          <a:r>
            <a:rPr lang="es-CL" sz="1200" b="1" i="0" baseline="0"/>
            <a:t> $35.000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41</xdr:row>
      <xdr:rowOff>190500</xdr:rowOff>
    </xdr:from>
    <xdr:to>
      <xdr:col>7</xdr:col>
      <xdr:colOff>9524</xdr:colOff>
      <xdr:row>43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38</xdr:row>
      <xdr:rowOff>30479</xdr:rowOff>
    </xdr:from>
    <xdr:to>
      <xdr:col>6</xdr:col>
      <xdr:colOff>2912745</xdr:colOff>
      <xdr:row>39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209549</xdr:rowOff>
    </xdr:from>
    <xdr:to>
      <xdr:col>7</xdr:col>
      <xdr:colOff>0</xdr:colOff>
      <xdr:row>38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35</xdr:row>
      <xdr:rowOff>171450</xdr:rowOff>
    </xdr:from>
    <xdr:to>
      <xdr:col>7</xdr:col>
      <xdr:colOff>19050</xdr:colOff>
      <xdr:row>36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48</xdr:row>
      <xdr:rowOff>0</xdr:rowOff>
    </xdr:from>
    <xdr:to>
      <xdr:col>3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48</xdr:row>
      <xdr:rowOff>0</xdr:rowOff>
    </xdr:from>
    <xdr:to>
      <xdr:col>3</xdr:col>
      <xdr:colOff>1019175</xdr:colOff>
      <xdr:row>49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48</xdr:row>
      <xdr:rowOff>0</xdr:rowOff>
    </xdr:from>
    <xdr:to>
      <xdr:col>4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48</xdr:row>
      <xdr:rowOff>0</xdr:rowOff>
    </xdr:from>
    <xdr:to>
      <xdr:col>5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48</xdr:row>
      <xdr:rowOff>0</xdr:rowOff>
    </xdr:from>
    <xdr:to>
      <xdr:col>6</xdr:col>
      <xdr:colOff>447675</xdr:colOff>
      <xdr:row>49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48</xdr:row>
      <xdr:rowOff>0</xdr:rowOff>
    </xdr:from>
    <xdr:to>
      <xdr:col>7</xdr:col>
      <xdr:colOff>0</xdr:colOff>
      <xdr:row>49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3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49</xdr:row>
      <xdr:rowOff>0</xdr:rowOff>
    </xdr:from>
    <xdr:to>
      <xdr:col>3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49</xdr:row>
      <xdr:rowOff>0</xdr:rowOff>
    </xdr:from>
    <xdr:to>
      <xdr:col>4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49</xdr:row>
      <xdr:rowOff>0</xdr:rowOff>
    </xdr:from>
    <xdr:to>
      <xdr:col>5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49</xdr:row>
      <xdr:rowOff>0</xdr:rowOff>
    </xdr:from>
    <xdr:to>
      <xdr:col>6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49</xdr:row>
      <xdr:rowOff>0</xdr:rowOff>
    </xdr:from>
    <xdr:to>
      <xdr:col>7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27</xdr:row>
      <xdr:rowOff>15239</xdr:rowOff>
    </xdr:from>
    <xdr:to>
      <xdr:col>7</xdr:col>
      <xdr:colOff>0</xdr:colOff>
      <xdr:row>31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51</xdr:row>
      <xdr:rowOff>32385</xdr:rowOff>
    </xdr:from>
    <xdr:to>
      <xdr:col>7</xdr:col>
      <xdr:colOff>7620</xdr:colOff>
      <xdr:row>55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35</xdr:row>
      <xdr:rowOff>146685</xdr:rowOff>
    </xdr:from>
    <xdr:to>
      <xdr:col>2</xdr:col>
      <xdr:colOff>778903</xdr:colOff>
      <xdr:row>41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304800</xdr:colOff>
      <xdr:row>58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abSelected="1" topLeftCell="A8" zoomScale="98" zoomScaleNormal="98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142</v>
      </c>
      <c r="E8" s="29"/>
      <c r="F8" s="34" t="s">
        <v>25</v>
      </c>
      <c r="G8" s="35">
        <v>4247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140</v>
      </c>
      <c r="D10" s="38"/>
      <c r="E10" s="38"/>
      <c r="F10" s="39" t="s">
        <v>26</v>
      </c>
      <c r="G10" s="40">
        <v>46100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46101</v>
      </c>
      <c r="H11" s="45"/>
      <c r="I11" s="29"/>
    </row>
    <row r="12" spans="1:17" ht="18" x14ac:dyDescent="0.35">
      <c r="A12" s="29"/>
      <c r="B12" s="46" t="s">
        <v>126</v>
      </c>
      <c r="C12" s="116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7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8" t="s">
        <v>141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20" t="s">
        <v>1</v>
      </c>
      <c r="C15" s="119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21" t="s">
        <v>17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18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6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56" t="s">
        <v>22</v>
      </c>
      <c r="H20" s="114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01" t="s">
        <v>139</v>
      </c>
      <c r="D21" s="102">
        <v>1400</v>
      </c>
      <c r="E21" s="102">
        <v>600</v>
      </c>
      <c r="F21" s="101" t="s">
        <v>143</v>
      </c>
      <c r="G21" s="112">
        <v>65000</v>
      </c>
      <c r="H21" s="112">
        <f>G21*B21</f>
        <v>65000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thickBot="1" x14ac:dyDescent="0.4">
      <c r="A22" s="29"/>
      <c r="B22" s="103"/>
      <c r="C22" s="103"/>
      <c r="D22" s="111"/>
      <c r="E22" s="111"/>
      <c r="F22" s="103"/>
      <c r="G22" s="105"/>
      <c r="H22" s="105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3"/>
      <c r="C23" s="103"/>
      <c r="D23" s="111"/>
      <c r="E23" s="111"/>
      <c r="F23" s="103"/>
      <c r="G23" s="59" t="s">
        <v>5</v>
      </c>
      <c r="H23" s="60">
        <f>SUM(H21:H22)</f>
        <v>65000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3"/>
      <c r="C24" s="103"/>
      <c r="D24" s="111"/>
      <c r="E24" s="111"/>
      <c r="F24" s="103"/>
      <c r="G24" s="61" t="s">
        <v>136</v>
      </c>
      <c r="H24" s="62"/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103"/>
      <c r="C25" s="103"/>
      <c r="D25" s="111"/>
      <c r="E25" s="111"/>
      <c r="F25" s="103"/>
      <c r="G25" s="63" t="s">
        <v>4</v>
      </c>
      <c r="H25" s="64">
        <f>H23+H24</f>
        <v>65000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3"/>
      <c r="C26" s="103"/>
      <c r="D26" s="111"/>
      <c r="E26" s="111"/>
      <c r="F26" s="103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3"/>
      <c r="C27" s="103"/>
      <c r="D27" s="111"/>
      <c r="E27" s="111"/>
      <c r="F27" s="103"/>
      <c r="G27" s="105"/>
      <c r="H27" s="105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3"/>
      <c r="C28" s="103"/>
      <c r="D28" s="111"/>
      <c r="E28" s="111"/>
      <c r="F28" s="103"/>
      <c r="G28" s="105"/>
      <c r="H28" s="105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3"/>
      <c r="C29" s="103"/>
      <c r="D29" s="104"/>
      <c r="E29" s="104"/>
      <c r="F29" s="103"/>
      <c r="G29" s="105"/>
      <c r="H29" s="105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3"/>
      <c r="C30" s="103"/>
      <c r="D30" s="104"/>
      <c r="E30" s="104"/>
      <c r="F30" s="103"/>
      <c r="G30" s="105"/>
      <c r="H30" s="105"/>
      <c r="I30" s="29"/>
      <c r="K30" s="11"/>
      <c r="L30" s="15"/>
      <c r="M30" s="11"/>
      <c r="N30" s="11"/>
      <c r="O30" s="15"/>
      <c r="P30" s="21"/>
    </row>
    <row r="31" spans="1:16" ht="13.2" customHeight="1" x14ac:dyDescent="0.35">
      <c r="A31" s="29"/>
      <c r="B31" s="58"/>
      <c r="C31" s="58"/>
      <c r="D31" s="58"/>
      <c r="E31" s="58"/>
      <c r="F31" s="58"/>
      <c r="G31" s="57"/>
      <c r="H31" s="57"/>
      <c r="I31" s="29"/>
    </row>
    <row r="32" spans="1:16" ht="20.100000000000001" customHeight="1" x14ac:dyDescent="0.35">
      <c r="A32" s="29"/>
      <c r="B32" s="29"/>
      <c r="C32" s="29"/>
      <c r="D32" s="29"/>
      <c r="E32" s="29"/>
      <c r="F32" s="29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G35" s="65"/>
      <c r="H35" s="66"/>
      <c r="I35" s="29"/>
    </row>
    <row r="36" spans="1:9" ht="18" x14ac:dyDescent="0.35">
      <c r="A36" s="29"/>
      <c r="B36" s="29"/>
      <c r="C36" s="29"/>
      <c r="D36" s="29"/>
      <c r="E36" s="29"/>
      <c r="F36" s="29"/>
      <c r="G36" s="29"/>
      <c r="H36" s="29"/>
      <c r="I36" s="29"/>
    </row>
    <row r="37" spans="1:9" ht="18" x14ac:dyDescent="0.35">
      <c r="A37" s="29"/>
      <c r="B37" s="67" t="s">
        <v>133</v>
      </c>
      <c r="C37" s="68"/>
      <c r="D37" s="69"/>
      <c r="E37" s="69"/>
      <c r="F37" s="58"/>
      <c r="G37" s="29"/>
      <c r="H37" s="29"/>
      <c r="I37" s="29"/>
    </row>
    <row r="38" spans="1:9" ht="18" x14ac:dyDescent="0.35">
      <c r="A38" s="29"/>
      <c r="B38" s="67" t="s">
        <v>119</v>
      </c>
      <c r="C38" s="68"/>
      <c r="D38" s="69"/>
      <c r="E38" s="69"/>
      <c r="F38" s="58"/>
      <c r="G38" s="29"/>
      <c r="H38" s="29"/>
      <c r="I38" s="29"/>
    </row>
    <row r="39" spans="1:9" ht="18" x14ac:dyDescent="0.35">
      <c r="A39" s="29"/>
      <c r="B39" s="29" t="s">
        <v>23</v>
      </c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70" t="s">
        <v>24</v>
      </c>
      <c r="C40" s="70"/>
      <c r="D40" s="29"/>
      <c r="E40" s="29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70"/>
      <c r="F41" s="29"/>
      <c r="G41" s="29"/>
      <c r="H41" s="29"/>
      <c r="I41" s="29"/>
    </row>
    <row r="42" spans="1:9" ht="18" x14ac:dyDescent="0.35">
      <c r="A42" s="29"/>
      <c r="B42" s="30" t="s">
        <v>131</v>
      </c>
      <c r="C42" s="30"/>
      <c r="D42" s="30"/>
      <c r="E42" s="71"/>
      <c r="F42" s="29"/>
      <c r="G42" s="29"/>
      <c r="H42" s="29"/>
      <c r="I42" s="29"/>
    </row>
    <row r="43" spans="1:9" ht="18" x14ac:dyDescent="0.35">
      <c r="A43" s="29"/>
      <c r="B43" s="30"/>
      <c r="C43" s="30"/>
      <c r="D43" s="30"/>
      <c r="E43" s="71"/>
      <c r="F43" s="29"/>
      <c r="G43" s="29"/>
      <c r="H43" s="29"/>
      <c r="I43" s="29"/>
    </row>
    <row r="44" spans="1:9" ht="18" x14ac:dyDescent="0.35">
      <c r="A44" s="29"/>
      <c r="B44" s="30" t="s">
        <v>132</v>
      </c>
      <c r="C44" s="29"/>
      <c r="D44" s="29"/>
      <c r="E44" s="70"/>
      <c r="F44" s="29"/>
      <c r="G44" s="29"/>
      <c r="H44" s="29"/>
      <c r="I44" s="29"/>
    </row>
    <row r="45" spans="1:9" ht="18" x14ac:dyDescent="0.35">
      <c r="A45" s="29"/>
      <c r="B45" s="29"/>
      <c r="C45" s="29"/>
      <c r="D45" s="29"/>
      <c r="E45" s="70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2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1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9"/>
  <sheetViews>
    <sheetView topLeftCell="B38" zoomScaleNormal="100" workbookViewId="0">
      <selection activeCell="H36" sqref="B36:H5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3" t="s">
        <v>25</v>
      </c>
      <c r="E4" s="74">
        <f>'4637'!G8</f>
        <v>4247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MARIO VELAZQUEZ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46101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50</v>
      </c>
      <c r="F13" s="92">
        <v>-30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9">
        <v>1</v>
      </c>
      <c r="B14" s="100" t="s">
        <v>138</v>
      </c>
      <c r="C14" s="93">
        <f>J14</f>
        <v>1</v>
      </c>
      <c r="D14" s="93"/>
      <c r="E14" s="93">
        <f>K14+E$13</f>
        <v>1450</v>
      </c>
      <c r="F14" s="93">
        <f>L14+F$13</f>
        <v>570</v>
      </c>
      <c r="G14" s="93" t="str">
        <f>D26</f>
        <v>CUB S/R R8</v>
      </c>
      <c r="H14" s="29"/>
      <c r="J14" s="3">
        <f>J21</f>
        <v>1</v>
      </c>
      <c r="K14" s="4">
        <f t="shared" ref="K14:L14" si="0">E26</f>
        <v>1400</v>
      </c>
      <c r="L14" s="4">
        <f t="shared" si="0"/>
        <v>600</v>
      </c>
    </row>
    <row r="15" spans="1:15" ht="18" x14ac:dyDescent="0.35">
      <c r="A15" s="2"/>
      <c r="B15" s="82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9" t="s">
        <v>13</v>
      </c>
      <c r="C17" s="129"/>
      <c r="D17" s="129"/>
      <c r="E17" s="129"/>
      <c r="F17" s="129"/>
      <c r="G17" s="129"/>
      <c r="H17" s="29"/>
    </row>
    <row r="18" spans="1:12" ht="10.5" customHeight="1" x14ac:dyDescent="0.35">
      <c r="A18" s="2"/>
      <c r="B18" s="29"/>
      <c r="C18" s="29"/>
      <c r="D18" s="90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5" t="s">
        <v>6</v>
      </c>
      <c r="F19" s="65" t="s">
        <v>7</v>
      </c>
      <c r="G19" s="29"/>
      <c r="H19" s="29"/>
    </row>
    <row r="20" spans="1:12" ht="18" x14ac:dyDescent="0.35">
      <c r="A20" s="2"/>
      <c r="B20" s="65" t="s">
        <v>8</v>
      </c>
      <c r="C20" s="81" t="s">
        <v>9</v>
      </c>
      <c r="D20" s="81" t="s">
        <v>10</v>
      </c>
      <c r="E20" s="94">
        <v>40</v>
      </c>
      <c r="F20" s="94">
        <v>130</v>
      </c>
      <c r="G20" s="81" t="s">
        <v>107</v>
      </c>
      <c r="H20" s="29"/>
      <c r="K20" s="5" t="s">
        <v>6</v>
      </c>
      <c r="L20" s="5" t="s">
        <v>7</v>
      </c>
    </row>
    <row r="21" spans="1:12" ht="18" x14ac:dyDescent="0.35">
      <c r="A21" s="109">
        <v>1</v>
      </c>
      <c r="B21" s="100"/>
      <c r="C21" s="95">
        <f t="shared" ref="C21" si="1">J21</f>
        <v>1</v>
      </c>
      <c r="D21" s="95"/>
      <c r="E21" s="95">
        <f>K21+E20</f>
        <v>1440</v>
      </c>
      <c r="F21" s="95">
        <f t="shared" ref="F21" si="2">L21+F$20</f>
        <v>730</v>
      </c>
      <c r="G21" s="95" t="str">
        <f>D26</f>
        <v>CUB S/R R8</v>
      </c>
      <c r="H21" s="29"/>
      <c r="J21" s="3">
        <f>C26</f>
        <v>1</v>
      </c>
      <c r="K21" s="106">
        <f>E26</f>
        <v>1400</v>
      </c>
      <c r="L21" s="106">
        <f>F26</f>
        <v>600</v>
      </c>
    </row>
    <row r="22" spans="1:12" ht="18.600000000000001" thickBot="1" x14ac:dyDescent="0.4">
      <c r="A22" s="2"/>
      <c r="B22" s="82"/>
      <c r="C22" s="72"/>
      <c r="D22" s="72"/>
      <c r="E22" s="72"/>
      <c r="F22" s="72"/>
      <c r="G22" s="72"/>
      <c r="H22" s="29"/>
      <c r="I22" s="107"/>
      <c r="J22" s="108"/>
      <c r="K22" s="108"/>
      <c r="L22" s="108"/>
    </row>
    <row r="23" spans="1:12" ht="18.600000000000001" thickBot="1" x14ac:dyDescent="0.4">
      <c r="A23" s="2"/>
      <c r="B23" s="65"/>
      <c r="C23" s="96" t="s">
        <v>104</v>
      </c>
      <c r="D23" s="32"/>
      <c r="E23" s="32"/>
      <c r="F23" s="32"/>
      <c r="G23" s="97"/>
      <c r="H23" s="29"/>
      <c r="J23" s="2"/>
      <c r="K23" s="2"/>
      <c r="L23" s="2"/>
    </row>
    <row r="24" spans="1:12" ht="10.5" customHeight="1" x14ac:dyDescent="0.35">
      <c r="A24" s="2"/>
      <c r="B24" s="29"/>
      <c r="C24" s="29"/>
      <c r="D24" s="29"/>
      <c r="E24" s="29"/>
      <c r="F24" s="29"/>
      <c r="G24" s="29"/>
      <c r="H24" s="29"/>
    </row>
    <row r="25" spans="1:12" ht="18" x14ac:dyDescent="0.35">
      <c r="A25" s="2"/>
      <c r="B25" s="65" t="s">
        <v>8</v>
      </c>
      <c r="C25" s="98" t="s">
        <v>9</v>
      </c>
      <c r="D25" s="98" t="s">
        <v>107</v>
      </c>
      <c r="E25" s="98" t="s">
        <v>6</v>
      </c>
      <c r="F25" s="98" t="s">
        <v>7</v>
      </c>
      <c r="G25" s="98" t="s">
        <v>21</v>
      </c>
      <c r="H25" s="29"/>
    </row>
    <row r="26" spans="1:12" ht="18" x14ac:dyDescent="0.35">
      <c r="A26" s="109">
        <v>1</v>
      </c>
      <c r="B26" s="100" t="s">
        <v>138</v>
      </c>
      <c r="C26" s="93">
        <f>'4637'!B21</f>
        <v>1</v>
      </c>
      <c r="D26" s="93" t="str">
        <f>D47</f>
        <v>CUB S/R R8</v>
      </c>
      <c r="E26" s="115">
        <f>'4637'!D21</f>
        <v>1400</v>
      </c>
      <c r="F26" s="115">
        <f>'4637'!E21</f>
        <v>600</v>
      </c>
      <c r="G26" s="4" t="str">
        <f>'4637'!F21</f>
        <v>NEW BLACK GRANITE STOCK</v>
      </c>
      <c r="H26" s="29"/>
      <c r="I26" s="28">
        <f>E26*F26/1000000</f>
        <v>0.84</v>
      </c>
      <c r="J26" s="28">
        <f>I26*C26</f>
        <v>0.84</v>
      </c>
    </row>
    <row r="27" spans="1:12" ht="18" x14ac:dyDescent="0.35">
      <c r="A27" s="2"/>
      <c r="B27" s="29"/>
      <c r="C27" s="72"/>
      <c r="D27" s="72"/>
      <c r="E27" s="72"/>
      <c r="F27" s="72"/>
      <c r="G27" s="72"/>
      <c r="H27" s="29"/>
    </row>
    <row r="28" spans="1:12" ht="18" x14ac:dyDescent="0.35">
      <c r="A28" s="2"/>
      <c r="B28" s="29"/>
      <c r="C28" s="72"/>
      <c r="D28" s="72"/>
      <c r="E28" s="72"/>
      <c r="F28" s="72"/>
      <c r="G28" s="72"/>
      <c r="H28" s="29"/>
      <c r="J28" s="28">
        <f>SUM(J26:J26)*2</f>
        <v>1.68</v>
      </c>
    </row>
    <row r="29" spans="1:12" ht="18" x14ac:dyDescent="0.35">
      <c r="A29" s="2"/>
      <c r="B29" s="29"/>
      <c r="C29" s="72"/>
      <c r="D29" s="72"/>
      <c r="E29" s="72"/>
      <c r="F29" s="72"/>
      <c r="G29" s="72"/>
      <c r="H29" s="29"/>
    </row>
    <row r="30" spans="1:12" ht="18" x14ac:dyDescent="0.35">
      <c r="A30" s="2"/>
      <c r="B30" s="29"/>
      <c r="C30" s="72"/>
      <c r="D30" s="72"/>
      <c r="E30" s="72"/>
      <c r="F30" s="72"/>
      <c r="G30" s="72"/>
      <c r="H30" s="29"/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</row>
    <row r="33" spans="1:13" ht="18" x14ac:dyDescent="0.35">
      <c r="A33" s="2"/>
      <c r="B33" s="29"/>
      <c r="C33" s="72"/>
      <c r="D33" s="72"/>
      <c r="E33" s="72"/>
      <c r="F33" s="72"/>
      <c r="G33" s="72"/>
      <c r="H33" s="29"/>
    </row>
    <row r="34" spans="1:13" ht="18" x14ac:dyDescent="0.35">
      <c r="A34" s="2"/>
      <c r="B34" s="29"/>
      <c r="C34" s="72"/>
      <c r="D34" s="72"/>
      <c r="E34" s="72"/>
      <c r="F34" s="72"/>
      <c r="G34" s="72"/>
      <c r="H34" s="29"/>
    </row>
    <row r="35" spans="1:13" ht="18" x14ac:dyDescent="0.35">
      <c r="A35" s="2"/>
      <c r="B35" s="29"/>
      <c r="C35" s="72"/>
      <c r="D35" s="72"/>
      <c r="E35" s="72"/>
      <c r="F35" s="72"/>
      <c r="G35" s="72"/>
      <c r="H35" s="29"/>
    </row>
    <row r="36" spans="1:13" ht="18" x14ac:dyDescent="0.35">
      <c r="A36" s="2"/>
      <c r="B36" s="29"/>
      <c r="C36" s="29"/>
      <c r="D36" s="29"/>
      <c r="E36" s="29"/>
      <c r="F36" s="29"/>
      <c r="G36" s="29"/>
      <c r="H36" s="29"/>
    </row>
    <row r="37" spans="1:13" ht="18" x14ac:dyDescent="0.35">
      <c r="A37" s="2"/>
      <c r="B37" s="29"/>
      <c r="C37" s="29"/>
      <c r="D37" s="73" t="s">
        <v>25</v>
      </c>
      <c r="E37" s="74">
        <f>'4637'!G8</f>
        <v>4247</v>
      </c>
      <c r="F37" s="29"/>
      <c r="G37" s="29"/>
      <c r="H37" s="29"/>
    </row>
    <row r="38" spans="1:13" ht="17.25" customHeight="1" x14ac:dyDescent="0.35">
      <c r="A38" s="2"/>
      <c r="B38" s="29"/>
      <c r="C38" s="29"/>
      <c r="D38" s="75" t="s">
        <v>64</v>
      </c>
      <c r="E38" s="76" t="str">
        <f>'4637'!C10</f>
        <v>MARIO VELAZQUEZ</v>
      </c>
      <c r="F38" s="47"/>
      <c r="G38" s="47"/>
      <c r="H38" s="29"/>
    </row>
    <row r="39" spans="1:13" ht="4.5" customHeight="1" x14ac:dyDescent="0.35">
      <c r="A39" s="2"/>
      <c r="B39" s="29"/>
      <c r="C39" s="29"/>
      <c r="D39" s="77"/>
      <c r="E39" s="78"/>
      <c r="F39" s="29"/>
      <c r="G39" s="29"/>
      <c r="H39" s="29"/>
    </row>
    <row r="40" spans="1:13" ht="18" x14ac:dyDescent="0.35">
      <c r="A40" s="2"/>
      <c r="B40" s="29"/>
      <c r="C40" s="29"/>
      <c r="D40" s="79" t="str">
        <f>'4637'!F11</f>
        <v>FECHA LIMITE :</v>
      </c>
      <c r="E40" s="80">
        <f>'4637'!G11</f>
        <v>46101</v>
      </c>
      <c r="F40" s="29"/>
      <c r="G40" s="29"/>
      <c r="H40" s="29"/>
    </row>
    <row r="41" spans="1:13" ht="18" x14ac:dyDescent="0.35">
      <c r="A41" s="2"/>
      <c r="B41" s="29"/>
      <c r="C41" s="29"/>
      <c r="D41" s="29"/>
      <c r="E41" s="29"/>
      <c r="F41" s="29"/>
      <c r="G41" s="29" t="s">
        <v>135</v>
      </c>
      <c r="H41" s="29"/>
    </row>
    <row r="42" spans="1:13" ht="18" x14ac:dyDescent="0.35">
      <c r="A42" s="2"/>
      <c r="B42" s="29"/>
      <c r="C42" s="29"/>
      <c r="D42" s="29"/>
      <c r="E42" s="29"/>
      <c r="F42" s="29"/>
      <c r="G42" s="29"/>
      <c r="H42" s="29"/>
    </row>
    <row r="43" spans="1:13" ht="18" x14ac:dyDescent="0.35">
      <c r="A43" s="2"/>
      <c r="B43" s="130" t="s">
        <v>65</v>
      </c>
      <c r="C43" s="130"/>
      <c r="D43" s="130"/>
      <c r="E43" s="130"/>
      <c r="F43" s="130"/>
      <c r="G43" s="130"/>
      <c r="H43" s="29"/>
    </row>
    <row r="44" spans="1:13" ht="18" x14ac:dyDescent="0.35">
      <c r="A44" s="2"/>
      <c r="B44" s="29"/>
      <c r="C44" s="29"/>
      <c r="D44" s="29"/>
      <c r="E44" s="29"/>
      <c r="F44" s="29"/>
      <c r="G44" s="29"/>
      <c r="H44" s="29"/>
    </row>
    <row r="45" spans="1:13" ht="20.100000000000001" customHeight="1" x14ac:dyDescent="0.35">
      <c r="A45" s="2"/>
      <c r="B45" s="29"/>
      <c r="C45" s="131" t="s">
        <v>66</v>
      </c>
      <c r="D45" s="132"/>
      <c r="E45" s="133"/>
      <c r="F45" s="133"/>
      <c r="G45" s="134"/>
      <c r="H45" s="29"/>
      <c r="I45" s="25" t="s">
        <v>130</v>
      </c>
    </row>
    <row r="46" spans="1:13" s="10" customFormat="1" ht="20.100000000000001" customHeight="1" x14ac:dyDescent="0.35">
      <c r="A46" s="110"/>
      <c r="B46" s="29"/>
      <c r="C46" s="83" t="s">
        <v>9</v>
      </c>
      <c r="D46" s="84" t="s">
        <v>10</v>
      </c>
      <c r="E46" s="87" t="s">
        <v>6</v>
      </c>
      <c r="F46" s="87" t="s">
        <v>7</v>
      </c>
      <c r="G46" s="85" t="s">
        <v>11</v>
      </c>
      <c r="H46" s="29"/>
      <c r="K46" s="10">
        <v>15000</v>
      </c>
    </row>
    <row r="47" spans="1:13" s="10" customFormat="1" ht="20.100000000000001" customHeight="1" x14ac:dyDescent="0.35">
      <c r="A47" s="109">
        <v>1</v>
      </c>
      <c r="B47" s="99" t="s">
        <v>138</v>
      </c>
      <c r="C47" s="95">
        <f>'4637'!B21</f>
        <v>1</v>
      </c>
      <c r="D47" s="4" t="str">
        <f>'4637'!C21</f>
        <v>CUB S/R R8</v>
      </c>
      <c r="E47" s="115">
        <f>'4637'!D21</f>
        <v>1400</v>
      </c>
      <c r="F47" s="102">
        <f>'4637'!E21</f>
        <v>600</v>
      </c>
      <c r="G47" s="4" t="str">
        <f>'4637'!F21</f>
        <v>NEW BLACK GRANITE STOCK</v>
      </c>
      <c r="H47" s="29"/>
      <c r="I47" s="10">
        <f>E47*F47/1000000</f>
        <v>0.84</v>
      </c>
      <c r="J47" s="10">
        <f>I47*C47</f>
        <v>0.84</v>
      </c>
      <c r="K47" s="26">
        <f>J47*K$46</f>
        <v>12600</v>
      </c>
      <c r="M47" s="24">
        <v>12096</v>
      </c>
    </row>
    <row r="48" spans="1:13" s="10" customFormat="1" ht="15" customHeight="1" x14ac:dyDescent="0.35">
      <c r="B48" s="82"/>
      <c r="C48" s="65"/>
      <c r="D48" s="65"/>
      <c r="E48" s="65"/>
      <c r="F48" s="65"/>
      <c r="G48" s="65"/>
      <c r="H48" s="29"/>
    </row>
    <row r="49" spans="2:11" ht="18" x14ac:dyDescent="0.35">
      <c r="B49" s="72"/>
      <c r="C49" s="72"/>
      <c r="D49" s="29"/>
      <c r="E49" s="72"/>
      <c r="F49" s="72"/>
      <c r="G49" s="77"/>
      <c r="H49" s="29"/>
    </row>
    <row r="50" spans="2:11" ht="18" x14ac:dyDescent="0.35">
      <c r="B50" s="72"/>
      <c r="C50" s="72"/>
      <c r="D50" s="29"/>
      <c r="E50" s="72"/>
      <c r="F50" s="72"/>
      <c r="G50" s="72"/>
      <c r="H50" s="29"/>
      <c r="J50" s="10">
        <f>SUM(J47:J47)</f>
        <v>0.84</v>
      </c>
      <c r="K50" s="27">
        <f>SUM(K47:K47)</f>
        <v>12600</v>
      </c>
    </row>
    <row r="51" spans="2:11" ht="18" x14ac:dyDescent="0.35">
      <c r="B51" s="29"/>
      <c r="C51" s="29"/>
      <c r="D51" s="29"/>
      <c r="E51" s="29"/>
      <c r="F51" s="29"/>
      <c r="G51" s="29"/>
      <c r="H51" s="29"/>
    </row>
    <row r="52" spans="2:11" ht="18" x14ac:dyDescent="0.35">
      <c r="B52" s="29"/>
      <c r="C52" s="29"/>
      <c r="D52" s="29"/>
      <c r="E52" s="29"/>
      <c r="F52" s="29"/>
      <c r="G52" s="29"/>
      <c r="H52" s="29"/>
    </row>
    <row r="53" spans="2:11" ht="18" x14ac:dyDescent="0.35">
      <c r="B53" s="29"/>
      <c r="C53" s="29"/>
      <c r="D53" s="29"/>
      <c r="E53" s="29"/>
      <c r="F53" s="29"/>
      <c r="G53" s="29"/>
      <c r="H53" s="29"/>
    </row>
    <row r="54" spans="2:11" ht="15" customHeight="1" x14ac:dyDescent="0.35">
      <c r="B54" s="29"/>
      <c r="C54" s="29"/>
      <c r="D54" s="29"/>
      <c r="E54" s="29"/>
      <c r="F54" s="29"/>
      <c r="G54" s="29"/>
      <c r="H54" s="29"/>
    </row>
    <row r="55" spans="2:11" ht="18" x14ac:dyDescent="0.35">
      <c r="B55" s="29"/>
      <c r="C55" s="29"/>
      <c r="D55" s="29"/>
      <c r="E55" s="29"/>
      <c r="F55" s="29"/>
      <c r="G55" s="29"/>
      <c r="H55" s="29"/>
    </row>
    <row r="56" spans="2:11" ht="18" x14ac:dyDescent="0.35">
      <c r="B56" s="72"/>
      <c r="C56" s="86"/>
      <c r="D56" s="29"/>
      <c r="E56" s="29"/>
      <c r="F56" s="29"/>
      <c r="G56" s="29"/>
      <c r="H56" s="29"/>
    </row>
    <row r="57" spans="2:11" ht="18" x14ac:dyDescent="0.35">
      <c r="B57" s="29"/>
      <c r="C57" s="29"/>
      <c r="D57" s="29"/>
      <c r="E57" s="29"/>
      <c r="F57" s="29"/>
      <c r="G57" s="29"/>
      <c r="H57" s="29"/>
    </row>
    <row r="58" spans="2:11" x14ac:dyDescent="0.3">
      <c r="C58" s="14"/>
      <c r="D58" s="14"/>
      <c r="F58" s="14"/>
      <c r="G58" s="14"/>
    </row>
    <row r="59" spans="2:11" x14ac:dyDescent="0.3">
      <c r="C59" s="14"/>
      <c r="D59" s="14"/>
      <c r="F59" s="14"/>
      <c r="G59" s="14"/>
    </row>
  </sheetData>
  <mergeCells count="6">
    <mergeCell ref="N3:O3"/>
    <mergeCell ref="B17:G17"/>
    <mergeCell ref="B10:G10"/>
    <mergeCell ref="B43:G43"/>
    <mergeCell ref="C45:G4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2026-03-19T14:02:08Z</cp:lastPrinted>
  <dcterms:created xsi:type="dcterms:W3CDTF">2013-03-19T12:54:14Z</dcterms:created>
  <dcterms:modified xsi:type="dcterms:W3CDTF">2026-03-19T14:03:00Z</dcterms:modified>
</cp:coreProperties>
</file>