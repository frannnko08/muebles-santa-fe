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 ENERO 2026\"/>
    </mc:Choice>
  </mc:AlternateContent>
  <xr:revisionPtr revIDLastSave="0" documentId="13_ncr:1_{B6A8BD34-AC6F-4CD8-A8E6-5E5523DFF7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'4637'!$B$1:$H$51</definedName>
    <definedName name="_xlnm.Print_Area" localSheetId="2">CUBIERTA!$A$55:$G$82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3" l="1"/>
  <c r="C22" i="3"/>
  <c r="E21" i="3"/>
  <c r="C21" i="3"/>
  <c r="F20" i="3"/>
  <c r="F21" i="3"/>
  <c r="F22" i="3"/>
  <c r="E20" i="3"/>
  <c r="C20" i="3"/>
  <c r="E18" i="3"/>
  <c r="F18" i="3"/>
  <c r="F19" i="3"/>
  <c r="F17" i="3"/>
  <c r="C19" i="3"/>
  <c r="E19" i="3"/>
  <c r="C18" i="3"/>
  <c r="C17" i="3"/>
  <c r="E17" i="3"/>
  <c r="F36" i="3"/>
  <c r="E36" i="3"/>
  <c r="C36" i="3"/>
  <c r="F35" i="3"/>
  <c r="E35" i="3"/>
  <c r="E34" i="3"/>
  <c r="F34" i="3"/>
  <c r="E33" i="3"/>
  <c r="F33" i="3"/>
  <c r="E32" i="3"/>
  <c r="F32" i="3"/>
  <c r="C32" i="3"/>
  <c r="C33" i="3"/>
  <c r="C34" i="3"/>
  <c r="C35" i="3"/>
  <c r="H29" i="4" l="1"/>
  <c r="C45" i="3" l="1"/>
  <c r="J31" i="3" s="1"/>
  <c r="C31" i="3" s="1"/>
  <c r="E45" i="3"/>
  <c r="K31" i="3" s="1"/>
  <c r="E31" i="3" s="1"/>
  <c r="F45" i="3"/>
  <c r="L31" i="3" s="1"/>
  <c r="F31" i="3" s="1"/>
  <c r="G45" i="3"/>
  <c r="C46" i="3"/>
  <c r="J37" i="3" s="1"/>
  <c r="C37" i="3" s="1"/>
  <c r="E46" i="3"/>
  <c r="K37" i="3" s="1"/>
  <c r="E37" i="3" s="1"/>
  <c r="F46" i="3"/>
  <c r="L37" i="3" s="1"/>
  <c r="G46" i="3"/>
  <c r="C70" i="3"/>
  <c r="D70" i="3"/>
  <c r="D45" i="3" s="1"/>
  <c r="G31" i="3" s="1"/>
  <c r="E70" i="3"/>
  <c r="F70" i="3"/>
  <c r="G70" i="3"/>
  <c r="C71" i="3"/>
  <c r="D71" i="3"/>
  <c r="D46" i="3" s="1"/>
  <c r="G37" i="3" s="1"/>
  <c r="E71" i="3"/>
  <c r="F71" i="3"/>
  <c r="G71" i="3"/>
  <c r="C44" i="3"/>
  <c r="J30" i="3" s="1"/>
  <c r="C30" i="3" s="1"/>
  <c r="E44" i="3"/>
  <c r="K30" i="3" s="1"/>
  <c r="E30" i="3" s="1"/>
  <c r="F44" i="3"/>
  <c r="L30" i="3" s="1"/>
  <c r="F30" i="3" s="1"/>
  <c r="G44" i="3"/>
  <c r="C69" i="3"/>
  <c r="D69" i="3"/>
  <c r="D44" i="3" s="1"/>
  <c r="G30" i="3" s="1"/>
  <c r="E69" i="3"/>
  <c r="F69" i="3"/>
  <c r="G69" i="3"/>
  <c r="J16" i="3" l="1"/>
  <c r="C16" i="3" s="1"/>
  <c r="G16" i="3"/>
  <c r="L16" i="3"/>
  <c r="F16" i="3" s="1"/>
  <c r="K16" i="3"/>
  <c r="E16" i="3" s="1"/>
  <c r="L15" i="3"/>
  <c r="F15" i="3" s="1"/>
  <c r="K15" i="3"/>
  <c r="E15" i="3" s="1"/>
  <c r="J15" i="3"/>
  <c r="C15" i="3" s="1"/>
  <c r="G15" i="3"/>
  <c r="G43" i="3"/>
  <c r="F43" i="3"/>
  <c r="L14" i="3" s="1"/>
  <c r="E43" i="3"/>
  <c r="K14" i="3" s="1"/>
  <c r="E14" i="3" s="1"/>
  <c r="C43" i="3"/>
  <c r="G68" i="3"/>
  <c r="F68" i="3"/>
  <c r="E68" i="3"/>
  <c r="D68" i="3"/>
  <c r="D43" i="3" s="1"/>
  <c r="C68" i="3"/>
  <c r="L21" i="4" l="1"/>
  <c r="K21" i="4"/>
  <c r="M21" i="4" l="1"/>
  <c r="N21" i="4" s="1"/>
  <c r="G29" i="3" l="1"/>
  <c r="L29" i="3"/>
  <c r="F29" i="3" s="1"/>
  <c r="J29" i="3" l="1"/>
  <c r="I43" i="3"/>
  <c r="J43" i="3" s="1"/>
  <c r="K29" i="3"/>
  <c r="E29" i="3" s="1"/>
  <c r="I68" i="3"/>
  <c r="J68" i="3" s="1"/>
  <c r="G14" i="3"/>
  <c r="F14" i="3"/>
  <c r="C29" i="3" l="1"/>
  <c r="J14" i="3"/>
  <c r="C14" i="3" s="1"/>
  <c r="J49" i="3"/>
  <c r="K68" i="3"/>
  <c r="J75" i="3"/>
  <c r="O5" i="3"/>
  <c r="K75" i="3" l="1"/>
  <c r="N5" i="3"/>
  <c r="M5" i="3"/>
  <c r="L5" i="3"/>
  <c r="D61" i="3" l="1"/>
  <c r="D7" i="3"/>
  <c r="E59" i="3"/>
  <c r="E5" i="3"/>
  <c r="E61" i="3"/>
  <c r="E7" i="3"/>
  <c r="E58" i="3"/>
  <c r="E4" i="3"/>
</calcChain>
</file>

<file path=xl/sharedStrings.xml><?xml version="1.0" encoding="utf-8"?>
<sst xmlns="http://schemas.openxmlformats.org/spreadsheetml/2006/main" count="265" uniqueCount="147">
  <si>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</si>
  <si>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</si>
  <si>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</si>
  <si>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</si>
  <si>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</si>
  <si>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</si>
  <si>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</si>
  <si>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</si>
  <si>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</si>
  <si>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</si>
  <si>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</si>
  <si>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</si>
  <si>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</si>
  <si>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</si>
  <si>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</si>
  <si>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</si>
  <si>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</si>
  <si>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</si>
  <si>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</si>
  <si>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</si>
  <si>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</si>
  <si>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</si>
  <si>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</si>
  <si>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</si>
  <si>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</si>
  <si>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</si>
  <si>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</si>
  <si>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</si>
  <si>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</si>
  <si>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</si>
  <si>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</si>
  <si>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</si>
  <si>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</si>
  <si>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</si>
  <si>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</si>
  <si>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</si>
  <si>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</si>
  <si>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</si>
  <si>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</si>
  <si>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</si>
  <si>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</si>
  <si>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</si>
  <si>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</si>
  <si>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</si>
  <si>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</si>
  <si>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</si>
  <si>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</si>
  <si>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</si>
  <si>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</si>
  <si>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</si>
  <si>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</si>
  <si>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</si>
  <si>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</si>
  <si>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</si>
  <si>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</si>
  <si>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</si>
  <si>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</si>
  <si>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</si>
  <si>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</si>
  <si>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</si>
  <si>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</si>
  <si>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</si>
  <si>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</si>
  <si>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</si>
  <si>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</si>
  <si>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</si>
  <si>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</si>
  <si>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</si>
  <si>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</si>
  <si>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</si>
  <si>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</si>
  <si>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</si>
  <si>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</si>
  <si>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</si>
  <si>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</si>
  <si>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</si>
  <si>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</si>
  <si>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</si>
  <si>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</si>
  <si>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</si>
  <si>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</si>
  <si>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</si>
  <si>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</si>
  <si>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</si>
  <si>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</si>
  <si>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</si>
  <si>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</si>
  <si>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</si>
  <si>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</si>
  <si>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</si>
  <si>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</si>
  <si>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</si>
  <si>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</si>
  <si>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</si>
  <si>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</si>
  <si>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</si>
  <si>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</si>
  <si>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</si>
  <si>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</si>
  <si>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</si>
  <si>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</si>
  <si>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</si>
  <si>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</si>
  <si>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</si>
  <si>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</si>
  <si>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</si>
  <si>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</si>
  <si>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</si>
  <si>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</si>
  <si>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</si>
  <si>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</si>
  <si>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</si>
  <si>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</si>
  <si>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</si>
  <si>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</si>
  <si>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</si>
  <si>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</si>
  <si>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</si>
  <si>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</si>
  <si>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</si>
  <si>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</si>
  <si>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</si>
  <si>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</si>
  <si>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</si>
  <si>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</si>
  <si>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</si>
  <si>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</si>
  <si>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</si>
  <si>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</si>
  <si>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</si>
  <si>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</si>
  <si>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</si>
  <si>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</si>
  <si>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</si>
  <si>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</si>
  <si>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</si>
  <si>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</si>
  <si>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</si>
  <si>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</si>
  <si>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11826</t>
  </si>
  <si>
    <t>ENRIQUE GUTIERREZ</t>
  </si>
  <si>
    <t>569 7865 8972</t>
  </si>
  <si>
    <t>ZOCALOS</t>
  </si>
  <si>
    <t>CUB RECTA FALDON 8,5 CMS 3L</t>
  </si>
  <si>
    <t>SHELL WHITE 22011 SF</t>
  </si>
  <si>
    <t>FALDON</t>
  </si>
  <si>
    <t>COSTADO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</si>
</sst>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9" fillId="0" borderId="0" xfId="0" quotePrefix="1" applyFont="1" applyAlignment="1">
      <alignment horizontal="left" vertical="top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0" fillId="0" borderId="31" xfId="0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26</xdr:row>
      <xdr:rowOff>23327</xdr:rowOff>
    </xdr:from>
    <xdr:to>
      <xdr:col>5</xdr:col>
      <xdr:colOff>1539552</xdr:colOff>
      <xdr:row>29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:PAGADA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46</xdr:row>
      <xdr:rowOff>0</xdr:rowOff>
    </xdr:from>
    <xdr:to>
      <xdr:col>4</xdr:col>
      <xdr:colOff>369336</xdr:colOff>
      <xdr:row>46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48</xdr:row>
      <xdr:rowOff>1</xdr:rowOff>
    </xdr:from>
    <xdr:to>
      <xdr:col>4</xdr:col>
      <xdr:colOff>349897</xdr:colOff>
      <xdr:row>48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23</xdr:row>
      <xdr:rowOff>66674</xdr:rowOff>
    </xdr:from>
    <xdr:to>
      <xdr:col>6</xdr:col>
      <xdr:colOff>2914649</xdr:colOff>
      <xdr:row>25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62</xdr:row>
      <xdr:rowOff>190500</xdr:rowOff>
    </xdr:from>
    <xdr:to>
      <xdr:col>7</xdr:col>
      <xdr:colOff>9524</xdr:colOff>
      <xdr:row>64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59</xdr:row>
      <xdr:rowOff>30479</xdr:rowOff>
    </xdr:from>
    <xdr:to>
      <xdr:col>6</xdr:col>
      <xdr:colOff>2912745</xdr:colOff>
      <xdr:row>60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57</xdr:row>
      <xdr:rowOff>209549</xdr:rowOff>
    </xdr:from>
    <xdr:to>
      <xdr:col>7</xdr:col>
      <xdr:colOff>0</xdr:colOff>
      <xdr:row>59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56</xdr:row>
      <xdr:rowOff>171450</xdr:rowOff>
    </xdr:from>
    <xdr:to>
      <xdr:col>7</xdr:col>
      <xdr:colOff>19050</xdr:colOff>
      <xdr:row>57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73</xdr:row>
      <xdr:rowOff>0</xdr:rowOff>
    </xdr:from>
    <xdr:to>
      <xdr:col>3</xdr:col>
      <xdr:colOff>38100</xdr:colOff>
      <xdr:row>74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73</xdr:row>
      <xdr:rowOff>0</xdr:rowOff>
    </xdr:from>
    <xdr:to>
      <xdr:col>3</xdr:col>
      <xdr:colOff>1019175</xdr:colOff>
      <xdr:row>74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73</xdr:row>
      <xdr:rowOff>0</xdr:rowOff>
    </xdr:from>
    <xdr:to>
      <xdr:col>4</xdr:col>
      <xdr:colOff>352425</xdr:colOff>
      <xdr:row>74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73</xdr:row>
      <xdr:rowOff>0</xdr:rowOff>
    </xdr:from>
    <xdr:to>
      <xdr:col>5</xdr:col>
      <xdr:colOff>257175</xdr:colOff>
      <xdr:row>74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73</xdr:row>
      <xdr:rowOff>0</xdr:rowOff>
    </xdr:from>
    <xdr:to>
      <xdr:col>6</xdr:col>
      <xdr:colOff>447675</xdr:colOff>
      <xdr:row>74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73</xdr:row>
      <xdr:rowOff>0</xdr:rowOff>
    </xdr:from>
    <xdr:to>
      <xdr:col>7</xdr:col>
      <xdr:colOff>0</xdr:colOff>
      <xdr:row>74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74</xdr:row>
      <xdr:rowOff>0</xdr:rowOff>
    </xdr:from>
    <xdr:to>
      <xdr:col>3</xdr:col>
      <xdr:colOff>304800</xdr:colOff>
      <xdr:row>75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74</xdr:row>
      <xdr:rowOff>0</xdr:rowOff>
    </xdr:from>
    <xdr:to>
      <xdr:col>3</xdr:col>
      <xdr:colOff>1276350</xdr:colOff>
      <xdr:row>75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74</xdr:row>
      <xdr:rowOff>0</xdr:rowOff>
    </xdr:from>
    <xdr:to>
      <xdr:col>4</xdr:col>
      <xdr:colOff>619125</xdr:colOff>
      <xdr:row>75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74</xdr:row>
      <xdr:rowOff>0</xdr:rowOff>
    </xdr:from>
    <xdr:to>
      <xdr:col>5</xdr:col>
      <xdr:colOff>523875</xdr:colOff>
      <xdr:row>75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74</xdr:row>
      <xdr:rowOff>0</xdr:rowOff>
    </xdr:from>
    <xdr:to>
      <xdr:col>6</xdr:col>
      <xdr:colOff>723900</xdr:colOff>
      <xdr:row>75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74</xdr:row>
      <xdr:rowOff>0</xdr:rowOff>
    </xdr:from>
    <xdr:to>
      <xdr:col>7</xdr:col>
      <xdr:colOff>0</xdr:colOff>
      <xdr:row>75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48</xdr:row>
      <xdr:rowOff>15239</xdr:rowOff>
    </xdr:from>
    <xdr:to>
      <xdr:col>7</xdr:col>
      <xdr:colOff>0</xdr:colOff>
      <xdr:row>52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PRIMERA ENCHPARAR LOS FALDONES, LUEGO LA CUBIERTA, CORTAR A LA MEDIDA EXACTA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39</xdr:row>
      <xdr:rowOff>1</xdr:rowOff>
    </xdr:from>
    <xdr:to>
      <xdr:col>7</xdr:col>
      <xdr:colOff>19048</xdr:colOff>
      <xdr:row>40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76</xdr:row>
      <xdr:rowOff>32385</xdr:rowOff>
    </xdr:from>
    <xdr:to>
      <xdr:col>7</xdr:col>
      <xdr:colOff>7620</xdr:colOff>
      <xdr:row>80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ENCHAPAR LOS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FALDONES PRIMERO, LUEGO LA CUBIERTA, VAN CORTADAS A LA MEDIDA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56</xdr:row>
      <xdr:rowOff>146685</xdr:rowOff>
    </xdr:from>
    <xdr:to>
      <xdr:col>2</xdr:col>
      <xdr:colOff>786523</xdr:colOff>
      <xdr:row>62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82</xdr:row>
      <xdr:rowOff>0</xdr:rowOff>
    </xdr:from>
    <xdr:to>
      <xdr:col>4</xdr:col>
      <xdr:colOff>304800</xdr:colOff>
      <xdr:row>83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2"/>
  <sheetViews>
    <sheetView topLeftCell="A14" zoomScale="98" zoomScaleNormal="98" workbookViewId="0">
      <selection activeCell="F21" sqref="F21:F2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3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139</v>
      </c>
      <c r="E8" s="30"/>
      <c r="F8" s="35" t="s">
        <v>25</v>
      </c>
      <c r="G8" s="36">
        <v>4237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46044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20" t="s">
        <v>141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143</v>
      </c>
      <c r="D21" s="103">
        <v>1000</v>
      </c>
      <c r="E21" s="103">
        <v>400</v>
      </c>
      <c r="F21" s="102" t="s">
        <v>144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143</v>
      </c>
      <c r="D22" s="103">
        <v>860</v>
      </c>
      <c r="E22" s="103">
        <v>500</v>
      </c>
      <c r="F22" s="102" t="s">
        <v>144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143</v>
      </c>
      <c r="D23" s="103">
        <v>500</v>
      </c>
      <c r="E23" s="103">
        <v>400</v>
      </c>
      <c r="F23" s="102" t="s">
        <v>144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4</v>
      </c>
      <c r="C24" s="102" t="s">
        <v>142</v>
      </c>
      <c r="D24" s="103">
        <v>3060</v>
      </c>
      <c r="E24" s="103">
        <v>90</v>
      </c>
      <c r="F24" s="102" t="s">
        <v>144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05"/>
      <c r="E25" s="105"/>
      <c r="F25" s="104"/>
      <c r="G25" s="106"/>
      <c r="H25" s="106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106"/>
      <c r="H26" s="106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G27" s="60" t="s">
        <v>5</v>
      </c>
      <c r="H27" s="61">
        <v>100945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62" t="s">
        <v>136</v>
      </c>
      <c r="H28" s="63"/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04"/>
      <c r="C29" s="104"/>
      <c r="D29" s="112"/>
      <c r="E29" s="112"/>
      <c r="F29" s="104"/>
      <c r="G29" s="64" t="s">
        <v>4</v>
      </c>
      <c r="H29" s="65">
        <f>H27</f>
        <v>100945</v>
      </c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12"/>
      <c r="E31" s="112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12"/>
      <c r="E32" s="112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04"/>
      <c r="C33" s="104"/>
      <c r="D33" s="105"/>
      <c r="E33" s="105"/>
      <c r="F33" s="10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4"/>
      <c r="C34" s="104"/>
      <c r="D34" s="105"/>
      <c r="E34" s="105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13.2" customHeight="1" x14ac:dyDescent="0.35">
      <c r="A35" s="30"/>
      <c r="B35" s="59"/>
      <c r="C35" s="59"/>
      <c r="D35" s="59"/>
      <c r="E35" s="59"/>
      <c r="F35" s="59"/>
      <c r="G35" s="58"/>
      <c r="H35" s="58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I38" s="30"/>
    </row>
    <row r="39" spans="1:16" ht="20.100000000000001" customHeight="1" x14ac:dyDescent="0.35">
      <c r="A39" s="30"/>
      <c r="B39" s="30"/>
      <c r="C39" s="30"/>
      <c r="D39" s="30"/>
      <c r="E39" s="30"/>
      <c r="F39" s="30"/>
      <c r="G39" s="66"/>
      <c r="H39" s="67"/>
      <c r="I39" s="30"/>
    </row>
    <row r="40" spans="1:16" ht="18" x14ac:dyDescent="0.35">
      <c r="A40" s="30"/>
      <c r="B40" s="30"/>
      <c r="C40" s="30"/>
      <c r="D40" s="30"/>
      <c r="E40" s="30"/>
      <c r="F40" s="30"/>
      <c r="G40" s="30"/>
      <c r="H40" s="30"/>
      <c r="I40" s="30"/>
    </row>
    <row r="41" spans="1:16" ht="18" x14ac:dyDescent="0.35">
      <c r="A41" s="30"/>
      <c r="B41" s="68" t="s">
        <v>133</v>
      </c>
      <c r="C41" s="69"/>
      <c r="D41" s="70"/>
      <c r="E41" s="70"/>
      <c r="F41" s="59"/>
      <c r="G41" s="30"/>
      <c r="H41" s="30"/>
      <c r="I41" s="30"/>
    </row>
    <row r="42" spans="1:16" ht="18" x14ac:dyDescent="0.35">
      <c r="A42" s="30"/>
      <c r="B42" s="68" t="s">
        <v>119</v>
      </c>
      <c r="C42" s="69"/>
      <c r="D42" s="70"/>
      <c r="E42" s="70"/>
      <c r="F42" s="59"/>
      <c r="G42" s="30"/>
      <c r="H42" s="30"/>
      <c r="I42" s="30"/>
    </row>
    <row r="43" spans="1:16" ht="18" x14ac:dyDescent="0.35">
      <c r="A43" s="30"/>
      <c r="B43" s="30" t="s">
        <v>23</v>
      </c>
      <c r="C43" s="30"/>
      <c r="D43" s="30"/>
      <c r="E43" s="30"/>
      <c r="F43" s="30"/>
      <c r="G43" s="30"/>
      <c r="H43" s="30"/>
      <c r="I43" s="30"/>
    </row>
    <row r="44" spans="1:16" ht="18" x14ac:dyDescent="0.35">
      <c r="A44" s="30"/>
      <c r="B44" s="71" t="s">
        <v>24</v>
      </c>
      <c r="C44" s="71"/>
      <c r="D44" s="30"/>
      <c r="E44" s="30"/>
      <c r="F44" s="30"/>
      <c r="G44" s="30"/>
      <c r="H44" s="30"/>
      <c r="I44" s="30"/>
    </row>
    <row r="45" spans="1:16" ht="18" x14ac:dyDescent="0.35">
      <c r="A45" s="30"/>
      <c r="B45" s="30"/>
      <c r="C45" s="30"/>
      <c r="D45" s="30"/>
      <c r="E45" s="71"/>
      <c r="F45" s="30"/>
      <c r="G45" s="30"/>
      <c r="H45" s="30"/>
      <c r="I45" s="30"/>
    </row>
    <row r="46" spans="1:16" ht="18" x14ac:dyDescent="0.35">
      <c r="A46" s="30"/>
      <c r="B46" s="31" t="s">
        <v>131</v>
      </c>
      <c r="C46" s="31"/>
      <c r="D46" s="31"/>
      <c r="E46" s="72"/>
      <c r="F46" s="30"/>
      <c r="G46" s="30"/>
      <c r="H46" s="30"/>
      <c r="I46" s="30"/>
    </row>
    <row r="47" spans="1:16" ht="18" x14ac:dyDescent="0.35">
      <c r="A47" s="30"/>
      <c r="B47" s="31"/>
      <c r="C47" s="31"/>
      <c r="D47" s="31"/>
      <c r="E47" s="72"/>
      <c r="F47" s="30"/>
      <c r="G47" s="30"/>
      <c r="H47" s="30"/>
      <c r="I47" s="30"/>
    </row>
    <row r="48" spans="1:16" ht="18" x14ac:dyDescent="0.35">
      <c r="A48" s="30"/>
      <c r="B48" s="31" t="s">
        <v>132</v>
      </c>
      <c r="C48" s="30"/>
      <c r="D48" s="30"/>
      <c r="E48" s="71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71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30"/>
      <c r="C51" s="30"/>
      <c r="D51" s="30"/>
      <c r="E51" s="30"/>
      <c r="F51" s="30"/>
      <c r="G51" s="30"/>
      <c r="H51" s="30"/>
      <c r="I51" s="30"/>
    </row>
    <row r="52" spans="1:9" ht="15.6" x14ac:dyDescent="0.3">
      <c r="C52" s="1"/>
    </row>
  </sheetData>
  <sortState xmlns:xlrd2="http://schemas.microsoft.com/office/spreadsheetml/2017/richdata2" ref="B53">
    <sortCondition sortBy="fontColor" ref="B53" dxfId="0"/>
  </sortState>
  <mergeCells count="2">
    <mergeCell ref="F16:H16"/>
    <mergeCell ref="B19:H19"/>
  </mergeCells>
  <phoneticPr fontId="8" type="noConversion"/>
  <hyperlinks>
    <hyperlink ref="B4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84"/>
  <sheetViews>
    <sheetView tabSelected="1" topLeftCell="A3" zoomScaleNormal="100" workbookViewId="0">
      <selection activeCell="A18" sqref="A1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4237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ENRIQUE GUTIERREZ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20</v>
      </c>
      <c r="F13" s="93">
        <v>20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/>
      <c r="B14" s="101" t="s">
        <v>138</v>
      </c>
      <c r="C14" s="94">
        <f>J14</f>
        <v>1</v>
      </c>
      <c r="D14" s="94"/>
      <c r="E14" s="94">
        <f>K14+E$13</f>
        <v>1020</v>
      </c>
      <c r="F14" s="94">
        <f>L14+F$13</f>
        <v>420</v>
      </c>
      <c r="G14" s="94" t="str">
        <f>D43</f>
        <v>CUB RECTA FALDON 8,5 CMS 3L</v>
      </c>
      <c r="H14" s="30"/>
      <c r="J14" s="3">
        <f t="shared" ref="J14:J16" si="0">J29</f>
        <v>1</v>
      </c>
      <c r="K14" s="4">
        <f t="shared" ref="K14:L14" si="1">E43</f>
        <v>1000</v>
      </c>
      <c r="L14" s="4">
        <f t="shared" si="1"/>
        <v>400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880</v>
      </c>
      <c r="F15" s="94">
        <f>L15+F$13</f>
        <v>520</v>
      </c>
      <c r="G15" s="94" t="str">
        <f>D44</f>
        <v>CUB RECTA FALDON 8,5 CMS 3L</v>
      </c>
      <c r="H15" s="30"/>
      <c r="J15" s="3">
        <f t="shared" si="0"/>
        <v>1</v>
      </c>
      <c r="K15" s="4">
        <f t="shared" ref="K15" si="2">E44</f>
        <v>860</v>
      </c>
      <c r="L15" s="4">
        <f t="shared" ref="L15" si="3">F44</f>
        <v>500</v>
      </c>
    </row>
    <row r="16" spans="1:15" ht="18" x14ac:dyDescent="0.35">
      <c r="A16" s="110"/>
      <c r="B16" s="101"/>
      <c r="C16" s="94">
        <f t="shared" ref="C16" si="4">J16</f>
        <v>1</v>
      </c>
      <c r="D16" s="94"/>
      <c r="E16" s="94">
        <f t="shared" ref="E16" si="5">K16+E$13</f>
        <v>520</v>
      </c>
      <c r="F16" s="94">
        <f t="shared" ref="F16" si="6">L16+F$13</f>
        <v>420</v>
      </c>
      <c r="G16" s="94" t="str">
        <f>D45</f>
        <v>CUB RECTA FALDON 8,5 CMS 3L</v>
      </c>
      <c r="H16" s="30"/>
      <c r="J16" s="3">
        <f t="shared" si="0"/>
        <v>1</v>
      </c>
      <c r="K16" s="4">
        <f>E45</f>
        <v>500</v>
      </c>
      <c r="L16" s="4">
        <f>F45</f>
        <v>400</v>
      </c>
    </row>
    <row r="17" spans="1:12" ht="18" x14ac:dyDescent="0.35">
      <c r="A17" s="110"/>
      <c r="B17" s="101"/>
      <c r="C17" s="94">
        <f t="shared" ref="C17" si="7">J17</f>
        <v>2</v>
      </c>
      <c r="D17" s="94"/>
      <c r="E17" s="94">
        <f t="shared" ref="E17" si="8">K17+E$13</f>
        <v>1020</v>
      </c>
      <c r="F17" s="94">
        <f>L17</f>
        <v>832</v>
      </c>
      <c r="G17" s="94" t="s">
        <v>145</v>
      </c>
      <c r="H17" s="30"/>
      <c r="J17" s="136">
        <v>2</v>
      </c>
      <c r="K17" s="137">
        <v>1000</v>
      </c>
      <c r="L17" s="137">
        <v>832</v>
      </c>
    </row>
    <row r="18" spans="1:12" ht="18" x14ac:dyDescent="0.35">
      <c r="A18" s="110"/>
      <c r="B18" s="101"/>
      <c r="C18" s="94">
        <f t="shared" ref="C18" si="9">J18</f>
        <v>1</v>
      </c>
      <c r="D18" s="94"/>
      <c r="E18" s="94">
        <f>K18</f>
        <v>364</v>
      </c>
      <c r="F18" s="94">
        <f t="shared" ref="F18:F22" si="10">L18</f>
        <v>832</v>
      </c>
      <c r="G18" s="94" t="s">
        <v>146</v>
      </c>
      <c r="H18" s="30"/>
      <c r="J18" s="136">
        <v>1</v>
      </c>
      <c r="K18" s="137">
        <v>364</v>
      </c>
      <c r="L18" s="137">
        <v>832</v>
      </c>
    </row>
    <row r="19" spans="1:12" ht="18" x14ac:dyDescent="0.35">
      <c r="A19" s="110"/>
      <c r="B19" s="101"/>
      <c r="C19" s="138">
        <f t="shared" ref="C19:C22" si="11">J19</f>
        <v>2</v>
      </c>
      <c r="D19" s="138"/>
      <c r="E19" s="138">
        <f t="shared" ref="E19:E20" si="12">K19+E$13</f>
        <v>880</v>
      </c>
      <c r="F19" s="138">
        <f t="shared" si="10"/>
        <v>832</v>
      </c>
      <c r="G19" s="94" t="s">
        <v>145</v>
      </c>
      <c r="H19" s="30"/>
      <c r="J19" s="136">
        <v>2</v>
      </c>
      <c r="K19" s="137">
        <v>860</v>
      </c>
      <c r="L19" s="137">
        <v>832</v>
      </c>
    </row>
    <row r="20" spans="1:12" ht="18" x14ac:dyDescent="0.35">
      <c r="A20" s="110"/>
      <c r="B20" s="101"/>
      <c r="C20" s="94">
        <f t="shared" si="11"/>
        <v>1</v>
      </c>
      <c r="D20" s="94"/>
      <c r="E20" s="94">
        <f>K20</f>
        <v>464</v>
      </c>
      <c r="F20" s="94">
        <f t="shared" si="10"/>
        <v>832</v>
      </c>
      <c r="G20" s="94" t="s">
        <v>146</v>
      </c>
      <c r="H20" s="30"/>
      <c r="J20" s="136">
        <v>1</v>
      </c>
      <c r="K20" s="137">
        <v>464</v>
      </c>
      <c r="L20" s="137">
        <v>832</v>
      </c>
    </row>
    <row r="21" spans="1:12" ht="18" x14ac:dyDescent="0.35">
      <c r="A21" s="110"/>
      <c r="B21" s="101"/>
      <c r="C21" s="94">
        <f t="shared" si="11"/>
        <v>2</v>
      </c>
      <c r="D21" s="94"/>
      <c r="E21" s="94">
        <f>K21+E13</f>
        <v>520</v>
      </c>
      <c r="F21" s="94">
        <f t="shared" si="10"/>
        <v>832</v>
      </c>
      <c r="G21" s="94" t="s">
        <v>145</v>
      </c>
      <c r="H21" s="30"/>
      <c r="J21" s="136">
        <v>2</v>
      </c>
      <c r="K21" s="137">
        <v>500</v>
      </c>
      <c r="L21" s="137">
        <v>832</v>
      </c>
    </row>
    <row r="22" spans="1:12" ht="18" x14ac:dyDescent="0.35">
      <c r="A22" s="110"/>
      <c r="B22" s="101"/>
      <c r="C22" s="94">
        <f t="shared" si="11"/>
        <v>1</v>
      </c>
      <c r="D22" s="94"/>
      <c r="E22" s="94">
        <f>K22</f>
        <v>364</v>
      </c>
      <c r="F22" s="94">
        <f t="shared" si="10"/>
        <v>832</v>
      </c>
      <c r="G22" s="94" t="s">
        <v>146</v>
      </c>
      <c r="H22" s="30"/>
      <c r="J22" s="23">
        <v>1</v>
      </c>
      <c r="K22" s="2">
        <v>364</v>
      </c>
      <c r="L22" s="2">
        <v>832</v>
      </c>
    </row>
    <row r="23" spans="1:12" ht="18" x14ac:dyDescent="0.35">
      <c r="A23" s="2"/>
      <c r="B23" s="83"/>
      <c r="C23" s="73"/>
      <c r="D23" s="73"/>
      <c r="E23" s="73"/>
      <c r="F23" s="73"/>
      <c r="G23" s="73"/>
      <c r="H23" s="30"/>
      <c r="J23" s="23"/>
      <c r="K23" s="2"/>
      <c r="L23" s="2"/>
    </row>
    <row r="24" spans="1:12" ht="6.75" customHeight="1" x14ac:dyDescent="0.35">
      <c r="A24" s="2"/>
      <c r="B24" s="30"/>
      <c r="C24" s="30"/>
      <c r="D24" s="30"/>
      <c r="E24" s="30"/>
      <c r="F24" s="30"/>
      <c r="G24" s="30"/>
      <c r="H24" s="30"/>
    </row>
    <row r="25" spans="1:12" ht="18" x14ac:dyDescent="0.35">
      <c r="A25" s="2"/>
      <c r="B25" s="130" t="s">
        <v>13</v>
      </c>
      <c r="C25" s="130"/>
      <c r="D25" s="130"/>
      <c r="E25" s="130"/>
      <c r="F25" s="130"/>
      <c r="G25" s="130"/>
      <c r="H25" s="30"/>
    </row>
    <row r="26" spans="1:12" ht="10.5" customHeight="1" x14ac:dyDescent="0.35">
      <c r="A26" s="2"/>
      <c r="B26" s="30"/>
      <c r="C26" s="30"/>
      <c r="D26" s="91"/>
      <c r="E26" s="30"/>
      <c r="F26" s="30"/>
      <c r="G26" s="30"/>
      <c r="H26" s="30"/>
    </row>
    <row r="27" spans="1:12" ht="18" x14ac:dyDescent="0.35">
      <c r="A27" s="2"/>
      <c r="B27" s="30"/>
      <c r="C27" s="30"/>
      <c r="D27" s="30"/>
      <c r="E27" s="66" t="s">
        <v>6</v>
      </c>
      <c r="F27" s="66" t="s">
        <v>7</v>
      </c>
      <c r="G27" s="30"/>
      <c r="H27" s="30"/>
    </row>
    <row r="28" spans="1:12" ht="18" x14ac:dyDescent="0.35">
      <c r="A28" s="2"/>
      <c r="B28" s="66" t="s">
        <v>8</v>
      </c>
      <c r="C28" s="82" t="s">
        <v>9</v>
      </c>
      <c r="D28" s="82" t="s">
        <v>10</v>
      </c>
      <c r="E28" s="95">
        <v>20</v>
      </c>
      <c r="F28" s="95">
        <v>20</v>
      </c>
      <c r="G28" s="82" t="s">
        <v>107</v>
      </c>
      <c r="H28" s="30"/>
      <c r="K28" s="5" t="s">
        <v>6</v>
      </c>
      <c r="L28" s="5" t="s">
        <v>7</v>
      </c>
    </row>
    <row r="29" spans="1:12" ht="18" x14ac:dyDescent="0.35">
      <c r="A29" s="110"/>
      <c r="B29" s="101"/>
      <c r="C29" s="96">
        <f t="shared" ref="C29" si="13">J29</f>
        <v>1</v>
      </c>
      <c r="D29" s="96"/>
      <c r="E29" s="96">
        <f>K29+E28</f>
        <v>1020</v>
      </c>
      <c r="F29" s="96">
        <f t="shared" ref="F29" si="14">L29+F$28</f>
        <v>420</v>
      </c>
      <c r="G29" s="96" t="str">
        <f>D43</f>
        <v>CUB RECTA FALDON 8,5 CMS 3L</v>
      </c>
      <c r="H29" s="30"/>
      <c r="J29" s="3">
        <f>C43</f>
        <v>1</v>
      </c>
      <c r="K29" s="107">
        <f>E43</f>
        <v>1000</v>
      </c>
      <c r="L29" s="107">
        <f>F43</f>
        <v>400</v>
      </c>
    </row>
    <row r="30" spans="1:12" ht="18" x14ac:dyDescent="0.35">
      <c r="A30" s="110"/>
      <c r="B30" s="101"/>
      <c r="C30" s="96">
        <f t="shared" ref="C30" si="15">J30</f>
        <v>1</v>
      </c>
      <c r="D30" s="96"/>
      <c r="E30" s="96">
        <f t="shared" ref="E30" si="16">K30+E$28</f>
        <v>880</v>
      </c>
      <c r="F30" s="96">
        <f t="shared" ref="F30" si="17">L30+F$28</f>
        <v>520</v>
      </c>
      <c r="G30" s="96" t="str">
        <f>D44</f>
        <v>CUB RECTA FALDON 8,5 CMS 3L</v>
      </c>
      <c r="H30" s="30"/>
      <c r="J30" s="3">
        <f>C44</f>
        <v>1</v>
      </c>
      <c r="K30" s="107">
        <f>E44</f>
        <v>860</v>
      </c>
      <c r="L30" s="107">
        <f>F44</f>
        <v>500</v>
      </c>
    </row>
    <row r="31" spans="1:12" ht="18" x14ac:dyDescent="0.35">
      <c r="A31" s="110"/>
      <c r="B31" s="101"/>
      <c r="C31" s="96">
        <f t="shared" ref="C31:C37" si="18">J31</f>
        <v>1</v>
      </c>
      <c r="D31" s="96"/>
      <c r="E31" s="96">
        <f>K31+E$28</f>
        <v>520</v>
      </c>
      <c r="F31" s="96">
        <f>L31+F$28</f>
        <v>420</v>
      </c>
      <c r="G31" s="96" t="str">
        <f>D45</f>
        <v>CUB RECTA FALDON 8,5 CMS 3L</v>
      </c>
      <c r="H31" s="30"/>
      <c r="J31" s="3">
        <f>C45</f>
        <v>1</v>
      </c>
      <c r="K31" s="107">
        <f t="shared" ref="K31:L31" si="19">E45</f>
        <v>500</v>
      </c>
      <c r="L31" s="107">
        <f t="shared" si="19"/>
        <v>400</v>
      </c>
    </row>
    <row r="32" spans="1:12" ht="18" x14ac:dyDescent="0.35">
      <c r="A32" s="110"/>
      <c r="B32" s="101"/>
      <c r="C32" s="96">
        <f t="shared" si="18"/>
        <v>2</v>
      </c>
      <c r="D32" s="96"/>
      <c r="E32" s="96">
        <f>K32+E$28</f>
        <v>1020</v>
      </c>
      <c r="F32" s="96">
        <f>L32+F$28</f>
        <v>120</v>
      </c>
      <c r="G32" s="96" t="s">
        <v>145</v>
      </c>
      <c r="H32" s="30"/>
      <c r="J32" s="3">
        <v>2</v>
      </c>
      <c r="K32" s="107">
        <v>1000</v>
      </c>
      <c r="L32" s="107">
        <v>100</v>
      </c>
    </row>
    <row r="33" spans="1:12" ht="18" x14ac:dyDescent="0.35">
      <c r="A33" s="110"/>
      <c r="B33" s="101"/>
      <c r="C33" s="96">
        <f t="shared" si="18"/>
        <v>2</v>
      </c>
      <c r="D33" s="96"/>
      <c r="E33" s="96">
        <f>K33+E$28</f>
        <v>880</v>
      </c>
      <c r="F33" s="96">
        <f>L33+F$28</f>
        <v>120</v>
      </c>
      <c r="G33" s="96" t="s">
        <v>145</v>
      </c>
      <c r="H33" s="30"/>
      <c r="J33" s="3">
        <v>2</v>
      </c>
      <c r="K33" s="107">
        <v>860</v>
      </c>
      <c r="L33" s="107">
        <v>100</v>
      </c>
    </row>
    <row r="34" spans="1:12" ht="18" x14ac:dyDescent="0.35">
      <c r="A34" s="110"/>
      <c r="B34" s="101"/>
      <c r="C34" s="96">
        <f t="shared" si="18"/>
        <v>2</v>
      </c>
      <c r="D34" s="96"/>
      <c r="E34" s="96">
        <f>K34+E$28</f>
        <v>520</v>
      </c>
      <c r="F34" s="96">
        <f>L34+F$28</f>
        <v>120</v>
      </c>
      <c r="G34" s="96" t="s">
        <v>145</v>
      </c>
      <c r="H34" s="30"/>
      <c r="J34" s="3">
        <v>2</v>
      </c>
      <c r="K34" s="107">
        <v>500</v>
      </c>
      <c r="L34" s="107">
        <v>100</v>
      </c>
    </row>
    <row r="35" spans="1:12" ht="18" x14ac:dyDescent="0.35">
      <c r="A35" s="110"/>
      <c r="B35" s="101"/>
      <c r="C35" s="96">
        <f t="shared" si="18"/>
        <v>1</v>
      </c>
      <c r="D35" s="96"/>
      <c r="E35" s="96">
        <f>K35+E$28</f>
        <v>490</v>
      </c>
      <c r="F35" s="96">
        <f>L35+F$28</f>
        <v>120</v>
      </c>
      <c r="G35" s="96" t="s">
        <v>146</v>
      </c>
      <c r="H35" s="30"/>
      <c r="J35" s="3">
        <v>1</v>
      </c>
      <c r="K35" s="107">
        <v>470</v>
      </c>
      <c r="L35" s="107">
        <v>100</v>
      </c>
    </row>
    <row r="36" spans="1:12" ht="18" x14ac:dyDescent="0.35">
      <c r="A36" s="110"/>
      <c r="B36" s="101"/>
      <c r="C36" s="96">
        <f t="shared" si="18"/>
        <v>2</v>
      </c>
      <c r="D36" s="96"/>
      <c r="E36" s="96">
        <f>K36+E$28</f>
        <v>390</v>
      </c>
      <c r="F36" s="96">
        <f>L36+F$28</f>
        <v>120</v>
      </c>
      <c r="G36" s="96" t="s">
        <v>146</v>
      </c>
      <c r="H36" s="30"/>
      <c r="J36" s="3">
        <v>2</v>
      </c>
      <c r="K36" s="107">
        <v>370</v>
      </c>
      <c r="L36" s="107">
        <v>100</v>
      </c>
    </row>
    <row r="37" spans="1:12" ht="18" x14ac:dyDescent="0.35">
      <c r="A37" s="110"/>
      <c r="B37" s="101"/>
      <c r="C37" s="96">
        <f t="shared" si="18"/>
        <v>4</v>
      </c>
      <c r="D37" s="96"/>
      <c r="E37" s="96">
        <f>K37+E$28</f>
        <v>3080</v>
      </c>
      <c r="F37" s="96">
        <v>90</v>
      </c>
      <c r="G37" s="96" t="str">
        <f t="shared" ref="G37" si="20">D46</f>
        <v>ZOCALOS</v>
      </c>
      <c r="H37" s="30"/>
      <c r="J37" s="3">
        <f t="shared" ref="J37" si="21">C46</f>
        <v>4</v>
      </c>
      <c r="K37" s="107">
        <f t="shared" ref="K37:L37" si="22">E46</f>
        <v>3060</v>
      </c>
      <c r="L37" s="107">
        <f t="shared" si="22"/>
        <v>90</v>
      </c>
    </row>
    <row r="38" spans="1:12" ht="18" x14ac:dyDescent="0.35">
      <c r="A38" s="110"/>
      <c r="B38" s="101"/>
      <c r="C38" s="73"/>
      <c r="D38" s="73"/>
      <c r="E38" s="73"/>
      <c r="F38" s="73"/>
      <c r="G38" s="73"/>
      <c r="H38" s="30"/>
      <c r="J38" s="23"/>
      <c r="K38" s="121"/>
      <c r="L38" s="121"/>
    </row>
    <row r="39" spans="1:12" ht="18.600000000000001" thickBot="1" x14ac:dyDescent="0.4">
      <c r="A39" s="2"/>
      <c r="B39" s="83"/>
      <c r="C39" s="73"/>
      <c r="D39" s="73"/>
      <c r="E39" s="73"/>
      <c r="F39" s="73"/>
      <c r="G39" s="73"/>
      <c r="H39" s="30"/>
      <c r="I39" s="108"/>
      <c r="J39" s="109"/>
      <c r="K39" s="109"/>
      <c r="L39" s="109"/>
    </row>
    <row r="40" spans="1:12" ht="18.600000000000001" thickBot="1" x14ac:dyDescent="0.4">
      <c r="A40" s="2"/>
      <c r="B40" s="66"/>
      <c r="C40" s="97" t="s">
        <v>104</v>
      </c>
      <c r="D40" s="33"/>
      <c r="E40" s="33"/>
      <c r="F40" s="33"/>
      <c r="G40" s="98"/>
      <c r="H40" s="30"/>
      <c r="J40" s="2"/>
      <c r="K40" s="2"/>
      <c r="L40" s="2"/>
    </row>
    <row r="41" spans="1:12" ht="10.5" customHeight="1" x14ac:dyDescent="0.35">
      <c r="A41" s="2"/>
      <c r="B41" s="30"/>
      <c r="C41" s="30"/>
      <c r="D41" s="30"/>
      <c r="E41" s="30"/>
      <c r="F41" s="30"/>
      <c r="G41" s="30"/>
      <c r="H41" s="30"/>
    </row>
    <row r="42" spans="1:12" ht="18" x14ac:dyDescent="0.35">
      <c r="A42" s="2"/>
      <c r="B42" s="66" t="s">
        <v>8</v>
      </c>
      <c r="C42" s="99" t="s">
        <v>9</v>
      </c>
      <c r="D42" s="99" t="s">
        <v>107</v>
      </c>
      <c r="E42" s="99" t="s">
        <v>6</v>
      </c>
      <c r="F42" s="99" t="s">
        <v>7</v>
      </c>
      <c r="G42" s="99" t="s">
        <v>21</v>
      </c>
      <c r="H42" s="30"/>
    </row>
    <row r="43" spans="1:12" ht="18" x14ac:dyDescent="0.35">
      <c r="A43" s="110"/>
      <c r="B43" s="101" t="s">
        <v>138</v>
      </c>
      <c r="C43" s="94">
        <f>'4637'!B21</f>
        <v>1</v>
      </c>
      <c r="D43" s="94" t="str">
        <f>D68</f>
        <v>CUB RECTA FALDON 8,5 CMS 3L</v>
      </c>
      <c r="E43" s="116">
        <f>'4637'!D21</f>
        <v>1000</v>
      </c>
      <c r="F43" s="116">
        <f>'4637'!E21</f>
        <v>400</v>
      </c>
      <c r="G43" s="4" t="str">
        <f>'4637'!F21</f>
        <v>SHELL WHITE 22011 SF</v>
      </c>
      <c r="H43" s="30"/>
      <c r="I43" s="28">
        <f>E43*F43/1000000</f>
        <v>0.4</v>
      </c>
      <c r="J43" s="28">
        <f>I43*C43</f>
        <v>0.4</v>
      </c>
    </row>
    <row r="44" spans="1:12" ht="18" x14ac:dyDescent="0.35">
      <c r="A44" s="110"/>
      <c r="B44" s="101"/>
      <c r="C44" s="94">
        <f>'4637'!B22</f>
        <v>1</v>
      </c>
      <c r="D44" s="94" t="str">
        <f>D69</f>
        <v>CUB RECTA FALDON 8,5 CMS 3L</v>
      </c>
      <c r="E44" s="116">
        <f>'4637'!D22</f>
        <v>860</v>
      </c>
      <c r="F44" s="116">
        <f>'4637'!E22</f>
        <v>500</v>
      </c>
      <c r="G44" s="4" t="str">
        <f>'4637'!F22</f>
        <v>SHELL WHITE 22011 SF</v>
      </c>
      <c r="H44" s="30"/>
      <c r="I44" s="28"/>
      <c r="J44" s="28"/>
    </row>
    <row r="45" spans="1:12" ht="18" x14ac:dyDescent="0.35">
      <c r="A45" s="110"/>
      <c r="B45" s="101"/>
      <c r="C45" s="94">
        <f>'4637'!B23</f>
        <v>1</v>
      </c>
      <c r="D45" s="94" t="str">
        <f>D70</f>
        <v>CUB RECTA FALDON 8,5 CMS 3L</v>
      </c>
      <c r="E45" s="116">
        <f>'4637'!D23</f>
        <v>500</v>
      </c>
      <c r="F45" s="116">
        <f>'4637'!E23</f>
        <v>400</v>
      </c>
      <c r="G45" s="4" t="str">
        <f>'4637'!F23</f>
        <v>SHELL WHITE 22011 SF</v>
      </c>
      <c r="H45" s="30"/>
      <c r="I45" s="28"/>
      <c r="J45" s="28"/>
    </row>
    <row r="46" spans="1:12" ht="18" x14ac:dyDescent="0.35">
      <c r="A46" s="110"/>
      <c r="B46" s="101"/>
      <c r="C46" s="94">
        <f>'4637'!B24</f>
        <v>4</v>
      </c>
      <c r="D46" s="94" t="str">
        <f>D71</f>
        <v>ZOCALOS</v>
      </c>
      <c r="E46" s="116">
        <f>'4637'!D24</f>
        <v>3060</v>
      </c>
      <c r="F46" s="116">
        <f>'4637'!E24</f>
        <v>90</v>
      </c>
      <c r="G46" s="4" t="str">
        <f>'4637'!F24</f>
        <v>SHELL WHITE 22011 SF</v>
      </c>
      <c r="H46" s="30"/>
      <c r="I46" s="28"/>
      <c r="J46" s="28"/>
    </row>
    <row r="47" spans="1:12" ht="19.2" customHeight="1" x14ac:dyDescent="0.35">
      <c r="A47" s="110"/>
      <c r="B47" s="101"/>
      <c r="C47" s="73"/>
      <c r="D47" s="73"/>
      <c r="E47" s="119"/>
      <c r="F47" s="119"/>
      <c r="G47" s="2"/>
      <c r="H47" s="30"/>
      <c r="I47" s="28"/>
      <c r="J47" s="28"/>
    </row>
    <row r="48" spans="1:12" ht="18" x14ac:dyDescent="0.35">
      <c r="A48" s="2"/>
      <c r="B48" s="30"/>
      <c r="C48" s="73"/>
      <c r="D48" s="73"/>
      <c r="E48" s="73"/>
      <c r="F48" s="73"/>
      <c r="G48" s="73"/>
      <c r="H48" s="30"/>
    </row>
    <row r="49" spans="1:10" ht="18" x14ac:dyDescent="0.35">
      <c r="A49" s="2"/>
      <c r="B49" s="30"/>
      <c r="C49" s="73"/>
      <c r="D49" s="73"/>
      <c r="E49" s="73"/>
      <c r="F49" s="73"/>
      <c r="G49" s="73"/>
      <c r="H49" s="30"/>
      <c r="J49" s="28">
        <f>SUM(J43:J43)*2</f>
        <v>0.8</v>
      </c>
    </row>
    <row r="50" spans="1:10" ht="18" x14ac:dyDescent="0.35">
      <c r="A50" s="2"/>
      <c r="B50" s="30"/>
      <c r="C50" s="73"/>
      <c r="D50" s="73"/>
      <c r="E50" s="73"/>
      <c r="F50" s="73"/>
      <c r="G50" s="73"/>
      <c r="H50" s="30"/>
    </row>
    <row r="51" spans="1:10" ht="18" x14ac:dyDescent="0.35">
      <c r="A51" s="2"/>
      <c r="B51" s="30"/>
      <c r="C51" s="73"/>
      <c r="D51" s="73"/>
      <c r="E51" s="73"/>
      <c r="F51" s="73"/>
      <c r="G51" s="73"/>
      <c r="H51" s="30"/>
    </row>
    <row r="52" spans="1:10" ht="18" x14ac:dyDescent="0.35">
      <c r="A52" s="2"/>
      <c r="B52" s="30"/>
      <c r="C52" s="73"/>
      <c r="D52" s="73"/>
      <c r="E52" s="73"/>
      <c r="F52" s="73"/>
      <c r="G52" s="73"/>
      <c r="H52" s="30"/>
    </row>
    <row r="53" spans="1:10" ht="18" x14ac:dyDescent="0.35">
      <c r="A53" s="2"/>
      <c r="B53" s="30"/>
      <c r="C53" s="73"/>
      <c r="D53" s="73"/>
      <c r="E53" s="73"/>
      <c r="F53" s="73"/>
      <c r="G53" s="73"/>
      <c r="H53" s="30"/>
    </row>
    <row r="54" spans="1:10" ht="18" x14ac:dyDescent="0.35">
      <c r="A54" s="2"/>
      <c r="B54" s="30"/>
      <c r="C54" s="73"/>
      <c r="D54" s="73"/>
      <c r="E54" s="73"/>
      <c r="F54" s="73"/>
      <c r="G54" s="73"/>
      <c r="H54" s="30"/>
    </row>
    <row r="55" spans="1:10" ht="18" x14ac:dyDescent="0.35">
      <c r="A55" s="2"/>
      <c r="B55" s="30"/>
      <c r="C55" s="73"/>
      <c r="D55" s="73"/>
      <c r="E55" s="73"/>
      <c r="F55" s="73"/>
      <c r="G55" s="73"/>
      <c r="H55" s="30"/>
    </row>
    <row r="56" spans="1:10" ht="18" x14ac:dyDescent="0.35">
      <c r="A56" s="2"/>
      <c r="B56" s="30"/>
      <c r="C56" s="73"/>
      <c r="D56" s="73"/>
      <c r="E56" s="73"/>
      <c r="F56" s="73"/>
      <c r="G56" s="73"/>
      <c r="H56" s="30"/>
    </row>
    <row r="57" spans="1:10" ht="18" x14ac:dyDescent="0.35">
      <c r="A57" s="2"/>
      <c r="B57" s="30"/>
      <c r="C57" s="30"/>
      <c r="D57" s="30"/>
      <c r="E57" s="30"/>
      <c r="F57" s="30"/>
      <c r="G57" s="30"/>
      <c r="H57" s="30"/>
    </row>
    <row r="58" spans="1:10" ht="18" x14ac:dyDescent="0.35">
      <c r="A58" s="2"/>
      <c r="B58" s="30"/>
      <c r="C58" s="30"/>
      <c r="D58" s="74" t="s">
        <v>25</v>
      </c>
      <c r="E58" s="75">
        <f>'4637'!G8</f>
        <v>4237</v>
      </c>
      <c r="F58" s="30"/>
      <c r="G58" s="30"/>
      <c r="H58" s="30"/>
    </row>
    <row r="59" spans="1:10" ht="17.25" customHeight="1" x14ac:dyDescent="0.35">
      <c r="A59" s="2"/>
      <c r="B59" s="30"/>
      <c r="C59" s="30"/>
      <c r="D59" s="76" t="s">
        <v>64</v>
      </c>
      <c r="E59" s="77" t="str">
        <f>'4637'!C10</f>
        <v>ENRIQUE GUTIERREZ</v>
      </c>
      <c r="F59" s="48"/>
      <c r="G59" s="48"/>
      <c r="H59" s="30"/>
    </row>
    <row r="60" spans="1:10" ht="4.5" customHeight="1" x14ac:dyDescent="0.35">
      <c r="A60" s="2"/>
      <c r="B60" s="30"/>
      <c r="C60" s="30"/>
      <c r="D60" s="78"/>
      <c r="E60" s="79"/>
      <c r="F60" s="30"/>
      <c r="G60" s="30"/>
      <c r="H60" s="30"/>
    </row>
    <row r="61" spans="1:10" ht="18" x14ac:dyDescent="0.35">
      <c r="A61" s="2"/>
      <c r="B61" s="30"/>
      <c r="C61" s="30"/>
      <c r="D61" s="80" t="str">
        <f>'4637'!F11</f>
        <v>FECHA LIMITE :</v>
      </c>
      <c r="E61" s="81">
        <f>'4637'!G11</f>
        <v>0</v>
      </c>
      <c r="F61" s="30"/>
      <c r="G61" s="30"/>
      <c r="H61" s="30"/>
    </row>
    <row r="62" spans="1:10" ht="18" x14ac:dyDescent="0.35">
      <c r="A62" s="2"/>
      <c r="B62" s="30"/>
      <c r="C62" s="30"/>
      <c r="D62" s="30"/>
      <c r="E62" s="30"/>
      <c r="F62" s="30"/>
      <c r="G62" s="30" t="s">
        <v>135</v>
      </c>
      <c r="H62" s="30"/>
    </row>
    <row r="63" spans="1:10" ht="18" x14ac:dyDescent="0.35">
      <c r="A63" s="2"/>
      <c r="B63" s="30"/>
      <c r="C63" s="30"/>
      <c r="D63" s="30"/>
      <c r="E63" s="30"/>
      <c r="F63" s="30"/>
      <c r="G63" s="30"/>
      <c r="H63" s="30"/>
    </row>
    <row r="64" spans="1:10" ht="18" x14ac:dyDescent="0.35">
      <c r="A64" s="2"/>
      <c r="B64" s="131" t="s">
        <v>65</v>
      </c>
      <c r="C64" s="131"/>
      <c r="D64" s="131"/>
      <c r="E64" s="131"/>
      <c r="F64" s="131"/>
      <c r="G64" s="131"/>
      <c r="H64" s="30"/>
    </row>
    <row r="65" spans="1:13" ht="18" x14ac:dyDescent="0.35">
      <c r="A65" s="2"/>
      <c r="B65" s="30"/>
      <c r="C65" s="30"/>
      <c r="D65" s="30"/>
      <c r="E65" s="30"/>
      <c r="F65" s="30"/>
      <c r="G65" s="30"/>
      <c r="H65" s="30"/>
    </row>
    <row r="66" spans="1:13" ht="20.100000000000001" customHeight="1" x14ac:dyDescent="0.35">
      <c r="A66" s="2"/>
      <c r="B66" s="30"/>
      <c r="C66" s="132" t="s">
        <v>66</v>
      </c>
      <c r="D66" s="133"/>
      <c r="E66" s="134"/>
      <c r="F66" s="134"/>
      <c r="G66" s="135"/>
      <c r="H66" s="30"/>
      <c r="I66" s="25" t="s">
        <v>130</v>
      </c>
    </row>
    <row r="67" spans="1:13" s="10" customFormat="1" ht="20.100000000000001" customHeight="1" x14ac:dyDescent="0.35">
      <c r="A67" s="111"/>
      <c r="B67" s="30"/>
      <c r="C67" s="84" t="s">
        <v>9</v>
      </c>
      <c r="D67" s="85" t="s">
        <v>10</v>
      </c>
      <c r="E67" s="88" t="s">
        <v>6</v>
      </c>
      <c r="F67" s="88" t="s">
        <v>7</v>
      </c>
      <c r="G67" s="86" t="s">
        <v>11</v>
      </c>
      <c r="H67" s="30"/>
      <c r="K67" s="10">
        <v>15000</v>
      </c>
    </row>
    <row r="68" spans="1:13" s="10" customFormat="1" ht="20.100000000000001" customHeight="1" x14ac:dyDescent="0.35">
      <c r="A68" s="110"/>
      <c r="B68" s="100" t="s">
        <v>138</v>
      </c>
      <c r="C68" s="96">
        <f>'4637'!B21</f>
        <v>1</v>
      </c>
      <c r="D68" s="4" t="str">
        <f>'4637'!C21</f>
        <v>CUB RECTA FALDON 8,5 CMS 3L</v>
      </c>
      <c r="E68" s="116">
        <f>'4637'!D21</f>
        <v>1000</v>
      </c>
      <c r="F68" s="103">
        <f>'4637'!E21</f>
        <v>400</v>
      </c>
      <c r="G68" s="4" t="str">
        <f>'4637'!F21</f>
        <v>SHELL WHITE 22011 SF</v>
      </c>
      <c r="H68" s="30"/>
      <c r="I68" s="10">
        <f>E68*F68/1000000</f>
        <v>0.4</v>
      </c>
      <c r="J68" s="10">
        <f>I68*C68</f>
        <v>0.4</v>
      </c>
      <c r="K68" s="26">
        <f>J68*K$67</f>
        <v>6000</v>
      </c>
      <c r="M68" s="24">
        <v>12096</v>
      </c>
    </row>
    <row r="69" spans="1:13" s="10" customFormat="1" ht="20.100000000000001" customHeight="1" x14ac:dyDescent="0.35">
      <c r="A69" s="110"/>
      <c r="B69" s="100"/>
      <c r="C69" s="96">
        <f>'4637'!B22</f>
        <v>1</v>
      </c>
      <c r="D69" s="4" t="str">
        <f>'4637'!C22</f>
        <v>CUB RECTA FALDON 8,5 CMS 3L</v>
      </c>
      <c r="E69" s="116">
        <f>'4637'!D22</f>
        <v>860</v>
      </c>
      <c r="F69" s="103">
        <f>'4637'!E22</f>
        <v>500</v>
      </c>
      <c r="G69" s="4" t="str">
        <f>'4637'!F22</f>
        <v>SHELL WHITE 22011 SF</v>
      </c>
      <c r="H69" s="30"/>
      <c r="K69" s="26"/>
      <c r="M69" s="29"/>
    </row>
    <row r="70" spans="1:13" s="10" customFormat="1" ht="20.100000000000001" customHeight="1" x14ac:dyDescent="0.35">
      <c r="A70" s="110"/>
      <c r="B70" s="100"/>
      <c r="C70" s="96">
        <f>'4637'!B23</f>
        <v>1</v>
      </c>
      <c r="D70" s="4" t="str">
        <f>'4637'!C23</f>
        <v>CUB RECTA FALDON 8,5 CMS 3L</v>
      </c>
      <c r="E70" s="116">
        <f>'4637'!D23</f>
        <v>500</v>
      </c>
      <c r="F70" s="103">
        <f>'4637'!E23</f>
        <v>400</v>
      </c>
      <c r="G70" s="4" t="str">
        <f>'4637'!F23</f>
        <v>SHELL WHITE 22011 SF</v>
      </c>
      <c r="H70" s="30"/>
      <c r="K70" s="26"/>
      <c r="M70" s="29"/>
    </row>
    <row r="71" spans="1:13" s="10" customFormat="1" ht="20.100000000000001" customHeight="1" x14ac:dyDescent="0.35">
      <c r="A71" s="110"/>
      <c r="B71" s="100"/>
      <c r="C71" s="96">
        <f>'4637'!B24</f>
        <v>4</v>
      </c>
      <c r="D71" s="4" t="str">
        <f>'4637'!C24</f>
        <v>ZOCALOS</v>
      </c>
      <c r="E71" s="116">
        <f>'4637'!D24</f>
        <v>3060</v>
      </c>
      <c r="F71" s="103">
        <f>'4637'!E24</f>
        <v>90</v>
      </c>
      <c r="G71" s="4" t="str">
        <f>'4637'!F24</f>
        <v>SHELL WHITE 22011 SF</v>
      </c>
      <c r="H71" s="30"/>
      <c r="K71" s="26"/>
      <c r="M71" s="29"/>
    </row>
    <row r="72" spans="1:13" s="10" customFormat="1" ht="20.100000000000001" customHeight="1" x14ac:dyDescent="0.35">
      <c r="A72" s="110"/>
      <c r="B72" s="100"/>
      <c r="C72" s="73"/>
      <c r="D72" s="2"/>
      <c r="E72" s="119"/>
      <c r="F72" s="105"/>
      <c r="G72" s="2"/>
      <c r="H72" s="30"/>
      <c r="K72" s="26"/>
      <c r="M72" s="29"/>
    </row>
    <row r="73" spans="1:13" s="10" customFormat="1" ht="15" customHeight="1" x14ac:dyDescent="0.35">
      <c r="B73" s="83"/>
      <c r="C73" s="66"/>
      <c r="D73" s="66"/>
      <c r="E73" s="66"/>
      <c r="F73" s="66"/>
      <c r="G73" s="66"/>
      <c r="H73" s="30"/>
    </row>
    <row r="74" spans="1:13" ht="18" x14ac:dyDescent="0.35">
      <c r="B74" s="73"/>
      <c r="C74" s="73"/>
      <c r="D74" s="30"/>
      <c r="E74" s="73"/>
      <c r="F74" s="73"/>
      <c r="G74" s="78"/>
      <c r="H74" s="30"/>
    </row>
    <row r="75" spans="1:13" ht="18" x14ac:dyDescent="0.35">
      <c r="B75" s="73"/>
      <c r="C75" s="73"/>
      <c r="D75" s="30"/>
      <c r="E75" s="73"/>
      <c r="F75" s="73"/>
      <c r="G75" s="73"/>
      <c r="H75" s="30"/>
      <c r="J75" s="10">
        <f>SUM(J68:J68)</f>
        <v>0.4</v>
      </c>
      <c r="K75" s="27">
        <f>SUM(K68:K68)</f>
        <v>6000</v>
      </c>
    </row>
    <row r="76" spans="1:13" ht="18" x14ac:dyDescent="0.35">
      <c r="B76" s="30"/>
      <c r="C76" s="30"/>
      <c r="D76" s="30"/>
      <c r="E76" s="30"/>
      <c r="F76" s="30"/>
      <c r="G76" s="30"/>
      <c r="H76" s="30"/>
    </row>
    <row r="77" spans="1:13" ht="18" x14ac:dyDescent="0.35">
      <c r="B77" s="30"/>
      <c r="C77" s="30"/>
      <c r="D77" s="30"/>
      <c r="E77" s="30"/>
      <c r="F77" s="30"/>
      <c r="G77" s="30"/>
      <c r="H77" s="30"/>
    </row>
    <row r="78" spans="1:13" ht="18" x14ac:dyDescent="0.35">
      <c r="B78" s="30"/>
      <c r="C78" s="30"/>
      <c r="D78" s="30"/>
      <c r="E78" s="30"/>
      <c r="F78" s="30"/>
      <c r="G78" s="30"/>
      <c r="H78" s="30"/>
    </row>
    <row r="79" spans="1:13" ht="15" customHeight="1" x14ac:dyDescent="0.35">
      <c r="B79" s="30"/>
      <c r="C79" s="30"/>
      <c r="D79" s="30"/>
      <c r="E79" s="30"/>
      <c r="F79" s="30"/>
      <c r="G79" s="30"/>
      <c r="H79" s="30"/>
    </row>
    <row r="80" spans="1:13" ht="18" x14ac:dyDescent="0.35">
      <c r="B80" s="30"/>
      <c r="C80" s="30"/>
      <c r="D80" s="30"/>
      <c r="E80" s="30"/>
      <c r="F80" s="30"/>
      <c r="G80" s="30"/>
      <c r="H80" s="30"/>
    </row>
    <row r="81" spans="2:8" ht="18" x14ac:dyDescent="0.35">
      <c r="B81" s="73"/>
      <c r="C81" s="87"/>
      <c r="D81" s="30"/>
      <c r="E81" s="30"/>
      <c r="F81" s="30"/>
      <c r="G81" s="30"/>
      <c r="H81" s="30"/>
    </row>
    <row r="82" spans="2:8" ht="18" x14ac:dyDescent="0.35">
      <c r="B82" s="30"/>
      <c r="C82" s="30"/>
      <c r="D82" s="30"/>
      <c r="E82" s="30"/>
      <c r="F82" s="30"/>
      <c r="G82" s="30"/>
      <c r="H82" s="30"/>
    </row>
    <row r="83" spans="2:8" x14ac:dyDescent="0.3">
      <c r="C83" s="14"/>
      <c r="D83" s="14"/>
      <c r="F83" s="14"/>
      <c r="G83" s="14"/>
    </row>
    <row r="84" spans="2:8" x14ac:dyDescent="0.3">
      <c r="C84" s="14"/>
      <c r="D84" s="14"/>
      <c r="F84" s="14"/>
      <c r="G84" s="14"/>
    </row>
  </sheetData>
  <mergeCells count="6">
    <mergeCell ref="N3:O3"/>
    <mergeCell ref="B25:G25"/>
    <mergeCell ref="B10:G10"/>
    <mergeCell ref="B64:G64"/>
    <mergeCell ref="C66:G66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2025-11-28T17:41:31Z</cp:lastPrinted>
  <dcterms:created xsi:type="dcterms:W3CDTF">2013-03-19T12:54:14Z</dcterms:created>
  <dcterms:modified xsi:type="dcterms:W3CDTF">2026-01-22T13:08:09Z</dcterms:modified>
</cp:coreProperties>
</file>