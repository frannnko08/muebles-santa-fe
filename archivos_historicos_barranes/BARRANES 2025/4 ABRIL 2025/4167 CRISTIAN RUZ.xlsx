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5\"/>
    </mc:Choice>
  </mc:AlternateContent>
  <xr:revisionPtr revIDLastSave="0" documentId="13_ncr:1_{AECCC598-C46A-48C5-B2E0-0682F161F5A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'4637'!$B$1:$H$50</definedName>
    <definedName name="_xlnm.Print_Area" localSheetId="2">CUBIERTA!$A$41:$G$65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3" l="1"/>
  <c r="C29" i="3" s="1"/>
  <c r="D54" i="3"/>
  <c r="D29" i="3" s="1"/>
  <c r="E54" i="3"/>
  <c r="E29" i="3" s="1"/>
  <c r="F54" i="3"/>
  <c r="F29" i="3" s="1"/>
  <c r="G54" i="3"/>
  <c r="G29" i="3" s="1"/>
  <c r="C55" i="3"/>
  <c r="C30" i="3" s="1"/>
  <c r="D55" i="3"/>
  <c r="D30" i="3" s="1"/>
  <c r="E55" i="3"/>
  <c r="E30" i="3" s="1"/>
  <c r="F55" i="3"/>
  <c r="F30" i="3" s="1"/>
  <c r="G55" i="3"/>
  <c r="G30" i="3" s="1"/>
  <c r="H23" i="4"/>
  <c r="H22" i="4"/>
  <c r="H21" i="4"/>
  <c r="G53" i="3"/>
  <c r="G28" i="3" s="1"/>
  <c r="F53" i="3"/>
  <c r="F28" i="3" s="1"/>
  <c r="L14" i="3" s="1"/>
  <c r="E53" i="3"/>
  <c r="E28" i="3" s="1"/>
  <c r="K14" i="3" s="1"/>
  <c r="C53" i="3"/>
  <c r="D53" i="3"/>
  <c r="D28" i="3" s="1"/>
  <c r="C28" i="3" l="1"/>
  <c r="H26" i="4" l="1"/>
  <c r="L21" i="4" l="1"/>
  <c r="K21" i="4"/>
  <c r="M21" i="4" l="1"/>
  <c r="N21" i="4" s="1"/>
  <c r="G22" i="3" l="1"/>
  <c r="L22" i="3"/>
  <c r="F22" i="3" s="1"/>
  <c r="J22" i="3" l="1"/>
  <c r="I28" i="3"/>
  <c r="J28" i="3" s="1"/>
  <c r="K22" i="3"/>
  <c r="E22" i="3" s="1"/>
  <c r="I53" i="3"/>
  <c r="J53" i="3" s="1"/>
  <c r="E14" i="3"/>
  <c r="G14" i="3"/>
  <c r="F14" i="3"/>
  <c r="C22" i="3" l="1"/>
  <c r="J14" i="3"/>
  <c r="C14" i="3" s="1"/>
  <c r="J34" i="3"/>
  <c r="K53" i="3"/>
  <c r="J59" i="3"/>
  <c r="H28" i="4"/>
  <c r="O5" i="3"/>
  <c r="K59" i="3" l="1"/>
  <c r="N5" i="3"/>
  <c r="M5" i="3"/>
  <c r="L5" i="3"/>
  <c r="D46" i="3" l="1"/>
  <c r="D7" i="3"/>
  <c r="E44" i="3"/>
  <c r="E5" i="3"/>
  <c r="E46" i="3"/>
  <c r="E7" i="3"/>
  <c r="E43" i="3"/>
  <c r="E4" i="3"/>
</calcChain>
</file>

<file path=xl/sharedStrings.xml><?xml version="1.0" encoding="utf-8"?>
<sst xmlns="http://schemas.openxmlformats.org/spreadsheetml/2006/main" count="249" uniqueCount="146">
  <si>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</si>
  <si>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</si>
  <si>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</si>
  <si>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</si>
  <si>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</si>
  <si>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</si>
  <si>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</si>
  <si>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</si>
  <si>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</si>
  <si>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</si>
  <si>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</si>
  <si>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</si>
  <si>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</si>
  <si>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</si>
  <si>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</si>
  <si>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</si>
  <si>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</si>
  <si>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</si>
  <si>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</si>
  <si>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</si>
  <si>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</si>
  <si>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</si>
  <si>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</si>
  <si>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</si>
  <si>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</si>
  <si>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</si>
  <si>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</si>
  <si>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</si>
  <si>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</si>
  <si>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</si>
  <si>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</si>
  <si>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</si>
  <si>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</si>
  <si>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</si>
  <si>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</si>
  <si>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</si>
  <si>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</si>
  <si>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</si>
  <si>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</si>
  <si>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</si>
  <si>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</si>
  <si>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</si>
  <si>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</si>
  <si>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</si>
  <si>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</si>
  <si>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</si>
  <si>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</si>
  <si>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</si>
  <si>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</si>
  <si>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</si>
  <si>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</si>
  <si>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</si>
  <si>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</si>
  <si>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</si>
  <si>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</si>
  <si>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</si>
  <si>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</si>
  <si>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</si>
  <si>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</si>
  <si>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</si>
  <si>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</si>
  <si>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</si>
  <si>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</si>
  <si>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</si>
  <si>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</si>
  <si>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</si>
  <si>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</si>
  <si>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</si>
  <si>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</si>
  <si>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</si>
  <si>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</si>
  <si>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</si>
  <si>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</si>
  <si>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</si>
  <si>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</si>
  <si>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</si>
  <si>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</si>
  <si>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</si>
  <si>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</si>
  <si>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</si>
  <si>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</si>
  <si>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</si>
  <si>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</si>
  <si>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</si>
  <si>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</si>
  <si>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</si>
  <si>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</si>
  <si>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</si>
  <si>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</si>
  <si>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</si>
  <si>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</si>
  <si>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</si>
  <si>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</si>
  <si>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</si>
  <si>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</si>
  <si>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</si>
  <si>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</si>
  <si>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</si>
  <si>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</si>
  <si>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</si>
  <si>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</si>
  <si>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</si>
  <si>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</si>
  <si>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</si>
  <si>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</si>
  <si>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</si>
  <si>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</si>
  <si>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</si>
  <si>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</si>
  <si>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</si>
  <si>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</si>
  <si>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</si>
  <si>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</si>
  <si>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</si>
  <si>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</si>
  <si>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</si>
  <si>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</si>
  <si>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</si>
  <si>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</si>
  <si>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</si>
  <si>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</si>
  <si>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</si>
  <si>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</si>
  <si>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</si>
  <si>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</si>
  <si>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</si>
  <si>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</si>
  <si>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</si>
  <si>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</si>
  <si>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</si>
  <si>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</si>
  <si>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</si>
  <si>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</si>
  <si>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</si>
  <si>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</si>
  <si>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</si>
  <si>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</si>
  <si>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</si>
  <si>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</si>
  <si>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MDF 18MM</t>
  </si>
  <si>
    <t>CUB C/R R8</t>
  </si>
  <si>
    <t>CRISTIAN RUZ</t>
  </si>
  <si>
    <t>56987729408</t>
  </si>
  <si>
    <t>FORD GRANITE 42008 BR</t>
  </si>
  <si>
    <t xml:space="preserve">CORTE Y ENCHAPE </t>
  </si>
  <si>
    <t>DESFONDADO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</si>
</sst>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20" fillId="0" borderId="0" xfId="0" applyFont="1"/>
    <xf numFmtId="1" fontId="2" fillId="0" borderId="2" xfId="0" applyNumberFormat="1" applyFont="1" applyBorder="1" applyAlignment="1">
      <alignment horizontal="center"/>
    </xf>
    <xf numFmtId="0" fontId="19" fillId="0" borderId="0" xfId="0" quotePrefix="1" applyFont="1"/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165" fontId="9" fillId="0" borderId="2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25</xdr:row>
      <xdr:rowOff>23327</xdr:rowOff>
    </xdr:from>
    <xdr:to>
      <xdr:col>5</xdr:col>
      <xdr:colOff>1539552</xdr:colOff>
      <xdr:row>28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$ 70.000.-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45</xdr:row>
      <xdr:rowOff>0</xdr:rowOff>
    </xdr:from>
    <xdr:to>
      <xdr:col>4</xdr:col>
      <xdr:colOff>369336</xdr:colOff>
      <xdr:row>45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47</xdr:row>
      <xdr:rowOff>1</xdr:rowOff>
    </xdr:from>
    <xdr:to>
      <xdr:col>4</xdr:col>
      <xdr:colOff>349897</xdr:colOff>
      <xdr:row>47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47</xdr:row>
      <xdr:rowOff>190500</xdr:rowOff>
    </xdr:from>
    <xdr:to>
      <xdr:col>7</xdr:col>
      <xdr:colOff>9524</xdr:colOff>
      <xdr:row>49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44</xdr:row>
      <xdr:rowOff>30479</xdr:rowOff>
    </xdr:from>
    <xdr:to>
      <xdr:col>6</xdr:col>
      <xdr:colOff>2912745</xdr:colOff>
      <xdr:row>45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209549</xdr:rowOff>
    </xdr:from>
    <xdr:to>
      <xdr:col>7</xdr:col>
      <xdr:colOff>0</xdr:colOff>
      <xdr:row>44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41</xdr:row>
      <xdr:rowOff>171450</xdr:rowOff>
    </xdr:from>
    <xdr:to>
      <xdr:col>7</xdr:col>
      <xdr:colOff>19050</xdr:colOff>
      <xdr:row>42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1019175</xdr:colOff>
      <xdr:row>58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447675</xdr:colOff>
      <xdr:row>58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33</xdr:row>
      <xdr:rowOff>15239</xdr:rowOff>
    </xdr:from>
    <xdr:to>
      <xdr:col>7</xdr:col>
      <xdr:colOff>0</xdr:colOff>
      <xdr:row>37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DESFONDADO PARA LAVAPLATOS, UNION DE LAMINADO LADO DERECHO, CORTAR A LA MEDIDA Y ENCHAPAR SIN REGRUESO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60</xdr:row>
      <xdr:rowOff>32385</xdr:rowOff>
    </xdr:from>
    <xdr:to>
      <xdr:col>7</xdr:col>
      <xdr:colOff>0</xdr:colOff>
      <xdr:row>64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 Y ENCHAPAR SIN REGRFUESO, UNION DE LAMINA A LA DERECHA</a:t>
          </a:r>
        </a:p>
        <a:p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LLEVA DESFONDADO PARA LAVAPLATOS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41</xdr:row>
      <xdr:rowOff>146685</xdr:rowOff>
    </xdr:from>
    <xdr:to>
      <xdr:col>2</xdr:col>
      <xdr:colOff>786523</xdr:colOff>
      <xdr:row>47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304800</xdr:colOff>
      <xdr:row>67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opLeftCell="A10" zoomScale="98" zoomScaleNormal="98" workbookViewId="0">
      <selection activeCell="L9" sqref="L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11402</v>
      </c>
      <c r="E8" s="30"/>
      <c r="F8" s="35" t="s">
        <v>25</v>
      </c>
      <c r="G8" s="36">
        <v>4167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45768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45771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8" t="s">
        <v>142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6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8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8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19">
        <v>1</v>
      </c>
      <c r="C21" s="119" t="s">
        <v>140</v>
      </c>
      <c r="D21" s="120">
        <v>3320</v>
      </c>
      <c r="E21" s="120">
        <v>570</v>
      </c>
      <c r="F21" s="119" t="s">
        <v>143</v>
      </c>
      <c r="G21" s="113">
        <v>110000</v>
      </c>
      <c r="H21" s="113">
        <f>G21*B21</f>
        <v>110000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19">
        <v>1</v>
      </c>
      <c r="C22" s="119" t="s">
        <v>144</v>
      </c>
      <c r="D22" s="135"/>
      <c r="E22" s="135"/>
      <c r="F22" s="119"/>
      <c r="G22" s="113">
        <v>7500</v>
      </c>
      <c r="H22" s="113">
        <f>G22*B22</f>
        <v>7500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19">
        <v>1</v>
      </c>
      <c r="C23" s="119" t="s">
        <v>145</v>
      </c>
      <c r="D23" s="135"/>
      <c r="E23" s="135"/>
      <c r="F23" s="119"/>
      <c r="G23" s="113">
        <v>20000</v>
      </c>
      <c r="H23" s="113">
        <f>G23*B23</f>
        <v>20000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/>
      <c r="C24" s="103"/>
      <c r="D24" s="104"/>
      <c r="E24" s="104"/>
      <c r="F24" s="103"/>
      <c r="G24" s="105"/>
      <c r="H24" s="105"/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03"/>
      <c r="C25" s="103"/>
      <c r="D25" s="112"/>
      <c r="E25" s="112"/>
      <c r="F25" s="103"/>
      <c r="G25" s="105"/>
      <c r="H25" s="105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/>
      <c r="C26" s="103"/>
      <c r="D26" s="112"/>
      <c r="E26" s="112"/>
      <c r="F26" s="103"/>
      <c r="G26" s="61" t="s">
        <v>5</v>
      </c>
      <c r="H26" s="62">
        <f>SUM(H21:H25)</f>
        <v>137500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/>
      <c r="C27" s="103"/>
      <c r="D27" s="112"/>
      <c r="E27" s="112"/>
      <c r="F27" s="103"/>
      <c r="G27" s="63" t="s">
        <v>136</v>
      </c>
      <c r="H27" s="64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103"/>
      <c r="C28" s="103"/>
      <c r="D28" s="112"/>
      <c r="E28" s="112"/>
      <c r="F28" s="103"/>
      <c r="G28" s="65" t="s">
        <v>4</v>
      </c>
      <c r="H28" s="66">
        <f>H26+H27</f>
        <v>137500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/>
      <c r="C29" s="103"/>
      <c r="D29" s="112"/>
      <c r="E29" s="112"/>
      <c r="F29" s="103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/>
      <c r="C30" s="103"/>
      <c r="D30" s="112"/>
      <c r="E30" s="112"/>
      <c r="F30" s="103"/>
      <c r="G30" s="105"/>
      <c r="H30" s="105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/>
      <c r="C31" s="103"/>
      <c r="D31" s="112"/>
      <c r="E31" s="112"/>
      <c r="F31" s="103"/>
      <c r="G31" s="105"/>
      <c r="H31" s="105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/>
      <c r="C32" s="103"/>
      <c r="D32" s="104"/>
      <c r="E32" s="104"/>
      <c r="F32" s="103"/>
      <c r="G32" s="105"/>
      <c r="H32" s="105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/>
      <c r="C33" s="103"/>
      <c r="D33" s="104"/>
      <c r="E33" s="104"/>
      <c r="F33" s="103"/>
      <c r="G33" s="105"/>
      <c r="H33" s="105"/>
      <c r="I33" s="30"/>
      <c r="K33" s="11"/>
      <c r="L33" s="15"/>
      <c r="M33" s="11"/>
      <c r="N33" s="11"/>
      <c r="O33" s="15"/>
      <c r="P33" s="21"/>
    </row>
    <row r="34" spans="1:16" ht="13.2" customHeight="1" x14ac:dyDescent="0.35">
      <c r="A34" s="30"/>
      <c r="B34" s="60"/>
      <c r="C34" s="60"/>
      <c r="D34" s="60"/>
      <c r="E34" s="60"/>
      <c r="F34" s="60"/>
      <c r="G34" s="59"/>
      <c r="H34" s="59"/>
      <c r="I34" s="30"/>
    </row>
    <row r="35" spans="1:16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G38" s="67"/>
      <c r="H38" s="68"/>
      <c r="I38" s="30"/>
    </row>
    <row r="39" spans="1:16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16" ht="18" x14ac:dyDescent="0.35">
      <c r="A40" s="30"/>
      <c r="B40" s="69" t="s">
        <v>133</v>
      </c>
      <c r="C40" s="70"/>
      <c r="D40" s="71"/>
      <c r="E40" s="71"/>
      <c r="F40" s="60"/>
      <c r="G40" s="30"/>
      <c r="H40" s="30"/>
      <c r="I40" s="30"/>
    </row>
    <row r="41" spans="1:16" ht="18" x14ac:dyDescent="0.35">
      <c r="A41" s="30"/>
      <c r="B41" s="69" t="s">
        <v>119</v>
      </c>
      <c r="C41" s="70"/>
      <c r="D41" s="71"/>
      <c r="E41" s="71"/>
      <c r="F41" s="60"/>
      <c r="G41" s="30"/>
      <c r="H41" s="30"/>
      <c r="I41" s="30"/>
    </row>
    <row r="42" spans="1:16" ht="18" x14ac:dyDescent="0.35">
      <c r="A42" s="30"/>
      <c r="B42" s="30" t="s">
        <v>23</v>
      </c>
      <c r="C42" s="30"/>
      <c r="D42" s="30"/>
      <c r="E42" s="30"/>
      <c r="F42" s="30"/>
      <c r="G42" s="30"/>
      <c r="H42" s="30"/>
      <c r="I42" s="30"/>
    </row>
    <row r="43" spans="1:16" ht="18" x14ac:dyDescent="0.35">
      <c r="A43" s="30"/>
      <c r="B43" s="72" t="s">
        <v>24</v>
      </c>
      <c r="C43" s="72"/>
      <c r="D43" s="30"/>
      <c r="E43" s="30"/>
      <c r="F43" s="30"/>
      <c r="G43" s="30"/>
      <c r="H43" s="30"/>
      <c r="I43" s="30"/>
    </row>
    <row r="44" spans="1:16" ht="18" x14ac:dyDescent="0.35">
      <c r="A44" s="30"/>
      <c r="B44" s="30"/>
      <c r="C44" s="30"/>
      <c r="D44" s="30"/>
      <c r="E44" s="72"/>
      <c r="F44" s="30"/>
      <c r="G44" s="30"/>
      <c r="H44" s="30"/>
      <c r="I44" s="30"/>
    </row>
    <row r="45" spans="1:16" ht="18" x14ac:dyDescent="0.35">
      <c r="A45" s="30"/>
      <c r="B45" s="31" t="s">
        <v>131</v>
      </c>
      <c r="C45" s="31"/>
      <c r="D45" s="31"/>
      <c r="E45" s="73"/>
      <c r="F45" s="30"/>
      <c r="G45" s="30"/>
      <c r="H45" s="30"/>
      <c r="I45" s="30"/>
    </row>
    <row r="46" spans="1:16" ht="18" x14ac:dyDescent="0.35">
      <c r="A46" s="30"/>
      <c r="B46" s="31"/>
      <c r="C46" s="31"/>
      <c r="D46" s="31"/>
      <c r="E46" s="73"/>
      <c r="F46" s="30"/>
      <c r="G46" s="30"/>
      <c r="H46" s="30"/>
      <c r="I46" s="30"/>
    </row>
    <row r="47" spans="1:16" ht="18" x14ac:dyDescent="0.35">
      <c r="A47" s="30"/>
      <c r="B47" s="31" t="s">
        <v>132</v>
      </c>
      <c r="C47" s="30"/>
      <c r="D47" s="30"/>
      <c r="E47" s="72"/>
      <c r="F47" s="30"/>
      <c r="G47" s="30"/>
      <c r="H47" s="30"/>
      <c r="I47" s="30"/>
    </row>
    <row r="48" spans="1:16" ht="18" x14ac:dyDescent="0.35">
      <c r="A48" s="30"/>
      <c r="B48" s="30"/>
      <c r="C48" s="30"/>
      <c r="D48" s="30"/>
      <c r="E48" s="72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5.6" x14ac:dyDescent="0.3">
      <c r="C51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8" type="noConversion"/>
  <hyperlinks>
    <hyperlink ref="B4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8"/>
  <sheetViews>
    <sheetView tabSelected="1" topLeftCell="A31" zoomScaleNormal="100" workbookViewId="0">
      <selection activeCell="A41" sqref="A41:G6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5" t="s">
        <v>25</v>
      </c>
      <c r="E4" s="76">
        <f>'4637'!G8</f>
        <v>4167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CRISTIAN RUZ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45771</v>
      </c>
      <c r="F7" s="30"/>
      <c r="G7" s="30" t="s">
        <v>135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80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2" t="s">
        <v>138</v>
      </c>
      <c r="C14" s="95">
        <f>J14</f>
        <v>1</v>
      </c>
      <c r="D14" s="95"/>
      <c r="E14" s="95">
        <f>K14+E$13</f>
        <v>3400</v>
      </c>
      <c r="F14" s="95">
        <f>L14+F$13</f>
        <v>540</v>
      </c>
      <c r="G14" s="95" t="str">
        <f>D28</f>
        <v>CUB C/R R8</v>
      </c>
      <c r="H14" s="30"/>
      <c r="J14" s="3">
        <f>J22</f>
        <v>1</v>
      </c>
      <c r="K14" s="4">
        <f t="shared" ref="K14:L14" si="0">E28</f>
        <v>3320</v>
      </c>
      <c r="L14" s="4">
        <f t="shared" si="0"/>
        <v>570</v>
      </c>
    </row>
    <row r="15" spans="1:15" ht="18" x14ac:dyDescent="0.35">
      <c r="A15" s="109"/>
      <c r="B15" s="102"/>
      <c r="C15" s="74"/>
      <c r="D15" s="74"/>
      <c r="E15" s="74"/>
      <c r="F15" s="74"/>
      <c r="G15" s="74"/>
      <c r="H15" s="30"/>
      <c r="J15" s="23"/>
      <c r="K15" s="2"/>
      <c r="L15" s="2"/>
    </row>
    <row r="16" spans="1:15" ht="18" x14ac:dyDescent="0.35">
      <c r="A16" s="2"/>
      <c r="B16" s="84"/>
      <c r="C16" s="74"/>
      <c r="D16" s="74"/>
      <c r="E16" s="74"/>
      <c r="F16" s="74"/>
      <c r="G16" s="74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29" t="s">
        <v>13</v>
      </c>
      <c r="C18" s="129"/>
      <c r="D18" s="129"/>
      <c r="E18" s="129"/>
      <c r="F18" s="129"/>
      <c r="G18" s="129"/>
      <c r="H18" s="30"/>
    </row>
    <row r="19" spans="1:12" ht="10.5" customHeight="1" x14ac:dyDescent="0.35">
      <c r="A19" s="2"/>
      <c r="B19" s="30"/>
      <c r="C19" s="30"/>
      <c r="D19" s="92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7" t="s">
        <v>6</v>
      </c>
      <c r="F20" s="67" t="s">
        <v>7</v>
      </c>
      <c r="G20" s="30"/>
      <c r="H20" s="30"/>
    </row>
    <row r="21" spans="1:12" ht="18" x14ac:dyDescent="0.35">
      <c r="A21" s="2"/>
      <c r="B21" s="67" t="s">
        <v>8</v>
      </c>
      <c r="C21" s="83" t="s">
        <v>9</v>
      </c>
      <c r="D21" s="83" t="s">
        <v>10</v>
      </c>
      <c r="E21" s="96">
        <v>40</v>
      </c>
      <c r="F21" s="96">
        <v>130</v>
      </c>
      <c r="G21" s="83" t="s">
        <v>107</v>
      </c>
      <c r="H21" s="30"/>
      <c r="K21" s="5" t="s">
        <v>6</v>
      </c>
      <c r="L21" s="5" t="s">
        <v>7</v>
      </c>
    </row>
    <row r="22" spans="1:12" ht="18" x14ac:dyDescent="0.35">
      <c r="A22" s="109">
        <v>1</v>
      </c>
      <c r="B22" s="102"/>
      <c r="C22" s="97">
        <f t="shared" ref="C22" si="1">J22</f>
        <v>1</v>
      </c>
      <c r="D22" s="97"/>
      <c r="E22" s="97">
        <f>K22+E$21</f>
        <v>3360</v>
      </c>
      <c r="F22" s="97">
        <f>L22+F$21</f>
        <v>700</v>
      </c>
      <c r="G22" s="97" t="str">
        <f>D28</f>
        <v>CUB C/R R8</v>
      </c>
      <c r="H22" s="30"/>
      <c r="J22" s="3">
        <f>C28</f>
        <v>1</v>
      </c>
      <c r="K22" s="106">
        <f>E28</f>
        <v>3320</v>
      </c>
      <c r="L22" s="106">
        <f>F28</f>
        <v>570</v>
      </c>
    </row>
    <row r="23" spans="1:12" ht="18" x14ac:dyDescent="0.35">
      <c r="A23" s="109"/>
      <c r="B23" s="102"/>
      <c r="C23" s="74"/>
      <c r="D23" s="74"/>
      <c r="E23" s="74"/>
      <c r="F23" s="74"/>
      <c r="G23" s="74"/>
      <c r="H23" s="30"/>
      <c r="J23" s="23"/>
      <c r="K23" s="111"/>
      <c r="L23" s="111"/>
    </row>
    <row r="24" spans="1:12" ht="18.600000000000001" thickBot="1" x14ac:dyDescent="0.4">
      <c r="A24" s="2"/>
      <c r="B24" s="84"/>
      <c r="C24" s="74"/>
      <c r="D24" s="74"/>
      <c r="E24" s="74"/>
      <c r="F24" s="74"/>
      <c r="G24" s="74"/>
      <c r="H24" s="30"/>
      <c r="I24" s="107"/>
      <c r="J24" s="108"/>
      <c r="K24" s="108"/>
      <c r="L24" s="108"/>
    </row>
    <row r="25" spans="1:12" ht="18.600000000000001" thickBot="1" x14ac:dyDescent="0.4">
      <c r="A25" s="2"/>
      <c r="B25" s="67"/>
      <c r="C25" s="98" t="s">
        <v>104</v>
      </c>
      <c r="D25" s="33"/>
      <c r="E25" s="33"/>
      <c r="F25" s="33"/>
      <c r="G25" s="99"/>
      <c r="H25" s="30"/>
      <c r="J25" s="2"/>
      <c r="K25" s="2"/>
      <c r="L25" s="2"/>
    </row>
    <row r="26" spans="1:12" ht="10.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67" t="s">
        <v>8</v>
      </c>
      <c r="C27" s="100" t="s">
        <v>9</v>
      </c>
      <c r="D27" s="100" t="s">
        <v>107</v>
      </c>
      <c r="E27" s="100" t="s">
        <v>6</v>
      </c>
      <c r="F27" s="100" t="s">
        <v>7</v>
      </c>
      <c r="G27" s="100" t="s">
        <v>21</v>
      </c>
      <c r="H27" s="30"/>
    </row>
    <row r="28" spans="1:12" ht="18" x14ac:dyDescent="0.35">
      <c r="A28" s="109">
        <v>1</v>
      </c>
      <c r="B28" s="102" t="s">
        <v>139</v>
      </c>
      <c r="C28" s="95">
        <f>C53</f>
        <v>1</v>
      </c>
      <c r="D28" s="95" t="str">
        <f>D53</f>
        <v>CUB C/R R8</v>
      </c>
      <c r="E28" s="117">
        <f>E53</f>
        <v>3320</v>
      </c>
      <c r="F28" s="117">
        <f>F53</f>
        <v>570</v>
      </c>
      <c r="G28" s="4" t="str">
        <f>G53</f>
        <v>FORD GRANITE 42008 BR</v>
      </c>
      <c r="H28" s="30"/>
      <c r="I28" s="28">
        <f>E28*F28/1000000</f>
        <v>1.8924000000000001</v>
      </c>
      <c r="J28" s="28">
        <f>I28*C28</f>
        <v>1.8924000000000001</v>
      </c>
    </row>
    <row r="29" spans="1:12" ht="18" x14ac:dyDescent="0.35">
      <c r="A29" s="109"/>
      <c r="B29" s="102"/>
      <c r="C29" s="95">
        <f t="shared" ref="C29:G29" si="2">C54</f>
        <v>1</v>
      </c>
      <c r="D29" s="95" t="str">
        <f t="shared" si="2"/>
        <v xml:space="preserve">CORTE Y ENCHAPE </v>
      </c>
      <c r="E29" s="117">
        <f t="shared" si="2"/>
        <v>0</v>
      </c>
      <c r="F29" s="117">
        <f t="shared" si="2"/>
        <v>0</v>
      </c>
      <c r="G29" s="4">
        <f t="shared" si="2"/>
        <v>0</v>
      </c>
      <c r="H29" s="30"/>
      <c r="I29" s="28"/>
      <c r="J29" s="28"/>
    </row>
    <row r="30" spans="1:12" ht="18" x14ac:dyDescent="0.35">
      <c r="A30" s="109"/>
      <c r="B30" s="102"/>
      <c r="C30" s="95">
        <f t="shared" ref="C30:G30" si="3">C55</f>
        <v>1</v>
      </c>
      <c r="D30" s="95" t="str">
        <f t="shared" si="3"/>
        <v>DESFONDADO</v>
      </c>
      <c r="E30" s="117">
        <f t="shared" si="3"/>
        <v>0</v>
      </c>
      <c r="F30" s="117">
        <f t="shared" si="3"/>
        <v>0</v>
      </c>
      <c r="G30" s="4">
        <f t="shared" si="3"/>
        <v>0</v>
      </c>
      <c r="H30" s="30"/>
      <c r="I30" s="28"/>
      <c r="J30" s="28"/>
    </row>
    <row r="31" spans="1:12" ht="18" x14ac:dyDescent="0.35">
      <c r="A31" s="109"/>
      <c r="B31" s="102"/>
      <c r="C31" s="74"/>
      <c r="D31" s="74"/>
      <c r="E31" s="74"/>
      <c r="F31" s="74"/>
      <c r="G31" s="74"/>
      <c r="H31" s="30"/>
      <c r="I31" s="28"/>
      <c r="J31" s="28"/>
    </row>
    <row r="32" spans="1:12" ht="18" x14ac:dyDescent="0.35">
      <c r="A32" s="2"/>
      <c r="B32" s="84"/>
      <c r="C32" s="74"/>
      <c r="D32" s="74"/>
      <c r="E32" s="74"/>
      <c r="F32" s="74"/>
      <c r="G32" s="74"/>
      <c r="H32" s="30"/>
      <c r="I32" s="28"/>
      <c r="J32" s="28"/>
    </row>
    <row r="33" spans="1:10" ht="18" x14ac:dyDescent="0.35">
      <c r="A33" s="2"/>
      <c r="B33" s="30"/>
      <c r="C33" s="74"/>
      <c r="D33" s="74"/>
      <c r="E33" s="74"/>
      <c r="F33" s="74"/>
      <c r="G33" s="74"/>
      <c r="H33" s="30"/>
    </row>
    <row r="34" spans="1:10" ht="18" x14ac:dyDescent="0.35">
      <c r="A34" s="2"/>
      <c r="B34" s="30"/>
      <c r="C34" s="74"/>
      <c r="D34" s="74"/>
      <c r="E34" s="74"/>
      <c r="F34" s="74"/>
      <c r="G34" s="74"/>
      <c r="H34" s="30"/>
      <c r="J34" s="28">
        <f>SUM(J28:J28)*2</f>
        <v>3.7848000000000002</v>
      </c>
    </row>
    <row r="35" spans="1:10" ht="18" x14ac:dyDescent="0.35">
      <c r="A35" s="2"/>
      <c r="B35" s="30"/>
      <c r="C35" s="74"/>
      <c r="D35" s="74"/>
      <c r="E35" s="74"/>
      <c r="F35" s="74"/>
      <c r="G35" s="74"/>
      <c r="H35" s="30"/>
    </row>
    <row r="36" spans="1:10" ht="18" x14ac:dyDescent="0.35">
      <c r="A36" s="2"/>
      <c r="B36" s="30"/>
      <c r="C36" s="74"/>
      <c r="D36" s="74"/>
      <c r="E36" s="74"/>
      <c r="F36" s="74"/>
      <c r="G36" s="74"/>
      <c r="H36" s="30"/>
    </row>
    <row r="37" spans="1:10" ht="18" x14ac:dyDescent="0.35">
      <c r="A37" s="2"/>
      <c r="B37" s="30"/>
      <c r="C37" s="74"/>
      <c r="D37" s="74"/>
      <c r="E37" s="74"/>
      <c r="F37" s="74"/>
      <c r="G37" s="74"/>
      <c r="H37" s="30"/>
    </row>
    <row r="38" spans="1:10" ht="18" x14ac:dyDescent="0.35">
      <c r="A38" s="2"/>
      <c r="B38" s="30"/>
      <c r="C38" s="74"/>
      <c r="D38" s="74"/>
      <c r="E38" s="74"/>
      <c r="F38" s="74"/>
      <c r="G38" s="74"/>
      <c r="H38" s="30"/>
    </row>
    <row r="39" spans="1:10" ht="18" x14ac:dyDescent="0.35">
      <c r="A39" s="2"/>
      <c r="B39" s="30"/>
      <c r="C39" s="74"/>
      <c r="D39" s="74"/>
      <c r="E39" s="74"/>
      <c r="F39" s="74"/>
      <c r="G39" s="74"/>
      <c r="H39" s="30"/>
    </row>
    <row r="40" spans="1:10" ht="18" x14ac:dyDescent="0.35">
      <c r="A40" s="2"/>
      <c r="B40" s="30"/>
      <c r="C40" s="74"/>
      <c r="D40" s="74"/>
      <c r="E40" s="74"/>
      <c r="F40" s="74"/>
      <c r="G40" s="74"/>
      <c r="H40" s="30"/>
    </row>
    <row r="41" spans="1:10" ht="18" x14ac:dyDescent="0.35">
      <c r="A41" s="2"/>
      <c r="B41" s="30"/>
      <c r="C41" s="74"/>
      <c r="D41" s="74"/>
      <c r="E41" s="74"/>
      <c r="F41" s="74"/>
      <c r="G41" s="74"/>
      <c r="H41" s="30"/>
    </row>
    <row r="42" spans="1:10" ht="18" x14ac:dyDescent="0.35">
      <c r="A42" s="2"/>
      <c r="B42" s="30"/>
      <c r="C42" s="30"/>
      <c r="D42" s="30"/>
      <c r="E42" s="30"/>
      <c r="F42" s="30"/>
      <c r="G42" s="30"/>
      <c r="H42" s="30"/>
    </row>
    <row r="43" spans="1:10" ht="18" x14ac:dyDescent="0.35">
      <c r="A43" s="2"/>
      <c r="B43" s="30"/>
      <c r="C43" s="30"/>
      <c r="D43" s="75" t="s">
        <v>25</v>
      </c>
      <c r="E43" s="76">
        <f>'4637'!G8</f>
        <v>4167</v>
      </c>
      <c r="F43" s="30"/>
      <c r="G43" s="30"/>
      <c r="H43" s="30"/>
    </row>
    <row r="44" spans="1:10" ht="17.25" customHeight="1" x14ac:dyDescent="0.35">
      <c r="A44" s="2"/>
      <c r="B44" s="30"/>
      <c r="C44" s="30"/>
      <c r="D44" s="77" t="s">
        <v>64</v>
      </c>
      <c r="E44" s="78" t="str">
        <f>'4637'!C10</f>
        <v>CRISTIAN RUZ</v>
      </c>
      <c r="F44" s="48"/>
      <c r="G44" s="48"/>
      <c r="H44" s="30"/>
    </row>
    <row r="45" spans="1:10" ht="4.5" customHeight="1" x14ac:dyDescent="0.35">
      <c r="A45" s="2"/>
      <c r="B45" s="30"/>
      <c r="C45" s="30"/>
      <c r="D45" s="79"/>
      <c r="E45" s="80"/>
      <c r="F45" s="30"/>
      <c r="G45" s="30"/>
      <c r="H45" s="30"/>
    </row>
    <row r="46" spans="1:10" ht="18" x14ac:dyDescent="0.35">
      <c r="A46" s="2"/>
      <c r="B46" s="30"/>
      <c r="C46" s="30"/>
      <c r="D46" s="81" t="str">
        <f>'4637'!F11</f>
        <v>FECHA LIMITE :</v>
      </c>
      <c r="E46" s="82">
        <f>'4637'!G11</f>
        <v>45771</v>
      </c>
      <c r="F46" s="30"/>
      <c r="G46" s="30"/>
      <c r="H46" s="30"/>
    </row>
    <row r="47" spans="1:10" ht="18" x14ac:dyDescent="0.35">
      <c r="A47" s="2"/>
      <c r="B47" s="30"/>
      <c r="C47" s="30"/>
      <c r="D47" s="30"/>
      <c r="E47" s="30"/>
      <c r="F47" s="30"/>
      <c r="G47" s="30" t="s">
        <v>135</v>
      </c>
      <c r="H47" s="30"/>
    </row>
    <row r="48" spans="1:10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18" x14ac:dyDescent="0.35">
      <c r="A49" s="2"/>
      <c r="B49" s="130" t="s">
        <v>65</v>
      </c>
      <c r="C49" s="130"/>
      <c r="D49" s="130"/>
      <c r="E49" s="130"/>
      <c r="F49" s="130"/>
      <c r="G49" s="130"/>
      <c r="H49" s="30"/>
    </row>
    <row r="50" spans="1:13" ht="18" x14ac:dyDescent="0.35">
      <c r="A50" s="2"/>
      <c r="B50" s="30"/>
      <c r="C50" s="30"/>
      <c r="D50" s="30"/>
      <c r="E50" s="30"/>
      <c r="F50" s="30"/>
      <c r="G50" s="30"/>
      <c r="H50" s="30"/>
    </row>
    <row r="51" spans="1:13" ht="20.100000000000001" customHeight="1" x14ac:dyDescent="0.35">
      <c r="A51" s="2"/>
      <c r="B51" s="30"/>
      <c r="C51" s="131" t="s">
        <v>66</v>
      </c>
      <c r="D51" s="132"/>
      <c r="E51" s="133"/>
      <c r="F51" s="133"/>
      <c r="G51" s="134"/>
      <c r="H51" s="30"/>
      <c r="I51" s="25" t="s">
        <v>130</v>
      </c>
    </row>
    <row r="52" spans="1:13" s="10" customFormat="1" ht="20.100000000000001" customHeight="1" x14ac:dyDescent="0.35">
      <c r="A52" s="110"/>
      <c r="B52" s="30"/>
      <c r="C52" s="85" t="s">
        <v>9</v>
      </c>
      <c r="D52" s="86" t="s">
        <v>10</v>
      </c>
      <c r="E52" s="89" t="s">
        <v>6</v>
      </c>
      <c r="F52" s="89" t="s">
        <v>7</v>
      </c>
      <c r="G52" s="87" t="s">
        <v>11</v>
      </c>
      <c r="H52" s="30"/>
      <c r="K52" s="10">
        <v>15000</v>
      </c>
    </row>
    <row r="53" spans="1:13" s="10" customFormat="1" ht="20.100000000000001" customHeight="1" x14ac:dyDescent="0.35">
      <c r="A53" s="109">
        <v>1</v>
      </c>
      <c r="B53" s="101" t="s">
        <v>138</v>
      </c>
      <c r="C53" s="97">
        <f>'4637'!B21</f>
        <v>1</v>
      </c>
      <c r="D53" s="4" t="str">
        <f>'4637'!C21</f>
        <v>CUB C/R R8</v>
      </c>
      <c r="E53" s="117">
        <f>'4637'!D21</f>
        <v>3320</v>
      </c>
      <c r="F53" s="117">
        <f>'4637'!E21</f>
        <v>570</v>
      </c>
      <c r="G53" s="4" t="str">
        <f>'4637'!F21</f>
        <v>FORD GRANITE 42008 BR</v>
      </c>
      <c r="H53" s="30"/>
      <c r="I53" s="10">
        <f>E53*F53/1000000</f>
        <v>1.8924000000000001</v>
      </c>
      <c r="J53" s="10">
        <f>I53*C53</f>
        <v>1.8924000000000001</v>
      </c>
      <c r="K53" s="26">
        <f>J53*K$52</f>
        <v>28386</v>
      </c>
      <c r="M53" s="24">
        <v>12096</v>
      </c>
    </row>
    <row r="54" spans="1:13" s="10" customFormat="1" ht="20.100000000000001" customHeight="1" x14ac:dyDescent="0.35">
      <c r="A54" s="109"/>
      <c r="B54" s="101"/>
      <c r="C54" s="97">
        <f>'4637'!B22</f>
        <v>1</v>
      </c>
      <c r="D54" s="4" t="str">
        <f>'4637'!C22</f>
        <v xml:space="preserve">CORTE Y ENCHAPE </v>
      </c>
      <c r="E54" s="117">
        <f>'4637'!D22</f>
        <v>0</v>
      </c>
      <c r="F54" s="117">
        <f>'4637'!E22</f>
        <v>0</v>
      </c>
      <c r="G54" s="4">
        <f>'4637'!F22</f>
        <v>0</v>
      </c>
      <c r="H54" s="30"/>
      <c r="K54" s="26"/>
      <c r="M54" s="29"/>
    </row>
    <row r="55" spans="1:13" s="10" customFormat="1" ht="20.100000000000001" customHeight="1" x14ac:dyDescent="0.35">
      <c r="A55" s="109"/>
      <c r="B55" s="101"/>
      <c r="C55" s="97">
        <f>'4637'!B23</f>
        <v>1</v>
      </c>
      <c r="D55" s="4" t="str">
        <f>'4637'!C23</f>
        <v>DESFONDADO</v>
      </c>
      <c r="E55" s="117">
        <f>'4637'!D23</f>
        <v>0</v>
      </c>
      <c r="F55" s="117">
        <f>'4637'!E23</f>
        <v>0</v>
      </c>
      <c r="G55" s="4">
        <f>'4637'!F23</f>
        <v>0</v>
      </c>
      <c r="H55" s="30"/>
      <c r="K55" s="26"/>
      <c r="M55" s="29"/>
    </row>
    <row r="56" spans="1:13" s="10" customFormat="1" ht="20.100000000000001" customHeight="1" x14ac:dyDescent="0.35">
      <c r="A56" s="109"/>
      <c r="B56" s="101"/>
      <c r="C56" s="74"/>
      <c r="D56" s="74"/>
      <c r="E56" s="74"/>
      <c r="F56" s="74"/>
      <c r="G56" s="74"/>
      <c r="H56" s="30"/>
      <c r="K56" s="26"/>
      <c r="M56" s="29"/>
    </row>
    <row r="57" spans="1:13" s="10" customFormat="1" ht="15" customHeight="1" x14ac:dyDescent="0.35">
      <c r="B57" s="84"/>
      <c r="C57" s="67"/>
      <c r="D57" s="67"/>
      <c r="E57" s="67"/>
      <c r="F57" s="67"/>
      <c r="G57" s="67"/>
      <c r="H57" s="30"/>
    </row>
    <row r="58" spans="1:13" ht="18" x14ac:dyDescent="0.35">
      <c r="B58" s="74"/>
      <c r="C58" s="74"/>
      <c r="D58" s="30"/>
      <c r="E58" s="74"/>
      <c r="F58" s="74"/>
      <c r="G58" s="79"/>
      <c r="H58" s="30"/>
    </row>
    <row r="59" spans="1:13" ht="18" x14ac:dyDescent="0.35">
      <c r="B59" s="74"/>
      <c r="C59" s="74"/>
      <c r="D59" s="30"/>
      <c r="E59" s="74"/>
      <c r="F59" s="74"/>
      <c r="G59" s="74"/>
      <c r="H59" s="30"/>
      <c r="J59" s="10">
        <f>SUM(J53:J53)</f>
        <v>1.8924000000000001</v>
      </c>
      <c r="K59" s="27">
        <f>SUM(K53:K53)</f>
        <v>28386</v>
      </c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5" customHeight="1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74"/>
      <c r="C65" s="88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x14ac:dyDescent="0.3">
      <c r="C67" s="14"/>
      <c r="D67" s="14"/>
      <c r="F67" s="14"/>
      <c r="G67" s="14"/>
    </row>
    <row r="68" spans="2:8" x14ac:dyDescent="0.3">
      <c r="C68" s="14"/>
      <c r="D68" s="14"/>
      <c r="F68" s="14"/>
      <c r="G68" s="14"/>
    </row>
  </sheetData>
  <mergeCells count="6">
    <mergeCell ref="N3:O3"/>
    <mergeCell ref="B18:G18"/>
    <mergeCell ref="B10:G10"/>
    <mergeCell ref="B49:G49"/>
    <mergeCell ref="C51:G51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2025-04-22T12:36:12Z</cp:lastPrinted>
  <dcterms:created xsi:type="dcterms:W3CDTF">2013-03-19T12:54:14Z</dcterms:created>
  <dcterms:modified xsi:type="dcterms:W3CDTF">2025-04-22T12:36:25Z</dcterms:modified>
</cp:coreProperties>
</file>