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C5687C28-1CBC-403B-8ACC-1DE8E0A097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CUBIERTA!$A$45:$G$70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/>
  <c r="J16" i="3"/>
  <c r="C16" i="3" s="1"/>
  <c r="K16" i="3"/>
  <c r="E16" i="3" s="1"/>
  <c r="L16" i="3"/>
  <c r="G15" i="3"/>
  <c r="J15" i="3"/>
  <c r="C15" i="3" s="1"/>
  <c r="K15" i="3"/>
  <c r="E15" i="3" s="1"/>
  <c r="L15" i="3"/>
  <c r="F15" i="3" s="1"/>
  <c r="C58" i="3"/>
  <c r="C33" i="3" s="1"/>
  <c r="J25" i="3" s="1"/>
  <c r="C25" i="3" s="1"/>
  <c r="D58" i="3"/>
  <c r="D33" i="3" s="1"/>
  <c r="G25" i="3" s="1"/>
  <c r="E58" i="3"/>
  <c r="E33" i="3" s="1"/>
  <c r="K25" i="3" s="1"/>
  <c r="E25" i="3" s="1"/>
  <c r="F58" i="3"/>
  <c r="F33" i="3" s="1"/>
  <c r="L25" i="3" s="1"/>
  <c r="F25" i="3" s="1"/>
  <c r="G58" i="3"/>
  <c r="G33" i="3" s="1"/>
  <c r="C59" i="3"/>
  <c r="C34" i="3" s="1"/>
  <c r="J26" i="3" s="1"/>
  <c r="C26" i="3" s="1"/>
  <c r="D59" i="3"/>
  <c r="D34" i="3" s="1"/>
  <c r="G26" i="3" s="1"/>
  <c r="E59" i="3"/>
  <c r="E34" i="3" s="1"/>
  <c r="K26" i="3" s="1"/>
  <c r="E26" i="3" s="1"/>
  <c r="F59" i="3"/>
  <c r="F34" i="3" s="1"/>
  <c r="L26" i="3" s="1"/>
  <c r="F26" i="3" s="1"/>
  <c r="G59" i="3"/>
  <c r="G34" i="3" s="1"/>
  <c r="H23" i="4"/>
  <c r="H22" i="4"/>
  <c r="H21" i="4"/>
  <c r="G57" i="3"/>
  <c r="G32" i="3" s="1"/>
  <c r="F57" i="3"/>
  <c r="F32" i="3" s="1"/>
  <c r="L14" i="3" s="1"/>
  <c r="E57" i="3"/>
  <c r="E32" i="3" s="1"/>
  <c r="K14" i="3" s="1"/>
  <c r="C57" i="3"/>
  <c r="D57" i="3"/>
  <c r="D32" i="3" s="1"/>
  <c r="C32" i="3" l="1"/>
  <c r="H26" i="4" l="1"/>
  <c r="L21" i="4" l="1"/>
  <c r="K21" i="4"/>
  <c r="M21" i="4" l="1"/>
  <c r="N21" i="4" s="1"/>
  <c r="G24" i="3" l="1"/>
  <c r="L24" i="3"/>
  <c r="F24" i="3" s="1"/>
  <c r="J24" i="3" l="1"/>
  <c r="I32" i="3"/>
  <c r="J32" i="3" s="1"/>
  <c r="K24" i="3"/>
  <c r="E24" i="3" s="1"/>
  <c r="I57" i="3"/>
  <c r="J57" i="3" s="1"/>
  <c r="E14" i="3"/>
  <c r="G14" i="3"/>
  <c r="F14" i="3"/>
  <c r="C24" i="3" l="1"/>
  <c r="J14" i="3"/>
  <c r="C14" i="3" s="1"/>
  <c r="J38" i="3"/>
  <c r="K57" i="3"/>
  <c r="J63" i="3"/>
  <c r="H28" i="4"/>
  <c r="O5" i="3"/>
  <c r="K63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<sst xmlns="http://schemas.openxmlformats.org/spreadsheetml/2006/main" count="252" uniqueCount="146">
  <si>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</si>
  <si>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</si>
  <si>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</si>
  <si>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</si>
  <si>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</si>
  <si>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</si>
  <si>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</si>
  <si>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</si>
  <si>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</si>
  <si>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</si>
  <si>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</si>
  <si>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</si>
  <si>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</si>
  <si>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</si>
  <si>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</si>
  <si>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</si>
  <si>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</si>
  <si>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</si>
  <si>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</si>
  <si>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</si>
  <si>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</si>
  <si>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</si>
  <si>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</si>
  <si>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</si>
  <si>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</si>
  <si>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</si>
  <si>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</si>
  <si>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</si>
  <si>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</si>
  <si>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</si>
  <si>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</si>
  <si>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</si>
  <si>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</si>
  <si>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</si>
  <si>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</si>
  <si>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</si>
  <si>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</si>
  <si>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</si>
  <si>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</si>
  <si>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</si>
  <si>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</si>
  <si>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</si>
  <si>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</si>
  <si>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</si>
  <si>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</si>
  <si>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</si>
  <si>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</si>
  <si>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</si>
  <si>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</si>
  <si>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</si>
  <si>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</si>
  <si>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</si>
  <si>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</si>
  <si>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</si>
  <si>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</si>
  <si>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</si>
  <si>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</si>
  <si>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</si>
  <si>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</si>
  <si>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</si>
  <si>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</si>
  <si>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</si>
  <si>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</si>
  <si>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</si>
  <si>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</si>
  <si>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</si>
  <si>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</si>
  <si>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</si>
  <si>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</si>
  <si>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</si>
  <si>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</si>
  <si>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</si>
  <si>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</si>
  <si>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</si>
  <si>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</si>
  <si>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</si>
  <si>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</si>
  <si>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</si>
  <si>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</si>
  <si>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</si>
  <si>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</si>
  <si>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</si>
  <si>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</si>
  <si>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</si>
  <si>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</si>
  <si>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</si>
  <si>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</si>
  <si>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</si>
  <si>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</si>
  <si>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</si>
  <si>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</si>
  <si>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</si>
  <si>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</si>
  <si>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</si>
  <si>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</si>
  <si>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</si>
  <si>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</si>
  <si>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</si>
  <si>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</si>
  <si>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</si>
  <si>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</si>
  <si>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</si>
  <si>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</si>
  <si>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</si>
  <si>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</si>
  <si>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</si>
  <si>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</si>
  <si>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</si>
  <si>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</si>
  <si>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</si>
  <si>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</si>
  <si>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</si>
  <si>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</si>
  <si>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</si>
  <si>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</si>
  <si>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</si>
  <si>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</si>
  <si>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</si>
  <si>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</si>
  <si>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</si>
  <si>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</si>
  <si>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</si>
  <si>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</si>
  <si>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</si>
  <si>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</si>
  <si>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</si>
  <si>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</si>
  <si>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</si>
  <si>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</si>
  <si>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</si>
  <si>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</si>
  <si>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</si>
  <si>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</si>
  <si>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</si>
  <si>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</si>
  <si>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</si>
  <si>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</si>
  <si>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</si>
  <si>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</si>
  <si>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MDF 18MM</t>
  </si>
  <si>
    <t>FELIPE VIDAL</t>
  </si>
  <si>
    <t>5695205 8460</t>
  </si>
  <si>
    <t>EL CID 1861 MAIPU</t>
  </si>
  <si>
    <t>CUB C/R R8</t>
  </si>
  <si>
    <t>CLASICC 3111 BR F6</t>
  </si>
  <si>
    <t>CUB MESA R8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</si>
</sst>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$ 100.000.-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1019175</xdr:colOff>
      <xdr:row>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447675</xdr:colOff>
      <xdr:row>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64</xdr:row>
      <xdr:rowOff>32385</xdr:rowOff>
    </xdr:from>
    <xdr:to>
      <xdr:col>7</xdr:col>
      <xdr:colOff>0</xdr:colOff>
      <xdr:row>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6" zoomScale="98" zoomScaleNormal="98" workbookViewId="0">
      <selection activeCell="E8" sqref="E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11393</v>
      </c>
      <c r="E8" s="30"/>
      <c r="F8" s="35" t="s">
        <v>25</v>
      </c>
      <c r="G8" s="36">
        <v>4166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45763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45769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2" t="s">
        <v>141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6" t="s">
        <v>142</v>
      </c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8" t="s">
        <v>17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18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33">
        <v>1</v>
      </c>
      <c r="C21" s="133" t="s">
        <v>143</v>
      </c>
      <c r="D21" s="134">
        <v>1450</v>
      </c>
      <c r="E21" s="134">
        <v>600</v>
      </c>
      <c r="F21" s="133" t="s">
        <v>144</v>
      </c>
      <c r="G21" s="113">
        <v>60546</v>
      </c>
      <c r="H21" s="113">
        <f>G21*B21</f>
        <v>60546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33">
        <v>1</v>
      </c>
      <c r="C22" s="133" t="s">
        <v>143</v>
      </c>
      <c r="D22" s="134">
        <v>1700</v>
      </c>
      <c r="E22" s="134">
        <v>600</v>
      </c>
      <c r="F22" s="133" t="s">
        <v>144</v>
      </c>
      <c r="G22" s="113">
        <v>69949</v>
      </c>
      <c r="H22" s="113">
        <f>G22*B22</f>
        <v>69949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3">
        <v>1</v>
      </c>
      <c r="C23" s="133" t="s">
        <v>145</v>
      </c>
      <c r="D23" s="134">
        <v>1500</v>
      </c>
      <c r="E23" s="134">
        <v>670</v>
      </c>
      <c r="F23" s="133" t="s">
        <v>144</v>
      </c>
      <c r="G23" s="113">
        <v>69360</v>
      </c>
      <c r="H23" s="113">
        <f>G23*B23</f>
        <v>69360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04"/>
      <c r="E24" s="104"/>
      <c r="F24" s="103"/>
      <c r="G24" s="105"/>
      <c r="H24" s="105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3"/>
      <c r="C25" s="103"/>
      <c r="D25" s="112"/>
      <c r="E25" s="112"/>
      <c r="F25" s="103"/>
      <c r="G25" s="105"/>
      <c r="H25" s="105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/>
      <c r="C26" s="103"/>
      <c r="D26" s="112"/>
      <c r="E26" s="112"/>
      <c r="F26" s="103"/>
      <c r="G26" s="61" t="s">
        <v>5</v>
      </c>
      <c r="H26" s="62">
        <f>SUM(H21:H25)</f>
        <v>199855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G27" s="63" t="s">
        <v>136</v>
      </c>
      <c r="H27" s="64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3"/>
      <c r="C28" s="103"/>
      <c r="D28" s="112"/>
      <c r="E28" s="112"/>
      <c r="F28" s="103"/>
      <c r="G28" s="65" t="s">
        <v>4</v>
      </c>
      <c r="H28" s="66">
        <f>H26+H27</f>
        <v>199855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12"/>
      <c r="E30" s="112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12"/>
      <c r="E31" s="112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04"/>
      <c r="E32" s="104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/>
      <c r="C33" s="103"/>
      <c r="D33" s="104"/>
      <c r="E33" s="104"/>
      <c r="F33" s="103"/>
      <c r="G33" s="105"/>
      <c r="H33" s="105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60"/>
      <c r="C34" s="60"/>
      <c r="D34" s="60"/>
      <c r="E34" s="60"/>
      <c r="F34" s="60"/>
      <c r="G34" s="59"/>
      <c r="H34" s="59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7"/>
      <c r="H38" s="68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9" t="s">
        <v>133</v>
      </c>
      <c r="C40" s="70"/>
      <c r="D40" s="71"/>
      <c r="E40" s="71"/>
      <c r="F40" s="60"/>
      <c r="G40" s="30"/>
      <c r="H40" s="30"/>
      <c r="I40" s="30"/>
    </row>
    <row r="41" spans="1:16" ht="18" x14ac:dyDescent="0.35">
      <c r="A41" s="30"/>
      <c r="B41" s="69" t="s">
        <v>119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2" t="s">
        <v>24</v>
      </c>
      <c r="C43" s="72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2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73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72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2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28</v>
      </c>
      <c r="C2" s="123"/>
      <c r="D2" s="123"/>
      <c r="E2" s="12"/>
      <c r="G2" s="123" t="s">
        <v>67</v>
      </c>
      <c r="H2" s="123"/>
      <c r="I2" s="123"/>
      <c r="P2" s="124" t="s">
        <v>55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4" t="s">
        <v>55</v>
      </c>
      <c r="M8" s="124"/>
      <c r="N8" s="12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2"/>
  <sheetViews>
    <sheetView tabSelected="1" topLeftCell="A35" zoomScaleNormal="100" workbookViewId="0">
      <selection activeCell="A45" sqref="A45:G7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58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5" t="s">
        <v>25</v>
      </c>
      <c r="E4" s="76">
        <f>'4637'!G8</f>
        <v>4166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FELIPE VIDAL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45769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58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138</v>
      </c>
      <c r="C14" s="95">
        <f>J14</f>
        <v>1</v>
      </c>
      <c r="D14" s="95"/>
      <c r="E14" s="95">
        <f>K14+E$13</f>
        <v>1530</v>
      </c>
      <c r="F14" s="95">
        <f>L14+F$13</f>
        <v>570</v>
      </c>
      <c r="G14" s="95" t="str">
        <f>D32</f>
        <v>CUB C/R R8</v>
      </c>
      <c r="H14" s="30"/>
      <c r="J14" s="3">
        <f>J24</f>
        <v>1</v>
      </c>
      <c r="K14" s="4">
        <f t="shared" ref="K14:L14" si="0">E32</f>
        <v>1450</v>
      </c>
      <c r="L14" s="4">
        <f t="shared" si="0"/>
        <v>600</v>
      </c>
    </row>
    <row r="15" spans="1:15" ht="18" x14ac:dyDescent="0.35">
      <c r="A15" s="109"/>
      <c r="B15" s="102"/>
      <c r="C15" s="95">
        <f>J15</f>
        <v>1</v>
      </c>
      <c r="D15" s="95"/>
      <c r="E15" s="95">
        <f>K15+E$13</f>
        <v>1780</v>
      </c>
      <c r="F15" s="95">
        <f>L15+F$13</f>
        <v>570</v>
      </c>
      <c r="G15" s="95" t="str">
        <f>D33</f>
        <v>CUB C/R R8</v>
      </c>
      <c r="H15" s="30"/>
      <c r="J15" s="3">
        <f>J25</f>
        <v>1</v>
      </c>
      <c r="K15" s="4">
        <f t="shared" ref="K15" si="1">E33</f>
        <v>1700</v>
      </c>
      <c r="L15" s="4">
        <f t="shared" ref="L15" si="2">F33</f>
        <v>600</v>
      </c>
    </row>
    <row r="16" spans="1:15" ht="18" x14ac:dyDescent="0.35">
      <c r="A16" s="109"/>
      <c r="B16" s="102"/>
      <c r="C16" s="95">
        <f>J16</f>
        <v>1</v>
      </c>
      <c r="D16" s="95"/>
      <c r="E16" s="95">
        <f>K16+E$13</f>
        <v>1580</v>
      </c>
      <c r="F16" s="95">
        <f>L16</f>
        <v>670</v>
      </c>
      <c r="G16" s="95" t="str">
        <f>D34</f>
        <v>CUB MESA R8 2L</v>
      </c>
      <c r="H16" s="30"/>
      <c r="J16" s="3">
        <f>J26</f>
        <v>1</v>
      </c>
      <c r="K16" s="4">
        <f t="shared" ref="K16" si="3">E34</f>
        <v>1500</v>
      </c>
      <c r="L16" s="4">
        <f t="shared" ref="L16" si="4">F34</f>
        <v>670</v>
      </c>
    </row>
    <row r="17" spans="1:12" ht="18" x14ac:dyDescent="0.35">
      <c r="A17" s="109"/>
      <c r="B17" s="102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18" x14ac:dyDescent="0.35">
      <c r="A18" s="2"/>
      <c r="B18" s="84"/>
      <c r="C18" s="74"/>
      <c r="D18" s="74"/>
      <c r="E18" s="74"/>
      <c r="F18" s="74"/>
      <c r="G18" s="74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6" t="s">
        <v>13</v>
      </c>
      <c r="C20" s="126"/>
      <c r="D20" s="126"/>
      <c r="E20" s="126"/>
      <c r="F20" s="126"/>
      <c r="G20" s="126"/>
      <c r="H20" s="30"/>
    </row>
    <row r="21" spans="1:12" ht="10.5" customHeight="1" x14ac:dyDescent="0.35">
      <c r="A21" s="2"/>
      <c r="B21" s="30"/>
      <c r="C21" s="30"/>
      <c r="D21" s="92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7" t="s">
        <v>6</v>
      </c>
      <c r="F22" s="67" t="s">
        <v>7</v>
      </c>
      <c r="G22" s="30"/>
      <c r="H22" s="30"/>
    </row>
    <row r="23" spans="1:12" ht="18" x14ac:dyDescent="0.35">
      <c r="A23" s="2"/>
      <c r="B23" s="67" t="s">
        <v>8</v>
      </c>
      <c r="C23" s="83" t="s">
        <v>9</v>
      </c>
      <c r="D23" s="83" t="s">
        <v>10</v>
      </c>
      <c r="E23" s="96">
        <v>40</v>
      </c>
      <c r="F23" s="96">
        <v>130</v>
      </c>
      <c r="G23" s="83" t="s">
        <v>107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2"/>
      <c r="C24" s="97">
        <f t="shared" ref="C24" si="5">J24</f>
        <v>1</v>
      </c>
      <c r="D24" s="97"/>
      <c r="E24" s="97">
        <f>K24+E$23</f>
        <v>1490</v>
      </c>
      <c r="F24" s="97">
        <f>L24+F$23</f>
        <v>730</v>
      </c>
      <c r="G24" s="97" t="str">
        <f>D32</f>
        <v>CUB C/R R8</v>
      </c>
      <c r="H24" s="30"/>
      <c r="J24" s="3">
        <f>C32</f>
        <v>1</v>
      </c>
      <c r="K24" s="106">
        <f>E32</f>
        <v>1450</v>
      </c>
      <c r="L24" s="106">
        <f>F32</f>
        <v>600</v>
      </c>
    </row>
    <row r="25" spans="1:12" ht="18" x14ac:dyDescent="0.35">
      <c r="A25" s="109"/>
      <c r="B25" s="102"/>
      <c r="C25" s="97">
        <f t="shared" ref="C25:C26" si="6">J25</f>
        <v>1</v>
      </c>
      <c r="D25" s="97"/>
      <c r="E25" s="97">
        <f t="shared" ref="E25:E26" si="7">K25+E$23</f>
        <v>1740</v>
      </c>
      <c r="F25" s="97">
        <f t="shared" ref="F25:F26" si="8">L25+F$23</f>
        <v>730</v>
      </c>
      <c r="G25" s="97" t="str">
        <f t="shared" ref="G25:G26" si="9">D33</f>
        <v>CUB C/R R8</v>
      </c>
      <c r="H25" s="30"/>
      <c r="J25" s="3">
        <f t="shared" ref="J25:J26" si="10">C33</f>
        <v>1</v>
      </c>
      <c r="K25" s="106">
        <f t="shared" ref="K25:L25" si="11">E33</f>
        <v>1700</v>
      </c>
      <c r="L25" s="106">
        <f t="shared" si="11"/>
        <v>600</v>
      </c>
    </row>
    <row r="26" spans="1:12" ht="18" x14ac:dyDescent="0.35">
      <c r="A26" s="109"/>
      <c r="B26" s="102"/>
      <c r="C26" s="97">
        <f t="shared" si="6"/>
        <v>1</v>
      </c>
      <c r="D26" s="97"/>
      <c r="E26" s="97">
        <f t="shared" si="7"/>
        <v>1540</v>
      </c>
      <c r="F26" s="97">
        <f t="shared" si="8"/>
        <v>800</v>
      </c>
      <c r="G26" s="97" t="str">
        <f t="shared" si="9"/>
        <v>CUB MESA R8 2L</v>
      </c>
      <c r="H26" s="30"/>
      <c r="J26" s="3">
        <f t="shared" si="10"/>
        <v>1</v>
      </c>
      <c r="K26" s="106">
        <f t="shared" ref="K26:L26" si="12">E34</f>
        <v>1500</v>
      </c>
      <c r="L26" s="106">
        <f t="shared" si="12"/>
        <v>670</v>
      </c>
    </row>
    <row r="27" spans="1:12" ht="18" x14ac:dyDescent="0.35">
      <c r="A27" s="109"/>
      <c r="B27" s="102"/>
      <c r="C27" s="74"/>
      <c r="D27" s="74"/>
      <c r="E27" s="74"/>
      <c r="F27" s="74"/>
      <c r="G27" s="74"/>
      <c r="H27" s="30"/>
      <c r="J27" s="23"/>
      <c r="K27" s="111"/>
      <c r="L27" s="111"/>
    </row>
    <row r="28" spans="1:12" ht="18.600000000000001" thickBot="1" x14ac:dyDescent="0.4">
      <c r="A28" s="2"/>
      <c r="B28" s="84"/>
      <c r="C28" s="74"/>
      <c r="D28" s="74"/>
      <c r="E28" s="74"/>
      <c r="F28" s="74"/>
      <c r="G28" s="74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7"/>
      <c r="C29" s="98" t="s">
        <v>104</v>
      </c>
      <c r="D29" s="33"/>
      <c r="E29" s="33"/>
      <c r="F29" s="33"/>
      <c r="G29" s="99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7" t="s">
        <v>8</v>
      </c>
      <c r="C31" s="100" t="s">
        <v>9</v>
      </c>
      <c r="D31" s="100" t="s">
        <v>107</v>
      </c>
      <c r="E31" s="100" t="s">
        <v>6</v>
      </c>
      <c r="F31" s="100" t="s">
        <v>7</v>
      </c>
      <c r="G31" s="100" t="s">
        <v>21</v>
      </c>
      <c r="H31" s="30"/>
    </row>
    <row r="32" spans="1:12" ht="18" x14ac:dyDescent="0.35">
      <c r="A32" s="109">
        <v>1</v>
      </c>
      <c r="B32" s="102" t="s">
        <v>139</v>
      </c>
      <c r="C32" s="95">
        <f>C57</f>
        <v>1</v>
      </c>
      <c r="D32" s="95" t="str">
        <f>D57</f>
        <v>CUB C/R R8</v>
      </c>
      <c r="E32" s="117">
        <f>E57</f>
        <v>1450</v>
      </c>
      <c r="F32" s="117">
        <f>F57</f>
        <v>600</v>
      </c>
      <c r="G32" s="4" t="str">
        <f>G57</f>
        <v>CLASICC 3111 BR F6</v>
      </c>
      <c r="H32" s="30"/>
      <c r="I32" s="28">
        <f>E32*F32/1000000</f>
        <v>0.87</v>
      </c>
      <c r="J32" s="28">
        <f>I32*C32</f>
        <v>0.87</v>
      </c>
    </row>
    <row r="33" spans="1:10" ht="18" x14ac:dyDescent="0.35">
      <c r="A33" s="109"/>
      <c r="B33" s="102"/>
      <c r="C33" s="95">
        <f t="shared" ref="C33:G33" si="13">C58</f>
        <v>1</v>
      </c>
      <c r="D33" s="95" t="str">
        <f t="shared" si="13"/>
        <v>CUB C/R R8</v>
      </c>
      <c r="E33" s="117">
        <f t="shared" si="13"/>
        <v>1700</v>
      </c>
      <c r="F33" s="117">
        <f t="shared" si="13"/>
        <v>600</v>
      </c>
      <c r="G33" s="4" t="str">
        <f t="shared" si="13"/>
        <v>CLASICC 3111 BR F6</v>
      </c>
      <c r="H33" s="30"/>
      <c r="I33" s="28"/>
      <c r="J33" s="28"/>
    </row>
    <row r="34" spans="1:10" ht="18" x14ac:dyDescent="0.35">
      <c r="A34" s="109"/>
      <c r="B34" s="102"/>
      <c r="C34" s="95">
        <f t="shared" ref="C34:G34" si="14">C59</f>
        <v>1</v>
      </c>
      <c r="D34" s="95" t="str">
        <f t="shared" si="14"/>
        <v>CUB MESA R8 2L</v>
      </c>
      <c r="E34" s="117">
        <f t="shared" si="14"/>
        <v>1500</v>
      </c>
      <c r="F34" s="117">
        <f t="shared" si="14"/>
        <v>670</v>
      </c>
      <c r="G34" s="4" t="str">
        <f t="shared" si="14"/>
        <v>CLASICC 3111 BR F6</v>
      </c>
      <c r="H34" s="30"/>
      <c r="I34" s="28"/>
      <c r="J34" s="28"/>
    </row>
    <row r="35" spans="1:10" ht="18" x14ac:dyDescent="0.35">
      <c r="A35" s="109"/>
      <c r="B35" s="102"/>
      <c r="C35" s="74"/>
      <c r="D35" s="74"/>
      <c r="E35" s="74"/>
      <c r="F35" s="74"/>
      <c r="G35" s="74"/>
      <c r="H35" s="30"/>
      <c r="I35" s="28"/>
      <c r="J35" s="28"/>
    </row>
    <row r="36" spans="1:10" ht="18" x14ac:dyDescent="0.35">
      <c r="A36" s="2"/>
      <c r="B36" s="84"/>
      <c r="C36" s="74"/>
      <c r="D36" s="74"/>
      <c r="E36" s="74"/>
      <c r="F36" s="74"/>
      <c r="G36" s="74"/>
      <c r="H36" s="30"/>
      <c r="I36" s="28"/>
      <c r="J36" s="28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  <c r="J38" s="28">
        <f>SUM(J32:J32)*2</f>
        <v>1.74</v>
      </c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74"/>
      <c r="D45" s="74"/>
      <c r="E45" s="74"/>
      <c r="F45" s="74"/>
      <c r="G45" s="74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75" t="s">
        <v>25</v>
      </c>
      <c r="E47" s="76">
        <f>'4637'!G8</f>
        <v>4166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7" t="s">
        <v>64</v>
      </c>
      <c r="E48" s="78" t="str">
        <f>'4637'!C10</f>
        <v>FELIPE VIDAL</v>
      </c>
      <c r="F48" s="48"/>
      <c r="G48" s="48"/>
      <c r="H48" s="30"/>
    </row>
    <row r="49" spans="1:13" ht="4.5" customHeight="1" x14ac:dyDescent="0.35">
      <c r="A49" s="2"/>
      <c r="B49" s="30"/>
      <c r="C49" s="30"/>
      <c r="D49" s="79"/>
      <c r="E49" s="80"/>
      <c r="F49" s="30"/>
      <c r="G49" s="30"/>
      <c r="H49" s="30"/>
    </row>
    <row r="50" spans="1:13" ht="18" x14ac:dyDescent="0.35">
      <c r="A50" s="2"/>
      <c r="B50" s="30"/>
      <c r="C50" s="30"/>
      <c r="D50" s="81" t="str">
        <f>'4637'!F11</f>
        <v>FECHA LIMITE :</v>
      </c>
      <c r="E50" s="82">
        <f>'4637'!G11</f>
        <v>45769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135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27" t="s">
        <v>65</v>
      </c>
      <c r="C53" s="127"/>
      <c r="D53" s="127"/>
      <c r="E53" s="127"/>
      <c r="F53" s="127"/>
      <c r="G53" s="127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28" t="s">
        <v>66</v>
      </c>
      <c r="D55" s="129"/>
      <c r="E55" s="130"/>
      <c r="F55" s="130"/>
      <c r="G55" s="131"/>
      <c r="H55" s="30"/>
      <c r="I55" s="25" t="s">
        <v>130</v>
      </c>
    </row>
    <row r="56" spans="1:13" s="10" customFormat="1" ht="20.100000000000001" customHeight="1" x14ac:dyDescent="0.35">
      <c r="A56" s="110"/>
      <c r="B56" s="30"/>
      <c r="C56" s="85" t="s">
        <v>9</v>
      </c>
      <c r="D56" s="86" t="s">
        <v>10</v>
      </c>
      <c r="E56" s="89" t="s">
        <v>6</v>
      </c>
      <c r="F56" s="89" t="s">
        <v>7</v>
      </c>
      <c r="G56" s="87" t="s">
        <v>11</v>
      </c>
      <c r="H56" s="30"/>
      <c r="K56" s="10">
        <v>15000</v>
      </c>
    </row>
    <row r="57" spans="1:13" s="10" customFormat="1" ht="20.100000000000001" customHeight="1" x14ac:dyDescent="0.35">
      <c r="A57" s="109">
        <v>1</v>
      </c>
      <c r="B57" s="101" t="s">
        <v>138</v>
      </c>
      <c r="C57" s="97">
        <f>'4637'!B21</f>
        <v>1</v>
      </c>
      <c r="D57" s="4" t="str">
        <f>'4637'!C21</f>
        <v>CUB C/R R8</v>
      </c>
      <c r="E57" s="117">
        <f>'4637'!D21</f>
        <v>1450</v>
      </c>
      <c r="F57" s="117">
        <f>'4637'!E21</f>
        <v>600</v>
      </c>
      <c r="G57" s="4" t="str">
        <f>'4637'!F21</f>
        <v>CLASICC 3111 BR F6</v>
      </c>
      <c r="H57" s="30"/>
      <c r="I57" s="10">
        <f>E57*F57/1000000</f>
        <v>0.87</v>
      </c>
      <c r="J57" s="10">
        <f>I57*C57</f>
        <v>0.87</v>
      </c>
      <c r="K57" s="26">
        <f>J57*K$56</f>
        <v>13050</v>
      </c>
      <c r="M57" s="24">
        <v>12096</v>
      </c>
    </row>
    <row r="58" spans="1:13" s="10" customFormat="1" ht="20.100000000000001" customHeight="1" x14ac:dyDescent="0.35">
      <c r="A58" s="109"/>
      <c r="B58" s="101"/>
      <c r="C58" s="97">
        <f>'4637'!B22</f>
        <v>1</v>
      </c>
      <c r="D58" s="4" t="str">
        <f>'4637'!C22</f>
        <v>CUB C/R R8</v>
      </c>
      <c r="E58" s="117">
        <f>'4637'!D22</f>
        <v>1700</v>
      </c>
      <c r="F58" s="117">
        <f>'4637'!E22</f>
        <v>600</v>
      </c>
      <c r="G58" s="4" t="str">
        <f>'4637'!F22</f>
        <v>CLASICC 3111 BR F6</v>
      </c>
      <c r="H58" s="30"/>
      <c r="K58" s="26"/>
      <c r="M58" s="29"/>
    </row>
    <row r="59" spans="1:13" s="10" customFormat="1" ht="20.100000000000001" customHeight="1" x14ac:dyDescent="0.35">
      <c r="A59" s="109"/>
      <c r="B59" s="101"/>
      <c r="C59" s="97">
        <f>'4637'!B23</f>
        <v>1</v>
      </c>
      <c r="D59" s="4" t="str">
        <f>'4637'!C23</f>
        <v>CUB MESA R8 2L</v>
      </c>
      <c r="E59" s="117">
        <f>'4637'!D23</f>
        <v>1500</v>
      </c>
      <c r="F59" s="117">
        <f>'4637'!E23</f>
        <v>670</v>
      </c>
      <c r="G59" s="4" t="str">
        <f>'4637'!F23</f>
        <v>CLASICC 3111 BR F6</v>
      </c>
      <c r="H59" s="30"/>
      <c r="K59" s="26"/>
      <c r="M59" s="29"/>
    </row>
    <row r="60" spans="1:13" s="10" customFormat="1" ht="20.100000000000001" customHeight="1" x14ac:dyDescent="0.35">
      <c r="A60" s="109"/>
      <c r="B60" s="101"/>
      <c r="C60" s="74"/>
      <c r="D60" s="74"/>
      <c r="E60" s="74"/>
      <c r="F60" s="74"/>
      <c r="G60" s="74"/>
      <c r="H60" s="30"/>
      <c r="K60" s="26"/>
      <c r="M60" s="29"/>
    </row>
    <row r="61" spans="1:13" s="10" customFormat="1" ht="15" customHeight="1" x14ac:dyDescent="0.35">
      <c r="B61" s="84"/>
      <c r="C61" s="67"/>
      <c r="D61" s="67"/>
      <c r="E61" s="67"/>
      <c r="F61" s="67"/>
      <c r="G61" s="67"/>
      <c r="H61" s="30"/>
    </row>
    <row r="62" spans="1:13" ht="18" x14ac:dyDescent="0.35">
      <c r="B62" s="74"/>
      <c r="C62" s="74"/>
      <c r="D62" s="30"/>
      <c r="E62" s="74"/>
      <c r="F62" s="74"/>
      <c r="G62" s="79"/>
      <c r="H62" s="30"/>
    </row>
    <row r="63" spans="1:13" ht="18" x14ac:dyDescent="0.35">
      <c r="B63" s="74"/>
      <c r="C63" s="74"/>
      <c r="D63" s="30"/>
      <c r="E63" s="74"/>
      <c r="F63" s="74"/>
      <c r="G63" s="74"/>
      <c r="H63" s="30"/>
      <c r="J63" s="10">
        <f>SUM(J57:J57)</f>
        <v>0.87</v>
      </c>
      <c r="K63" s="27">
        <f>SUM(K57:K57)</f>
        <v>13050</v>
      </c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5" customHeight="1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74"/>
      <c r="C69" s="88"/>
      <c r="D69" s="30"/>
      <c r="E69" s="30"/>
      <c r="F69" s="30"/>
      <c r="G69" s="30"/>
      <c r="H69" s="30"/>
    </row>
    <row r="70" spans="2:8" ht="18" x14ac:dyDescent="0.35">
      <c r="B70" s="30"/>
      <c r="C70" s="30"/>
      <c r="D70" s="30"/>
      <c r="E70" s="30"/>
      <c r="F70" s="30"/>
      <c r="G70" s="30"/>
      <c r="H70" s="30"/>
    </row>
    <row r="71" spans="2:8" x14ac:dyDescent="0.3">
      <c r="C71" s="14"/>
      <c r="D71" s="14"/>
      <c r="F71" s="14"/>
      <c r="G71" s="14"/>
    </row>
    <row r="72" spans="2:8" x14ac:dyDescent="0.3">
      <c r="C72" s="14"/>
      <c r="D72" s="14"/>
      <c r="F72" s="14"/>
      <c r="G72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2025-04-21T14:41:11Z</cp:lastPrinted>
  <dcterms:created xsi:type="dcterms:W3CDTF">2013-03-19T12:54:14Z</dcterms:created>
  <dcterms:modified xsi:type="dcterms:W3CDTF">2025-04-21T14:41:18Z</dcterms:modified>
</cp:coreProperties>
</file>