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D1B92507-0992-440A-A5F9-95D1E7CEC09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G31" i="3" s="1"/>
  <c r="G54" i="3"/>
  <c r="G30" i="3" s="1"/>
  <c r="F55" i="3"/>
  <c r="F31" i="3" s="1"/>
  <c r="L15" i="3" s="1"/>
  <c r="F15" i="3" s="1"/>
  <c r="F54" i="3"/>
  <c r="F30" i="3" s="1"/>
  <c r="L14" i="3" s="1"/>
  <c r="E55" i="3"/>
  <c r="E31" i="3" s="1"/>
  <c r="K15" i="3" s="1"/>
  <c r="E15" i="3" s="1"/>
  <c r="E54" i="3"/>
  <c r="E30" i="3" s="1"/>
  <c r="K14" i="3" s="1"/>
  <c r="C55" i="3"/>
  <c r="C54" i="3"/>
  <c r="D55" i="3"/>
  <c r="D31" i="3" s="1"/>
  <c r="D54" i="3"/>
  <c r="D30" i="3" s="1"/>
  <c r="C31" i="3" l="1"/>
  <c r="C30" i="3"/>
  <c r="H22" i="4"/>
  <c r="H21" i="4"/>
  <c r="H25" i="4" l="1"/>
  <c r="J24" i="3" l="1"/>
  <c r="C24" i="3" l="1"/>
  <c r="J15" i="3"/>
  <c r="C15" i="3" s="1"/>
  <c r="G24" i="3"/>
  <c r="G15" i="3"/>
  <c r="L24" i="3"/>
  <c r="F24" i="3" s="1"/>
  <c r="K24" i="3"/>
  <c r="E24" i="3" s="1"/>
  <c r="L21" i="4" l="1"/>
  <c r="K21" i="4"/>
  <c r="M21" i="4" l="1"/>
  <c r="N21" i="4" s="1"/>
  <c r="G23" i="3" l="1"/>
  <c r="L23" i="3"/>
  <c r="F23" i="3" s="1"/>
  <c r="J23" i="3" l="1"/>
  <c r="I30" i="3"/>
  <c r="J30" i="3" s="1"/>
  <c r="K23" i="3"/>
  <c r="E23" i="3" s="1"/>
  <c r="I54" i="3"/>
  <c r="J54" i="3" s="1"/>
  <c r="E14" i="3"/>
  <c r="G14" i="3"/>
  <c r="F14" i="3"/>
  <c r="C23" i="3" l="1"/>
  <c r="J14" i="3"/>
  <c r="C14" i="3" s="1"/>
  <c r="J35" i="3"/>
  <c r="K54" i="3"/>
  <c r="J59" i="3"/>
  <c r="H27" i="4"/>
  <c r="O5" i="3"/>
  <c r="K59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<sst xmlns="http://schemas.openxmlformats.org/spreadsheetml/2006/main" count="250" uniqueCount="145">
  <si>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</si>
  <si>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</si>
  <si>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</si>
  <si>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</si>
  <si>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</si>
  <si>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</si>
  <si>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</si>
  <si>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</si>
  <si>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</si>
  <si>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</si>
  <si>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</si>
  <si>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</si>
  <si>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</si>
  <si>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</si>
  <si>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</si>
  <si>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</si>
  <si>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</si>
  <si>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</si>
  <si>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</si>
  <si>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</si>
  <si>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</si>
  <si>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</si>
  <si>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</si>
  <si>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</si>
  <si>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</si>
  <si>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</si>
  <si>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</si>
  <si>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</si>
  <si>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</si>
  <si>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</si>
  <si>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</si>
  <si>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</si>
  <si>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</si>
  <si>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</si>
  <si>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</si>
  <si>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</si>
  <si>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</si>
  <si>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</si>
  <si>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</si>
  <si>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</si>
  <si>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</si>
  <si>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</si>
  <si>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</si>
  <si>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</si>
  <si>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</si>
  <si>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</si>
  <si>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</si>
  <si>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</si>
  <si>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</si>
  <si>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</si>
  <si>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</si>
  <si>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</si>
  <si>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</si>
  <si>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</si>
  <si>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</si>
  <si>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</si>
  <si>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</si>
  <si>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</si>
  <si>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</si>
  <si>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</si>
  <si>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</si>
  <si>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</si>
  <si>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</si>
  <si>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</si>
  <si>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</si>
  <si>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</si>
  <si>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</si>
  <si>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</si>
  <si>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</si>
  <si>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</si>
  <si>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</si>
  <si>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</si>
  <si>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</si>
  <si>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</si>
  <si>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</si>
  <si>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</si>
  <si>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</si>
  <si>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</si>
  <si>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</si>
  <si>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</si>
  <si>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</si>
  <si>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</si>
  <si>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</si>
  <si>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</si>
  <si>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</si>
  <si>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</si>
  <si>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</si>
  <si>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</si>
  <si>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</si>
  <si>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</si>
  <si>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</si>
  <si>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</si>
  <si>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</si>
  <si>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</si>
  <si>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</si>
  <si>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</si>
  <si>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</si>
  <si>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</si>
  <si>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</si>
  <si>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</si>
  <si>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</si>
  <si>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</si>
  <si>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</si>
  <si>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</si>
  <si>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</si>
  <si>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</si>
  <si>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</si>
  <si>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</si>
  <si>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</si>
  <si>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</si>
  <si>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</si>
  <si>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</si>
  <si>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</si>
  <si>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</si>
  <si>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</si>
  <si>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</si>
  <si>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</si>
  <si>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</si>
  <si>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</si>
  <si>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</si>
  <si>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</si>
  <si>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</si>
  <si>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</si>
  <si>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</si>
  <si>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</si>
  <si>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</si>
  <si>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</si>
  <si>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</si>
  <si>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</si>
  <si>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</si>
  <si>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</si>
  <si>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</si>
  <si>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</si>
  <si>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</si>
  <si>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</si>
  <si>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</si>
  <si>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</si>
  <si>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</si>
  <si>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</si>
  <si>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</si>
  <si>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</si>
  <si>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ALICIA ROCHA</t>
  </si>
  <si>
    <t>569 9537 9899</t>
  </si>
  <si>
    <t>PJE NIDO DE AGUILA 1294 MAIPU</t>
  </si>
  <si>
    <t>BLANCO BRILLO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</si>
</sst>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9" fillId="3" borderId="0" xfId="0" quotePrefix="1" applyFont="1" applyFill="1"/>
    <xf numFmtId="0" fontId="20" fillId="0" borderId="0" xfId="0" applyFont="1"/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6" fontId="2" fillId="0" borderId="29" xfId="1" applyNumberFormat="1" applyFont="1" applyFill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6" fontId="2" fillId="0" borderId="31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SON PARA INSTALACION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SON PARA INSTALACION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60</xdr:row>
      <xdr:rowOff>32385</xdr:rowOff>
    </xdr:from>
    <xdr:to>
      <xdr:col>7</xdr:col>
      <xdr:colOff>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SON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5" zoomScale="98" zoomScaleNormal="98" workbookViewId="0">
      <selection activeCell="C33" sqref="C3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11355</v>
      </c>
      <c r="E8" s="30">
        <v>0</v>
      </c>
      <c r="F8" s="35" t="s">
        <v>25</v>
      </c>
      <c r="G8" s="36">
        <v>4171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45770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45771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9" t="s">
        <v>142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20" t="s">
        <v>143</v>
      </c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6" t="s">
        <v>17</v>
      </c>
      <c r="G16" s="126"/>
      <c r="H16" s="12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8" t="s">
        <v>18</v>
      </c>
      <c r="C19" s="129"/>
      <c r="D19" s="129"/>
      <c r="E19" s="129"/>
      <c r="F19" s="129"/>
      <c r="G19" s="129"/>
      <c r="H19" s="130"/>
      <c r="I19" s="30"/>
    </row>
    <row r="20" spans="1:16" ht="20.100000000000001" customHeight="1" thickBot="1" x14ac:dyDescent="0.4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58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21">
        <v>1</v>
      </c>
      <c r="C21" s="122" t="s">
        <v>60</v>
      </c>
      <c r="D21" s="124">
        <v>700</v>
      </c>
      <c r="E21" s="124">
        <v>437</v>
      </c>
      <c r="F21" s="122" t="s">
        <v>144</v>
      </c>
      <c r="G21" s="123">
        <v>25500</v>
      </c>
      <c r="H21" s="140">
        <f>G21*B21</f>
        <v>25500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60</v>
      </c>
      <c r="D22" s="104">
        <v>700</v>
      </c>
      <c r="E22" s="104">
        <v>387</v>
      </c>
      <c r="F22" s="103" t="s">
        <v>144</v>
      </c>
      <c r="G22" s="116">
        <v>23500</v>
      </c>
      <c r="H22" s="116">
        <f t="shared" ref="H22" si="0">G22*B22</f>
        <v>23500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5"/>
      <c r="C23" s="105"/>
      <c r="D23" s="106"/>
      <c r="E23" s="106"/>
      <c r="F23" s="105"/>
      <c r="G23" s="107"/>
      <c r="H23" s="107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5"/>
      <c r="C24" s="105"/>
      <c r="D24" s="115"/>
      <c r="E24" s="115"/>
      <c r="F24" s="105"/>
      <c r="G24" s="107"/>
      <c r="H24" s="107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5"/>
      <c r="C25" s="105"/>
      <c r="D25" s="115"/>
      <c r="E25" s="115"/>
      <c r="F25" s="105"/>
      <c r="G25" s="61" t="s">
        <v>5</v>
      </c>
      <c r="H25" s="62">
        <f>SUM(H21:H24)</f>
        <v>49000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5"/>
      <c r="C26" s="105"/>
      <c r="D26" s="115"/>
      <c r="E26" s="115"/>
      <c r="F26" s="105"/>
      <c r="G26" s="63" t="s">
        <v>139</v>
      </c>
      <c r="H26" s="64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5"/>
      <c r="C27" s="105"/>
      <c r="D27" s="115"/>
      <c r="E27" s="115"/>
      <c r="F27" s="105"/>
      <c r="G27" s="65" t="s">
        <v>4</v>
      </c>
      <c r="H27" s="66">
        <f>H25+H26</f>
        <v>49000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5"/>
      <c r="C28" s="105"/>
      <c r="D28" s="115"/>
      <c r="E28" s="115"/>
      <c r="F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5"/>
      <c r="C29" s="105"/>
      <c r="D29" s="115"/>
      <c r="E29" s="115"/>
      <c r="F29" s="105"/>
      <c r="G29" s="107"/>
      <c r="H29" s="107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5"/>
      <c r="C30" s="105"/>
      <c r="D30" s="115"/>
      <c r="E30" s="115"/>
      <c r="F30" s="105"/>
      <c r="G30" s="107"/>
      <c r="H30" s="107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5"/>
      <c r="C31" s="105"/>
      <c r="D31" s="106"/>
      <c r="E31" s="106"/>
      <c r="F31" s="105"/>
      <c r="G31" s="107"/>
      <c r="H31" s="107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5"/>
      <c r="C32" s="105"/>
      <c r="D32" s="106"/>
      <c r="E32" s="106"/>
      <c r="F32" s="105"/>
      <c r="G32" s="107"/>
      <c r="H32" s="107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60"/>
      <c r="C33" s="60"/>
      <c r="D33" s="60"/>
      <c r="E33" s="60"/>
      <c r="F33" s="60"/>
      <c r="G33" s="59"/>
      <c r="H33" s="59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7"/>
      <c r="H37" s="68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9" t="s">
        <v>133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69" t="s">
        <v>119</v>
      </c>
      <c r="C40" s="70"/>
      <c r="D40" s="71"/>
      <c r="E40" s="71"/>
      <c r="F40" s="60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72" t="s">
        <v>24</v>
      </c>
      <c r="C42" s="72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2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73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72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28</v>
      </c>
      <c r="C2" s="131"/>
      <c r="D2" s="131"/>
      <c r="E2" s="12"/>
      <c r="G2" s="131" t="s">
        <v>67</v>
      </c>
      <c r="H2" s="131"/>
      <c r="I2" s="131"/>
      <c r="P2" s="132" t="s">
        <v>55</v>
      </c>
      <c r="Q2" s="132"/>
      <c r="R2" s="13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2" t="s">
        <v>55</v>
      </c>
      <c r="M8" s="132"/>
      <c r="N8" s="13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abSelected="1" zoomScaleNormal="100" workbookViewId="0">
      <selection sqref="A1:G4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3" t="s">
        <v>58</v>
      </c>
      <c r="M3" s="133"/>
      <c r="N3" s="133" t="s">
        <v>13</v>
      </c>
      <c r="O3" s="133"/>
    </row>
    <row r="4" spans="1:15" ht="15.75" customHeight="1" x14ac:dyDescent="0.35">
      <c r="B4" s="30"/>
      <c r="C4" s="30"/>
      <c r="D4" s="75" t="s">
        <v>25</v>
      </c>
      <c r="E4" s="76">
        <f>'4637'!G8</f>
        <v>4171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ALICIA ROCHA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45771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4" t="s">
        <v>58</v>
      </c>
      <c r="C10" s="134"/>
      <c r="D10" s="134"/>
      <c r="E10" s="134"/>
      <c r="F10" s="134"/>
      <c r="G10" s="134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2">
        <v>1</v>
      </c>
      <c r="B14" s="102" t="s">
        <v>138</v>
      </c>
      <c r="C14" s="95">
        <f>J14</f>
        <v>1</v>
      </c>
      <c r="D14" s="95"/>
      <c r="E14" s="95">
        <f>K14+E$13</f>
        <v>750</v>
      </c>
      <c r="F14" s="95">
        <f>L14+F$13</f>
        <v>435</v>
      </c>
      <c r="G14" s="95" t="str">
        <f>D30</f>
        <v>PR6</v>
      </c>
      <c r="H14" s="30"/>
      <c r="J14" s="3">
        <f>J23</f>
        <v>1</v>
      </c>
      <c r="K14" s="4">
        <f t="shared" ref="K14:L14" si="0">E30</f>
        <v>700</v>
      </c>
      <c r="L14" s="4">
        <f t="shared" si="0"/>
        <v>437</v>
      </c>
    </row>
    <row r="15" spans="1:15" ht="18" x14ac:dyDescent="0.35">
      <c r="A15" s="112">
        <v>2</v>
      </c>
      <c r="B15" s="102"/>
      <c r="C15" s="95">
        <f t="shared" ref="C15" si="1">J15</f>
        <v>1</v>
      </c>
      <c r="D15" s="95"/>
      <c r="E15" s="95">
        <f t="shared" ref="E15" si="2">K15+E$13</f>
        <v>750</v>
      </c>
      <c r="F15" s="95">
        <f t="shared" ref="F15" si="3">L15+F$13</f>
        <v>385</v>
      </c>
      <c r="G15" s="95" t="str">
        <f>D31</f>
        <v>PR6</v>
      </c>
      <c r="H15" s="30"/>
      <c r="J15" s="3">
        <f>J24</f>
        <v>1</v>
      </c>
      <c r="K15" s="4">
        <f>E31</f>
        <v>700</v>
      </c>
      <c r="L15" s="4">
        <f>F31</f>
        <v>387</v>
      </c>
    </row>
    <row r="16" spans="1:15" ht="18" x14ac:dyDescent="0.35">
      <c r="A16" s="112"/>
      <c r="B16" s="102"/>
      <c r="C16" s="74"/>
      <c r="D16" s="74"/>
      <c r="E16" s="74"/>
      <c r="F16" s="74"/>
      <c r="G16" s="74"/>
      <c r="H16" s="30"/>
      <c r="J16" s="23"/>
      <c r="K16" s="2"/>
      <c r="L16" s="2"/>
    </row>
    <row r="17" spans="1:12" ht="18" x14ac:dyDescent="0.35">
      <c r="A17" s="2"/>
      <c r="B17" s="84"/>
      <c r="C17" s="74"/>
      <c r="D17" s="74"/>
      <c r="E17" s="74"/>
      <c r="F17" s="74"/>
      <c r="G17" s="74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4" t="s">
        <v>13</v>
      </c>
      <c r="C19" s="134"/>
      <c r="D19" s="134"/>
      <c r="E19" s="134"/>
      <c r="F19" s="134"/>
      <c r="G19" s="134"/>
      <c r="H19" s="30"/>
    </row>
    <row r="20" spans="1:12" ht="10.5" customHeight="1" x14ac:dyDescent="0.35">
      <c r="A20" s="2"/>
      <c r="B20" s="30"/>
      <c r="C20" s="30"/>
      <c r="D20" s="92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7" t="s">
        <v>6</v>
      </c>
      <c r="F21" s="67" t="s">
        <v>7</v>
      </c>
      <c r="G21" s="30"/>
      <c r="H21" s="30"/>
    </row>
    <row r="22" spans="1:12" ht="18" x14ac:dyDescent="0.35">
      <c r="A22" s="2"/>
      <c r="B22" s="67" t="s">
        <v>8</v>
      </c>
      <c r="C22" s="83" t="s">
        <v>9</v>
      </c>
      <c r="D22" s="83" t="s">
        <v>10</v>
      </c>
      <c r="E22" s="96">
        <v>40</v>
      </c>
      <c r="F22" s="96">
        <v>90</v>
      </c>
      <c r="G22" s="83" t="s">
        <v>107</v>
      </c>
      <c r="H22" s="30"/>
      <c r="K22" s="5" t="s">
        <v>6</v>
      </c>
      <c r="L22" s="5" t="s">
        <v>7</v>
      </c>
    </row>
    <row r="23" spans="1:12" ht="18" x14ac:dyDescent="0.35">
      <c r="A23" s="112">
        <v>1</v>
      </c>
      <c r="B23" s="102"/>
      <c r="C23" s="97">
        <f t="shared" ref="C23" si="4">J23</f>
        <v>1</v>
      </c>
      <c r="D23" s="97"/>
      <c r="E23" s="97">
        <f>K23+E$22</f>
        <v>740</v>
      </c>
      <c r="F23" s="97">
        <f>L23+F$22</f>
        <v>527</v>
      </c>
      <c r="G23" s="97" t="str">
        <f>D30</f>
        <v>PR6</v>
      </c>
      <c r="H23" s="30"/>
      <c r="J23" s="3">
        <f>C30</f>
        <v>1</v>
      </c>
      <c r="K23" s="109">
        <f>E30</f>
        <v>700</v>
      </c>
      <c r="L23" s="109">
        <f>F30</f>
        <v>437</v>
      </c>
    </row>
    <row r="24" spans="1:12" ht="18" x14ac:dyDescent="0.35">
      <c r="A24" s="112">
        <v>2</v>
      </c>
      <c r="B24" s="102"/>
      <c r="C24" s="97">
        <f t="shared" ref="C24" si="5">J24</f>
        <v>1</v>
      </c>
      <c r="D24" s="97"/>
      <c r="E24" s="97">
        <f t="shared" ref="E24" si="6">K24+E$22</f>
        <v>740</v>
      </c>
      <c r="F24" s="97">
        <f t="shared" ref="F24" si="7">L24+F$22</f>
        <v>477</v>
      </c>
      <c r="G24" s="97" t="str">
        <f>D31</f>
        <v>PR6</v>
      </c>
      <c r="H24" s="30"/>
      <c r="J24" s="3">
        <f>C31</f>
        <v>1</v>
      </c>
      <c r="K24" s="108">
        <f t="shared" ref="K24:L24" si="8">E31</f>
        <v>700</v>
      </c>
      <c r="L24" s="108">
        <f t="shared" si="8"/>
        <v>387</v>
      </c>
    </row>
    <row r="25" spans="1:12" ht="18" x14ac:dyDescent="0.35">
      <c r="A25" s="112"/>
      <c r="B25" s="102"/>
      <c r="C25" s="74"/>
      <c r="D25" s="74"/>
      <c r="E25" s="74"/>
      <c r="F25" s="74"/>
      <c r="G25" s="74"/>
      <c r="H25" s="30"/>
      <c r="J25" s="23"/>
      <c r="K25" s="114"/>
      <c r="L25" s="114"/>
    </row>
    <row r="26" spans="1:12" ht="18.600000000000001" thickBot="1" x14ac:dyDescent="0.4">
      <c r="A26" s="2"/>
      <c r="B26" s="84"/>
      <c r="C26" s="74"/>
      <c r="D26" s="74"/>
      <c r="E26" s="74"/>
      <c r="F26" s="74"/>
      <c r="G26" s="74"/>
      <c r="H26" s="30"/>
      <c r="I26" s="110"/>
      <c r="J26" s="111"/>
      <c r="K26" s="111"/>
      <c r="L26" s="111"/>
    </row>
    <row r="27" spans="1:12" ht="18.600000000000001" thickBot="1" x14ac:dyDescent="0.4">
      <c r="A27" s="2"/>
      <c r="B27" s="67"/>
      <c r="C27" s="98" t="s">
        <v>104</v>
      </c>
      <c r="D27" s="33"/>
      <c r="E27" s="33"/>
      <c r="F27" s="33"/>
      <c r="G27" s="99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7" t="s">
        <v>8</v>
      </c>
      <c r="C29" s="100" t="s">
        <v>9</v>
      </c>
      <c r="D29" s="100" t="s">
        <v>107</v>
      </c>
      <c r="E29" s="100" t="s">
        <v>6</v>
      </c>
      <c r="F29" s="100" t="s">
        <v>7</v>
      </c>
      <c r="G29" s="100" t="s">
        <v>21</v>
      </c>
      <c r="H29" s="30"/>
    </row>
    <row r="30" spans="1:12" ht="18" x14ac:dyDescent="0.35">
      <c r="A30" s="112">
        <v>1</v>
      </c>
      <c r="B30" s="102" t="s">
        <v>135</v>
      </c>
      <c r="C30" s="95">
        <f>C54</f>
        <v>1</v>
      </c>
      <c r="D30" s="95" t="str">
        <f>D54</f>
        <v>PR6</v>
      </c>
      <c r="E30" s="125">
        <f>E54</f>
        <v>700</v>
      </c>
      <c r="F30" s="125">
        <f>F54</f>
        <v>437</v>
      </c>
      <c r="G30" s="4" t="str">
        <f>G54</f>
        <v>BLANCO BRILLO MERINO</v>
      </c>
      <c r="H30" s="30"/>
      <c r="I30" s="28">
        <f>E30*F30/1000000</f>
        <v>0.30590000000000001</v>
      </c>
      <c r="J30" s="28">
        <f>I30*C30</f>
        <v>0.30590000000000001</v>
      </c>
    </row>
    <row r="31" spans="1:12" ht="18" x14ac:dyDescent="0.35">
      <c r="A31" s="112">
        <v>2</v>
      </c>
      <c r="B31" s="102"/>
      <c r="C31" s="95">
        <f>C55</f>
        <v>1</v>
      </c>
      <c r="D31" s="95" t="str">
        <f>D55</f>
        <v>PR6</v>
      </c>
      <c r="E31" s="125">
        <f>E55</f>
        <v>700</v>
      </c>
      <c r="F31" s="125">
        <f>F55</f>
        <v>387</v>
      </c>
      <c r="G31" s="4" t="str">
        <f>G55</f>
        <v>BLANCO BRILLO MERINO</v>
      </c>
      <c r="H31" s="30"/>
      <c r="I31" s="28"/>
      <c r="J31" s="28"/>
    </row>
    <row r="32" spans="1:12" ht="18" x14ac:dyDescent="0.35">
      <c r="A32" s="112"/>
      <c r="B32" s="102"/>
      <c r="C32" s="74"/>
      <c r="D32" s="74"/>
      <c r="E32" s="74"/>
      <c r="F32" s="74"/>
      <c r="G32" s="74"/>
      <c r="H32" s="30"/>
      <c r="I32" s="28"/>
      <c r="J32" s="28"/>
    </row>
    <row r="33" spans="1:10" ht="18" x14ac:dyDescent="0.35">
      <c r="A33" s="2"/>
      <c r="B33" s="84"/>
      <c r="C33" s="74"/>
      <c r="D33" s="74"/>
      <c r="E33" s="74"/>
      <c r="F33" s="74"/>
      <c r="G33" s="74"/>
      <c r="H33" s="30"/>
      <c r="I33" s="28"/>
      <c r="J33" s="28"/>
    </row>
    <row r="34" spans="1:10" ht="18" x14ac:dyDescent="0.35">
      <c r="A34" s="2"/>
      <c r="B34" s="30"/>
      <c r="C34" s="74"/>
      <c r="D34" s="74"/>
      <c r="E34" s="74"/>
      <c r="F34" s="74"/>
      <c r="G34" s="74"/>
      <c r="H34" s="30"/>
    </row>
    <row r="35" spans="1:10" ht="18" x14ac:dyDescent="0.35">
      <c r="A35" s="2"/>
      <c r="B35" s="30"/>
      <c r="C35" s="74"/>
      <c r="D35" s="74"/>
      <c r="E35" s="74"/>
      <c r="F35" s="74"/>
      <c r="G35" s="74"/>
      <c r="H35" s="30"/>
      <c r="J35" s="28">
        <f>SUM(J30:J30)*2</f>
        <v>0.61180000000000001</v>
      </c>
    </row>
    <row r="36" spans="1:10" ht="18" x14ac:dyDescent="0.35">
      <c r="A36" s="2"/>
      <c r="B36" s="30"/>
      <c r="C36" s="74"/>
      <c r="D36" s="74"/>
      <c r="E36" s="74"/>
      <c r="F36" s="74"/>
      <c r="G36" s="74"/>
      <c r="H36" s="30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75" t="s">
        <v>25</v>
      </c>
      <c r="E44" s="76">
        <f>'4637'!G8</f>
        <v>4171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7" t="s">
        <v>64</v>
      </c>
      <c r="E45" s="78" t="str">
        <f>'4637'!C10</f>
        <v>ALICIA ROCHA</v>
      </c>
      <c r="F45" s="48"/>
      <c r="G45" s="48"/>
      <c r="H45" s="30"/>
    </row>
    <row r="46" spans="1:10" ht="4.5" customHeight="1" x14ac:dyDescent="0.35">
      <c r="A46" s="2"/>
      <c r="B46" s="30"/>
      <c r="C46" s="30"/>
      <c r="D46" s="79"/>
      <c r="E46" s="80"/>
      <c r="F46" s="30"/>
      <c r="G46" s="30"/>
      <c r="H46" s="30"/>
    </row>
    <row r="47" spans="1:10" ht="18" x14ac:dyDescent="0.35">
      <c r="A47" s="2"/>
      <c r="B47" s="30"/>
      <c r="C47" s="30"/>
      <c r="D47" s="81" t="str">
        <f>'4637'!F11</f>
        <v>FECHA LIMITE :</v>
      </c>
      <c r="E47" s="82">
        <f>'4637'!G11</f>
        <v>45771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137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35" t="s">
        <v>65</v>
      </c>
      <c r="C50" s="135"/>
      <c r="D50" s="135"/>
      <c r="E50" s="135"/>
      <c r="F50" s="135"/>
      <c r="G50" s="135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36" t="s">
        <v>66</v>
      </c>
      <c r="D52" s="137"/>
      <c r="E52" s="138"/>
      <c r="F52" s="138"/>
      <c r="G52" s="139"/>
      <c r="H52" s="30"/>
      <c r="I52" s="25" t="s">
        <v>130</v>
      </c>
    </row>
    <row r="53" spans="1:13" s="10" customFormat="1" ht="20.100000000000001" customHeight="1" x14ac:dyDescent="0.35">
      <c r="A53" s="113"/>
      <c r="B53" s="30"/>
      <c r="C53" s="85" t="s">
        <v>9</v>
      </c>
      <c r="D53" s="86" t="s">
        <v>10</v>
      </c>
      <c r="E53" s="89" t="s">
        <v>6</v>
      </c>
      <c r="F53" s="89" t="s">
        <v>7</v>
      </c>
      <c r="G53" s="87" t="s">
        <v>11</v>
      </c>
      <c r="H53" s="30"/>
      <c r="K53" s="10">
        <v>15000</v>
      </c>
    </row>
    <row r="54" spans="1:13" s="10" customFormat="1" ht="20.100000000000001" customHeight="1" x14ac:dyDescent="0.35">
      <c r="A54" s="112">
        <v>1</v>
      </c>
      <c r="B54" s="101" t="s">
        <v>134</v>
      </c>
      <c r="C54" s="97">
        <f>'4637'!B21</f>
        <v>1</v>
      </c>
      <c r="D54" s="4" t="str">
        <f>'4637'!C21</f>
        <v>PR6</v>
      </c>
      <c r="E54" s="125">
        <f>'4637'!D21</f>
        <v>700</v>
      </c>
      <c r="F54" s="125">
        <f>'4637'!E21</f>
        <v>437</v>
      </c>
      <c r="G54" s="4" t="str">
        <f>'4637'!F21</f>
        <v>BLANCO BRILLO MERINO</v>
      </c>
      <c r="H54" s="30"/>
      <c r="I54" s="10">
        <f>E54*F54/1000000</f>
        <v>0.30590000000000001</v>
      </c>
      <c r="J54" s="10">
        <f>I54*C54</f>
        <v>0.30590000000000001</v>
      </c>
      <c r="K54" s="26">
        <f>J54*K$53</f>
        <v>4588.5</v>
      </c>
      <c r="M54" s="24">
        <v>12096</v>
      </c>
    </row>
    <row r="55" spans="1:13" s="10" customFormat="1" ht="20.100000000000001" customHeight="1" x14ac:dyDescent="0.35">
      <c r="A55" s="112">
        <v>2</v>
      </c>
      <c r="B55" s="101"/>
      <c r="C55" s="97">
        <f>'4637'!B22</f>
        <v>1</v>
      </c>
      <c r="D55" s="4" t="str">
        <f>'4637'!C22</f>
        <v>PR6</v>
      </c>
      <c r="E55" s="125">
        <f>'4637'!D22</f>
        <v>700</v>
      </c>
      <c r="F55" s="125">
        <f>'4637'!E22</f>
        <v>387</v>
      </c>
      <c r="G55" s="4" t="str">
        <f>'4637'!F22</f>
        <v>BLANCO BRILLO MERINO</v>
      </c>
      <c r="H55" s="30"/>
      <c r="K55" s="26"/>
      <c r="M55" s="29"/>
    </row>
    <row r="56" spans="1:13" s="10" customFormat="1" ht="20.100000000000001" customHeight="1" x14ac:dyDescent="0.35">
      <c r="A56" s="112"/>
      <c r="B56" s="101"/>
      <c r="C56" s="74"/>
      <c r="D56" s="74"/>
      <c r="E56" s="74"/>
      <c r="F56" s="74"/>
      <c r="G56" s="74"/>
      <c r="H56" s="30"/>
      <c r="K56" s="26"/>
      <c r="M56" s="29"/>
    </row>
    <row r="57" spans="1:13" s="10" customFormat="1" ht="15" customHeight="1" x14ac:dyDescent="0.35">
      <c r="B57" s="84"/>
      <c r="C57" s="67"/>
      <c r="D57" s="67"/>
      <c r="E57" s="67"/>
      <c r="F57" s="67"/>
      <c r="G57" s="67"/>
      <c r="H57" s="30"/>
    </row>
    <row r="58" spans="1:13" ht="18" x14ac:dyDescent="0.35">
      <c r="B58" s="74"/>
      <c r="C58" s="74"/>
      <c r="D58" s="30"/>
      <c r="E58" s="74"/>
      <c r="F58" s="74"/>
      <c r="G58" s="79"/>
      <c r="H58" s="30"/>
    </row>
    <row r="59" spans="1:13" ht="18" x14ac:dyDescent="0.35">
      <c r="B59" s="74"/>
      <c r="C59" s="74"/>
      <c r="D59" s="30"/>
      <c r="E59" s="74"/>
      <c r="F59" s="74"/>
      <c r="G59" s="74"/>
      <c r="H59" s="30"/>
      <c r="J59" s="10">
        <f>SUM(J54:J54)</f>
        <v>0.30590000000000001</v>
      </c>
      <c r="K59" s="27">
        <f>SUM(K54:K54)</f>
        <v>4588.5</v>
      </c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5" customHeight="1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74"/>
      <c r="C65" s="88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2025-04-23T13:31:29Z</cp:lastPrinted>
  <dcterms:created xsi:type="dcterms:W3CDTF">2013-03-19T12:54:14Z</dcterms:created>
  <dcterms:modified xsi:type="dcterms:W3CDTF">2025-04-23T13:32:08Z</dcterms:modified>
</cp:coreProperties>
</file>