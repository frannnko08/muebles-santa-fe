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F5D98016-4DC4-41D0-977A-0811E5D754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CUBIERTA!$A$39:$G$62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G51" i="3"/>
  <c r="G28" i="3" s="1"/>
  <c r="F51" i="3"/>
  <c r="F28" i="3" s="1"/>
  <c r="L14" i="3" s="1"/>
  <c r="E51" i="3"/>
  <c r="E28" i="3" s="1"/>
  <c r="K14" i="3" s="1"/>
  <c r="C51" i="3"/>
  <c r="D51" i="3"/>
  <c r="D28" i="3" s="1"/>
  <c r="C28" i="3" l="1"/>
  <c r="H24" i="4" l="1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5" i="3"/>
  <c r="H26" i="4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<sst xmlns="http://schemas.openxmlformats.org/spreadsheetml/2006/main" count="249" uniqueCount="146">
  <si>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</si>
  <si>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</si>
  <si>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</si>
  <si>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</si>
  <si>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</si>
  <si>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</si>
  <si>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</si>
  <si>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</si>
  <si>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</si>
  <si>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</si>
  <si>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</si>
  <si>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</si>
  <si>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</si>
  <si>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</si>
  <si>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</si>
  <si>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</si>
  <si>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</si>
  <si>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</si>
  <si>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</si>
  <si>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</si>
  <si>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</si>
  <si>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</si>
  <si>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</si>
  <si>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</si>
  <si>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</si>
  <si>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</si>
  <si>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</si>
  <si>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</si>
  <si>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</si>
  <si>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</si>
  <si>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</si>
  <si>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</si>
  <si>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</si>
  <si>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</si>
  <si>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</si>
  <si>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</si>
  <si>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</si>
  <si>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</si>
  <si>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</si>
  <si>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</si>
  <si>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</si>
  <si>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</si>
  <si>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</si>
  <si>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</si>
  <si>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</si>
  <si>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</si>
  <si>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</si>
  <si>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</si>
  <si>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</si>
  <si>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</si>
  <si>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</si>
  <si>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</si>
  <si>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</si>
  <si>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</si>
  <si>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</si>
  <si>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</si>
  <si>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</si>
  <si>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</si>
  <si>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</si>
  <si>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</si>
  <si>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</si>
  <si>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</si>
  <si>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</si>
  <si>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</si>
  <si>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</si>
  <si>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</si>
  <si>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</si>
  <si>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</si>
  <si>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</si>
  <si>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</si>
  <si>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</si>
  <si>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</si>
  <si>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</si>
  <si>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</si>
  <si>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</si>
  <si>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</si>
  <si>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</si>
  <si>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</si>
  <si>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</si>
  <si>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</si>
  <si>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</si>
  <si>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</si>
  <si>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</si>
  <si>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</si>
  <si>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</si>
  <si>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</si>
  <si>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</si>
  <si>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</si>
  <si>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</si>
  <si>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</si>
  <si>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</si>
  <si>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</si>
  <si>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</si>
  <si>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</si>
  <si>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</si>
  <si>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</si>
  <si>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</si>
  <si>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</si>
  <si>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</si>
  <si>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</si>
  <si>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</si>
  <si>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</si>
  <si>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</si>
  <si>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</si>
  <si>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</si>
  <si>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</si>
  <si>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</si>
  <si>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</si>
  <si>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</si>
  <si>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</si>
  <si>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</si>
  <si>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</si>
  <si>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</si>
  <si>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</si>
  <si>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</si>
  <si>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</si>
  <si>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</si>
  <si>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</si>
  <si>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</si>
  <si>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</si>
  <si>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</si>
  <si>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</si>
  <si>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</si>
  <si>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</si>
  <si>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</si>
  <si>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</si>
  <si>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</si>
  <si>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</si>
  <si>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</si>
  <si>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</si>
  <si>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</si>
  <si>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</si>
  <si>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</si>
  <si>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</si>
  <si>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</si>
  <si>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</si>
  <si>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</si>
  <si>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</si>
  <si>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</si>
  <si>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MDF 18MM</t>
  </si>
  <si>
    <t>CUB C/R R8</t>
  </si>
  <si>
    <t>56992196008</t>
  </si>
  <si>
    <t>GABRIEL FERNANDEZ</t>
  </si>
  <si>
    <t>N° 11398</t>
  </si>
  <si>
    <t>CLASICC 3111 BR F6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</si>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</sst>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$ 60.000.-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5" zoomScale="98" zoomScaleNormal="98" workbookViewId="0">
      <selection activeCell="I14" sqref="I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143</v>
      </c>
      <c r="E8" s="30"/>
      <c r="F8" s="35" t="s">
        <v>25</v>
      </c>
      <c r="G8" s="36">
        <v>4170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45768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45771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8" t="s">
        <v>141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6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19">
        <v>1</v>
      </c>
      <c r="C21" s="119" t="s">
        <v>140</v>
      </c>
      <c r="D21" s="120">
        <v>3000</v>
      </c>
      <c r="E21" s="120">
        <v>600</v>
      </c>
      <c r="F21" s="119" t="s">
        <v>144</v>
      </c>
      <c r="G21" s="113">
        <v>103206</v>
      </c>
      <c r="H21" s="113">
        <f>G21*B21</f>
        <v>103206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19">
        <v>1</v>
      </c>
      <c r="C22" s="119" t="s">
        <v>145</v>
      </c>
      <c r="D22" s="120"/>
      <c r="E22" s="120"/>
      <c r="F22" s="119"/>
      <c r="G22" s="113">
        <v>10000</v>
      </c>
      <c r="H22" s="113">
        <f>G22*B22</f>
        <v>10000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2"/>
      <c r="E23" s="112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2"/>
      <c r="E24" s="112"/>
      <c r="F24" s="103"/>
      <c r="G24" s="61" t="s">
        <v>5</v>
      </c>
      <c r="H24" s="62">
        <f>SUM(H21:H23)</f>
        <v>113206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2"/>
      <c r="E25" s="112"/>
      <c r="F25" s="103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2"/>
      <c r="E26" s="112"/>
      <c r="F26" s="103"/>
      <c r="G26" s="65" t="s">
        <v>4</v>
      </c>
      <c r="H26" s="66">
        <f>H24+H25</f>
        <v>113206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2"/>
      <c r="E28" s="112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133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119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24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topLeftCell="A29" zoomScaleNormal="100" workbookViewId="0">
      <selection activeCell="A39" sqref="A39:G6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25</v>
      </c>
      <c r="E4" s="76">
        <f>'4637'!G8</f>
        <v>4170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GABRIEL FERNANDEZ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45771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138</v>
      </c>
      <c r="C14" s="95">
        <f>J14</f>
        <v>1</v>
      </c>
      <c r="D14" s="95"/>
      <c r="E14" s="95">
        <f>K14+E$13</f>
        <v>3080</v>
      </c>
      <c r="F14" s="95">
        <f>L14+F$13</f>
        <v>570</v>
      </c>
      <c r="G14" s="95" t="str">
        <f>D28</f>
        <v>CUB C/R R8</v>
      </c>
      <c r="H14" s="30"/>
      <c r="J14" s="3">
        <f>J22</f>
        <v>1</v>
      </c>
      <c r="K14" s="4">
        <f t="shared" ref="K14:L14" si="0">E28</f>
        <v>3000</v>
      </c>
      <c r="L14" s="4">
        <f t="shared" si="0"/>
        <v>600</v>
      </c>
    </row>
    <row r="15" spans="1:15" ht="18" x14ac:dyDescent="0.35">
      <c r="A15" s="109"/>
      <c r="B15" s="102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18" x14ac:dyDescent="0.35">
      <c r="A16" s="2"/>
      <c r="B16" s="84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2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7" t="s">
        <v>6</v>
      </c>
      <c r="F20" s="67" t="s">
        <v>7</v>
      </c>
      <c r="G20" s="30"/>
      <c r="H20" s="30"/>
    </row>
    <row r="21" spans="1:12" ht="18" x14ac:dyDescent="0.35">
      <c r="A21" s="2"/>
      <c r="B21" s="67" t="s">
        <v>8</v>
      </c>
      <c r="C21" s="83" t="s">
        <v>9</v>
      </c>
      <c r="D21" s="83" t="s">
        <v>10</v>
      </c>
      <c r="E21" s="96">
        <v>40</v>
      </c>
      <c r="F21" s="96">
        <v>130</v>
      </c>
      <c r="G21" s="83" t="s">
        <v>107</v>
      </c>
      <c r="H21" s="30"/>
      <c r="K21" s="5" t="s">
        <v>6</v>
      </c>
      <c r="L21" s="5" t="s">
        <v>7</v>
      </c>
    </row>
    <row r="22" spans="1:12" ht="18" x14ac:dyDescent="0.35">
      <c r="A22" s="109">
        <v>1</v>
      </c>
      <c r="B22" s="102"/>
      <c r="C22" s="97">
        <f t="shared" ref="C22" si="1">J22</f>
        <v>1</v>
      </c>
      <c r="D22" s="97"/>
      <c r="E22" s="97">
        <f>K22+E$21</f>
        <v>3040</v>
      </c>
      <c r="F22" s="97">
        <f>L22+F$21</f>
        <v>730</v>
      </c>
      <c r="G22" s="97" t="str">
        <f>D28</f>
        <v>CUB C/R R8</v>
      </c>
      <c r="H22" s="30"/>
      <c r="J22" s="3">
        <f>C28</f>
        <v>1</v>
      </c>
      <c r="K22" s="106">
        <f>E28</f>
        <v>3000</v>
      </c>
      <c r="L22" s="106">
        <f>F28</f>
        <v>600</v>
      </c>
    </row>
    <row r="23" spans="1:12" ht="18" x14ac:dyDescent="0.35">
      <c r="A23" s="109"/>
      <c r="B23" s="102"/>
      <c r="C23" s="74"/>
      <c r="D23" s="74"/>
      <c r="E23" s="74"/>
      <c r="F23" s="74"/>
      <c r="G23" s="74"/>
      <c r="H23" s="30"/>
      <c r="J23" s="23"/>
      <c r="K23" s="111"/>
      <c r="L23" s="111"/>
    </row>
    <row r="24" spans="1:12" ht="18.600000000000001" thickBot="1" x14ac:dyDescent="0.4">
      <c r="A24" s="2"/>
      <c r="B24" s="84"/>
      <c r="C24" s="74"/>
      <c r="D24" s="74"/>
      <c r="E24" s="74"/>
      <c r="F24" s="74"/>
      <c r="G24" s="74"/>
      <c r="H24" s="30"/>
      <c r="I24" s="107"/>
      <c r="J24" s="108"/>
      <c r="K24" s="108"/>
      <c r="L24" s="108"/>
    </row>
    <row r="25" spans="1:12" ht="18.600000000000001" thickBot="1" x14ac:dyDescent="0.4">
      <c r="A25" s="2"/>
      <c r="B25" s="67"/>
      <c r="C25" s="98" t="s">
        <v>104</v>
      </c>
      <c r="D25" s="33"/>
      <c r="E25" s="33"/>
      <c r="F25" s="33"/>
      <c r="G25" s="99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7" t="s">
        <v>8</v>
      </c>
      <c r="C27" s="100" t="s">
        <v>9</v>
      </c>
      <c r="D27" s="100" t="s">
        <v>107</v>
      </c>
      <c r="E27" s="100" t="s">
        <v>6</v>
      </c>
      <c r="F27" s="100" t="s">
        <v>7</v>
      </c>
      <c r="G27" s="100" t="s">
        <v>21</v>
      </c>
      <c r="H27" s="30"/>
    </row>
    <row r="28" spans="1:12" ht="18" x14ac:dyDescent="0.35">
      <c r="A28" s="109">
        <v>1</v>
      </c>
      <c r="B28" s="102" t="s">
        <v>139</v>
      </c>
      <c r="C28" s="95">
        <f>C51</f>
        <v>1</v>
      </c>
      <c r="D28" s="95" t="str">
        <f>D51</f>
        <v>CUB C/R R8</v>
      </c>
      <c r="E28" s="117">
        <f>E51</f>
        <v>3000</v>
      </c>
      <c r="F28" s="117">
        <f>F51</f>
        <v>600</v>
      </c>
      <c r="G28" s="4" t="str">
        <f>G51</f>
        <v>CLASICC 3111 BR F6</v>
      </c>
      <c r="H28" s="30"/>
      <c r="I28" s="28">
        <f>E28*F28/1000000</f>
        <v>1.8</v>
      </c>
      <c r="J28" s="28">
        <f>I28*C28</f>
        <v>1.8</v>
      </c>
    </row>
    <row r="29" spans="1:12" ht="18" x14ac:dyDescent="0.35">
      <c r="A29" s="109"/>
      <c r="B29" s="102"/>
      <c r="C29" s="74"/>
      <c r="D29" s="74"/>
      <c r="E29" s="74"/>
      <c r="F29" s="74"/>
      <c r="G29" s="74"/>
      <c r="H29" s="30"/>
      <c r="I29" s="28"/>
      <c r="J29" s="28"/>
    </row>
    <row r="30" spans="1:12" ht="18" x14ac:dyDescent="0.35">
      <c r="A30" s="2"/>
      <c r="B30" s="84"/>
      <c r="C30" s="74"/>
      <c r="D30" s="74"/>
      <c r="E30" s="74"/>
      <c r="F30" s="74"/>
      <c r="G30" s="74"/>
      <c r="H30" s="30"/>
      <c r="I30" s="28"/>
      <c r="J30" s="28"/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  <c r="J32" s="28">
        <f>SUM(J28:J28)*2</f>
        <v>3.6</v>
      </c>
    </row>
    <row r="33" spans="1:8" ht="18" x14ac:dyDescent="0.35">
      <c r="A33" s="2"/>
      <c r="B33" s="30"/>
      <c r="C33" s="74"/>
      <c r="D33" s="74"/>
      <c r="E33" s="74"/>
      <c r="F33" s="74"/>
      <c r="G33" s="74"/>
      <c r="H33" s="30"/>
    </row>
    <row r="34" spans="1:8" ht="18" x14ac:dyDescent="0.35">
      <c r="A34" s="2"/>
      <c r="B34" s="30"/>
      <c r="C34" s="74"/>
      <c r="D34" s="74"/>
      <c r="E34" s="74"/>
      <c r="F34" s="74"/>
      <c r="G34" s="74"/>
      <c r="H34" s="30"/>
    </row>
    <row r="35" spans="1:8" ht="18" x14ac:dyDescent="0.35">
      <c r="A35" s="2"/>
      <c r="B35" s="30"/>
      <c r="C35" s="74"/>
      <c r="D35" s="74"/>
      <c r="E35" s="74"/>
      <c r="F35" s="74"/>
      <c r="G35" s="74"/>
      <c r="H35" s="30"/>
    </row>
    <row r="36" spans="1:8" ht="18" x14ac:dyDescent="0.35">
      <c r="A36" s="2"/>
      <c r="B36" s="30"/>
      <c r="C36" s="74"/>
      <c r="D36" s="74"/>
      <c r="E36" s="74"/>
      <c r="F36" s="74"/>
      <c r="G36" s="74"/>
      <c r="H36" s="30"/>
    </row>
    <row r="37" spans="1:8" ht="18" x14ac:dyDescent="0.35">
      <c r="A37" s="2"/>
      <c r="B37" s="30"/>
      <c r="C37" s="74"/>
      <c r="D37" s="74"/>
      <c r="E37" s="74"/>
      <c r="F37" s="74"/>
      <c r="G37" s="74"/>
      <c r="H37" s="30"/>
    </row>
    <row r="38" spans="1:8" ht="18" x14ac:dyDescent="0.35">
      <c r="A38" s="2"/>
      <c r="B38" s="30"/>
      <c r="C38" s="74"/>
      <c r="D38" s="74"/>
      <c r="E38" s="74"/>
      <c r="F38" s="74"/>
      <c r="G38" s="74"/>
      <c r="H38" s="30"/>
    </row>
    <row r="39" spans="1:8" ht="18" x14ac:dyDescent="0.35">
      <c r="A39" s="2"/>
      <c r="B39" s="30"/>
      <c r="C39" s="74"/>
      <c r="D39" s="74"/>
      <c r="E39" s="74"/>
      <c r="F39" s="74"/>
      <c r="G39" s="74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5" t="s">
        <v>25</v>
      </c>
      <c r="E41" s="76">
        <f>'4637'!G8</f>
        <v>4170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7" t="s">
        <v>64</v>
      </c>
      <c r="E42" s="78" t="str">
        <f>'4637'!C10</f>
        <v>GABRIEL FERNANDEZ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9"/>
      <c r="E43" s="80"/>
      <c r="F43" s="30"/>
      <c r="G43" s="30"/>
      <c r="H43" s="30"/>
    </row>
    <row r="44" spans="1:8" ht="18" x14ac:dyDescent="0.35">
      <c r="A44" s="2"/>
      <c r="B44" s="30"/>
      <c r="C44" s="30"/>
      <c r="D44" s="81" t="str">
        <f>'4637'!F11</f>
        <v>FECHA LIMITE :</v>
      </c>
      <c r="E44" s="82">
        <f>'4637'!G11</f>
        <v>45771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0" t="s">
        <v>65</v>
      </c>
      <c r="C47" s="130"/>
      <c r="D47" s="130"/>
      <c r="E47" s="130"/>
      <c r="F47" s="130"/>
      <c r="G47" s="130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1" t="s">
        <v>66</v>
      </c>
      <c r="D49" s="132"/>
      <c r="E49" s="133"/>
      <c r="F49" s="133"/>
      <c r="G49" s="134"/>
      <c r="H49" s="30"/>
      <c r="I49" s="25" t="s">
        <v>130</v>
      </c>
    </row>
    <row r="50" spans="1:13" s="10" customFormat="1" ht="20.100000000000001" customHeight="1" x14ac:dyDescent="0.35">
      <c r="A50" s="110"/>
      <c r="B50" s="30"/>
      <c r="C50" s="85" t="s">
        <v>9</v>
      </c>
      <c r="D50" s="86" t="s">
        <v>10</v>
      </c>
      <c r="E50" s="89" t="s">
        <v>6</v>
      </c>
      <c r="F50" s="89" t="s">
        <v>7</v>
      </c>
      <c r="G50" s="87" t="s">
        <v>11</v>
      </c>
      <c r="H50" s="30"/>
      <c r="K50" s="10">
        <v>15000</v>
      </c>
    </row>
    <row r="51" spans="1:13" s="10" customFormat="1" ht="20.100000000000001" customHeight="1" x14ac:dyDescent="0.35">
      <c r="A51" s="109">
        <v>1</v>
      </c>
      <c r="B51" s="101" t="s">
        <v>138</v>
      </c>
      <c r="C51" s="97">
        <f>'4637'!B21</f>
        <v>1</v>
      </c>
      <c r="D51" s="4" t="str">
        <f>'4637'!C21</f>
        <v>CUB C/R R8</v>
      </c>
      <c r="E51" s="117">
        <f>'4637'!D21</f>
        <v>3000</v>
      </c>
      <c r="F51" s="117">
        <f>'4637'!E21</f>
        <v>600</v>
      </c>
      <c r="G51" s="4" t="str">
        <f>'4637'!F21</f>
        <v>CLASICC 3111 BR F6</v>
      </c>
      <c r="H51" s="30"/>
      <c r="I51" s="10">
        <f>E51*F51/1000000</f>
        <v>1.8</v>
      </c>
      <c r="J51" s="10">
        <f>I51*C51</f>
        <v>1.8</v>
      </c>
      <c r="K51" s="26">
        <f>J51*K$50</f>
        <v>27000</v>
      </c>
      <c r="M51" s="24">
        <v>12096</v>
      </c>
    </row>
    <row r="52" spans="1:13" s="10" customFormat="1" ht="20.100000000000001" customHeight="1" x14ac:dyDescent="0.35">
      <c r="A52" s="109"/>
      <c r="B52" s="101"/>
      <c r="C52" s="74"/>
      <c r="D52" s="74"/>
      <c r="E52" s="74"/>
      <c r="F52" s="74"/>
      <c r="G52" s="74"/>
      <c r="H52" s="30"/>
      <c r="K52" s="26"/>
      <c r="M52" s="29"/>
    </row>
    <row r="53" spans="1:13" s="10" customFormat="1" ht="15" customHeight="1" x14ac:dyDescent="0.35">
      <c r="B53" s="84"/>
      <c r="C53" s="67"/>
      <c r="D53" s="67"/>
      <c r="E53" s="67"/>
      <c r="F53" s="67"/>
      <c r="G53" s="67"/>
      <c r="H53" s="30"/>
    </row>
    <row r="54" spans="1:13" ht="18" x14ac:dyDescent="0.35">
      <c r="B54" s="74"/>
      <c r="C54" s="74"/>
      <c r="D54" s="30"/>
      <c r="E54" s="74"/>
      <c r="F54" s="74"/>
      <c r="G54" s="79"/>
      <c r="H54" s="30"/>
    </row>
    <row r="55" spans="1:13" ht="18" x14ac:dyDescent="0.35">
      <c r="B55" s="74"/>
      <c r="C55" s="74"/>
      <c r="D55" s="30"/>
      <c r="E55" s="74"/>
      <c r="F55" s="74"/>
      <c r="G55" s="74"/>
      <c r="H55" s="30"/>
      <c r="J55" s="10">
        <f>SUM(J51:J51)</f>
        <v>1.8</v>
      </c>
      <c r="K55" s="27">
        <f>SUM(K51:K51)</f>
        <v>27000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4"/>
      <c r="C61" s="88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2025-04-23T13:28:05Z</cp:lastPrinted>
  <dcterms:created xsi:type="dcterms:W3CDTF">2013-03-19T12:54:14Z</dcterms:created>
  <dcterms:modified xsi:type="dcterms:W3CDTF">2025-04-23T13:28:14Z</dcterms:modified>
</cp:coreProperties>
</file>