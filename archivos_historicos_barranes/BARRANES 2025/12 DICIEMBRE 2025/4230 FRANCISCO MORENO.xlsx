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4157F3A2-17C6-4D85-BA10-5470B1321D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C28" i="3"/>
  <c r="E28" i="3"/>
  <c r="F28" i="3"/>
  <c r="G28" i="3"/>
  <c r="C51" i="3"/>
  <c r="D51" i="3"/>
  <c r="D28" i="3" s="1"/>
  <c r="E51" i="3"/>
  <c r="F51" i="3"/>
  <c r="G51" i="3"/>
  <c r="H22" i="4"/>
  <c r="H21" i="4"/>
  <c r="G27" i="3" l="1"/>
  <c r="F27" i="3"/>
  <c r="L14" i="3" s="1"/>
  <c r="E27" i="3"/>
  <c r="K14" i="3" s="1"/>
  <c r="E14" i="3" s="1"/>
  <c r="C27" i="3"/>
  <c r="G50" i="3"/>
  <c r="F50" i="3"/>
  <c r="E50" i="3"/>
  <c r="D50" i="3"/>
  <c r="D27" i="3" s="1"/>
  <c r="C50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50" i="3"/>
  <c r="J50" i="3" s="1"/>
  <c r="G14" i="3"/>
  <c r="F14" i="3"/>
  <c r="C21" i="3" l="1"/>
  <c r="J14" i="3"/>
  <c r="C14" i="3" s="1"/>
  <c r="J31" i="3"/>
  <c r="K50" i="3"/>
  <c r="J55" i="3"/>
  <c r="H26" i="4"/>
  <c r="O5" i="3"/>
  <c r="K55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<sst xmlns="http://schemas.openxmlformats.org/spreadsheetml/2006/main" count="248" uniqueCount="143">
  <si>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</si>
  <si>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</si>
  <si>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</si>
  <si>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</si>
  <si>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</si>
  <si>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</si>
  <si>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</si>
  <si>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</si>
  <si>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</si>
  <si>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</si>
  <si>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</si>
  <si>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</si>
  <si>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</si>
  <si>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</si>
  <si>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</si>
  <si>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</si>
  <si>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</si>
  <si>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</si>
  <si>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</si>
  <si>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</si>
  <si>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</si>
  <si>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</si>
  <si>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</si>
  <si>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</si>
  <si>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</si>
  <si>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</si>
  <si>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</si>
  <si>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</si>
  <si>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</si>
  <si>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</si>
  <si>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</si>
  <si>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</si>
  <si>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</si>
  <si>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</si>
  <si>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</si>
  <si>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</si>
  <si>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</si>
  <si>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</si>
  <si>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</si>
  <si>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</si>
  <si>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</si>
  <si>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</si>
  <si>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</si>
  <si>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</si>
  <si>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</si>
  <si>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</si>
  <si>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</si>
  <si>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</si>
  <si>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</si>
  <si>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</si>
  <si>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</si>
  <si>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</si>
  <si>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</si>
  <si>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</si>
  <si>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</si>
  <si>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</si>
  <si>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</si>
  <si>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</si>
  <si>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</si>
  <si>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</si>
  <si>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</si>
  <si>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</si>
  <si>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</si>
  <si>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</si>
  <si>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</si>
  <si>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</si>
  <si>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</si>
  <si>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</si>
  <si>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</si>
  <si>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</si>
  <si>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</si>
  <si>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</si>
  <si>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</si>
  <si>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</si>
  <si>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</si>
  <si>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</si>
  <si>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</si>
  <si>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</si>
  <si>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</si>
  <si>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</si>
  <si>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</si>
  <si>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</si>
  <si>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</si>
  <si>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</si>
  <si>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</si>
  <si>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</si>
  <si>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</si>
  <si>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</si>
  <si>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</si>
  <si>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</si>
  <si>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</si>
  <si>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</si>
  <si>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</si>
  <si>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</si>
  <si>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</si>
  <si>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</si>
  <si>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</si>
  <si>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</si>
  <si>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</si>
  <si>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</si>
  <si>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</si>
  <si>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</si>
  <si>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</si>
  <si>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</si>
  <si>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</si>
  <si>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</si>
  <si>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</si>
  <si>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</si>
  <si>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</si>
  <si>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</si>
  <si>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</si>
  <si>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</si>
  <si>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</si>
  <si>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</si>
  <si>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</si>
  <si>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</si>
  <si>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</si>
  <si>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</si>
  <si>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</si>
  <si>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</si>
  <si>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</si>
  <si>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</si>
  <si>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</si>
  <si>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</si>
  <si>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</si>
  <si>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</si>
  <si>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</si>
  <si>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</si>
  <si>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</si>
  <si>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</si>
  <si>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</si>
  <si>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</si>
  <si>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</si>
  <si>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</si>
  <si>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</si>
  <si>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</si>
  <si>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</si>
  <si>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</si>
  <si>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FRANSCISCO MORENO</t>
  </si>
  <si>
    <t>+56 9 9004 4098</t>
  </si>
  <si>
    <t>LAMINA</t>
  </si>
  <si>
    <t>PLATINUM 21059 SF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</si>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</sst>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$ 170.000.-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4" zoomScale="98" zoomScaleNormal="98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11750</v>
      </c>
      <c r="E8" s="30"/>
      <c r="F8" s="35" t="s">
        <v>25</v>
      </c>
      <c r="G8" s="36">
        <v>4230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45994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5" t="s">
        <v>139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3</v>
      </c>
      <c r="C21" s="102" t="s">
        <v>59</v>
      </c>
      <c r="D21" s="103">
        <v>2200</v>
      </c>
      <c r="E21" s="103">
        <v>407</v>
      </c>
      <c r="F21" s="102" t="s">
        <v>141</v>
      </c>
      <c r="G21" s="113">
        <v>84253</v>
      </c>
      <c r="H21" s="113">
        <f>G21*B21</f>
        <v>252759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140</v>
      </c>
      <c r="D22" s="103"/>
      <c r="E22" s="103"/>
      <c r="F22" s="102" t="s">
        <v>141</v>
      </c>
      <c r="G22" s="113">
        <v>34200</v>
      </c>
      <c r="H22" s="113">
        <f t="shared" ref="H22" si="0">G22*B22</f>
        <v>34200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286959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286959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abSelected="1" zoomScaleNormal="100" workbookViewId="0">
      <selection sqref="A1:G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4230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FRANSCISCO MORENO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142</v>
      </c>
      <c r="C14" s="94">
        <f>J14</f>
        <v>3</v>
      </c>
      <c r="D14" s="94"/>
      <c r="E14" s="94">
        <f>K14+E$13</f>
        <v>2250</v>
      </c>
      <c r="F14" s="94">
        <f>L14+F$13</f>
        <v>405</v>
      </c>
      <c r="G14" s="94" t="str">
        <f>D27</f>
        <v>PR2</v>
      </c>
      <c r="H14" s="30"/>
      <c r="J14" s="3">
        <f>J21</f>
        <v>3</v>
      </c>
      <c r="K14" s="4">
        <f t="shared" ref="K14:L14" si="0">E27</f>
        <v>2200</v>
      </c>
      <c r="L14" s="4">
        <f t="shared" si="0"/>
        <v>407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30"/>
    </row>
    <row r="18" spans="1:12" ht="10.5" customHeight="1" x14ac:dyDescent="0.35">
      <c r="A18" s="2"/>
      <c r="B18" s="30"/>
      <c r="C18" s="30"/>
      <c r="D18" s="91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6" t="s">
        <v>6</v>
      </c>
      <c r="F19" s="66" t="s">
        <v>7</v>
      </c>
      <c r="G19" s="30"/>
      <c r="H19" s="30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90</v>
      </c>
      <c r="G20" s="82" t="s">
        <v>107</v>
      </c>
      <c r="H20" s="30"/>
      <c r="K20" s="5" t="s">
        <v>6</v>
      </c>
      <c r="L20" s="5" t="s">
        <v>7</v>
      </c>
    </row>
    <row r="21" spans="1:12" ht="18" x14ac:dyDescent="0.35">
      <c r="A21" s="110">
        <v>1</v>
      </c>
      <c r="B21" s="101"/>
      <c r="C21" s="96">
        <f t="shared" ref="C21" si="1">J21</f>
        <v>3</v>
      </c>
      <c r="D21" s="96"/>
      <c r="E21" s="96">
        <f>K21+E$20</f>
        <v>2240</v>
      </c>
      <c r="F21" s="96">
        <f>L21+F20</f>
        <v>497</v>
      </c>
      <c r="G21" s="96" t="str">
        <f>D27</f>
        <v>PR2</v>
      </c>
      <c r="H21" s="30"/>
      <c r="J21" s="3">
        <f>C27</f>
        <v>3</v>
      </c>
      <c r="K21" s="107">
        <f>E27</f>
        <v>2200</v>
      </c>
      <c r="L21" s="107">
        <f>F27</f>
        <v>407</v>
      </c>
    </row>
    <row r="22" spans="1:12" ht="18" x14ac:dyDescent="0.35">
      <c r="A22" s="110"/>
      <c r="B22" s="101"/>
      <c r="C22" s="73"/>
      <c r="D22" s="73"/>
      <c r="E22" s="73"/>
      <c r="F22" s="73"/>
      <c r="G22" s="73"/>
      <c r="H22" s="30"/>
      <c r="J22" s="23"/>
      <c r="K22" s="120"/>
      <c r="L22" s="120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30"/>
      <c r="I23" s="108"/>
      <c r="J23" s="109"/>
      <c r="K23" s="109"/>
      <c r="L23" s="109"/>
    </row>
    <row r="24" spans="1:12" ht="18.600000000000001" thickBot="1" x14ac:dyDescent="0.4">
      <c r="A24" s="2"/>
      <c r="B24" s="66"/>
      <c r="C24" s="97" t="s">
        <v>104</v>
      </c>
      <c r="D24" s="33"/>
      <c r="E24" s="33"/>
      <c r="F24" s="33"/>
      <c r="G24" s="98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30"/>
    </row>
    <row r="27" spans="1:12" ht="18" x14ac:dyDescent="0.35">
      <c r="A27" s="110">
        <v>1</v>
      </c>
      <c r="B27" s="101" t="s">
        <v>142</v>
      </c>
      <c r="C27" s="94">
        <f>'4637'!B21</f>
        <v>3</v>
      </c>
      <c r="D27" s="94" t="str">
        <f>D50</f>
        <v>PR2</v>
      </c>
      <c r="E27" s="116">
        <f>'4637'!D21</f>
        <v>2200</v>
      </c>
      <c r="F27" s="116">
        <f>'4637'!E21</f>
        <v>407</v>
      </c>
      <c r="G27" s="4" t="str">
        <f>'4637'!F21</f>
        <v>PLATINUM 21059 SF</v>
      </c>
      <c r="H27" s="30"/>
      <c r="I27" s="28">
        <f>E27*F27/1000000</f>
        <v>0.89539999999999997</v>
      </c>
      <c r="J27" s="28">
        <f>I27*C27</f>
        <v>2.6861999999999999</v>
      </c>
    </row>
    <row r="28" spans="1:12" ht="18" x14ac:dyDescent="0.35">
      <c r="A28" s="110"/>
      <c r="B28" s="101"/>
      <c r="C28" s="94">
        <f>'4637'!B22</f>
        <v>1</v>
      </c>
      <c r="D28" s="94" t="str">
        <f t="shared" ref="D28" si="2">D51</f>
        <v>LAMINA</v>
      </c>
      <c r="E28" s="116">
        <f>'4637'!D22</f>
        <v>0</v>
      </c>
      <c r="F28" s="116">
        <f>'4637'!E22</f>
        <v>0</v>
      </c>
      <c r="G28" s="4" t="str">
        <f>'4637'!F22</f>
        <v>PLATINUM 21059 SF</v>
      </c>
      <c r="H28" s="30"/>
      <c r="I28" s="28"/>
      <c r="J28" s="28"/>
    </row>
    <row r="29" spans="1:12" ht="18" x14ac:dyDescent="0.35">
      <c r="A29" s="110"/>
      <c r="B29" s="101"/>
      <c r="C29" s="104"/>
      <c r="D29" s="104"/>
      <c r="E29" s="105"/>
      <c r="F29" s="105"/>
      <c r="G29" s="104"/>
      <c r="H29" s="30"/>
      <c r="I29" s="28"/>
      <c r="J29" s="28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  <c r="J31" s="28">
        <f>SUM(J27:J27)*2</f>
        <v>5.3723999999999998</v>
      </c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9" ht="18" x14ac:dyDescent="0.35">
      <c r="A33" s="2"/>
      <c r="B33" s="30"/>
      <c r="C33" s="73"/>
      <c r="D33" s="73"/>
      <c r="E33" s="73"/>
      <c r="F33" s="73"/>
      <c r="G33" s="73"/>
      <c r="H33" s="30"/>
    </row>
    <row r="34" spans="1:9" ht="18" x14ac:dyDescent="0.35">
      <c r="A34" s="2"/>
      <c r="B34" s="30"/>
      <c r="C34" s="73"/>
      <c r="D34" s="73"/>
      <c r="E34" s="73"/>
      <c r="F34" s="73"/>
      <c r="G34" s="73"/>
      <c r="H34" s="30"/>
    </row>
    <row r="35" spans="1:9" ht="18" x14ac:dyDescent="0.35">
      <c r="A35" s="2"/>
      <c r="B35" s="30"/>
      <c r="C35" s="73"/>
      <c r="D35" s="73"/>
      <c r="E35" s="73"/>
      <c r="F35" s="73"/>
      <c r="G35" s="73"/>
      <c r="H35" s="30"/>
    </row>
    <row r="36" spans="1:9" ht="18" x14ac:dyDescent="0.35">
      <c r="A36" s="2"/>
      <c r="B36" s="30"/>
      <c r="C36" s="73"/>
      <c r="D36" s="73"/>
      <c r="E36" s="73"/>
      <c r="F36" s="73"/>
      <c r="G36" s="73"/>
      <c r="H36" s="30"/>
    </row>
    <row r="37" spans="1:9" ht="18" x14ac:dyDescent="0.35">
      <c r="A37" s="2"/>
      <c r="B37" s="30"/>
      <c r="C37" s="73"/>
      <c r="D37" s="73"/>
      <c r="E37" s="73"/>
      <c r="F37" s="73"/>
      <c r="G37" s="73"/>
      <c r="H37" s="30"/>
    </row>
    <row r="38" spans="1:9" ht="18" x14ac:dyDescent="0.35">
      <c r="A38" s="2"/>
      <c r="B38" s="30"/>
      <c r="C38" s="73"/>
      <c r="D38" s="73"/>
      <c r="E38" s="73"/>
      <c r="F38" s="73"/>
      <c r="G38" s="73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74" t="s">
        <v>25</v>
      </c>
      <c r="E40" s="75">
        <f>'4637'!G8</f>
        <v>4230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6" t="s">
        <v>64</v>
      </c>
      <c r="E41" s="77" t="str">
        <f>'4637'!C10</f>
        <v>FRANSCISCO MORENO</v>
      </c>
      <c r="F41" s="48"/>
      <c r="G41" s="48"/>
      <c r="H41" s="30"/>
    </row>
    <row r="42" spans="1:9" ht="4.5" customHeight="1" x14ac:dyDescent="0.35">
      <c r="A42" s="2"/>
      <c r="B42" s="30"/>
      <c r="C42" s="30"/>
      <c r="D42" s="78"/>
      <c r="E42" s="79"/>
      <c r="F42" s="30"/>
      <c r="G42" s="30"/>
      <c r="H42" s="30"/>
    </row>
    <row r="43" spans="1:9" ht="18" x14ac:dyDescent="0.35">
      <c r="A43" s="2"/>
      <c r="B43" s="30"/>
      <c r="C43" s="30"/>
      <c r="D43" s="80" t="str">
        <f>'4637'!F11</f>
        <v>FECHA LIMITE :</v>
      </c>
      <c r="E43" s="81">
        <f>'4637'!G11</f>
        <v>0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0" t="s">
        <v>65</v>
      </c>
      <c r="C46" s="130"/>
      <c r="D46" s="130"/>
      <c r="E46" s="130"/>
      <c r="F46" s="130"/>
      <c r="G46" s="130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1" t="s">
        <v>66</v>
      </c>
      <c r="D48" s="132"/>
      <c r="E48" s="133"/>
      <c r="F48" s="133"/>
      <c r="G48" s="134"/>
      <c r="H48" s="30"/>
      <c r="I48" s="25" t="s">
        <v>130</v>
      </c>
    </row>
    <row r="49" spans="1:13" s="10" customFormat="1" ht="20.100000000000001" customHeight="1" x14ac:dyDescent="0.35">
      <c r="A49" s="111"/>
      <c r="B49" s="30"/>
      <c r="C49" s="84" t="s">
        <v>9</v>
      </c>
      <c r="D49" s="85" t="s">
        <v>10</v>
      </c>
      <c r="E49" s="88" t="s">
        <v>6</v>
      </c>
      <c r="F49" s="88" t="s">
        <v>7</v>
      </c>
      <c r="G49" s="86" t="s">
        <v>11</v>
      </c>
      <c r="H49" s="30"/>
      <c r="K49" s="10">
        <v>15000</v>
      </c>
    </row>
    <row r="50" spans="1:13" s="10" customFormat="1" ht="20.100000000000001" customHeight="1" x14ac:dyDescent="0.35">
      <c r="A50" s="110">
        <v>1</v>
      </c>
      <c r="B50" s="100"/>
      <c r="C50" s="96">
        <f>'4637'!B21</f>
        <v>3</v>
      </c>
      <c r="D50" s="4" t="str">
        <f>'4637'!C21</f>
        <v>PR2</v>
      </c>
      <c r="E50" s="116">
        <f>'4637'!D21</f>
        <v>2200</v>
      </c>
      <c r="F50" s="103">
        <f>'4637'!E21</f>
        <v>407</v>
      </c>
      <c r="G50" s="4" t="str">
        <f>'4637'!F21</f>
        <v>PLATINUM 21059 SF</v>
      </c>
      <c r="H50" s="30"/>
      <c r="I50" s="10">
        <f>E50*F50/1000000</f>
        <v>0.89539999999999997</v>
      </c>
      <c r="J50" s="10">
        <f>I50*C50</f>
        <v>2.6861999999999999</v>
      </c>
      <c r="K50" s="26">
        <f>J50*K$49</f>
        <v>40293</v>
      </c>
      <c r="M50" s="24">
        <v>12096</v>
      </c>
    </row>
    <row r="51" spans="1:13" s="10" customFormat="1" ht="20.100000000000001" customHeight="1" x14ac:dyDescent="0.35">
      <c r="A51" s="110"/>
      <c r="B51" s="100"/>
      <c r="C51" s="96">
        <f>'4637'!B22</f>
        <v>1</v>
      </c>
      <c r="D51" s="4" t="str">
        <f>'4637'!C22</f>
        <v>LAMINA</v>
      </c>
      <c r="E51" s="116">
        <f>'4637'!D22</f>
        <v>0</v>
      </c>
      <c r="F51" s="103">
        <f>'4637'!E22</f>
        <v>0</v>
      </c>
      <c r="G51" s="4" t="str">
        <f>'4637'!F22</f>
        <v>PLATINUM 21059 SF</v>
      </c>
      <c r="H51" s="30"/>
      <c r="K51" s="26"/>
      <c r="M51" s="29"/>
    </row>
    <row r="52" spans="1:13" s="10" customFormat="1" ht="20.100000000000001" customHeight="1" x14ac:dyDescent="0.35">
      <c r="A52" s="110"/>
      <c r="B52" s="100"/>
      <c r="C52" s="73"/>
      <c r="D52" s="2"/>
      <c r="E52" s="119"/>
      <c r="F52" s="105"/>
      <c r="G52" s="2"/>
      <c r="H52" s="30"/>
      <c r="K52" s="26"/>
      <c r="M52" s="29"/>
    </row>
    <row r="53" spans="1:13" s="10" customFormat="1" ht="15" customHeight="1" x14ac:dyDescent="0.35">
      <c r="B53" s="83"/>
      <c r="C53" s="66"/>
      <c r="D53" s="66"/>
      <c r="E53" s="66"/>
      <c r="F53" s="66"/>
      <c r="G53" s="66"/>
      <c r="H53" s="30"/>
    </row>
    <row r="54" spans="1:13" ht="18" x14ac:dyDescent="0.35">
      <c r="B54" s="73"/>
      <c r="C54" s="73"/>
      <c r="D54" s="30"/>
      <c r="E54" s="73"/>
      <c r="F54" s="73"/>
      <c r="G54" s="78"/>
      <c r="H54" s="30"/>
    </row>
    <row r="55" spans="1:13" ht="18" x14ac:dyDescent="0.35">
      <c r="B55" s="73"/>
      <c r="C55" s="73"/>
      <c r="D55" s="30"/>
      <c r="E55" s="73"/>
      <c r="F55" s="73"/>
      <c r="G55" s="73"/>
      <c r="H55" s="30"/>
      <c r="J55" s="10">
        <f>SUM(J50:J50)</f>
        <v>2.6861999999999999</v>
      </c>
      <c r="K55" s="27">
        <f>SUM(K50:K50)</f>
        <v>40293</v>
      </c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5" customHeight="1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73"/>
      <c r="C61" s="87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7:G17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2025-12-03T12:17:22Z</cp:lastPrinted>
  <dcterms:created xsi:type="dcterms:W3CDTF">2013-03-19T12:54:14Z</dcterms:created>
  <dcterms:modified xsi:type="dcterms:W3CDTF">2025-12-03T12:17:29Z</dcterms:modified>
</cp:coreProperties>
</file>