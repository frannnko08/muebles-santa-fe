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2 DICIEMBRE 2025\"/>
    </mc:Choice>
  </mc:AlternateContent>
  <xr:revisionPtr revIDLastSave="0" documentId="13_ncr:1_{086E94CD-F824-44E0-94DF-B7F39ABCAD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'4637'!$B$1:$H$52</definedName>
    <definedName name="_xlnm.Print_Area" localSheetId="2">CUBIERTA!$A$46:$G$76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4" l="1"/>
  <c r="E14" i="3"/>
  <c r="G16" i="3"/>
  <c r="J16" i="3"/>
  <c r="C16" i="3" s="1"/>
  <c r="K16" i="3"/>
  <c r="E16" i="3" s="1"/>
  <c r="L16" i="3"/>
  <c r="F15" i="3"/>
  <c r="E23" i="3"/>
  <c r="G25" i="3"/>
  <c r="J25" i="3"/>
  <c r="C25" i="3" s="1"/>
  <c r="K25" i="3"/>
  <c r="E25" i="3" s="1"/>
  <c r="L25" i="3"/>
  <c r="C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61" i="3"/>
  <c r="D61" i="3"/>
  <c r="D34" i="3" s="1"/>
  <c r="E61" i="3"/>
  <c r="F61" i="3"/>
  <c r="G61" i="3"/>
  <c r="C62" i="3"/>
  <c r="D62" i="3"/>
  <c r="E62" i="3"/>
  <c r="F62" i="3"/>
  <c r="G62" i="3"/>
  <c r="C63" i="3"/>
  <c r="D63" i="3"/>
  <c r="E63" i="3"/>
  <c r="F63" i="3"/>
  <c r="G63" i="3"/>
  <c r="H25" i="4"/>
  <c r="H26" i="4"/>
  <c r="H24" i="4"/>
  <c r="C32" i="3"/>
  <c r="J24" i="3" s="1"/>
  <c r="C24" i="3" s="1"/>
  <c r="E32" i="3"/>
  <c r="K24" i="3" s="1"/>
  <c r="E24" i="3" s="1"/>
  <c r="F32" i="3"/>
  <c r="L24" i="3" s="1"/>
  <c r="F24" i="3" s="1"/>
  <c r="G32" i="3"/>
  <c r="C33" i="3"/>
  <c r="E33" i="3"/>
  <c r="F33" i="3"/>
  <c r="G33" i="3"/>
  <c r="C59" i="3"/>
  <c r="D59" i="3"/>
  <c r="D32" i="3" s="1"/>
  <c r="G24" i="3" s="1"/>
  <c r="E59" i="3"/>
  <c r="F59" i="3"/>
  <c r="G59" i="3"/>
  <c r="C60" i="3"/>
  <c r="D60" i="3"/>
  <c r="D33" i="3" s="1"/>
  <c r="E60" i="3"/>
  <c r="F60" i="3"/>
  <c r="G60" i="3"/>
  <c r="H23" i="4"/>
  <c r="H22" i="4"/>
  <c r="H21" i="4"/>
  <c r="L15" i="3" l="1"/>
  <c r="J15" i="3"/>
  <c r="C15" i="3" s="1"/>
  <c r="G15" i="3"/>
  <c r="K15" i="3"/>
  <c r="E15" i="3" s="1"/>
  <c r="G31" i="3"/>
  <c r="F31" i="3"/>
  <c r="L14" i="3" s="1"/>
  <c r="E31" i="3"/>
  <c r="K14" i="3" s="1"/>
  <c r="C31" i="3"/>
  <c r="G58" i="3"/>
  <c r="F58" i="3"/>
  <c r="E58" i="3"/>
  <c r="D58" i="3"/>
  <c r="D31" i="3" s="1"/>
  <c r="C58" i="3"/>
  <c r="L21" i="4" l="1"/>
  <c r="K21" i="4"/>
  <c r="M21" i="4" l="1"/>
  <c r="N21" i="4" s="1"/>
  <c r="G23" i="3" l="1"/>
  <c r="L23" i="3"/>
  <c r="J23" i="3" l="1"/>
  <c r="I31" i="3"/>
  <c r="J31" i="3" s="1"/>
  <c r="K23" i="3"/>
  <c r="I58" i="3"/>
  <c r="J58" i="3" s="1"/>
  <c r="G14" i="3"/>
  <c r="F14" i="3"/>
  <c r="C23" i="3" l="1"/>
  <c r="J14" i="3"/>
  <c r="C14" i="3" s="1"/>
  <c r="J39" i="3"/>
  <c r="K58" i="3"/>
  <c r="J67" i="3"/>
  <c r="H30" i="4"/>
  <c r="O5" i="3"/>
  <c r="K67" i="3" l="1"/>
  <c r="N5" i="3"/>
  <c r="M5" i="3"/>
  <c r="L5" i="3"/>
  <c r="D51" i="3" l="1"/>
  <c r="D7" i="3"/>
  <c r="E49" i="3"/>
  <c r="E5" i="3"/>
  <c r="E51" i="3"/>
  <c r="E7" i="3"/>
  <c r="E48" i="3"/>
  <c r="E4" i="3"/>
</calcChain>
</file>

<file path=xl/sharedStrings.xml><?xml version="1.0" encoding="utf-8"?>
<sst xmlns="http://schemas.openxmlformats.org/spreadsheetml/2006/main" count="255" uniqueCount="149">
  <si>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</si>
  <si>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</si>
  <si>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</si>
  <si>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</si>
  <si>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</si>
  <si>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</si>
  <si>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</si>
  <si>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</si>
  <si>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</si>
  <si>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</si>
  <si>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</si>
  <si>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</si>
  <si>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</si>
  <si>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</si>
  <si>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</si>
  <si>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</si>
  <si>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</si>
  <si>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</si>
  <si>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</si>
  <si>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</si>
  <si>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</si>
  <si>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</si>
  <si>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</si>
  <si>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</si>
  <si>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</si>
  <si>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</si>
  <si>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</si>
  <si>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</si>
  <si>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</si>
  <si>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</si>
  <si>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</si>
  <si>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</si>
  <si>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</si>
  <si>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</si>
  <si>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</si>
  <si>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</si>
  <si>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</si>
  <si>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</si>
  <si>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</si>
  <si>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</si>
  <si>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</si>
  <si>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</si>
  <si>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</si>
  <si>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</si>
  <si>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</si>
  <si>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</si>
  <si>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</si>
  <si>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</si>
  <si>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</si>
  <si>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</si>
  <si>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</si>
  <si>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</si>
  <si>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</si>
  <si>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</si>
  <si>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</si>
  <si>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</si>
  <si>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</si>
  <si>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</si>
  <si>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</si>
  <si>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</si>
  <si>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</si>
  <si>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</si>
  <si>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</si>
  <si>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</si>
  <si>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</si>
  <si>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</si>
  <si>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</si>
  <si>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</si>
  <si>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</si>
  <si>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</si>
  <si>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</si>
  <si>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</si>
  <si>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</si>
  <si>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</si>
  <si>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</si>
  <si>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</si>
  <si>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</si>
  <si>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</si>
  <si>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</si>
  <si>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</si>
  <si>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</si>
  <si>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</si>
  <si>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</si>
  <si>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</si>
  <si>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</si>
  <si>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</si>
  <si>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</si>
  <si>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</si>
  <si>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</si>
  <si>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</si>
  <si>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</si>
  <si>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</si>
  <si>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</si>
  <si>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</si>
  <si>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</si>
  <si>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</si>
  <si>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</si>
  <si>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</si>
  <si>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</si>
  <si>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</si>
  <si>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</si>
  <si>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</si>
  <si>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</si>
  <si>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</si>
  <si>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</si>
  <si>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</si>
  <si>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</si>
  <si>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</si>
  <si>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</si>
  <si>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</si>
  <si>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</si>
  <si>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</si>
  <si>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</si>
  <si>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</si>
  <si>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</si>
  <si>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</si>
  <si>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</si>
  <si>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</si>
  <si>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</si>
  <si>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</si>
  <si>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</si>
  <si>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</si>
  <si>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</si>
  <si>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</si>
  <si>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</si>
  <si>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</si>
  <si>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</si>
  <si>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</si>
  <si>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</si>
  <si>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</si>
  <si>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</si>
  <si>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</si>
  <si>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</si>
  <si>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</si>
  <si>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</si>
  <si>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</si>
  <si>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</si>
  <si>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</si>
  <si>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</si>
  <si>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CUB C/R 90° R 8</t>
  </si>
  <si>
    <t>DESFONDADOS</t>
  </si>
  <si>
    <t>EDUARDO VALENZUELA</t>
  </si>
  <si>
    <t>569 9059 2776</t>
  </si>
  <si>
    <t>SHELL WHITE 20011 BRILLO</t>
  </si>
  <si>
    <t>CUB S/R 90° R 8</t>
  </si>
  <si>
    <t>CENEFA 1V R8</t>
  </si>
  <si>
    <t>CORTE Z</t>
  </si>
  <si>
    <t>DESPACHO A DOMICILIO</t>
  </si>
  <si>
    <t>SAN ESTEBAN 1651 BLOK K DEPTO. 33 LA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</si>
</sst>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1" fontId="2" fillId="0" borderId="0" xfId="0" applyNumberFormat="1" applyFont="1" applyAlignment="1">
      <alignment horizontal="center"/>
    </xf>
    <xf numFmtId="0" fontId="19" fillId="0" borderId="0" xfId="0" quotePrefix="1" applyFont="1" applyAlignment="1">
      <alignment horizontal="left" vertical="top"/>
    </xf>
    <xf numFmtId="165" fontId="9" fillId="0" borderId="2" xfId="0" applyNumberFormat="1" applyFont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3" borderId="6" xfId="0" applyFill="1" applyBorder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27</xdr:row>
      <xdr:rowOff>23327</xdr:rowOff>
    </xdr:from>
    <xdr:to>
      <xdr:col>5</xdr:col>
      <xdr:colOff>1539552</xdr:colOff>
      <xdr:row>30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$ 100.000.-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47</xdr:row>
      <xdr:rowOff>0</xdr:rowOff>
    </xdr:from>
    <xdr:to>
      <xdr:col>4</xdr:col>
      <xdr:colOff>369336</xdr:colOff>
      <xdr:row>47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49</xdr:row>
      <xdr:rowOff>1</xdr:rowOff>
    </xdr:from>
    <xdr:to>
      <xdr:col>4</xdr:col>
      <xdr:colOff>349897</xdr:colOff>
      <xdr:row>49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52</xdr:row>
      <xdr:rowOff>190500</xdr:rowOff>
    </xdr:from>
    <xdr:to>
      <xdr:col>7</xdr:col>
      <xdr:colOff>9524</xdr:colOff>
      <xdr:row>54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49</xdr:row>
      <xdr:rowOff>30479</xdr:rowOff>
    </xdr:from>
    <xdr:to>
      <xdr:col>6</xdr:col>
      <xdr:colOff>2912745</xdr:colOff>
      <xdr:row>50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47</xdr:row>
      <xdr:rowOff>209549</xdr:rowOff>
    </xdr:from>
    <xdr:to>
      <xdr:col>7</xdr:col>
      <xdr:colOff>0</xdr:colOff>
      <xdr:row>49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46</xdr:row>
      <xdr:rowOff>171450</xdr:rowOff>
    </xdr:from>
    <xdr:to>
      <xdr:col>7</xdr:col>
      <xdr:colOff>19050</xdr:colOff>
      <xdr:row>47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65</xdr:row>
      <xdr:rowOff>0</xdr:rowOff>
    </xdr:from>
    <xdr:to>
      <xdr:col>3</xdr:col>
      <xdr:colOff>38100</xdr:colOff>
      <xdr:row>66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65</xdr:row>
      <xdr:rowOff>0</xdr:rowOff>
    </xdr:from>
    <xdr:to>
      <xdr:col>3</xdr:col>
      <xdr:colOff>1019175</xdr:colOff>
      <xdr:row>66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65</xdr:row>
      <xdr:rowOff>0</xdr:rowOff>
    </xdr:from>
    <xdr:to>
      <xdr:col>4</xdr:col>
      <xdr:colOff>352425</xdr:colOff>
      <xdr:row>66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65</xdr:row>
      <xdr:rowOff>0</xdr:rowOff>
    </xdr:from>
    <xdr:to>
      <xdr:col>5</xdr:col>
      <xdr:colOff>257175</xdr:colOff>
      <xdr:row>66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65</xdr:row>
      <xdr:rowOff>0</xdr:rowOff>
    </xdr:from>
    <xdr:to>
      <xdr:col>6</xdr:col>
      <xdr:colOff>447675</xdr:colOff>
      <xdr:row>66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65</xdr:row>
      <xdr:rowOff>0</xdr:rowOff>
    </xdr:from>
    <xdr:to>
      <xdr:col>7</xdr:col>
      <xdr:colOff>0</xdr:colOff>
      <xdr:row>66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66</xdr:row>
      <xdr:rowOff>0</xdr:rowOff>
    </xdr:from>
    <xdr:to>
      <xdr:col>3</xdr:col>
      <xdr:colOff>304800</xdr:colOff>
      <xdr:row>67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66</xdr:row>
      <xdr:rowOff>0</xdr:rowOff>
    </xdr:from>
    <xdr:to>
      <xdr:col>3</xdr:col>
      <xdr:colOff>1276350</xdr:colOff>
      <xdr:row>67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66</xdr:row>
      <xdr:rowOff>0</xdr:rowOff>
    </xdr:from>
    <xdr:to>
      <xdr:col>4</xdr:col>
      <xdr:colOff>619125</xdr:colOff>
      <xdr:row>67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66</xdr:row>
      <xdr:rowOff>0</xdr:rowOff>
    </xdr:from>
    <xdr:to>
      <xdr:col>5</xdr:col>
      <xdr:colOff>523875</xdr:colOff>
      <xdr:row>67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66</xdr:row>
      <xdr:rowOff>0</xdr:rowOff>
    </xdr:from>
    <xdr:to>
      <xdr:col>6</xdr:col>
      <xdr:colOff>723900</xdr:colOff>
      <xdr:row>67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66</xdr:row>
      <xdr:rowOff>0</xdr:rowOff>
    </xdr:from>
    <xdr:to>
      <xdr:col>7</xdr:col>
      <xdr:colOff>0</xdr:colOff>
      <xdr:row>67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38</xdr:row>
      <xdr:rowOff>15239</xdr:rowOff>
    </xdr:from>
    <xdr:to>
      <xdr:col>7</xdr:col>
      <xdr:colOff>0</xdr:colOff>
      <xdr:row>42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CORTE Z Y DESFONDADOS MAS DESPACHO A DOMICILIO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27</xdr:row>
      <xdr:rowOff>1</xdr:rowOff>
    </xdr:from>
    <xdr:to>
      <xdr:col>7</xdr:col>
      <xdr:colOff>19048</xdr:colOff>
      <xdr:row>28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68</xdr:row>
      <xdr:rowOff>32385</xdr:rowOff>
    </xdr:from>
    <xdr:to>
      <xdr:col>7</xdr:col>
      <xdr:colOff>7620</xdr:colOff>
      <xdr:row>72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LLEVA CORTES Z Y DESFONDADOS, HAY QUE DESPACHAR A DOMICILIO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46</xdr:row>
      <xdr:rowOff>146685</xdr:rowOff>
    </xdr:from>
    <xdr:to>
      <xdr:col>2</xdr:col>
      <xdr:colOff>786523</xdr:colOff>
      <xdr:row>52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304800</xdr:colOff>
      <xdr:row>75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3"/>
  <sheetViews>
    <sheetView tabSelected="1" topLeftCell="A16" zoomScale="98" zoomScaleNormal="98" workbookViewId="0">
      <selection activeCell="J28" sqref="J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11776</v>
      </c>
      <c r="E8" s="30"/>
      <c r="F8" s="35" t="s">
        <v>25</v>
      </c>
      <c r="G8" s="36">
        <v>4229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45989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45996</v>
      </c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20" t="s">
        <v>142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123" t="s">
        <v>1</v>
      </c>
      <c r="C15" t="s">
        <v>148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4" t="s">
        <v>17</v>
      </c>
      <c r="G16" s="124"/>
      <c r="H16" s="125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6" t="s">
        <v>18</v>
      </c>
      <c r="C19" s="127"/>
      <c r="D19" s="127"/>
      <c r="E19" s="127"/>
      <c r="F19" s="127"/>
      <c r="G19" s="127"/>
      <c r="H19" s="128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139</v>
      </c>
      <c r="D21" s="103">
        <v>1540</v>
      </c>
      <c r="E21" s="103">
        <v>500</v>
      </c>
      <c r="F21" s="102" t="s">
        <v>143</v>
      </c>
      <c r="G21" s="113">
        <v>52217</v>
      </c>
      <c r="H21" s="113">
        <f>G21*B21</f>
        <v>52217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1</v>
      </c>
      <c r="C22" s="102" t="s">
        <v>144</v>
      </c>
      <c r="D22" s="103">
        <v>1425</v>
      </c>
      <c r="E22" s="103">
        <v>500</v>
      </c>
      <c r="F22" s="102" t="s">
        <v>143</v>
      </c>
      <c r="G22" s="113">
        <v>48724</v>
      </c>
      <c r="H22" s="113">
        <f t="shared" ref="H22:H26" si="0">G22*B22</f>
        <v>48724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1</v>
      </c>
      <c r="C23" s="102" t="s">
        <v>145</v>
      </c>
      <c r="D23" s="103">
        <v>1925</v>
      </c>
      <c r="E23" s="103">
        <v>62</v>
      </c>
      <c r="F23" s="102" t="s">
        <v>143</v>
      </c>
      <c r="G23" s="113">
        <v>10553</v>
      </c>
      <c r="H23" s="113">
        <f t="shared" si="0"/>
        <v>10553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2">
        <v>1</v>
      </c>
      <c r="C24" s="102" t="s">
        <v>146</v>
      </c>
      <c r="D24" s="121"/>
      <c r="E24" s="121"/>
      <c r="F24" s="102"/>
      <c r="G24" s="113">
        <v>15000</v>
      </c>
      <c r="H24" s="113">
        <f t="shared" si="0"/>
        <v>15000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2">
        <v>2</v>
      </c>
      <c r="C25" s="102" t="s">
        <v>140</v>
      </c>
      <c r="D25" s="121"/>
      <c r="E25" s="121"/>
      <c r="F25" s="102"/>
      <c r="G25" s="113">
        <v>15000</v>
      </c>
      <c r="H25" s="113">
        <f t="shared" si="0"/>
        <v>30000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2">
        <v>1</v>
      </c>
      <c r="C26" s="102" t="s">
        <v>147</v>
      </c>
      <c r="D26" s="121"/>
      <c r="E26" s="121"/>
      <c r="F26" s="102"/>
      <c r="G26" s="113">
        <v>30000</v>
      </c>
      <c r="H26" s="113">
        <f t="shared" si="0"/>
        <v>30000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04"/>
      <c r="C27" s="104"/>
      <c r="D27" s="112"/>
      <c r="E27" s="112"/>
      <c r="F27" s="104"/>
      <c r="G27" s="106"/>
      <c r="H27" s="106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G28" s="60" t="s">
        <v>5</v>
      </c>
      <c r="H28" s="61">
        <f>SUM(H21:H27)</f>
        <v>186494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G29" s="62" t="s">
        <v>136</v>
      </c>
      <c r="H29" s="63"/>
      <c r="I29" s="30"/>
      <c r="K29" s="11"/>
      <c r="L29" s="15"/>
      <c r="M29" s="11"/>
      <c r="N29" s="11"/>
      <c r="O29" s="15"/>
      <c r="P29" s="21"/>
    </row>
    <row r="30" spans="1:16" ht="20.100000000000001" customHeight="1" thickBot="1" x14ac:dyDescent="0.4">
      <c r="A30" s="30"/>
      <c r="B30" s="104"/>
      <c r="C30" s="104"/>
      <c r="D30" s="112"/>
      <c r="E30" s="112"/>
      <c r="F30" s="104"/>
      <c r="G30" s="64" t="s">
        <v>4</v>
      </c>
      <c r="H30" s="65">
        <f>H28+H29</f>
        <v>186494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12"/>
      <c r="E31" s="112"/>
      <c r="F31" s="104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/>
      <c r="C32" s="104"/>
      <c r="D32" s="112"/>
      <c r="E32" s="112"/>
      <c r="F32" s="104"/>
      <c r="G32" s="106"/>
      <c r="H32" s="106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4"/>
      <c r="C33" s="104"/>
      <c r="D33" s="112"/>
      <c r="E33" s="112"/>
      <c r="F33" s="104"/>
      <c r="G33" s="106"/>
      <c r="H33" s="106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4"/>
      <c r="C34" s="104"/>
      <c r="D34" s="105"/>
      <c r="E34" s="105"/>
      <c r="F34" s="104"/>
      <c r="G34" s="106"/>
      <c r="H34" s="106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4"/>
      <c r="C35" s="104"/>
      <c r="D35" s="105"/>
      <c r="E35" s="105"/>
      <c r="F35" s="104"/>
      <c r="G35" s="106"/>
      <c r="H35" s="106"/>
      <c r="I35" s="30"/>
      <c r="K35" s="11"/>
      <c r="L35" s="15"/>
      <c r="M35" s="11"/>
      <c r="N35" s="11"/>
      <c r="O35" s="15"/>
      <c r="P35" s="21"/>
    </row>
    <row r="36" spans="1:16" ht="13.2" customHeight="1" x14ac:dyDescent="0.35">
      <c r="A36" s="30"/>
      <c r="B36" s="59"/>
      <c r="C36" s="59"/>
      <c r="D36" s="59"/>
      <c r="E36" s="59"/>
      <c r="F36" s="59"/>
      <c r="G36" s="58"/>
      <c r="H36" s="58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I39" s="30"/>
    </row>
    <row r="40" spans="1:16" ht="20.100000000000001" customHeight="1" x14ac:dyDescent="0.35">
      <c r="A40" s="30"/>
      <c r="B40" s="30"/>
      <c r="C40" s="30"/>
      <c r="D40" s="30"/>
      <c r="E40" s="30"/>
      <c r="F40" s="30"/>
      <c r="G40" s="66"/>
      <c r="H40" s="67"/>
      <c r="I40" s="30"/>
    </row>
    <row r="41" spans="1:16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16" ht="18" x14ac:dyDescent="0.35">
      <c r="A42" s="30"/>
      <c r="B42" s="68" t="s">
        <v>133</v>
      </c>
      <c r="C42" s="69"/>
      <c r="D42" s="70"/>
      <c r="E42" s="70"/>
      <c r="F42" s="59"/>
      <c r="G42" s="30"/>
      <c r="H42" s="30"/>
      <c r="I42" s="30"/>
    </row>
    <row r="43" spans="1:16" ht="18" x14ac:dyDescent="0.35">
      <c r="A43" s="30"/>
      <c r="B43" s="68" t="s">
        <v>119</v>
      </c>
      <c r="C43" s="69"/>
      <c r="D43" s="70"/>
      <c r="E43" s="70"/>
      <c r="F43" s="59"/>
      <c r="G43" s="30"/>
      <c r="H43" s="30"/>
      <c r="I43" s="30"/>
    </row>
    <row r="44" spans="1:16" ht="18" x14ac:dyDescent="0.35">
      <c r="A44" s="30"/>
      <c r="B44" s="30" t="s">
        <v>23</v>
      </c>
      <c r="C44" s="30"/>
      <c r="D44" s="30"/>
      <c r="E44" s="30"/>
      <c r="F44" s="30"/>
      <c r="G44" s="30"/>
      <c r="H44" s="30"/>
      <c r="I44" s="30"/>
    </row>
    <row r="45" spans="1:16" ht="18" x14ac:dyDescent="0.35">
      <c r="A45" s="30"/>
      <c r="B45" s="71" t="s">
        <v>24</v>
      </c>
      <c r="C45" s="71"/>
      <c r="D45" s="30"/>
      <c r="E45" s="30"/>
      <c r="F45" s="30"/>
      <c r="G45" s="30"/>
      <c r="H45" s="30"/>
      <c r="I45" s="30"/>
    </row>
    <row r="46" spans="1:16" ht="18" x14ac:dyDescent="0.35">
      <c r="A46" s="30"/>
      <c r="B46" s="30"/>
      <c r="C46" s="30"/>
      <c r="D46" s="30"/>
      <c r="E46" s="71"/>
      <c r="F46" s="30"/>
      <c r="G46" s="30"/>
      <c r="H46" s="30"/>
      <c r="I46" s="30"/>
    </row>
    <row r="47" spans="1:16" ht="18" x14ac:dyDescent="0.35">
      <c r="A47" s="30"/>
      <c r="B47" s="31" t="s">
        <v>131</v>
      </c>
      <c r="C47" s="31"/>
      <c r="D47" s="31"/>
      <c r="E47" s="72"/>
      <c r="F47" s="30"/>
      <c r="G47" s="30"/>
      <c r="H47" s="30"/>
      <c r="I47" s="30"/>
    </row>
    <row r="48" spans="1:16" ht="18" x14ac:dyDescent="0.35">
      <c r="A48" s="30"/>
      <c r="B48" s="31"/>
      <c r="C48" s="31"/>
      <c r="D48" s="31"/>
      <c r="E48" s="72"/>
      <c r="F48" s="30"/>
      <c r="G48" s="30"/>
      <c r="H48" s="30"/>
      <c r="I48" s="30"/>
    </row>
    <row r="49" spans="1:9" ht="18" x14ac:dyDescent="0.35">
      <c r="A49" s="30"/>
      <c r="B49" s="31" t="s">
        <v>132</v>
      </c>
      <c r="C49" s="30"/>
      <c r="D49" s="30"/>
      <c r="E49" s="71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71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8" x14ac:dyDescent="0.35">
      <c r="A52" s="30"/>
      <c r="B52" s="30"/>
      <c r="C52" s="30"/>
      <c r="D52" s="30"/>
      <c r="E52" s="30"/>
      <c r="F52" s="30"/>
      <c r="G52" s="30"/>
      <c r="H52" s="30"/>
      <c r="I52" s="30"/>
    </row>
    <row r="53" spans="1:9" ht="15.6" x14ac:dyDescent="0.3">
      <c r="C53" s="1"/>
    </row>
  </sheetData>
  <sortState xmlns:xlrd2="http://schemas.microsoft.com/office/spreadsheetml/2017/richdata2" ref="B54">
    <sortCondition sortBy="fontColor" ref="B54" dxfId="0"/>
  </sortState>
  <mergeCells count="2">
    <mergeCell ref="F16:H16"/>
    <mergeCell ref="B19:H19"/>
  </mergeCells>
  <phoneticPr fontId="8" type="noConversion"/>
  <hyperlinks>
    <hyperlink ref="B4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28</v>
      </c>
      <c r="C2" s="129"/>
      <c r="D2" s="129"/>
      <c r="E2" s="12"/>
      <c r="G2" s="129" t="s">
        <v>67</v>
      </c>
      <c r="H2" s="129"/>
      <c r="I2" s="129"/>
      <c r="P2" s="130" t="s">
        <v>55</v>
      </c>
      <c r="Q2" s="130"/>
      <c r="R2" s="13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0" t="s">
        <v>55</v>
      </c>
      <c r="M8" s="130"/>
      <c r="N8" s="13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6"/>
  <sheetViews>
    <sheetView topLeftCell="A36" zoomScaleNormal="100" workbookViewId="0">
      <selection activeCell="A46" sqref="A46:G76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1" t="s">
        <v>58</v>
      </c>
      <c r="M3" s="131"/>
      <c r="N3" s="131" t="s">
        <v>13</v>
      </c>
      <c r="O3" s="131"/>
    </row>
    <row r="4" spans="1:15" ht="15.75" customHeight="1" x14ac:dyDescent="0.35">
      <c r="B4" s="30"/>
      <c r="C4" s="30"/>
      <c r="D4" s="74" t="s">
        <v>25</v>
      </c>
      <c r="E4" s="75">
        <f>'4637'!G8</f>
        <v>4229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EDUARDO VALENZUELA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45996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2" t="s">
        <v>58</v>
      </c>
      <c r="C10" s="132"/>
      <c r="D10" s="132"/>
      <c r="E10" s="132"/>
      <c r="F10" s="132"/>
      <c r="G10" s="132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80</v>
      </c>
      <c r="F13" s="93">
        <v>-30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138</v>
      </c>
      <c r="C14" s="94">
        <f>J14</f>
        <v>1</v>
      </c>
      <c r="D14" s="94"/>
      <c r="E14" s="94">
        <f>K14+E$13</f>
        <v>1620</v>
      </c>
      <c r="F14" s="94">
        <f>L14+F$13</f>
        <v>470</v>
      </c>
      <c r="G14" s="94" t="str">
        <f>D31</f>
        <v>CUB C/R 90° R 8</v>
      </c>
      <c r="H14" s="30"/>
      <c r="J14" s="3">
        <f>J23</f>
        <v>1</v>
      </c>
      <c r="K14" s="4">
        <f t="shared" ref="K14:L14" si="0">E31</f>
        <v>1540</v>
      </c>
      <c r="L14" s="4">
        <f t="shared" si="0"/>
        <v>500</v>
      </c>
    </row>
    <row r="15" spans="1:15" ht="18" x14ac:dyDescent="0.35">
      <c r="A15" s="110"/>
      <c r="B15" s="101"/>
      <c r="C15" s="94">
        <f>J15</f>
        <v>1</v>
      </c>
      <c r="D15" s="94"/>
      <c r="E15" s="94">
        <f>K15+E$13</f>
        <v>1505</v>
      </c>
      <c r="F15" s="94">
        <f>L15</f>
        <v>500</v>
      </c>
      <c r="G15" s="94" t="str">
        <f>D32</f>
        <v>CUB S/R 90° R 8</v>
      </c>
      <c r="H15" s="30"/>
      <c r="J15" s="3">
        <f>J24</f>
        <v>1</v>
      </c>
      <c r="K15" s="4">
        <f t="shared" ref="K15" si="1">E32</f>
        <v>1425</v>
      </c>
      <c r="L15" s="4">
        <f t="shared" ref="L15" si="2">F32</f>
        <v>500</v>
      </c>
    </row>
    <row r="16" spans="1:15" ht="18" x14ac:dyDescent="0.35">
      <c r="A16" s="110"/>
      <c r="B16" s="101"/>
      <c r="C16" s="94">
        <f>J16</f>
        <v>1</v>
      </c>
      <c r="D16" s="94"/>
      <c r="E16" s="94">
        <f>K16+E$13</f>
        <v>2005</v>
      </c>
      <c r="F16" s="94">
        <v>100</v>
      </c>
      <c r="G16" s="94" t="str">
        <f>D33</f>
        <v>CENEFA 1V R8</v>
      </c>
      <c r="H16" s="30"/>
      <c r="J16" s="3">
        <f>J25</f>
        <v>1</v>
      </c>
      <c r="K16" s="4">
        <f t="shared" ref="K16" si="3">E33</f>
        <v>1925</v>
      </c>
      <c r="L16" s="4">
        <f t="shared" ref="L16" si="4">F33</f>
        <v>62</v>
      </c>
    </row>
    <row r="17" spans="1:12" ht="18" x14ac:dyDescent="0.35">
      <c r="A17" s="2"/>
      <c r="B17" s="83"/>
      <c r="C17" s="73"/>
      <c r="D17" s="73"/>
      <c r="E17" s="73"/>
      <c r="F17" s="73"/>
      <c r="G17" s="73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32" t="s">
        <v>13</v>
      </c>
      <c r="C19" s="132"/>
      <c r="D19" s="132"/>
      <c r="E19" s="132"/>
      <c r="F19" s="132"/>
      <c r="G19" s="132"/>
      <c r="H19" s="30"/>
    </row>
    <row r="20" spans="1:12" ht="10.5" customHeight="1" x14ac:dyDescent="0.35">
      <c r="A20" s="2"/>
      <c r="B20" s="30"/>
      <c r="C20" s="30"/>
      <c r="D20" s="91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6" t="s">
        <v>6</v>
      </c>
      <c r="F21" s="66" t="s">
        <v>7</v>
      </c>
      <c r="G21" s="30"/>
      <c r="H21" s="30"/>
    </row>
    <row r="22" spans="1:12" ht="18" x14ac:dyDescent="0.35">
      <c r="A22" s="2"/>
      <c r="B22" s="66" t="s">
        <v>8</v>
      </c>
      <c r="C22" s="82" t="s">
        <v>9</v>
      </c>
      <c r="D22" s="82" t="s">
        <v>10</v>
      </c>
      <c r="E22" s="95">
        <v>40</v>
      </c>
      <c r="F22" s="95">
        <v>60</v>
      </c>
      <c r="G22" s="82" t="s">
        <v>107</v>
      </c>
      <c r="H22" s="30"/>
      <c r="K22" s="5" t="s">
        <v>6</v>
      </c>
      <c r="L22" s="5" t="s">
        <v>7</v>
      </c>
    </row>
    <row r="23" spans="1:12" ht="18" x14ac:dyDescent="0.35">
      <c r="A23" s="110">
        <v>1</v>
      </c>
      <c r="B23" s="101"/>
      <c r="C23" s="96">
        <f t="shared" ref="C23" si="5">J23</f>
        <v>1</v>
      </c>
      <c r="D23" s="96"/>
      <c r="E23" s="96">
        <f t="shared" ref="E23:E24" si="6">K23+E$22</f>
        <v>1580</v>
      </c>
      <c r="F23" s="96">
        <v>630</v>
      </c>
      <c r="G23" s="96" t="str">
        <f>D31</f>
        <v>CUB C/R 90° R 8</v>
      </c>
      <c r="H23" s="30"/>
      <c r="J23" s="3">
        <f>C31</f>
        <v>1</v>
      </c>
      <c r="K23" s="107">
        <f t="shared" ref="K23:L25" si="7">E31</f>
        <v>1540</v>
      </c>
      <c r="L23" s="107">
        <f t="shared" si="7"/>
        <v>500</v>
      </c>
    </row>
    <row r="24" spans="1:12" ht="18" x14ac:dyDescent="0.35">
      <c r="A24" s="110"/>
      <c r="B24" s="101"/>
      <c r="C24" s="96">
        <f t="shared" ref="C24" si="8">J24</f>
        <v>1</v>
      </c>
      <c r="D24" s="96"/>
      <c r="E24" s="96">
        <f t="shared" si="6"/>
        <v>1465</v>
      </c>
      <c r="F24" s="96">
        <f t="shared" ref="F24" si="9">L24+F$22</f>
        <v>560</v>
      </c>
      <c r="G24" s="96" t="str">
        <f>D32</f>
        <v>CUB S/R 90° R 8</v>
      </c>
      <c r="H24" s="30"/>
      <c r="J24" s="3">
        <f>C32</f>
        <v>1</v>
      </c>
      <c r="K24" s="107">
        <f t="shared" si="7"/>
        <v>1425</v>
      </c>
      <c r="L24" s="107">
        <f t="shared" si="7"/>
        <v>500</v>
      </c>
    </row>
    <row r="25" spans="1:12" ht="18" x14ac:dyDescent="0.35">
      <c r="A25" s="110"/>
      <c r="B25" s="101"/>
      <c r="C25" s="96">
        <f t="shared" ref="C25" si="10">J25</f>
        <v>1</v>
      </c>
      <c r="D25" s="96"/>
      <c r="E25" s="96">
        <f t="shared" ref="E25" si="11">K25+E$22</f>
        <v>1965</v>
      </c>
      <c r="F25" s="96">
        <v>140</v>
      </c>
      <c r="G25" s="96" t="str">
        <f>D33</f>
        <v>CENEFA 1V R8</v>
      </c>
      <c r="H25" s="30"/>
      <c r="J25" s="3">
        <f>C33</f>
        <v>1</v>
      </c>
      <c r="K25" s="107">
        <f t="shared" si="7"/>
        <v>1925</v>
      </c>
      <c r="L25" s="107">
        <f t="shared" si="7"/>
        <v>62</v>
      </c>
    </row>
    <row r="26" spans="1:12" ht="18" x14ac:dyDescent="0.35">
      <c r="A26" s="110"/>
      <c r="B26" s="101"/>
      <c r="C26" s="73"/>
      <c r="D26" s="73"/>
      <c r="E26" s="73"/>
      <c r="F26" s="73"/>
      <c r="G26" s="73"/>
      <c r="H26" s="30"/>
      <c r="J26" s="23"/>
      <c r="K26" s="122"/>
      <c r="L26" s="122"/>
    </row>
    <row r="27" spans="1:12" ht="18.600000000000001" thickBot="1" x14ac:dyDescent="0.4">
      <c r="A27" s="2"/>
      <c r="B27" s="83"/>
      <c r="C27" s="73"/>
      <c r="D27" s="73"/>
      <c r="E27" s="73"/>
      <c r="F27" s="73"/>
      <c r="G27" s="73"/>
      <c r="H27" s="30"/>
      <c r="I27" s="108"/>
      <c r="J27" s="109"/>
      <c r="K27" s="109"/>
      <c r="L27" s="109"/>
    </row>
    <row r="28" spans="1:12" ht="18.600000000000001" thickBot="1" x14ac:dyDescent="0.4">
      <c r="A28" s="2"/>
      <c r="B28" s="66"/>
      <c r="C28" s="97" t="s">
        <v>104</v>
      </c>
      <c r="D28" s="33"/>
      <c r="E28" s="33"/>
      <c r="F28" s="33"/>
      <c r="G28" s="98"/>
      <c r="H28" s="30"/>
      <c r="J28" s="2"/>
      <c r="K28" s="2"/>
      <c r="L28" s="2"/>
    </row>
    <row r="29" spans="1:12" ht="10.5" customHeight="1" x14ac:dyDescent="0.35">
      <c r="A29" s="2"/>
      <c r="B29" s="30"/>
      <c r="C29" s="30"/>
      <c r="D29" s="30"/>
      <c r="E29" s="30"/>
      <c r="F29" s="30"/>
      <c r="G29" s="30"/>
      <c r="H29" s="30"/>
    </row>
    <row r="30" spans="1:12" ht="18" x14ac:dyDescent="0.35">
      <c r="A30" s="2"/>
      <c r="B30" s="66" t="s">
        <v>8</v>
      </c>
      <c r="C30" s="99" t="s">
        <v>9</v>
      </c>
      <c r="D30" s="99" t="s">
        <v>107</v>
      </c>
      <c r="E30" s="99" t="s">
        <v>6</v>
      </c>
      <c r="F30" s="99" t="s">
        <v>7</v>
      </c>
      <c r="G30" s="99" t="s">
        <v>21</v>
      </c>
      <c r="H30" s="30"/>
    </row>
    <row r="31" spans="1:12" ht="18" x14ac:dyDescent="0.35">
      <c r="A31" s="110">
        <v>1</v>
      </c>
      <c r="B31" s="101" t="s">
        <v>138</v>
      </c>
      <c r="C31" s="94">
        <f>'4637'!B21</f>
        <v>1</v>
      </c>
      <c r="D31" s="94" t="str">
        <f>D58</f>
        <v>CUB C/R 90° R 8</v>
      </c>
      <c r="E31" s="116">
        <f>'4637'!D21</f>
        <v>1540</v>
      </c>
      <c r="F31" s="116">
        <f>'4637'!E21</f>
        <v>500</v>
      </c>
      <c r="G31" s="4" t="str">
        <f>'4637'!F21</f>
        <v>SHELL WHITE 20011 BRILLO</v>
      </c>
      <c r="H31" s="30"/>
      <c r="I31" s="28">
        <f>E31*F31/1000000</f>
        <v>0.77</v>
      </c>
      <c r="J31" s="28">
        <f>I31*C31</f>
        <v>0.77</v>
      </c>
    </row>
    <row r="32" spans="1:12" ht="18" x14ac:dyDescent="0.35">
      <c r="A32" s="110"/>
      <c r="B32" s="101"/>
      <c r="C32" s="94">
        <f>'4637'!B22</f>
        <v>1</v>
      </c>
      <c r="D32" s="94" t="str">
        <f t="shared" ref="D32:D36" si="12">D59</f>
        <v>CUB S/R 90° R 8</v>
      </c>
      <c r="E32" s="116">
        <f>'4637'!D22</f>
        <v>1425</v>
      </c>
      <c r="F32" s="116">
        <f>'4637'!E22</f>
        <v>500</v>
      </c>
      <c r="G32" s="4" t="str">
        <f>'4637'!F22</f>
        <v>SHELL WHITE 20011 BRILLO</v>
      </c>
      <c r="H32" s="30"/>
      <c r="I32" s="28"/>
      <c r="J32" s="28"/>
    </row>
    <row r="33" spans="1:10" ht="18" x14ac:dyDescent="0.35">
      <c r="A33" s="110"/>
      <c r="B33" s="101"/>
      <c r="C33" s="94">
        <f>'4637'!B23</f>
        <v>1</v>
      </c>
      <c r="D33" s="94" t="str">
        <f t="shared" si="12"/>
        <v>CENEFA 1V R8</v>
      </c>
      <c r="E33" s="116">
        <f>'4637'!D23</f>
        <v>1925</v>
      </c>
      <c r="F33" s="116">
        <f>'4637'!E23</f>
        <v>62</v>
      </c>
      <c r="G33" s="4" t="str">
        <f>'4637'!F23</f>
        <v>SHELL WHITE 20011 BRILLO</v>
      </c>
      <c r="H33" s="30"/>
      <c r="I33" s="28"/>
      <c r="J33" s="28"/>
    </row>
    <row r="34" spans="1:10" ht="18" x14ac:dyDescent="0.35">
      <c r="A34" s="110"/>
      <c r="B34" s="101"/>
      <c r="C34" s="94">
        <f>'4637'!B24</f>
        <v>1</v>
      </c>
      <c r="D34" s="94" t="str">
        <f t="shared" si="12"/>
        <v>CORTE Z</v>
      </c>
      <c r="E34" s="116">
        <f>'4637'!D24</f>
        <v>0</v>
      </c>
      <c r="F34" s="116">
        <f>'4637'!E24</f>
        <v>0</v>
      </c>
      <c r="G34" s="4">
        <f>'4637'!F24</f>
        <v>0</v>
      </c>
      <c r="H34" s="30"/>
      <c r="I34" s="28"/>
      <c r="J34" s="28"/>
    </row>
    <row r="35" spans="1:10" ht="18" x14ac:dyDescent="0.35">
      <c r="A35" s="110"/>
      <c r="B35" s="101"/>
      <c r="C35" s="94">
        <f>'4637'!B25</f>
        <v>2</v>
      </c>
      <c r="D35" s="94" t="str">
        <f t="shared" si="12"/>
        <v>DESFONDADOS</v>
      </c>
      <c r="E35" s="116">
        <f>'4637'!D25</f>
        <v>0</v>
      </c>
      <c r="F35" s="116">
        <f>'4637'!E25</f>
        <v>0</v>
      </c>
      <c r="G35" s="4">
        <f>'4637'!F25</f>
        <v>0</v>
      </c>
      <c r="H35" s="30"/>
      <c r="I35" s="28"/>
      <c r="J35" s="28"/>
    </row>
    <row r="36" spans="1:10" ht="18" x14ac:dyDescent="0.35">
      <c r="A36" s="110"/>
      <c r="B36" s="101"/>
      <c r="C36" s="94">
        <f>'4637'!B26</f>
        <v>1</v>
      </c>
      <c r="D36" s="94" t="str">
        <f t="shared" si="12"/>
        <v>DESPACHO A DOMICILIO</v>
      </c>
      <c r="E36" s="116">
        <f>'4637'!D26</f>
        <v>0</v>
      </c>
      <c r="F36" s="116">
        <f>'4637'!E26</f>
        <v>0</v>
      </c>
      <c r="G36" s="4">
        <f>'4637'!F26</f>
        <v>0</v>
      </c>
      <c r="H36" s="30"/>
      <c r="I36" s="28"/>
      <c r="J36" s="28"/>
    </row>
    <row r="37" spans="1:10" ht="18" x14ac:dyDescent="0.35">
      <c r="A37" s="110"/>
      <c r="B37" s="101"/>
      <c r="C37" s="104"/>
      <c r="D37" s="104"/>
      <c r="E37" s="105"/>
      <c r="F37" s="105"/>
      <c r="G37" s="104"/>
      <c r="H37" s="30"/>
      <c r="I37" s="28"/>
      <c r="J37" s="28"/>
    </row>
    <row r="38" spans="1:10" ht="18" x14ac:dyDescent="0.35">
      <c r="A38" s="2"/>
      <c r="B38" s="30"/>
      <c r="C38" s="73"/>
      <c r="D38" s="73"/>
      <c r="E38" s="73"/>
      <c r="F38" s="73"/>
      <c r="G38" s="73"/>
      <c r="H38" s="30"/>
    </row>
    <row r="39" spans="1:10" ht="18" x14ac:dyDescent="0.35">
      <c r="A39" s="2"/>
      <c r="B39" s="30"/>
      <c r="C39" s="73"/>
      <c r="D39" s="73"/>
      <c r="E39" s="73"/>
      <c r="F39" s="73"/>
      <c r="G39" s="73"/>
      <c r="H39" s="30"/>
      <c r="J39" s="28">
        <f>SUM(J31:J31)*2</f>
        <v>1.54</v>
      </c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</row>
    <row r="41" spans="1:10" ht="18" x14ac:dyDescent="0.35">
      <c r="A41" s="2"/>
      <c r="B41" s="30"/>
      <c r="C41" s="73"/>
      <c r="D41" s="73"/>
      <c r="E41" s="73"/>
      <c r="F41" s="73"/>
      <c r="G41" s="73"/>
      <c r="H41" s="30"/>
    </row>
    <row r="42" spans="1:10" ht="18" x14ac:dyDescent="0.35">
      <c r="A42" s="2"/>
      <c r="B42" s="30"/>
      <c r="C42" s="73"/>
      <c r="D42" s="73"/>
      <c r="E42" s="73"/>
      <c r="F42" s="73"/>
      <c r="G42" s="73"/>
      <c r="H42" s="30"/>
    </row>
    <row r="43" spans="1:10" ht="18" x14ac:dyDescent="0.35">
      <c r="A43" s="2"/>
      <c r="B43" s="30"/>
      <c r="C43" s="73"/>
      <c r="D43" s="73"/>
      <c r="E43" s="73"/>
      <c r="F43" s="73"/>
      <c r="G43" s="73"/>
      <c r="H43" s="30"/>
    </row>
    <row r="44" spans="1:10" ht="18" x14ac:dyDescent="0.35">
      <c r="A44" s="2"/>
      <c r="B44" s="30"/>
      <c r="C44" s="73"/>
      <c r="D44" s="73"/>
      <c r="E44" s="73"/>
      <c r="F44" s="73"/>
      <c r="G44" s="73"/>
      <c r="H44" s="30"/>
    </row>
    <row r="45" spans="1:10" ht="18" x14ac:dyDescent="0.35">
      <c r="A45" s="2"/>
      <c r="B45" s="30"/>
      <c r="C45" s="73"/>
      <c r="D45" s="73"/>
      <c r="E45" s="73"/>
      <c r="F45" s="73"/>
      <c r="G45" s="73"/>
      <c r="H45" s="30"/>
    </row>
    <row r="46" spans="1:10" ht="18" x14ac:dyDescent="0.35">
      <c r="A46" s="2"/>
      <c r="B46" s="30"/>
      <c r="C46" s="73"/>
      <c r="D46" s="73"/>
      <c r="E46" s="73"/>
      <c r="F46" s="73"/>
      <c r="G46" s="73"/>
      <c r="H46" s="30"/>
    </row>
    <row r="47" spans="1:10" ht="18" x14ac:dyDescent="0.35">
      <c r="A47" s="2"/>
      <c r="B47" s="30"/>
      <c r="C47" s="30"/>
      <c r="D47" s="30"/>
      <c r="E47" s="30"/>
      <c r="F47" s="30"/>
      <c r="G47" s="30"/>
      <c r="H47" s="30"/>
    </row>
    <row r="48" spans="1:10" ht="18" x14ac:dyDescent="0.35">
      <c r="A48" s="2"/>
      <c r="B48" s="30"/>
      <c r="C48" s="30"/>
      <c r="D48" s="74" t="s">
        <v>25</v>
      </c>
      <c r="E48" s="75">
        <f>'4637'!G8</f>
        <v>4229</v>
      </c>
      <c r="F48" s="30"/>
      <c r="G48" s="30"/>
      <c r="H48" s="30"/>
    </row>
    <row r="49" spans="1:13" ht="17.25" customHeight="1" x14ac:dyDescent="0.35">
      <c r="A49" s="2"/>
      <c r="B49" s="30"/>
      <c r="C49" s="30"/>
      <c r="D49" s="76" t="s">
        <v>64</v>
      </c>
      <c r="E49" s="77" t="str">
        <f>'4637'!C10</f>
        <v>EDUARDO VALENZUELA</v>
      </c>
      <c r="F49" s="48"/>
      <c r="G49" s="48"/>
      <c r="H49" s="30"/>
    </row>
    <row r="50" spans="1:13" ht="4.5" customHeight="1" x14ac:dyDescent="0.35">
      <c r="A50" s="2"/>
      <c r="B50" s="30"/>
      <c r="C50" s="30"/>
      <c r="D50" s="78"/>
      <c r="E50" s="79"/>
      <c r="F50" s="30"/>
      <c r="G50" s="30"/>
      <c r="H50" s="30"/>
    </row>
    <row r="51" spans="1:13" ht="18" x14ac:dyDescent="0.35">
      <c r="A51" s="2"/>
      <c r="B51" s="30"/>
      <c r="C51" s="30"/>
      <c r="D51" s="80" t="str">
        <f>'4637'!F11</f>
        <v>FECHA LIMITE :</v>
      </c>
      <c r="E51" s="81">
        <f>'4637'!G11</f>
        <v>45996</v>
      </c>
      <c r="F51" s="30"/>
      <c r="G51" s="30"/>
      <c r="H51" s="30"/>
    </row>
    <row r="52" spans="1:13" ht="18" x14ac:dyDescent="0.35">
      <c r="A52" s="2"/>
      <c r="B52" s="30"/>
      <c r="C52" s="30"/>
      <c r="D52" s="30"/>
      <c r="E52" s="30"/>
      <c r="F52" s="30"/>
      <c r="G52" s="30" t="s">
        <v>135</v>
      </c>
      <c r="H52" s="30"/>
    </row>
    <row r="53" spans="1:13" ht="18" x14ac:dyDescent="0.35">
      <c r="A53" s="2"/>
      <c r="B53" s="30"/>
      <c r="C53" s="30"/>
      <c r="D53" s="30"/>
      <c r="E53" s="30"/>
      <c r="F53" s="30"/>
      <c r="G53" s="30"/>
      <c r="H53" s="30"/>
    </row>
    <row r="54" spans="1:13" ht="18" x14ac:dyDescent="0.35">
      <c r="A54" s="2"/>
      <c r="B54" s="133" t="s">
        <v>65</v>
      </c>
      <c r="C54" s="133"/>
      <c r="D54" s="133"/>
      <c r="E54" s="133"/>
      <c r="F54" s="133"/>
      <c r="G54" s="133"/>
      <c r="H54" s="30"/>
    </row>
    <row r="55" spans="1:13" ht="18" x14ac:dyDescent="0.35">
      <c r="A55" s="2"/>
      <c r="B55" s="30"/>
      <c r="C55" s="30"/>
      <c r="D55" s="30"/>
      <c r="E55" s="30"/>
      <c r="F55" s="30"/>
      <c r="G55" s="30"/>
      <c r="H55" s="30"/>
    </row>
    <row r="56" spans="1:13" ht="20.100000000000001" customHeight="1" x14ac:dyDescent="0.35">
      <c r="A56" s="2"/>
      <c r="B56" s="30"/>
      <c r="C56" s="134" t="s">
        <v>66</v>
      </c>
      <c r="D56" s="135"/>
      <c r="E56" s="136"/>
      <c r="F56" s="136"/>
      <c r="G56" s="137"/>
      <c r="H56" s="30"/>
      <c r="I56" s="25" t="s">
        <v>130</v>
      </c>
    </row>
    <row r="57" spans="1:13" s="10" customFormat="1" ht="20.100000000000001" customHeight="1" x14ac:dyDescent="0.35">
      <c r="A57" s="111"/>
      <c r="B57" s="30"/>
      <c r="C57" s="84" t="s">
        <v>9</v>
      </c>
      <c r="D57" s="85" t="s">
        <v>10</v>
      </c>
      <c r="E57" s="88" t="s">
        <v>6</v>
      </c>
      <c r="F57" s="88" t="s">
        <v>7</v>
      </c>
      <c r="G57" s="86" t="s">
        <v>11</v>
      </c>
      <c r="H57" s="30"/>
      <c r="K57" s="10">
        <v>15000</v>
      </c>
    </row>
    <row r="58" spans="1:13" s="10" customFormat="1" ht="20.100000000000001" customHeight="1" x14ac:dyDescent="0.35">
      <c r="A58" s="110">
        <v>1</v>
      </c>
      <c r="B58" s="100" t="s">
        <v>138</v>
      </c>
      <c r="C58" s="96">
        <f>'4637'!B21</f>
        <v>1</v>
      </c>
      <c r="D58" s="4" t="str">
        <f>'4637'!C21</f>
        <v>CUB C/R 90° R 8</v>
      </c>
      <c r="E58" s="116">
        <f>'4637'!D21</f>
        <v>1540</v>
      </c>
      <c r="F58" s="103">
        <f>'4637'!E21</f>
        <v>500</v>
      </c>
      <c r="G58" s="4" t="str">
        <f>'4637'!F21</f>
        <v>SHELL WHITE 20011 BRILLO</v>
      </c>
      <c r="H58" s="30"/>
      <c r="I58" s="10">
        <f>E58*F58/1000000</f>
        <v>0.77</v>
      </c>
      <c r="J58" s="10">
        <f>I58*C58</f>
        <v>0.77</v>
      </c>
      <c r="K58" s="26">
        <f>J58*K$57</f>
        <v>11550</v>
      </c>
      <c r="M58" s="24">
        <v>12096</v>
      </c>
    </row>
    <row r="59" spans="1:13" s="10" customFormat="1" ht="20.100000000000001" customHeight="1" x14ac:dyDescent="0.35">
      <c r="A59" s="110"/>
      <c r="B59" s="100"/>
      <c r="C59" s="96">
        <f>'4637'!B22</f>
        <v>1</v>
      </c>
      <c r="D59" s="4" t="str">
        <f>'4637'!C22</f>
        <v>CUB S/R 90° R 8</v>
      </c>
      <c r="E59" s="116">
        <f>'4637'!D22</f>
        <v>1425</v>
      </c>
      <c r="F59" s="103">
        <f>'4637'!E22</f>
        <v>500</v>
      </c>
      <c r="G59" s="4" t="str">
        <f>'4637'!F22</f>
        <v>SHELL WHITE 20011 BRILLO</v>
      </c>
      <c r="H59" s="30"/>
      <c r="K59" s="26"/>
      <c r="M59" s="29"/>
    </row>
    <row r="60" spans="1:13" s="10" customFormat="1" ht="20.100000000000001" customHeight="1" x14ac:dyDescent="0.35">
      <c r="A60" s="110"/>
      <c r="B60" s="100"/>
      <c r="C60" s="96">
        <f>'4637'!B23</f>
        <v>1</v>
      </c>
      <c r="D60" s="4" t="str">
        <f>'4637'!C23</f>
        <v>CENEFA 1V R8</v>
      </c>
      <c r="E60" s="116">
        <f>'4637'!D23</f>
        <v>1925</v>
      </c>
      <c r="F60" s="103">
        <f>'4637'!E23</f>
        <v>62</v>
      </c>
      <c r="G60" s="4" t="str">
        <f>'4637'!F23</f>
        <v>SHELL WHITE 20011 BRILLO</v>
      </c>
      <c r="H60" s="30"/>
      <c r="K60" s="26"/>
      <c r="M60" s="29"/>
    </row>
    <row r="61" spans="1:13" s="10" customFormat="1" ht="20.100000000000001" customHeight="1" x14ac:dyDescent="0.35">
      <c r="A61" s="110"/>
      <c r="B61" s="100"/>
      <c r="C61" s="96">
        <f>'4637'!B24</f>
        <v>1</v>
      </c>
      <c r="D61" s="4" t="str">
        <f>'4637'!C24</f>
        <v>CORTE Z</v>
      </c>
      <c r="E61" s="116">
        <f>'4637'!D24</f>
        <v>0</v>
      </c>
      <c r="F61" s="103">
        <f>'4637'!E24</f>
        <v>0</v>
      </c>
      <c r="G61" s="4">
        <f>'4637'!F24</f>
        <v>0</v>
      </c>
      <c r="H61" s="30"/>
      <c r="K61" s="26"/>
      <c r="M61" s="29"/>
    </row>
    <row r="62" spans="1:13" s="10" customFormat="1" ht="20.100000000000001" customHeight="1" x14ac:dyDescent="0.35">
      <c r="A62" s="110"/>
      <c r="B62" s="100"/>
      <c r="C62" s="96">
        <f>'4637'!B25</f>
        <v>2</v>
      </c>
      <c r="D62" s="4" t="str">
        <f>'4637'!C25</f>
        <v>DESFONDADOS</v>
      </c>
      <c r="E62" s="116">
        <f>'4637'!D25</f>
        <v>0</v>
      </c>
      <c r="F62" s="103">
        <f>'4637'!E25</f>
        <v>0</v>
      </c>
      <c r="G62" s="4">
        <f>'4637'!F25</f>
        <v>0</v>
      </c>
      <c r="H62" s="30"/>
      <c r="K62" s="26"/>
      <c r="M62" s="29"/>
    </row>
    <row r="63" spans="1:13" s="10" customFormat="1" ht="20.100000000000001" customHeight="1" x14ac:dyDescent="0.35">
      <c r="A63" s="110"/>
      <c r="B63" s="100"/>
      <c r="C63" s="96">
        <f>'4637'!B26</f>
        <v>1</v>
      </c>
      <c r="D63" s="4" t="str">
        <f>'4637'!C26</f>
        <v>DESPACHO A DOMICILIO</v>
      </c>
      <c r="E63" s="116">
        <f>'4637'!D26</f>
        <v>0</v>
      </c>
      <c r="F63" s="103">
        <f>'4637'!E26</f>
        <v>0</v>
      </c>
      <c r="G63" s="4">
        <f>'4637'!F26</f>
        <v>0</v>
      </c>
      <c r="H63" s="30"/>
      <c r="K63" s="26"/>
      <c r="M63" s="29"/>
    </row>
    <row r="64" spans="1:13" s="10" customFormat="1" ht="20.100000000000001" customHeight="1" x14ac:dyDescent="0.35">
      <c r="A64" s="110"/>
      <c r="B64" s="100"/>
      <c r="C64" s="73"/>
      <c r="D64" s="2"/>
      <c r="E64" s="119"/>
      <c r="F64" s="105"/>
      <c r="G64" s="2"/>
      <c r="H64" s="30"/>
      <c r="K64" s="26"/>
      <c r="M64" s="29"/>
    </row>
    <row r="65" spans="2:11" s="10" customFormat="1" ht="15" customHeight="1" x14ac:dyDescent="0.35">
      <c r="B65" s="83"/>
      <c r="C65" s="66"/>
      <c r="D65" s="66"/>
      <c r="E65" s="66"/>
      <c r="F65" s="66"/>
      <c r="G65" s="66"/>
      <c r="H65" s="30"/>
    </row>
    <row r="66" spans="2:11" ht="18" x14ac:dyDescent="0.35">
      <c r="B66" s="73"/>
      <c r="C66" s="73"/>
      <c r="D66" s="30"/>
      <c r="E66" s="73"/>
      <c r="F66" s="73"/>
      <c r="G66" s="78"/>
      <c r="H66" s="30"/>
    </row>
    <row r="67" spans="2:11" ht="18" x14ac:dyDescent="0.35">
      <c r="B67" s="73"/>
      <c r="C67" s="73"/>
      <c r="D67" s="30"/>
      <c r="E67" s="73"/>
      <c r="F67" s="73"/>
      <c r="G67" s="73"/>
      <c r="H67" s="30"/>
      <c r="J67" s="10">
        <f>SUM(J58:J58)</f>
        <v>0.77</v>
      </c>
      <c r="K67" s="27">
        <f>SUM(K58:K58)</f>
        <v>11550</v>
      </c>
    </row>
    <row r="68" spans="2:11" ht="18" x14ac:dyDescent="0.35">
      <c r="B68" s="30"/>
      <c r="C68" s="30"/>
      <c r="D68" s="30"/>
      <c r="E68" s="30"/>
      <c r="F68" s="30"/>
      <c r="G68" s="30"/>
      <c r="H68" s="30"/>
    </row>
    <row r="69" spans="2:11" ht="18" x14ac:dyDescent="0.35">
      <c r="B69" s="30"/>
      <c r="C69" s="30"/>
      <c r="D69" s="30"/>
      <c r="E69" s="30"/>
      <c r="F69" s="30"/>
      <c r="G69" s="30"/>
      <c r="H69" s="30"/>
    </row>
    <row r="70" spans="2:11" ht="18" x14ac:dyDescent="0.35">
      <c r="B70" s="30"/>
      <c r="C70" s="30"/>
      <c r="D70" s="30"/>
      <c r="E70" s="30"/>
      <c r="F70" s="30"/>
      <c r="G70" s="30"/>
      <c r="H70" s="30"/>
    </row>
    <row r="71" spans="2:11" ht="15" customHeight="1" x14ac:dyDescent="0.35">
      <c r="B71" s="30"/>
      <c r="C71" s="30"/>
      <c r="D71" s="30"/>
      <c r="E71" s="30"/>
      <c r="F71" s="30"/>
      <c r="G71" s="30"/>
      <c r="H71" s="30"/>
    </row>
    <row r="72" spans="2:11" ht="18" x14ac:dyDescent="0.35">
      <c r="B72" s="30"/>
      <c r="C72" s="30"/>
      <c r="D72" s="30"/>
      <c r="E72" s="30"/>
      <c r="F72" s="30"/>
      <c r="G72" s="30"/>
      <c r="H72" s="30"/>
    </row>
    <row r="73" spans="2:11" ht="18" x14ac:dyDescent="0.35">
      <c r="B73" s="73"/>
      <c r="C73" s="87"/>
      <c r="D73" s="30"/>
      <c r="E73" s="30"/>
      <c r="F73" s="30"/>
      <c r="G73" s="30"/>
      <c r="H73" s="30"/>
    </row>
    <row r="74" spans="2:11" ht="18" x14ac:dyDescent="0.35">
      <c r="B74" s="30"/>
      <c r="C74" s="30"/>
      <c r="D74" s="30"/>
      <c r="E74" s="30"/>
      <c r="F74" s="30"/>
      <c r="G74" s="30"/>
      <c r="H74" s="30"/>
    </row>
    <row r="75" spans="2:11" x14ac:dyDescent="0.3">
      <c r="C75" s="14"/>
      <c r="D75" s="14"/>
      <c r="F75" s="14"/>
      <c r="G75" s="14"/>
    </row>
    <row r="76" spans="2:11" x14ac:dyDescent="0.3">
      <c r="C76" s="14"/>
      <c r="D76" s="14"/>
      <c r="F76" s="14"/>
      <c r="G76" s="14"/>
    </row>
  </sheetData>
  <mergeCells count="6">
    <mergeCell ref="N3:O3"/>
    <mergeCell ref="B19:G19"/>
    <mergeCell ref="B10:G10"/>
    <mergeCell ref="B54:G54"/>
    <mergeCell ref="C56:G5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2025-12-09T17:00:43Z</cp:lastPrinted>
  <dcterms:created xsi:type="dcterms:W3CDTF">2013-03-19T12:54:14Z</dcterms:created>
  <dcterms:modified xsi:type="dcterms:W3CDTF">2025-12-09T17:02:22Z</dcterms:modified>
</cp:coreProperties>
</file>