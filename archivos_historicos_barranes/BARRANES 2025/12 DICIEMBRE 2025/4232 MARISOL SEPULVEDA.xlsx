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AA9E16EF-A70E-4784-A6B5-76353983AD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CUBIERTA!$A$43:$G$67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F16" i="3" s="1"/>
  <c r="C32" i="3"/>
  <c r="J24" i="3" s="1"/>
  <c r="C24" i="3" s="1"/>
  <c r="E32" i="3"/>
  <c r="K24" i="3" s="1"/>
  <c r="E24" i="3" s="1"/>
  <c r="F32" i="3"/>
  <c r="L24" i="3" s="1"/>
  <c r="F24" i="3" s="1"/>
  <c r="G32" i="3"/>
  <c r="C33" i="3"/>
  <c r="J25" i="3" s="1"/>
  <c r="C25" i="3" s="1"/>
  <c r="E33" i="3"/>
  <c r="K25" i="3" s="1"/>
  <c r="E25" i="3" s="1"/>
  <c r="F33" i="3"/>
  <c r="L25" i="3" s="1"/>
  <c r="F25" i="3" s="1"/>
  <c r="G33" i="3"/>
  <c r="C56" i="3"/>
  <c r="D56" i="3"/>
  <c r="D32" i="3" s="1"/>
  <c r="G24" i="3" s="1"/>
  <c r="E56" i="3"/>
  <c r="F56" i="3"/>
  <c r="G56" i="3"/>
  <c r="C57" i="3"/>
  <c r="D57" i="3"/>
  <c r="D33" i="3" s="1"/>
  <c r="G25" i="3" s="1"/>
  <c r="E57" i="3"/>
  <c r="F57" i="3"/>
  <c r="G57" i="3"/>
  <c r="H21" i="4"/>
  <c r="H26" i="4" s="1"/>
  <c r="G31" i="3" l="1"/>
  <c r="F31" i="3"/>
  <c r="L14" i="3" s="1"/>
  <c r="E31" i="3"/>
  <c r="K14" i="3" s="1"/>
  <c r="E14" i="3" s="1"/>
  <c r="C31" i="3"/>
  <c r="G55" i="3"/>
  <c r="F55" i="3"/>
  <c r="E55" i="3"/>
  <c r="D55" i="3"/>
  <c r="D31" i="3" s="1"/>
  <c r="C55" i="3"/>
  <c r="L21" i="4" l="1"/>
  <c r="K21" i="4"/>
  <c r="M21" i="4" l="1"/>
  <c r="N21" i="4" s="1"/>
  <c r="G23" i="3" l="1"/>
  <c r="L23" i="3"/>
  <c r="F23" i="3" s="1"/>
  <c r="J23" i="3" l="1"/>
  <c r="I31" i="3"/>
  <c r="J31" i="3" s="1"/>
  <c r="K23" i="3"/>
  <c r="E23" i="3" s="1"/>
  <c r="I55" i="3"/>
  <c r="J55" i="3" s="1"/>
  <c r="G14" i="3"/>
  <c r="F14" i="3"/>
  <c r="C23" i="3" l="1"/>
  <c r="J14" i="3"/>
  <c r="C14" i="3" s="1"/>
  <c r="J36" i="3"/>
  <c r="K55" i="3"/>
  <c r="J61" i="3"/>
  <c r="H28" i="4"/>
  <c r="O5" i="3"/>
  <c r="K61" i="3" l="1"/>
  <c r="N5" i="3"/>
  <c r="M5" i="3"/>
  <c r="L5" i="3"/>
  <c r="D48" i="3" l="1"/>
  <c r="D7" i="3"/>
  <c r="E46" i="3"/>
  <c r="E5" i="3"/>
  <c r="E48" i="3"/>
  <c r="E7" i="3"/>
  <c r="E45" i="3"/>
  <c r="E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<sst xmlns="http://schemas.openxmlformats.org/spreadsheetml/2006/main" count="251" uniqueCount="146">
  <si>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</si>
  <si>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</si>
  <si>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</si>
  <si>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</si>
  <si>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</si>
  <si>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</si>
  <si>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</si>
  <si>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</si>
  <si>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</si>
  <si>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</si>
  <si>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</si>
  <si>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</si>
  <si>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</si>
  <si>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</si>
  <si>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</si>
  <si>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</si>
  <si>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</si>
  <si>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</si>
  <si>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</si>
  <si>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</si>
  <si>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</si>
  <si>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</si>
  <si>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</si>
  <si>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</si>
  <si>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</si>
  <si>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</si>
  <si>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</si>
  <si>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</si>
  <si>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</si>
  <si>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</si>
  <si>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</si>
  <si>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</si>
  <si>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</si>
  <si>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</si>
  <si>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</si>
  <si>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</si>
  <si>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</si>
  <si>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</si>
  <si>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</si>
  <si>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</si>
  <si>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</si>
  <si>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</si>
  <si>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</si>
  <si>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</si>
  <si>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</si>
  <si>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</si>
  <si>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</si>
  <si>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</si>
  <si>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</si>
  <si>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</si>
  <si>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</si>
  <si>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</si>
  <si>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</si>
  <si>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</si>
  <si>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</si>
  <si>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</si>
  <si>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</si>
  <si>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</si>
  <si>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</si>
  <si>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</si>
  <si>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</si>
  <si>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</si>
  <si>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</si>
  <si>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</si>
  <si>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</si>
  <si>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</si>
  <si>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</si>
  <si>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</si>
  <si>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</si>
  <si>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</si>
  <si>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</si>
  <si>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</si>
  <si>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</si>
  <si>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</si>
  <si>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</si>
  <si>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</si>
  <si>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</si>
  <si>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</si>
  <si>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</si>
  <si>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</si>
  <si>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</si>
  <si>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</si>
  <si>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</si>
  <si>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</si>
  <si>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</si>
  <si>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</si>
  <si>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</si>
  <si>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</si>
  <si>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</si>
  <si>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</si>
  <si>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</si>
  <si>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</si>
  <si>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</si>
  <si>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</si>
  <si>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</si>
  <si>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</si>
  <si>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</si>
  <si>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</si>
  <si>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</si>
  <si>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</si>
  <si>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</si>
  <si>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</si>
  <si>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</si>
  <si>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</si>
  <si>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</si>
  <si>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</si>
  <si>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</si>
  <si>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</si>
  <si>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</si>
  <si>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</si>
  <si>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</si>
  <si>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</si>
  <si>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</si>
  <si>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</si>
  <si>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</si>
  <si>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</si>
  <si>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</si>
  <si>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</si>
  <si>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</si>
  <si>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</si>
  <si>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</si>
  <si>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</si>
  <si>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</si>
  <si>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</si>
  <si>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</si>
  <si>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</si>
  <si>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</si>
  <si>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</si>
  <si>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</si>
  <si>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</si>
  <si>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</si>
  <si>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</si>
  <si>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</si>
  <si>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</si>
  <si>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</si>
  <si>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</si>
  <si>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</si>
  <si>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MELAMIL 18MM</t>
  </si>
  <si>
    <t>MARISOL SEPULVEDA</t>
  </si>
  <si>
    <t>+56 9 6351 3460</t>
  </si>
  <si>
    <t>EL QUISCO</t>
  </si>
  <si>
    <t>E/R 1 CARA MDF 18MM</t>
  </si>
  <si>
    <t>TURQUESA 6018 GL</t>
  </si>
  <si>
    <t>E/R 1CARA MDF 30MM</t>
  </si>
  <si>
    <t>MDF18MM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</si>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</sst>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49</xdr:row>
      <xdr:rowOff>190500</xdr:rowOff>
    </xdr:from>
    <xdr:to>
      <xdr:col>7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46</xdr:row>
      <xdr:rowOff>30479</xdr:rowOff>
    </xdr:from>
    <xdr:to>
      <xdr:col>6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209549</xdr:rowOff>
    </xdr:from>
    <xdr:to>
      <xdr:col>7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171450</xdr:rowOff>
    </xdr:from>
    <xdr:to>
      <xdr:col>7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35</xdr:row>
      <xdr:rowOff>15239</xdr:rowOff>
    </xdr:from>
    <xdr:to>
      <xdr:col>7</xdr:col>
      <xdr:colOff>0</xdr:colOff>
      <xdr:row>39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ENCHAPAR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COLOR TURQUES 0,45 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62</xdr:row>
      <xdr:rowOff>32385</xdr:rowOff>
    </xdr:from>
    <xdr:to>
      <xdr:col>7</xdr:col>
      <xdr:colOff>7620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ENCHAPAR CON TAPACANTO PVC 0,45MM COLOR TURQUESA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43</xdr:row>
      <xdr:rowOff>146685</xdr:rowOff>
    </xdr:from>
    <xdr:to>
      <xdr:col>2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29" zoomScale="98" zoomScaleNormal="98" workbookViewId="0">
      <selection activeCell="H38" sqref="H3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4232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46002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1" t="s">
        <v>139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141</v>
      </c>
      <c r="D21" s="103">
        <v>900</v>
      </c>
      <c r="E21" s="103">
        <v>490</v>
      </c>
      <c r="F21" s="102" t="s">
        <v>142</v>
      </c>
      <c r="G21" s="113">
        <v>25900</v>
      </c>
      <c r="H21" s="113">
        <f>G21*B21</f>
        <v>51800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141</v>
      </c>
      <c r="D22" s="103">
        <v>2000</v>
      </c>
      <c r="E22" s="103">
        <v>490</v>
      </c>
      <c r="F22" s="102" t="s">
        <v>142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143</v>
      </c>
      <c r="D23" s="103">
        <v>900</v>
      </c>
      <c r="E23" s="103">
        <v>490</v>
      </c>
      <c r="F23" s="102" t="s">
        <v>142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6"/>
      <c r="C24" s="136"/>
      <c r="D24" s="137"/>
      <c r="E24" s="137"/>
      <c r="F24" s="136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4"/>
      <c r="C25" s="104"/>
      <c r="D25" s="112"/>
      <c r="E25" s="112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0" t="s">
        <v>5</v>
      </c>
      <c r="H26" s="61">
        <f>SUM(H21:H25)</f>
        <v>51800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2" t="s">
        <v>136</v>
      </c>
      <c r="H27" s="63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4"/>
      <c r="C28" s="104"/>
      <c r="D28" s="112"/>
      <c r="E28" s="112"/>
      <c r="F28" s="104"/>
      <c r="G28" s="64" t="s">
        <v>4</v>
      </c>
      <c r="H28" s="65">
        <f>H26+H27</f>
        <v>51800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68" t="s">
        <v>133</v>
      </c>
      <c r="C31" s="69"/>
      <c r="D31" s="70"/>
      <c r="E31" s="70"/>
      <c r="F31" s="59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68" t="s">
        <v>119</v>
      </c>
      <c r="C32" s="69"/>
      <c r="D32" s="70"/>
      <c r="E32" s="70"/>
      <c r="F32" s="59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30" t="s">
        <v>23</v>
      </c>
      <c r="C33" s="30"/>
      <c r="D33" s="30"/>
      <c r="E33" s="30"/>
      <c r="F33" s="30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71" t="s">
        <v>24</v>
      </c>
      <c r="C34" s="71"/>
      <c r="D34" s="30"/>
      <c r="E34" s="30"/>
      <c r="F34" s="30"/>
      <c r="G34" s="58"/>
      <c r="H34" s="58"/>
      <c r="I34" s="30"/>
    </row>
    <row r="35" spans="1:16" ht="20.100000000000001" customHeight="1" x14ac:dyDescent="0.35">
      <c r="A35" s="30"/>
      <c r="B35" s="30"/>
      <c r="C35" s="30"/>
      <c r="D35" s="30"/>
      <c r="E35" s="71"/>
      <c r="F35" s="30"/>
      <c r="I35" s="30"/>
    </row>
    <row r="36" spans="1:16" ht="20.100000000000001" customHeight="1" x14ac:dyDescent="0.35">
      <c r="A36" s="30"/>
      <c r="B36" s="31" t="s">
        <v>131</v>
      </c>
      <c r="C36" s="31"/>
      <c r="D36" s="31"/>
      <c r="E36" s="72"/>
      <c r="F36" s="30"/>
      <c r="I36" s="30"/>
    </row>
    <row r="37" spans="1:16" ht="20.100000000000001" customHeight="1" x14ac:dyDescent="0.35">
      <c r="A37" s="30"/>
      <c r="B37" s="31"/>
      <c r="C37" s="31"/>
      <c r="D37" s="31"/>
      <c r="E37" s="72"/>
      <c r="F37" s="30"/>
      <c r="I37" s="30"/>
    </row>
    <row r="38" spans="1:16" ht="20.100000000000001" customHeight="1" x14ac:dyDescent="0.35">
      <c r="A38" s="30"/>
      <c r="B38" s="31" t="s">
        <v>132</v>
      </c>
      <c r="C38" s="30"/>
      <c r="D38" s="30"/>
      <c r="E38" s="71"/>
      <c r="F38" s="30"/>
      <c r="G38" s="66"/>
      <c r="H38" s="67"/>
      <c r="I38" s="30"/>
    </row>
    <row r="39" spans="1:16" ht="18" x14ac:dyDescent="0.35">
      <c r="A39" s="30"/>
      <c r="B39" s="30"/>
      <c r="C39" s="30"/>
      <c r="D39" s="30"/>
      <c r="E39" s="71"/>
      <c r="F39" s="30"/>
      <c r="G39" s="30"/>
      <c r="H39" s="30"/>
      <c r="I39" s="30"/>
    </row>
    <row r="40" spans="1:16" ht="18" x14ac:dyDescent="0.35">
      <c r="A40" s="30"/>
      <c r="G40" s="30"/>
      <c r="H40" s="30"/>
      <c r="I40" s="30"/>
    </row>
    <row r="41" spans="1:16" ht="18" x14ac:dyDescent="0.35">
      <c r="A41" s="30"/>
      <c r="G41" s="30"/>
      <c r="H41" s="30"/>
      <c r="I41" s="30"/>
    </row>
    <row r="42" spans="1:16" ht="18" x14ac:dyDescent="0.35">
      <c r="A42" s="30"/>
      <c r="G42" s="30"/>
      <c r="H42" s="30"/>
      <c r="I42" s="30"/>
    </row>
    <row r="43" spans="1:16" ht="18" x14ac:dyDescent="0.35">
      <c r="A43" s="30"/>
      <c r="G43" s="30"/>
      <c r="H43" s="30"/>
      <c r="I43" s="30"/>
    </row>
    <row r="44" spans="1:16" ht="18" x14ac:dyDescent="0.35">
      <c r="A44" s="30"/>
      <c r="G44" s="30"/>
      <c r="H44" s="30"/>
      <c r="I44" s="30"/>
    </row>
    <row r="45" spans="1:16" ht="18" x14ac:dyDescent="0.35">
      <c r="A45" s="30"/>
      <c r="G45" s="30"/>
      <c r="H45" s="30"/>
      <c r="I45" s="30"/>
    </row>
    <row r="46" spans="1:16" ht="18" x14ac:dyDescent="0.35">
      <c r="A46" s="30"/>
      <c r="G46" s="30"/>
      <c r="H46" s="30"/>
      <c r="I46" s="30"/>
    </row>
    <row r="47" spans="1:16" ht="18" x14ac:dyDescent="0.35">
      <c r="A47" s="30"/>
      <c r="G47" s="30"/>
      <c r="H47" s="30"/>
      <c r="I47" s="30"/>
    </row>
    <row r="48" spans="1:16" ht="18" x14ac:dyDescent="0.35">
      <c r="A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0"/>
  <sheetViews>
    <sheetView tabSelected="1" topLeftCell="A33" zoomScaleNormal="100" workbookViewId="0">
      <selection activeCell="A43" sqref="A43:G6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MARISOL SEPULVEDA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/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144</v>
      </c>
      <c r="C14" s="94">
        <f>J14</f>
        <v>2</v>
      </c>
      <c r="D14" s="94"/>
      <c r="E14" s="94">
        <f>K14+E$13</f>
        <v>900</v>
      </c>
      <c r="F14" s="94">
        <f>L14+F$13</f>
        <v>490</v>
      </c>
      <c r="G14" s="94" t="str">
        <f>D31</f>
        <v>E/R 1 CARA MDF 18MM</v>
      </c>
      <c r="H14" s="30"/>
      <c r="J14" s="3">
        <f>J23</f>
        <v>2</v>
      </c>
      <c r="K14" s="4">
        <f t="shared" ref="K14:L14" si="0">E31</f>
        <v>900</v>
      </c>
      <c r="L14" s="4">
        <f t="shared" si="0"/>
        <v>490</v>
      </c>
    </row>
    <row r="15" spans="1:15" ht="18" x14ac:dyDescent="0.35">
      <c r="A15" s="110"/>
      <c r="B15" s="101"/>
      <c r="C15" s="94">
        <f t="shared" ref="C15:C16" si="1">J15</f>
        <v>1</v>
      </c>
      <c r="D15" s="94"/>
      <c r="E15" s="94">
        <f t="shared" ref="E15:E16" si="2">K15+E$13</f>
        <v>2000</v>
      </c>
      <c r="F15" s="94">
        <f t="shared" ref="F15:F16" si="3">L15+F$13</f>
        <v>490</v>
      </c>
      <c r="G15" s="94" t="str">
        <f t="shared" ref="G15:G16" si="4">D32</f>
        <v>E/R 1 CARA MDF 18MM</v>
      </c>
      <c r="H15" s="30"/>
      <c r="J15" s="3">
        <f t="shared" ref="J15:J16" si="5">J24</f>
        <v>1</v>
      </c>
      <c r="K15" s="4">
        <f t="shared" ref="K15:K16" si="6">E32</f>
        <v>2000</v>
      </c>
      <c r="L15" s="4">
        <f t="shared" ref="L15:L16" si="7">F32</f>
        <v>490</v>
      </c>
    </row>
    <row r="16" spans="1:15" ht="18" x14ac:dyDescent="0.35">
      <c r="A16" s="110"/>
      <c r="B16" s="101" t="s">
        <v>145</v>
      </c>
      <c r="C16" s="94">
        <f t="shared" si="1"/>
        <v>1</v>
      </c>
      <c r="D16" s="94"/>
      <c r="E16" s="94">
        <f t="shared" si="2"/>
        <v>900</v>
      </c>
      <c r="F16" s="94">
        <f t="shared" si="3"/>
        <v>490</v>
      </c>
      <c r="G16" s="94" t="str">
        <f t="shared" si="4"/>
        <v>E/R 1CARA MDF 30MM</v>
      </c>
      <c r="H16" s="30"/>
      <c r="J16" s="3">
        <f t="shared" si="5"/>
        <v>1</v>
      </c>
      <c r="K16" s="4">
        <f t="shared" si="6"/>
        <v>900</v>
      </c>
      <c r="L16" s="4">
        <f t="shared" si="7"/>
        <v>490</v>
      </c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20</v>
      </c>
      <c r="F22" s="95">
        <v>20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8">J23</f>
        <v>2</v>
      </c>
      <c r="D23" s="96"/>
      <c r="E23" s="96">
        <f>K23+E$22</f>
        <v>920</v>
      </c>
      <c r="F23" s="96">
        <f>L23+F$22</f>
        <v>510</v>
      </c>
      <c r="G23" s="96" t="str">
        <f>D31</f>
        <v>E/R 1 CARA MDF 18MM</v>
      </c>
      <c r="H23" s="30"/>
      <c r="J23" s="3">
        <f>C31</f>
        <v>2</v>
      </c>
      <c r="K23" s="107">
        <f>E31</f>
        <v>900</v>
      </c>
      <c r="L23" s="107">
        <f>F31</f>
        <v>490</v>
      </c>
    </row>
    <row r="24" spans="1:12" ht="18" x14ac:dyDescent="0.35">
      <c r="A24" s="110"/>
      <c r="B24" s="101"/>
      <c r="C24" s="96">
        <f t="shared" ref="C24:C25" si="9">J24</f>
        <v>1</v>
      </c>
      <c r="D24" s="96"/>
      <c r="E24" s="96">
        <f t="shared" ref="E24:E25" si="10">K24+E$22</f>
        <v>2020</v>
      </c>
      <c r="F24" s="96">
        <f t="shared" ref="F24:F25" si="11">L24+F$22</f>
        <v>510</v>
      </c>
      <c r="G24" s="96" t="str">
        <f t="shared" ref="G24:G25" si="12">D32</f>
        <v>E/R 1 CARA MDF 18MM</v>
      </c>
      <c r="H24" s="30"/>
      <c r="J24" s="3">
        <f t="shared" ref="J24:J25" si="13">C32</f>
        <v>1</v>
      </c>
      <c r="K24" s="107">
        <f t="shared" ref="K24:L24" si="14">E32</f>
        <v>2000</v>
      </c>
      <c r="L24" s="107">
        <f t="shared" si="14"/>
        <v>490</v>
      </c>
    </row>
    <row r="25" spans="1:12" ht="18" x14ac:dyDescent="0.35">
      <c r="A25" s="110"/>
      <c r="B25" s="101"/>
      <c r="C25" s="96">
        <f t="shared" si="9"/>
        <v>1</v>
      </c>
      <c r="D25" s="96"/>
      <c r="E25" s="96">
        <f t="shared" si="10"/>
        <v>920</v>
      </c>
      <c r="F25" s="96">
        <f t="shared" si="11"/>
        <v>510</v>
      </c>
      <c r="G25" s="96" t="str">
        <f t="shared" si="12"/>
        <v>E/R 1CARA MDF 30MM</v>
      </c>
      <c r="H25" s="30"/>
      <c r="J25" s="3">
        <f t="shared" si="13"/>
        <v>1</v>
      </c>
      <c r="K25" s="107">
        <f t="shared" ref="K25:L25" si="15">E33</f>
        <v>900</v>
      </c>
      <c r="L25" s="107">
        <f t="shared" si="15"/>
        <v>490</v>
      </c>
    </row>
    <row r="26" spans="1:12" ht="18" x14ac:dyDescent="0.35">
      <c r="A26" s="110"/>
      <c r="B26" s="101"/>
      <c r="C26" s="73"/>
      <c r="D26" s="73"/>
      <c r="E26" s="73"/>
      <c r="F26" s="73"/>
      <c r="G26" s="73"/>
      <c r="H26" s="30"/>
      <c r="J26" s="23"/>
      <c r="K26" s="120"/>
      <c r="L26" s="120"/>
    </row>
    <row r="27" spans="1:12" ht="18.600000000000001" thickBot="1" x14ac:dyDescent="0.4">
      <c r="A27" s="2"/>
      <c r="B27" s="83"/>
      <c r="C27" s="73"/>
      <c r="D27" s="73"/>
      <c r="E27" s="73"/>
      <c r="F27" s="73"/>
      <c r="G27" s="73"/>
      <c r="H27" s="30"/>
      <c r="I27" s="108"/>
      <c r="J27" s="109"/>
      <c r="K27" s="109"/>
      <c r="L27" s="109"/>
    </row>
    <row r="28" spans="1:12" ht="18.600000000000001" thickBot="1" x14ac:dyDescent="0.4">
      <c r="A28" s="2"/>
      <c r="B28" s="66"/>
      <c r="C28" s="97" t="s">
        <v>104</v>
      </c>
      <c r="D28" s="33"/>
      <c r="E28" s="33"/>
      <c r="F28" s="33"/>
      <c r="G28" s="98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6" t="s">
        <v>8</v>
      </c>
      <c r="C30" s="99" t="s">
        <v>9</v>
      </c>
      <c r="D30" s="99" t="s">
        <v>107</v>
      </c>
      <c r="E30" s="99" t="s">
        <v>6</v>
      </c>
      <c r="F30" s="99" t="s">
        <v>7</v>
      </c>
      <c r="G30" s="99" t="s">
        <v>21</v>
      </c>
      <c r="H30" s="30"/>
    </row>
    <row r="31" spans="1:12" ht="18" x14ac:dyDescent="0.35">
      <c r="A31" s="110">
        <v>1</v>
      </c>
      <c r="B31" s="101" t="s">
        <v>137</v>
      </c>
      <c r="C31" s="94">
        <f>'4637'!B21</f>
        <v>2</v>
      </c>
      <c r="D31" s="94" t="str">
        <f>D55</f>
        <v>E/R 1 CARA MDF 18MM</v>
      </c>
      <c r="E31" s="116">
        <f>'4637'!D21</f>
        <v>900</v>
      </c>
      <c r="F31" s="116">
        <f>'4637'!E21</f>
        <v>490</v>
      </c>
      <c r="G31" s="4" t="str">
        <f>'4637'!F21</f>
        <v>TURQUESA 6018 GL</v>
      </c>
      <c r="H31" s="30"/>
      <c r="I31" s="28">
        <f>E31*F31/1000000</f>
        <v>0.441</v>
      </c>
      <c r="J31" s="28">
        <f>I31*C31</f>
        <v>0.88200000000000001</v>
      </c>
    </row>
    <row r="32" spans="1:12" ht="18" x14ac:dyDescent="0.35">
      <c r="A32" s="110"/>
      <c r="B32" s="101"/>
      <c r="C32" s="94">
        <f>'4637'!B22</f>
        <v>1</v>
      </c>
      <c r="D32" s="94" t="str">
        <f t="shared" ref="D32:D33" si="16">D56</f>
        <v>E/R 1 CARA MDF 18MM</v>
      </c>
      <c r="E32" s="116">
        <f>'4637'!D22</f>
        <v>2000</v>
      </c>
      <c r="F32" s="116">
        <f>'4637'!E22</f>
        <v>490</v>
      </c>
      <c r="G32" s="4" t="str">
        <f>'4637'!F22</f>
        <v>TURQUESA 6018 GL</v>
      </c>
      <c r="H32" s="30"/>
      <c r="I32" s="28"/>
      <c r="J32" s="28"/>
    </row>
    <row r="33" spans="1:10" ht="18" x14ac:dyDescent="0.35">
      <c r="A33" s="110"/>
      <c r="B33" s="101"/>
      <c r="C33" s="94">
        <f>'4637'!B23</f>
        <v>1</v>
      </c>
      <c r="D33" s="94" t="str">
        <f t="shared" si="16"/>
        <v>E/R 1CARA MDF 30MM</v>
      </c>
      <c r="E33" s="116">
        <f>'4637'!D23</f>
        <v>900</v>
      </c>
      <c r="F33" s="116">
        <f>'4637'!E23</f>
        <v>490</v>
      </c>
      <c r="G33" s="4" t="str">
        <f>'4637'!F23</f>
        <v>TURQUESA 6018 GL</v>
      </c>
      <c r="H33" s="30"/>
      <c r="I33" s="28"/>
      <c r="J33" s="28"/>
    </row>
    <row r="34" spans="1:10" ht="18" x14ac:dyDescent="0.35">
      <c r="A34" s="110"/>
      <c r="B34" s="101"/>
      <c r="C34" s="104"/>
      <c r="D34" s="104"/>
      <c r="E34" s="105"/>
      <c r="F34" s="105"/>
      <c r="G34" s="104"/>
      <c r="H34" s="30"/>
      <c r="I34" s="28"/>
      <c r="J34" s="28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  <c r="J36" s="28">
        <f>SUM(J31:J31)*2</f>
        <v>1.764</v>
      </c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30"/>
      <c r="D44" s="30"/>
      <c r="E44" s="30"/>
      <c r="F44" s="30"/>
      <c r="G44" s="30"/>
      <c r="H44" s="30"/>
    </row>
    <row r="45" spans="1:10" ht="18" x14ac:dyDescent="0.35">
      <c r="A45" s="2"/>
      <c r="B45" s="30"/>
      <c r="C45" s="30"/>
      <c r="D45" s="74" t="s">
        <v>25</v>
      </c>
      <c r="E45" s="75">
        <f>'4637'!G8</f>
        <v>4232</v>
      </c>
      <c r="F45" s="30"/>
      <c r="G45" s="30"/>
      <c r="H45" s="30"/>
    </row>
    <row r="46" spans="1:10" ht="17.25" customHeight="1" x14ac:dyDescent="0.35">
      <c r="A46" s="2"/>
      <c r="B46" s="30"/>
      <c r="C46" s="30"/>
      <c r="D46" s="76" t="s">
        <v>64</v>
      </c>
      <c r="E46" s="77" t="str">
        <f>'4637'!C10</f>
        <v>MARISOL SEPULVEDA</v>
      </c>
      <c r="F46" s="48"/>
      <c r="G46" s="48"/>
      <c r="H46" s="30"/>
    </row>
    <row r="47" spans="1:10" ht="4.5" customHeight="1" x14ac:dyDescent="0.35">
      <c r="A47" s="2"/>
      <c r="B47" s="30"/>
      <c r="C47" s="30"/>
      <c r="D47" s="78"/>
      <c r="E47" s="79"/>
      <c r="F47" s="30"/>
      <c r="G47" s="30"/>
      <c r="H47" s="30"/>
    </row>
    <row r="48" spans="1:10" ht="18" x14ac:dyDescent="0.35">
      <c r="A48" s="2"/>
      <c r="B48" s="30"/>
      <c r="C48" s="30"/>
      <c r="D48" s="80" t="str">
        <f>'4637'!F11</f>
        <v>FECHA LIMITE :</v>
      </c>
      <c r="E48" s="81">
        <f>'4637'!G11</f>
        <v>0</v>
      </c>
      <c r="F48" s="30"/>
      <c r="G48" s="30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 t="s">
        <v>135</v>
      </c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131" t="s">
        <v>65</v>
      </c>
      <c r="C51" s="131"/>
      <c r="D51" s="131"/>
      <c r="E51" s="131"/>
      <c r="F51" s="131"/>
      <c r="G51" s="131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20.100000000000001" customHeight="1" x14ac:dyDescent="0.35">
      <c r="A53" s="2"/>
      <c r="B53" s="30"/>
      <c r="C53" s="132" t="s">
        <v>66</v>
      </c>
      <c r="D53" s="133"/>
      <c r="E53" s="134"/>
      <c r="F53" s="134"/>
      <c r="G53" s="135"/>
      <c r="H53" s="30"/>
      <c r="I53" s="25" t="s">
        <v>130</v>
      </c>
    </row>
    <row r="54" spans="1:13" s="10" customFormat="1" ht="20.100000000000001" customHeight="1" x14ac:dyDescent="0.35">
      <c r="A54" s="111"/>
      <c r="B54" s="30"/>
      <c r="C54" s="84" t="s">
        <v>9</v>
      </c>
      <c r="D54" s="85" t="s">
        <v>10</v>
      </c>
      <c r="E54" s="88" t="s">
        <v>6</v>
      </c>
      <c r="F54" s="88" t="s">
        <v>7</v>
      </c>
      <c r="G54" s="86" t="s">
        <v>11</v>
      </c>
      <c r="H54" s="30"/>
      <c r="K54" s="10">
        <v>15000</v>
      </c>
    </row>
    <row r="55" spans="1:13" s="10" customFormat="1" ht="20.100000000000001" customHeight="1" x14ac:dyDescent="0.35">
      <c r="A55" s="110">
        <v>1</v>
      </c>
      <c r="B55" s="100"/>
      <c r="C55" s="96">
        <f>'4637'!B21</f>
        <v>2</v>
      </c>
      <c r="D55" s="4" t="str">
        <f>'4637'!C21</f>
        <v>E/R 1 CARA MDF 18MM</v>
      </c>
      <c r="E55" s="116">
        <f>'4637'!D21</f>
        <v>900</v>
      </c>
      <c r="F55" s="103">
        <f>'4637'!E21</f>
        <v>490</v>
      </c>
      <c r="G55" s="4" t="str">
        <f>'4637'!F21</f>
        <v>TURQUESA 6018 GL</v>
      </c>
      <c r="H55" s="30"/>
      <c r="I55" s="10">
        <f>E55*F55/1000000</f>
        <v>0.441</v>
      </c>
      <c r="J55" s="10">
        <f>I55*C55</f>
        <v>0.88200000000000001</v>
      </c>
      <c r="K55" s="26">
        <f>J55*K$54</f>
        <v>13230</v>
      </c>
      <c r="M55" s="24">
        <v>12096</v>
      </c>
    </row>
    <row r="56" spans="1:13" s="10" customFormat="1" ht="20.100000000000001" customHeight="1" x14ac:dyDescent="0.35">
      <c r="A56" s="110"/>
      <c r="B56" s="100"/>
      <c r="C56" s="96">
        <f>'4637'!B22</f>
        <v>1</v>
      </c>
      <c r="D56" s="4" t="str">
        <f>'4637'!C22</f>
        <v>E/R 1 CARA MDF 18MM</v>
      </c>
      <c r="E56" s="116">
        <f>'4637'!D22</f>
        <v>2000</v>
      </c>
      <c r="F56" s="103">
        <f>'4637'!E22</f>
        <v>490</v>
      </c>
      <c r="G56" s="4" t="str">
        <f>'4637'!F22</f>
        <v>TURQUESA 6018 GL</v>
      </c>
      <c r="H56" s="30"/>
      <c r="K56" s="26"/>
      <c r="M56" s="29"/>
    </row>
    <row r="57" spans="1:13" s="10" customFormat="1" ht="20.100000000000001" customHeight="1" x14ac:dyDescent="0.35">
      <c r="A57" s="110"/>
      <c r="B57" s="100"/>
      <c r="C57" s="96">
        <f>'4637'!B23</f>
        <v>1</v>
      </c>
      <c r="D57" s="4" t="str">
        <f>'4637'!C23</f>
        <v>E/R 1CARA MDF 30MM</v>
      </c>
      <c r="E57" s="116">
        <f>'4637'!D23</f>
        <v>900</v>
      </c>
      <c r="F57" s="103">
        <f>'4637'!E23</f>
        <v>490</v>
      </c>
      <c r="G57" s="4" t="str">
        <f>'4637'!F23</f>
        <v>TURQUESA 6018 GL</v>
      </c>
      <c r="H57" s="30"/>
      <c r="K57" s="26"/>
      <c r="M57" s="29"/>
    </row>
    <row r="58" spans="1:13" s="10" customFormat="1" ht="20.100000000000001" customHeight="1" x14ac:dyDescent="0.35">
      <c r="A58" s="110"/>
      <c r="B58" s="100"/>
      <c r="C58" s="73"/>
      <c r="D58" s="2"/>
      <c r="E58" s="119"/>
      <c r="F58" s="105"/>
      <c r="G58" s="2"/>
      <c r="H58" s="30"/>
      <c r="K58" s="26"/>
      <c r="M58" s="29"/>
    </row>
    <row r="59" spans="1:13" s="10" customFormat="1" ht="15" customHeight="1" x14ac:dyDescent="0.35">
      <c r="B59" s="83"/>
      <c r="C59" s="66"/>
      <c r="D59" s="66"/>
      <c r="E59" s="66"/>
      <c r="F59" s="66"/>
      <c r="G59" s="66"/>
      <c r="H59" s="30"/>
    </row>
    <row r="60" spans="1:13" ht="18" x14ac:dyDescent="0.35">
      <c r="B60" s="73"/>
      <c r="C60" s="73"/>
      <c r="D60" s="30"/>
      <c r="E60" s="73"/>
      <c r="F60" s="73"/>
      <c r="G60" s="78"/>
      <c r="H60" s="30"/>
    </row>
    <row r="61" spans="1:13" ht="18" x14ac:dyDescent="0.35">
      <c r="B61" s="73"/>
      <c r="C61" s="73"/>
      <c r="D61" s="30"/>
      <c r="E61" s="73"/>
      <c r="F61" s="73"/>
      <c r="G61" s="73"/>
      <c r="H61" s="30"/>
      <c r="J61" s="10">
        <f>SUM(J55:J55)</f>
        <v>0.88200000000000001</v>
      </c>
      <c r="K61" s="27">
        <f>SUM(K55:K55)</f>
        <v>13230</v>
      </c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5" customHeight="1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73"/>
      <c r="C67" s="87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x14ac:dyDescent="0.3">
      <c r="C69" s="14"/>
      <c r="D69" s="14"/>
      <c r="F69" s="14"/>
      <c r="G69" s="14"/>
    </row>
    <row r="70" spans="2:8" x14ac:dyDescent="0.3">
      <c r="C70" s="14"/>
      <c r="D70" s="14"/>
      <c r="F70" s="14"/>
      <c r="G70" s="14"/>
    </row>
  </sheetData>
  <mergeCells count="6">
    <mergeCell ref="N3:O3"/>
    <mergeCell ref="B19:G19"/>
    <mergeCell ref="B10:G10"/>
    <mergeCell ref="B51:G51"/>
    <mergeCell ref="C53:G5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2025-12-11T17:58:57Z</cp:lastPrinted>
  <dcterms:created xsi:type="dcterms:W3CDTF">2013-03-19T12:54:14Z</dcterms:created>
  <dcterms:modified xsi:type="dcterms:W3CDTF">2025-12-11T17:59:09Z</dcterms:modified>
</cp:coreProperties>
</file>