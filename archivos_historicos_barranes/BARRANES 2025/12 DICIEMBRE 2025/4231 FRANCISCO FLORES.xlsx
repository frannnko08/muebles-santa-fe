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1373BFC5-4A2A-4E72-A707-7E5DE21D50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3" i="4" s="1"/>
  <c r="G27" i="3" l="1"/>
  <c r="F27" i="3"/>
  <c r="L14" i="3" s="1"/>
  <c r="E27" i="3"/>
  <c r="K14" i="3" s="1"/>
  <c r="E14" i="3" s="1"/>
  <c r="C27" i="3"/>
  <c r="G49" i="3"/>
  <c r="F49" i="3"/>
  <c r="E49" i="3"/>
  <c r="D49" i="3"/>
  <c r="D27" i="3" s="1"/>
  <c r="C49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49" i="3"/>
  <c r="J49" i="3" s="1"/>
  <c r="G14" i="3"/>
  <c r="F14" i="3"/>
  <c r="C21" i="3" l="1"/>
  <c r="J14" i="3"/>
  <c r="C14" i="3" s="1"/>
  <c r="J30" i="3"/>
  <c r="K49" i="3"/>
  <c r="J53" i="3"/>
  <c r="H25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<sst xmlns="http://schemas.openxmlformats.org/spreadsheetml/2006/main" count="246" uniqueCount="142">
  <si>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</si>
  <si>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</si>
  <si>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</si>
  <si>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</si>
  <si>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</si>
  <si>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</si>
  <si>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</si>
  <si>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</si>
  <si>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</si>
  <si>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</si>
  <si>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</si>
  <si>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</si>
  <si>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</si>
  <si>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</si>
  <si>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</si>
  <si>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</si>
  <si>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</si>
  <si>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</si>
  <si>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</si>
  <si>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</si>
  <si>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</si>
  <si>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</si>
  <si>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</si>
  <si>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</si>
  <si>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</si>
  <si>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</si>
  <si>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</si>
  <si>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</si>
  <si>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</si>
  <si>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</si>
  <si>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</si>
  <si>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</si>
  <si>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</si>
  <si>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</si>
  <si>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</si>
  <si>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</si>
  <si>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</si>
  <si>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</si>
  <si>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</si>
  <si>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</si>
  <si>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</si>
  <si>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</si>
  <si>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</si>
  <si>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</si>
  <si>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</si>
  <si>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</si>
  <si>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</si>
  <si>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</si>
  <si>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</si>
  <si>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</si>
  <si>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</si>
  <si>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</si>
  <si>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</si>
  <si>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</si>
  <si>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</si>
  <si>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</si>
  <si>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</si>
  <si>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</si>
  <si>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</si>
  <si>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</si>
  <si>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</si>
  <si>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</si>
  <si>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</si>
  <si>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</si>
  <si>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</si>
  <si>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</si>
  <si>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</si>
  <si>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</si>
  <si>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</si>
  <si>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</si>
  <si>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</si>
  <si>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</si>
  <si>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</si>
  <si>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</si>
  <si>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</si>
  <si>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</si>
  <si>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</si>
  <si>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</si>
  <si>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</si>
  <si>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</si>
  <si>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</si>
  <si>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</si>
  <si>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</si>
  <si>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</si>
  <si>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</si>
  <si>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</si>
  <si>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</si>
  <si>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</si>
  <si>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</si>
  <si>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</si>
  <si>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</si>
  <si>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</si>
  <si>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</si>
  <si>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</si>
  <si>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</si>
  <si>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</si>
  <si>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</si>
  <si>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</si>
  <si>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</si>
  <si>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</si>
  <si>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</si>
  <si>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</si>
  <si>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</si>
  <si>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</si>
  <si>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</si>
  <si>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</si>
  <si>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</si>
  <si>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</si>
  <si>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</si>
  <si>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</si>
  <si>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</si>
  <si>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</si>
  <si>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</si>
  <si>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</si>
  <si>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</si>
  <si>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</si>
  <si>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</si>
  <si>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</si>
  <si>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</si>
  <si>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</si>
  <si>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</si>
  <si>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</si>
  <si>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</si>
  <si>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</si>
  <si>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</si>
  <si>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</si>
  <si>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</si>
  <si>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</si>
  <si>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</si>
  <si>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</si>
  <si>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</si>
  <si>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</si>
  <si>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</si>
  <si>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</si>
  <si>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</si>
  <si>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</si>
  <si>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</si>
  <si>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</si>
  <si>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MELAMIL 18MM</t>
  </si>
  <si>
    <t>BLANCO PARACIDO A LA MUESTRA</t>
  </si>
  <si>
    <t>FRANSCISCO FLORES</t>
  </si>
  <si>
    <t>+56 9 9159 4074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</si>
</sst>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CLONAR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 DE MUESTRA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54</xdr:row>
      <xdr:rowOff>32385</xdr:rowOff>
    </xdr:from>
    <xdr:to>
      <xdr:col>7</xdr:col>
      <xdr:colOff>7620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CLONAR PUERTA DE MUESTRA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4" zoomScale="98" zoomScaleNormal="98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11750</v>
      </c>
      <c r="E8" s="30"/>
      <c r="F8" s="35" t="s">
        <v>25</v>
      </c>
      <c r="G8" s="36">
        <v>4231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46002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1" t="s">
        <v>141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63</v>
      </c>
      <c r="D21" s="103">
        <v>650</v>
      </c>
      <c r="E21" s="103">
        <v>398</v>
      </c>
      <c r="F21" s="102" t="s">
        <v>139</v>
      </c>
      <c r="G21" s="113">
        <v>25900</v>
      </c>
      <c r="H21" s="113">
        <f>G21*B21</f>
        <v>25900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30"/>
      <c r="B22" s="104"/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/>
      <c r="C23" s="104"/>
      <c r="D23" s="112"/>
      <c r="E23" s="112"/>
      <c r="F23" s="104"/>
      <c r="G23" s="60" t="s">
        <v>5</v>
      </c>
      <c r="H23" s="61">
        <f>SUM(H21:H22)</f>
        <v>25900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2" t="s">
        <v>136</v>
      </c>
      <c r="H24" s="63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4"/>
      <c r="C25" s="104"/>
      <c r="D25" s="112"/>
      <c r="E25" s="112"/>
      <c r="F25" s="104"/>
      <c r="G25" s="64" t="s">
        <v>4</v>
      </c>
      <c r="H25" s="65">
        <f>H23+H24</f>
        <v>25900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106"/>
      <c r="H27" s="10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05"/>
      <c r="E29" s="105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13.2" customHeight="1" x14ac:dyDescent="0.35">
      <c r="A31" s="30"/>
      <c r="B31" s="59"/>
      <c r="C31" s="59"/>
      <c r="D31" s="59"/>
      <c r="E31" s="59"/>
      <c r="F31" s="59"/>
      <c r="G31" s="58"/>
      <c r="H31" s="58"/>
      <c r="I31" s="30"/>
    </row>
    <row r="32" spans="1:16" ht="20.100000000000001" customHeight="1" x14ac:dyDescent="0.35">
      <c r="A32" s="30"/>
      <c r="B32" s="30"/>
      <c r="C32" s="30"/>
      <c r="D32" s="30"/>
      <c r="E32" s="30"/>
      <c r="F32" s="30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G35" s="66"/>
      <c r="H35" s="67"/>
      <c r="I35" s="30"/>
    </row>
    <row r="36" spans="1:9" ht="18" x14ac:dyDescent="0.35">
      <c r="A36" s="30"/>
      <c r="B36" s="30"/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68" t="s">
        <v>133</v>
      </c>
      <c r="C37" s="69"/>
      <c r="D37" s="70"/>
      <c r="E37" s="70"/>
      <c r="F37" s="59"/>
      <c r="G37" s="30"/>
      <c r="H37" s="30"/>
      <c r="I37" s="30"/>
    </row>
    <row r="38" spans="1:9" ht="18" x14ac:dyDescent="0.35">
      <c r="A38" s="30"/>
      <c r="B38" s="68" t="s">
        <v>119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30" t="s">
        <v>23</v>
      </c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71" t="s">
        <v>24</v>
      </c>
      <c r="C40" s="71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1"/>
      <c r="F41" s="30"/>
      <c r="G41" s="30"/>
      <c r="H41" s="30"/>
      <c r="I41" s="30"/>
    </row>
    <row r="42" spans="1:9" ht="18" x14ac:dyDescent="0.35">
      <c r="A42" s="30"/>
      <c r="B42" s="31" t="s">
        <v>131</v>
      </c>
      <c r="C42" s="31"/>
      <c r="D42" s="31"/>
      <c r="E42" s="72"/>
      <c r="F42" s="30"/>
      <c r="G42" s="30"/>
      <c r="H42" s="30"/>
      <c r="I42" s="30"/>
    </row>
    <row r="43" spans="1:9" ht="18" x14ac:dyDescent="0.35">
      <c r="A43" s="30"/>
      <c r="B43" s="31"/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 t="s">
        <v>132</v>
      </c>
      <c r="C44" s="30"/>
      <c r="D44" s="30"/>
      <c r="E44" s="71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zoomScaleNormal="100" workbookViewId="0">
      <selection sqref="A1:G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FRANSCISCO FLORES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700</v>
      </c>
      <c r="F14" s="94">
        <f>L14+F$13</f>
        <v>396</v>
      </c>
      <c r="G14" s="94" t="str">
        <f>D27</f>
        <v>PR19</v>
      </c>
      <c r="H14" s="30"/>
      <c r="J14" s="3">
        <f>J21</f>
        <v>1</v>
      </c>
      <c r="K14" s="4">
        <f t="shared" ref="K14:L14" si="0">E27</f>
        <v>650</v>
      </c>
      <c r="L14" s="4">
        <f t="shared" si="0"/>
        <v>398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30" t="s">
        <v>13</v>
      </c>
      <c r="C17" s="130"/>
      <c r="D17" s="130"/>
      <c r="E17" s="130"/>
      <c r="F17" s="130"/>
      <c r="G17" s="130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90</v>
      </c>
      <c r="G20" s="82" t="s">
        <v>107</v>
      </c>
      <c r="H20" s="30"/>
      <c r="K20" s="5" t="s">
        <v>6</v>
      </c>
      <c r="L20" s="5" t="s">
        <v>7</v>
      </c>
    </row>
    <row r="21" spans="1:12" ht="18" x14ac:dyDescent="0.35">
      <c r="A21" s="110">
        <v>1</v>
      </c>
      <c r="B21" s="101"/>
      <c r="C21" s="96">
        <f t="shared" ref="C21" si="1">J21</f>
        <v>1</v>
      </c>
      <c r="D21" s="96"/>
      <c r="E21" s="96">
        <f>K21+E$20</f>
        <v>690</v>
      </c>
      <c r="F21" s="96">
        <f>L21+F20</f>
        <v>488</v>
      </c>
      <c r="G21" s="96" t="str">
        <f>D27</f>
        <v>PR19</v>
      </c>
      <c r="H21" s="30"/>
      <c r="J21" s="3">
        <f>C27</f>
        <v>1</v>
      </c>
      <c r="K21" s="107">
        <f>E27</f>
        <v>650</v>
      </c>
      <c r="L21" s="107">
        <f>F27</f>
        <v>398</v>
      </c>
    </row>
    <row r="22" spans="1:12" ht="18" x14ac:dyDescent="0.35">
      <c r="A22" s="110"/>
      <c r="B22" s="101"/>
      <c r="C22" s="73"/>
      <c r="D22" s="73"/>
      <c r="E22" s="73"/>
      <c r="F22" s="73"/>
      <c r="G22" s="73"/>
      <c r="H22" s="30"/>
      <c r="J22" s="23"/>
      <c r="K22" s="120"/>
      <c r="L22" s="120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30"/>
      <c r="I23" s="108"/>
      <c r="J23" s="109"/>
      <c r="K23" s="109"/>
      <c r="L23" s="109"/>
    </row>
    <row r="24" spans="1:12" ht="18.600000000000001" thickBot="1" x14ac:dyDescent="0.4">
      <c r="A24" s="2"/>
      <c r="B24" s="66"/>
      <c r="C24" s="97" t="s">
        <v>104</v>
      </c>
      <c r="D24" s="33"/>
      <c r="E24" s="33"/>
      <c r="F24" s="33"/>
      <c r="G24" s="98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30"/>
    </row>
    <row r="27" spans="1:12" ht="18" x14ac:dyDescent="0.35">
      <c r="A27" s="110">
        <v>1</v>
      </c>
      <c r="B27" s="101" t="s">
        <v>138</v>
      </c>
      <c r="C27" s="94">
        <f>'4637'!B21</f>
        <v>1</v>
      </c>
      <c r="D27" s="94" t="str">
        <f>D49</f>
        <v>PR19</v>
      </c>
      <c r="E27" s="116">
        <f>'4637'!D21</f>
        <v>650</v>
      </c>
      <c r="F27" s="116">
        <f>'4637'!E21</f>
        <v>398</v>
      </c>
      <c r="G27" s="4" t="str">
        <f>'4637'!F21</f>
        <v>BLANCO PARACIDO A LA MUESTRA</v>
      </c>
      <c r="H27" s="30"/>
      <c r="I27" s="28">
        <f>E27*F27/1000000</f>
        <v>0.25869999999999999</v>
      </c>
      <c r="J27" s="28">
        <f>I27*C27</f>
        <v>0.25869999999999999</v>
      </c>
    </row>
    <row r="28" spans="1:12" ht="18" x14ac:dyDescent="0.35">
      <c r="A28" s="110"/>
      <c r="B28" s="101"/>
      <c r="C28" s="104"/>
      <c r="D28" s="104"/>
      <c r="E28" s="105"/>
      <c r="F28" s="105"/>
      <c r="G28" s="104"/>
      <c r="H28" s="30"/>
      <c r="I28" s="28"/>
      <c r="J28" s="28"/>
    </row>
    <row r="29" spans="1:12" ht="18" x14ac:dyDescent="0.35">
      <c r="A29" s="2"/>
      <c r="B29" s="30"/>
      <c r="C29" s="73"/>
      <c r="D29" s="73"/>
      <c r="E29" s="73"/>
      <c r="F29" s="73"/>
      <c r="G29" s="73"/>
      <c r="H29" s="30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  <c r="J30" s="28">
        <f>SUM(J27:J27)*2</f>
        <v>0.51739999999999997</v>
      </c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1" ht="18" x14ac:dyDescent="0.35">
      <c r="A33" s="2"/>
      <c r="B33" s="30"/>
      <c r="C33" s="73"/>
      <c r="D33" s="73"/>
      <c r="E33" s="73"/>
      <c r="F33" s="73"/>
      <c r="G33" s="73"/>
      <c r="H33" s="30"/>
    </row>
    <row r="34" spans="1:11" ht="18" x14ac:dyDescent="0.35">
      <c r="A34" s="2"/>
      <c r="B34" s="30"/>
      <c r="C34" s="73"/>
      <c r="D34" s="73"/>
      <c r="E34" s="73"/>
      <c r="F34" s="73"/>
      <c r="G34" s="73"/>
      <c r="H34" s="30"/>
    </row>
    <row r="35" spans="1:11" ht="18" x14ac:dyDescent="0.35">
      <c r="A35" s="2"/>
      <c r="B35" s="30"/>
      <c r="C35" s="73"/>
      <c r="D35" s="73"/>
      <c r="E35" s="73"/>
      <c r="F35" s="73"/>
      <c r="G35" s="73"/>
      <c r="H35" s="30"/>
    </row>
    <row r="36" spans="1:11" ht="18" x14ac:dyDescent="0.35">
      <c r="A36" s="2"/>
      <c r="B36" s="30"/>
      <c r="C36" s="73"/>
      <c r="D36" s="73"/>
      <c r="E36" s="73"/>
      <c r="F36" s="73"/>
      <c r="G36" s="73"/>
      <c r="H36" s="30"/>
    </row>
    <row r="37" spans="1:11" ht="18" x14ac:dyDescent="0.35">
      <c r="A37" s="2"/>
      <c r="B37" s="30"/>
      <c r="C37" s="73"/>
      <c r="D37" s="73"/>
      <c r="E37" s="73"/>
      <c r="F37" s="73"/>
      <c r="G37" s="73"/>
      <c r="H37" s="30"/>
    </row>
    <row r="38" spans="1:11" ht="18" x14ac:dyDescent="0.35">
      <c r="A38" s="2"/>
      <c r="B38" s="30"/>
      <c r="C38" s="30"/>
      <c r="D38" s="30"/>
      <c r="E38" s="30"/>
      <c r="F38" s="30"/>
      <c r="G38" s="30"/>
      <c r="H38" s="30"/>
    </row>
    <row r="39" spans="1:11" ht="18" x14ac:dyDescent="0.35">
      <c r="A39" s="2"/>
      <c r="B39" s="30"/>
      <c r="C39" s="30"/>
      <c r="D39" s="74" t="s">
        <v>25</v>
      </c>
      <c r="E39" s="75">
        <f>'4637'!G8</f>
        <v>4231</v>
      </c>
      <c r="F39" s="30"/>
      <c r="G39" s="30"/>
      <c r="H39" s="30"/>
    </row>
    <row r="40" spans="1:11" ht="17.25" customHeight="1" x14ac:dyDescent="0.35">
      <c r="A40" s="2"/>
      <c r="B40" s="30"/>
      <c r="C40" s="30"/>
      <c r="D40" s="76" t="s">
        <v>64</v>
      </c>
      <c r="E40" s="77" t="str">
        <f>'4637'!C10</f>
        <v>FRANSCISCO FLORES</v>
      </c>
      <c r="F40" s="48"/>
      <c r="G40" s="48"/>
      <c r="H40" s="30"/>
    </row>
    <row r="41" spans="1:11" ht="4.5" customHeight="1" x14ac:dyDescent="0.35">
      <c r="A41" s="2"/>
      <c r="B41" s="30"/>
      <c r="C41" s="30"/>
      <c r="D41" s="78"/>
      <c r="E41" s="79"/>
      <c r="F41" s="30"/>
      <c r="G41" s="30"/>
      <c r="H41" s="30"/>
    </row>
    <row r="42" spans="1:11" ht="18" x14ac:dyDescent="0.35">
      <c r="A42" s="2"/>
      <c r="B42" s="30"/>
      <c r="C42" s="30"/>
      <c r="D42" s="80" t="str">
        <f>'4637'!F11</f>
        <v>FECHA LIMITE :</v>
      </c>
      <c r="E42" s="81">
        <f>'4637'!G11</f>
        <v>0</v>
      </c>
      <c r="F42" s="30"/>
      <c r="G42" s="30"/>
      <c r="H42" s="30"/>
    </row>
    <row r="43" spans="1:11" ht="18" x14ac:dyDescent="0.35">
      <c r="A43" s="2"/>
      <c r="B43" s="30"/>
      <c r="C43" s="30"/>
      <c r="D43" s="30"/>
      <c r="E43" s="30"/>
      <c r="F43" s="30"/>
      <c r="G43" s="30" t="s">
        <v>135</v>
      </c>
      <c r="H43" s="30"/>
    </row>
    <row r="44" spans="1:11" ht="18" x14ac:dyDescent="0.35">
      <c r="A44" s="2"/>
      <c r="B44" s="30"/>
      <c r="C44" s="30"/>
      <c r="D44" s="30"/>
      <c r="E44" s="30"/>
      <c r="F44" s="30"/>
      <c r="G44" s="30"/>
      <c r="H44" s="30"/>
    </row>
    <row r="45" spans="1:11" ht="18" x14ac:dyDescent="0.35">
      <c r="A45" s="2"/>
      <c r="B45" s="131" t="s">
        <v>65</v>
      </c>
      <c r="C45" s="131"/>
      <c r="D45" s="131"/>
      <c r="E45" s="131"/>
      <c r="F45" s="131"/>
      <c r="G45" s="131"/>
      <c r="H45" s="30"/>
    </row>
    <row r="46" spans="1:11" ht="18" x14ac:dyDescent="0.35">
      <c r="A46" s="2"/>
      <c r="B46" s="30"/>
      <c r="C46" s="30"/>
      <c r="D46" s="30"/>
      <c r="E46" s="30"/>
      <c r="F46" s="30"/>
      <c r="G46" s="30"/>
      <c r="H46" s="30"/>
    </row>
    <row r="47" spans="1:11" ht="20.100000000000001" customHeight="1" x14ac:dyDescent="0.35">
      <c r="A47" s="2"/>
      <c r="B47" s="30"/>
      <c r="C47" s="132" t="s">
        <v>66</v>
      </c>
      <c r="D47" s="133"/>
      <c r="E47" s="134"/>
      <c r="F47" s="134"/>
      <c r="G47" s="135"/>
      <c r="H47" s="30"/>
      <c r="I47" s="25" t="s">
        <v>130</v>
      </c>
    </row>
    <row r="48" spans="1:11" s="10" customFormat="1" ht="20.100000000000001" customHeight="1" x14ac:dyDescent="0.35">
      <c r="A48" s="111"/>
      <c r="B48" s="30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30"/>
      <c r="K48" s="10">
        <v>15000</v>
      </c>
    </row>
    <row r="49" spans="1:13" s="10" customFormat="1" ht="20.100000000000001" customHeight="1" x14ac:dyDescent="0.35">
      <c r="A49" s="110">
        <v>1</v>
      </c>
      <c r="B49" s="100"/>
      <c r="C49" s="96">
        <f>'4637'!B21</f>
        <v>1</v>
      </c>
      <c r="D49" s="4" t="str">
        <f>'4637'!C21</f>
        <v>PR19</v>
      </c>
      <c r="E49" s="116">
        <f>'4637'!D21</f>
        <v>650</v>
      </c>
      <c r="F49" s="103">
        <f>'4637'!E21</f>
        <v>398</v>
      </c>
      <c r="G49" s="4" t="str">
        <f>'4637'!F21</f>
        <v>BLANCO PARACIDO A LA MUESTRA</v>
      </c>
      <c r="H49" s="30"/>
      <c r="I49" s="10">
        <f>E49*F49/1000000</f>
        <v>0.25869999999999999</v>
      </c>
      <c r="J49" s="10">
        <f>I49*C49</f>
        <v>0.25869999999999999</v>
      </c>
      <c r="K49" s="26">
        <f>J49*K$48</f>
        <v>3880.5</v>
      </c>
      <c r="M49" s="24">
        <v>12096</v>
      </c>
    </row>
    <row r="50" spans="1:13" s="10" customFormat="1" ht="20.100000000000001" customHeight="1" x14ac:dyDescent="0.35">
      <c r="A50" s="110"/>
      <c r="B50" s="100"/>
      <c r="C50" s="73"/>
      <c r="D50" s="2"/>
      <c r="E50" s="119"/>
      <c r="F50" s="105"/>
      <c r="G50" s="2"/>
      <c r="H50" s="30"/>
      <c r="K50" s="26"/>
      <c r="M50" s="29"/>
    </row>
    <row r="51" spans="1:13" s="10" customFormat="1" ht="15" customHeight="1" x14ac:dyDescent="0.35">
      <c r="B51" s="83"/>
      <c r="C51" s="66"/>
      <c r="D51" s="66"/>
      <c r="E51" s="66"/>
      <c r="F51" s="66"/>
      <c r="G51" s="66"/>
      <c r="H51" s="30"/>
    </row>
    <row r="52" spans="1:13" ht="18" x14ac:dyDescent="0.35">
      <c r="B52" s="73"/>
      <c r="C52" s="73"/>
      <c r="D52" s="30"/>
      <c r="E52" s="73"/>
      <c r="F52" s="73"/>
      <c r="G52" s="78"/>
      <c r="H52" s="30"/>
    </row>
    <row r="53" spans="1:13" ht="18" x14ac:dyDescent="0.35">
      <c r="B53" s="73"/>
      <c r="C53" s="73"/>
      <c r="D53" s="30"/>
      <c r="E53" s="73"/>
      <c r="F53" s="73"/>
      <c r="G53" s="73"/>
      <c r="H53" s="30"/>
      <c r="J53" s="10">
        <f>SUM(J49:J49)</f>
        <v>0.25869999999999999</v>
      </c>
      <c r="K53" s="27">
        <f>SUM(K49:K49)</f>
        <v>3880.5</v>
      </c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5" customHeight="1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73"/>
      <c r="C59" s="87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2025-12-11T11:37:22Z</cp:lastPrinted>
  <dcterms:created xsi:type="dcterms:W3CDTF">2013-03-19T12:54:14Z</dcterms:created>
  <dcterms:modified xsi:type="dcterms:W3CDTF">2025-12-11T11:37:35Z</dcterms:modified>
</cp:coreProperties>
</file>