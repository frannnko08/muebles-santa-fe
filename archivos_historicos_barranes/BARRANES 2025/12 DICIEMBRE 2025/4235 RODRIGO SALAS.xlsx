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5\"/>
    </mc:Choice>
  </mc:AlternateContent>
  <xr:revisionPtr revIDLastSave="0" documentId="13_ncr:1_{C7AEF1A3-A9E4-4F71-8870-8C5D45F6E6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" l="1"/>
  <c r="E16" i="3" s="1"/>
  <c r="L16" i="3"/>
  <c r="F16" i="3" s="1"/>
  <c r="K18" i="3"/>
  <c r="E18" i="3" s="1"/>
  <c r="L18" i="3"/>
  <c r="F18" i="3" s="1"/>
  <c r="C36" i="3"/>
  <c r="J26" i="3" s="1"/>
  <c r="C26" i="3" s="1"/>
  <c r="E36" i="3"/>
  <c r="K26" i="3" s="1"/>
  <c r="E26" i="3" s="1"/>
  <c r="F36" i="3"/>
  <c r="L26" i="3" s="1"/>
  <c r="F26" i="3" s="1"/>
  <c r="G36" i="3"/>
  <c r="C37" i="3"/>
  <c r="J27" i="3" s="1"/>
  <c r="C27" i="3" s="1"/>
  <c r="E37" i="3"/>
  <c r="K27" i="3" s="1"/>
  <c r="E27" i="3" s="1"/>
  <c r="F37" i="3"/>
  <c r="L27" i="3" s="1"/>
  <c r="F27" i="3" s="1"/>
  <c r="G37" i="3"/>
  <c r="C38" i="3"/>
  <c r="J28" i="3" s="1"/>
  <c r="C28" i="3" s="1"/>
  <c r="E38" i="3"/>
  <c r="K28" i="3" s="1"/>
  <c r="E28" i="3" s="1"/>
  <c r="F38" i="3"/>
  <c r="L28" i="3" s="1"/>
  <c r="F28" i="3" s="1"/>
  <c r="G38" i="3"/>
  <c r="C39" i="3"/>
  <c r="J29" i="3" s="1"/>
  <c r="C29" i="3" s="1"/>
  <c r="E39" i="3"/>
  <c r="K29" i="3" s="1"/>
  <c r="E29" i="3" s="1"/>
  <c r="F39" i="3"/>
  <c r="L29" i="3" s="1"/>
  <c r="F29" i="3" s="1"/>
  <c r="G39" i="3"/>
  <c r="C61" i="3"/>
  <c r="D61" i="3"/>
  <c r="D36" i="3" s="1"/>
  <c r="G26" i="3" s="1"/>
  <c r="E61" i="3"/>
  <c r="F61" i="3"/>
  <c r="G61" i="3"/>
  <c r="C62" i="3"/>
  <c r="D62" i="3"/>
  <c r="D37" i="3" s="1"/>
  <c r="G27" i="3" s="1"/>
  <c r="E62" i="3"/>
  <c r="F62" i="3"/>
  <c r="G62" i="3"/>
  <c r="C63" i="3"/>
  <c r="D63" i="3"/>
  <c r="D38" i="3" s="1"/>
  <c r="G28" i="3" s="1"/>
  <c r="E63" i="3"/>
  <c r="F63" i="3"/>
  <c r="G63" i="3"/>
  <c r="C64" i="3"/>
  <c r="D64" i="3"/>
  <c r="D39" i="3" s="1"/>
  <c r="G29" i="3" s="1"/>
  <c r="E64" i="3"/>
  <c r="F64" i="3"/>
  <c r="G64" i="3"/>
  <c r="H25" i="4"/>
  <c r="H24" i="4"/>
  <c r="H23" i="4"/>
  <c r="H22" i="4"/>
  <c r="H21" i="4"/>
  <c r="H28" i="4"/>
  <c r="L17" i="3" l="1"/>
  <c r="F17" i="3" s="1"/>
  <c r="L15" i="3"/>
  <c r="F15" i="3" s="1"/>
  <c r="K17" i="3"/>
  <c r="E17" i="3" s="1"/>
  <c r="K15" i="3"/>
  <c r="E15" i="3" s="1"/>
  <c r="J18" i="3"/>
  <c r="C18" i="3" s="1"/>
  <c r="J17" i="3"/>
  <c r="C17" i="3" s="1"/>
  <c r="J16" i="3"/>
  <c r="C16" i="3" s="1"/>
  <c r="J15" i="3"/>
  <c r="C15" i="3" s="1"/>
  <c r="G18" i="3"/>
  <c r="G17" i="3"/>
  <c r="G16" i="3"/>
  <c r="G15" i="3"/>
  <c r="G35" i="3"/>
  <c r="F35" i="3"/>
  <c r="L14" i="3" s="1"/>
  <c r="E35" i="3"/>
  <c r="K14" i="3" s="1"/>
  <c r="E14" i="3" s="1"/>
  <c r="C35" i="3"/>
  <c r="G60" i="3"/>
  <c r="F60" i="3"/>
  <c r="E60" i="3"/>
  <c r="D60" i="3"/>
  <c r="D35" i="3" s="1"/>
  <c r="C60" i="3"/>
  <c r="G25" i="3" l="1"/>
  <c r="L25" i="3"/>
  <c r="F25" i="3" s="1"/>
  <c r="J25" i="3" l="1"/>
  <c r="I35" i="3"/>
  <c r="J35" i="3" s="1"/>
  <c r="K25" i="3"/>
  <c r="E25" i="3" s="1"/>
  <c r="I60" i="3"/>
  <c r="J60" i="3" s="1"/>
  <c r="G14" i="3"/>
  <c r="F14" i="3"/>
  <c r="C25" i="3" l="1"/>
  <c r="J14" i="3"/>
  <c r="C14" i="3" s="1"/>
  <c r="J41" i="3"/>
  <c r="K60" i="3"/>
  <c r="J68" i="3"/>
  <c r="H30" i="4"/>
  <c r="O5" i="3"/>
  <c r="K68" i="3" l="1"/>
  <c r="N5" i="3"/>
  <c r="M5" i="3"/>
  <c r="L5" i="3"/>
  <c r="D53" i="3" l="1"/>
  <c r="D7" i="3"/>
  <c r="E51" i="3"/>
  <c r="E5" i="3"/>
  <c r="E53" i="3"/>
  <c r="E7" i="3"/>
  <c r="E50" i="3"/>
  <c r="E4" i="3"/>
</calcChain>
</file>

<file path=xl/sharedStrings.xml><?xml version="1.0" encoding="utf-8"?>
<sst xmlns="http://schemas.openxmlformats.org/spreadsheetml/2006/main" count="255" uniqueCount="142">
  <si>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</si>
  <si>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</si>
  <si>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</si>
  <si>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</si>
  <si>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</si>
  <si>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</si>
  <si>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</si>
  <si>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</si>
  <si>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</si>
  <si>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</si>
  <si>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</si>
  <si>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</si>
  <si>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</si>
  <si>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</si>
  <si>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</si>
  <si>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</si>
  <si>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</si>
  <si>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</si>
  <si>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</si>
  <si>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</si>
  <si>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</si>
  <si>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</si>
  <si>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</si>
  <si>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</si>
  <si>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</si>
  <si>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</si>
  <si>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</si>
  <si>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</si>
  <si>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</si>
  <si>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</si>
  <si>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</si>
  <si>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</si>
  <si>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</si>
  <si>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</si>
  <si>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</si>
  <si>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</si>
  <si>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</si>
  <si>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</si>
  <si>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</si>
  <si>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</si>
  <si>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</si>
  <si>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</si>
  <si>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</si>
  <si>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</si>
  <si>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</si>
  <si>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</si>
  <si>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</si>
  <si>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</si>
  <si>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</si>
  <si>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</si>
  <si>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</si>
  <si>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</si>
  <si>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</si>
  <si>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</si>
  <si>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</si>
  <si>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</si>
  <si>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</si>
  <si>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</si>
  <si>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</si>
  <si>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</si>
  <si>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</si>
  <si>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</si>
  <si>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</si>
  <si>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</si>
  <si>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</si>
  <si>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</si>
  <si>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</si>
  <si>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</si>
  <si>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</si>
  <si>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</si>
  <si>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</si>
  <si>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</si>
  <si>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</si>
  <si>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</si>
  <si>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</si>
  <si>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</si>
  <si>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</si>
  <si>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</si>
  <si>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</si>
  <si>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</si>
  <si>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</si>
  <si>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</si>
  <si>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</si>
  <si>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</si>
  <si>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</si>
  <si>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</si>
  <si>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</si>
  <si>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</si>
  <si>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</si>
  <si>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</si>
  <si>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</si>
  <si>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</si>
  <si>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</si>
  <si>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</si>
  <si>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</si>
  <si>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</si>
  <si>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</si>
  <si>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</si>
  <si>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</si>
  <si>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</si>
  <si>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</si>
  <si>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</si>
  <si>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</si>
  <si>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</si>
  <si>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</si>
  <si>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</si>
  <si>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</si>
  <si>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</si>
  <si>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</si>
  <si>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</si>
  <si>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</si>
  <si>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</si>
  <si>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</si>
  <si>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</si>
  <si>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</si>
  <si>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</si>
  <si>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</si>
  <si>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</si>
  <si>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</si>
  <si>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</si>
  <si>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</si>
  <si>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</si>
  <si>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</si>
  <si>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</si>
  <si>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</si>
  <si>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</si>
  <si>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</si>
  <si>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</si>
  <si>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</si>
  <si>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</si>
  <si>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</si>
  <si>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</si>
  <si>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</si>
  <si>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</si>
  <si>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</si>
  <si>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</si>
  <si>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</si>
  <si>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</si>
  <si>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RODRIGO SALAS</t>
  </si>
  <si>
    <t>+569 9337 6178</t>
  </si>
  <si>
    <t>SHELL WHITE 20011 SF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</si>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</sst>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9" fillId="0" borderId="0" xfId="0" quotePrefix="1" applyFon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27</xdr:row>
      <xdr:rowOff>23327</xdr:rowOff>
    </xdr:from>
    <xdr:to>
      <xdr:col>5</xdr:col>
      <xdr:colOff>1539552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</a:t>
          </a:r>
          <a:r>
            <a:rPr lang="es-CL" sz="1200" b="1" i="0" baseline="0"/>
            <a:t> 87.040.-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38</xdr:row>
      <xdr:rowOff>0</xdr:rowOff>
    </xdr:from>
    <xdr:to>
      <xdr:col>4</xdr:col>
      <xdr:colOff>369336</xdr:colOff>
      <xdr:row>38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40</xdr:row>
      <xdr:rowOff>1</xdr:rowOff>
    </xdr:from>
    <xdr:to>
      <xdr:col>4</xdr:col>
      <xdr:colOff>349897</xdr:colOff>
      <xdr:row>40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54</xdr:row>
      <xdr:rowOff>190500</xdr:rowOff>
    </xdr:from>
    <xdr:to>
      <xdr:col>7</xdr:col>
      <xdr:colOff>9524</xdr:colOff>
      <xdr:row>56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51</xdr:row>
      <xdr:rowOff>30479</xdr:rowOff>
    </xdr:from>
    <xdr:to>
      <xdr:col>6</xdr:col>
      <xdr:colOff>2912745</xdr:colOff>
      <xdr:row>52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49</xdr:row>
      <xdr:rowOff>209549</xdr:rowOff>
    </xdr:from>
    <xdr:to>
      <xdr:col>7</xdr:col>
      <xdr:colOff>0</xdr:colOff>
      <xdr:row>51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171450</xdr:rowOff>
    </xdr:from>
    <xdr:to>
      <xdr:col>7</xdr:col>
      <xdr:colOff>19050</xdr:colOff>
      <xdr:row>49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66</xdr:row>
      <xdr:rowOff>0</xdr:rowOff>
    </xdr:from>
    <xdr:to>
      <xdr:col>3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66</xdr:row>
      <xdr:rowOff>0</xdr:rowOff>
    </xdr:from>
    <xdr:to>
      <xdr:col>3</xdr:col>
      <xdr:colOff>1019175</xdr:colOff>
      <xdr:row>67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66</xdr:row>
      <xdr:rowOff>0</xdr:rowOff>
    </xdr:from>
    <xdr:to>
      <xdr:col>4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66</xdr:row>
      <xdr:rowOff>0</xdr:rowOff>
    </xdr:from>
    <xdr:to>
      <xdr:col>5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66</xdr:row>
      <xdr:rowOff>0</xdr:rowOff>
    </xdr:from>
    <xdr:to>
      <xdr:col>6</xdr:col>
      <xdr:colOff>447675</xdr:colOff>
      <xdr:row>67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66</xdr:row>
      <xdr:rowOff>0</xdr:rowOff>
    </xdr:from>
    <xdr:to>
      <xdr:col>7</xdr:col>
      <xdr:colOff>0</xdr:colOff>
      <xdr:row>67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67</xdr:row>
      <xdr:rowOff>0</xdr:rowOff>
    </xdr:from>
    <xdr:to>
      <xdr:col>3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67</xdr:row>
      <xdr:rowOff>0</xdr:rowOff>
    </xdr:from>
    <xdr:to>
      <xdr:col>4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67</xdr:row>
      <xdr:rowOff>0</xdr:rowOff>
    </xdr:from>
    <xdr:to>
      <xdr:col>5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67</xdr:row>
      <xdr:rowOff>0</xdr:rowOff>
    </xdr:from>
    <xdr:to>
      <xdr:col>6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67</xdr:row>
      <xdr:rowOff>0</xdr:rowOff>
    </xdr:from>
    <xdr:to>
      <xdr:col>7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40</xdr:row>
      <xdr:rowOff>15239</xdr:rowOff>
    </xdr:from>
    <xdr:to>
      <xdr:col>7</xdr:col>
      <xdr:colOff>0</xdr:colOff>
      <xdr:row>44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 Y ENCHAPADAS CON TAPACANTO DE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31</xdr:row>
      <xdr:rowOff>1</xdr:rowOff>
    </xdr:from>
    <xdr:to>
      <xdr:col>7</xdr:col>
      <xdr:colOff>19048</xdr:colOff>
      <xdr:row>32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69</xdr:row>
      <xdr:rowOff>32385</xdr:rowOff>
    </xdr:from>
    <xdr:to>
      <xdr:col>7</xdr:col>
      <xdr:colOff>7620</xdr:colOff>
      <xdr:row>73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r>
            <a:rPr lang="es-CL" sz="1400" b="1" i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 Y ENCHAPADAS CON TAPACANTO DE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48</xdr:row>
      <xdr:rowOff>146685</xdr:rowOff>
    </xdr:from>
    <xdr:to>
      <xdr:col>2</xdr:col>
      <xdr:colOff>786523</xdr:colOff>
      <xdr:row>54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304800</xdr:colOff>
      <xdr:row>76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opLeftCell="A2" zoomScale="98" zoomScaleNormal="98" workbookViewId="0">
      <selection activeCell="J25" sqref="J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11807</v>
      </c>
      <c r="E8" s="30"/>
      <c r="F8" s="35" t="s">
        <v>25</v>
      </c>
      <c r="G8" s="36">
        <v>4235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46009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1" t="s">
        <v>139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</row>
    <row r="21" spans="1:16" ht="20.100000000000001" customHeight="1" x14ac:dyDescent="0.35">
      <c r="A21" s="30"/>
      <c r="B21" s="102">
        <v>2</v>
      </c>
      <c r="C21" s="102" t="s">
        <v>60</v>
      </c>
      <c r="D21" s="103">
        <v>600</v>
      </c>
      <c r="E21" s="103">
        <v>294</v>
      </c>
      <c r="F21" s="102" t="s">
        <v>140</v>
      </c>
      <c r="G21" s="113">
        <v>14459</v>
      </c>
      <c r="H21" s="113">
        <f>G21*B21</f>
        <v>28918</v>
      </c>
      <c r="I21" s="30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30"/>
      <c r="B22" s="102">
        <v>2</v>
      </c>
      <c r="C22" s="102" t="s">
        <v>60</v>
      </c>
      <c r="D22" s="103">
        <v>600</v>
      </c>
      <c r="E22" s="103">
        <v>365</v>
      </c>
      <c r="F22" s="102" t="s">
        <v>140</v>
      </c>
      <c r="G22" s="113">
        <v>17226</v>
      </c>
      <c r="H22" s="113">
        <f t="shared" ref="H22:H25" si="0">G22*B22</f>
        <v>34452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2</v>
      </c>
      <c r="C23" s="102" t="s">
        <v>60</v>
      </c>
      <c r="D23" s="103">
        <v>600</v>
      </c>
      <c r="E23" s="103">
        <v>348</v>
      </c>
      <c r="F23" s="102" t="s">
        <v>140</v>
      </c>
      <c r="G23" s="113">
        <v>16525</v>
      </c>
      <c r="H23" s="113">
        <f t="shared" si="0"/>
        <v>33050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2</v>
      </c>
      <c r="C24" s="102" t="s">
        <v>60</v>
      </c>
      <c r="D24" s="103">
        <v>700</v>
      </c>
      <c r="E24" s="103">
        <v>356</v>
      </c>
      <c r="F24" s="102" t="s">
        <v>140</v>
      </c>
      <c r="G24" s="113">
        <v>18965</v>
      </c>
      <c r="H24" s="113">
        <f t="shared" si="0"/>
        <v>37930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2</v>
      </c>
      <c r="C25" s="102" t="s">
        <v>60</v>
      </c>
      <c r="D25" s="103">
        <v>700</v>
      </c>
      <c r="E25" s="103">
        <v>346</v>
      </c>
      <c r="F25" s="102" t="s">
        <v>140</v>
      </c>
      <c r="G25" s="113">
        <v>19865</v>
      </c>
      <c r="H25" s="113">
        <f t="shared" si="0"/>
        <v>39730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05"/>
      <c r="E26" s="105"/>
      <c r="F26" s="104"/>
      <c r="G26" s="106"/>
      <c r="H26" s="106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106"/>
      <c r="H27" s="10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60" t="s">
        <v>5</v>
      </c>
      <c r="H28" s="61">
        <f>SUM(H21:H27)</f>
        <v>174080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62" t="s">
        <v>136</v>
      </c>
      <c r="H29" s="63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04"/>
      <c r="C30" s="104"/>
      <c r="D30" s="112"/>
      <c r="E30" s="112"/>
      <c r="F30" s="104"/>
      <c r="G30" s="64" t="s">
        <v>4</v>
      </c>
      <c r="H30" s="65">
        <f>H28+H29</f>
        <v>174080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2"/>
      <c r="E32" s="112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68" t="s">
        <v>133</v>
      </c>
      <c r="C33" s="69"/>
      <c r="D33" s="70"/>
      <c r="E33" s="70"/>
      <c r="F33" s="59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68" t="s">
        <v>119</v>
      </c>
      <c r="C34" s="69"/>
      <c r="D34" s="70"/>
      <c r="E34" s="70"/>
      <c r="F34" s="59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30" t="s">
        <v>23</v>
      </c>
      <c r="C35" s="30"/>
      <c r="D35" s="30"/>
      <c r="E35" s="30"/>
      <c r="F35" s="30"/>
      <c r="G35" s="106"/>
      <c r="H35" s="106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71" t="s">
        <v>24</v>
      </c>
      <c r="C36" s="71"/>
      <c r="D36" s="30"/>
      <c r="E36" s="30"/>
      <c r="F36" s="30"/>
      <c r="G36" s="58"/>
      <c r="H36" s="58"/>
      <c r="I36" s="30"/>
    </row>
    <row r="37" spans="1:16" ht="20.100000000000001" customHeight="1" x14ac:dyDescent="0.35">
      <c r="A37" s="30"/>
      <c r="B37" s="30"/>
      <c r="C37" s="30"/>
      <c r="D37" s="30"/>
      <c r="E37" s="71"/>
      <c r="F37" s="30"/>
      <c r="I37" s="30"/>
    </row>
    <row r="38" spans="1:16" ht="20.100000000000001" customHeight="1" x14ac:dyDescent="0.35">
      <c r="A38" s="30"/>
      <c r="B38" s="31" t="s">
        <v>131</v>
      </c>
      <c r="C38" s="31"/>
      <c r="D38" s="31"/>
      <c r="E38" s="72"/>
      <c r="F38" s="30"/>
      <c r="I38" s="30"/>
    </row>
    <row r="39" spans="1:16" ht="20.100000000000001" customHeight="1" x14ac:dyDescent="0.35">
      <c r="A39" s="30"/>
      <c r="B39" s="31"/>
      <c r="C39" s="31"/>
      <c r="D39" s="31"/>
      <c r="E39" s="72"/>
      <c r="F39" s="30"/>
      <c r="I39" s="30"/>
    </row>
    <row r="40" spans="1:16" ht="20.100000000000001" customHeight="1" x14ac:dyDescent="0.35">
      <c r="A40" s="30"/>
      <c r="B40" s="31" t="s">
        <v>132</v>
      </c>
      <c r="C40" s="30"/>
      <c r="D40" s="30"/>
      <c r="E40" s="71"/>
      <c r="F40" s="30"/>
      <c r="G40" s="66"/>
      <c r="H40" s="67"/>
      <c r="I40" s="30"/>
    </row>
    <row r="41" spans="1:16" ht="18" x14ac:dyDescent="0.35">
      <c r="A41" s="30"/>
      <c r="B41" s="30"/>
      <c r="C41" s="30"/>
      <c r="D41" s="30"/>
      <c r="E41" s="71"/>
      <c r="F41" s="30"/>
      <c r="G41" s="30"/>
      <c r="H41" s="30"/>
      <c r="I41" s="30"/>
    </row>
    <row r="42" spans="1:16" ht="18" x14ac:dyDescent="0.35">
      <c r="A42" s="30"/>
      <c r="G42" s="30"/>
      <c r="H42" s="30"/>
      <c r="I42" s="30"/>
    </row>
    <row r="43" spans="1:16" ht="18" x14ac:dyDescent="0.35">
      <c r="A43" s="30"/>
      <c r="G43" s="30"/>
      <c r="H43" s="30"/>
      <c r="I43" s="30"/>
    </row>
    <row r="44" spans="1:16" ht="18" x14ac:dyDescent="0.35">
      <c r="A44" s="30"/>
      <c r="G44" s="30"/>
      <c r="H44" s="30"/>
      <c r="I44" s="30"/>
    </row>
    <row r="45" spans="1:16" ht="18" x14ac:dyDescent="0.35">
      <c r="A45" s="30"/>
      <c r="G45" s="30"/>
      <c r="H45" s="30"/>
      <c r="I45" s="30"/>
    </row>
    <row r="46" spans="1:16" ht="18" x14ac:dyDescent="0.35">
      <c r="A46" s="30"/>
      <c r="G46" s="30"/>
      <c r="H46" s="30"/>
      <c r="I46" s="30"/>
    </row>
    <row r="47" spans="1:16" ht="18" x14ac:dyDescent="0.35">
      <c r="A47" s="30"/>
      <c r="G47" s="30"/>
      <c r="H47" s="30"/>
      <c r="I47" s="30"/>
    </row>
    <row r="48" spans="1:16" ht="18" x14ac:dyDescent="0.35">
      <c r="A48" s="30"/>
      <c r="G48" s="30"/>
      <c r="H48" s="30"/>
      <c r="I48" s="30"/>
    </row>
    <row r="49" spans="1:9" ht="18" x14ac:dyDescent="0.35">
      <c r="A49" s="30"/>
      <c r="G49" s="30"/>
      <c r="H49" s="30"/>
      <c r="I49" s="30"/>
    </row>
    <row r="50" spans="1:9" ht="18" x14ac:dyDescent="0.35">
      <c r="A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8" type="noConversion"/>
  <hyperlinks>
    <hyperlink ref="B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7"/>
  <sheetViews>
    <sheetView tabSelected="1" zoomScaleNormal="100" workbookViewId="0">
      <selection sqref="A1:G4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4235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RODRIGO SALAS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141</v>
      </c>
      <c r="C14" s="94">
        <f>J14</f>
        <v>2</v>
      </c>
      <c r="D14" s="94"/>
      <c r="E14" s="94">
        <f>K14+E$13</f>
        <v>650</v>
      </c>
      <c r="F14" s="94">
        <f>L14+F$13</f>
        <v>292</v>
      </c>
      <c r="G14" s="94" t="str">
        <f>D35</f>
        <v>PR6</v>
      </c>
      <c r="H14" s="30"/>
      <c r="J14" s="3">
        <f>J25</f>
        <v>2</v>
      </c>
      <c r="K14" s="4">
        <f t="shared" ref="K14:L14" si="0">E35</f>
        <v>600</v>
      </c>
      <c r="L14" s="4">
        <f t="shared" si="0"/>
        <v>294</v>
      </c>
    </row>
    <row r="15" spans="1:15" ht="18" x14ac:dyDescent="0.35">
      <c r="A15" s="110">
        <v>2</v>
      </c>
      <c r="B15" s="101"/>
      <c r="C15" s="94">
        <f t="shared" ref="C15:C18" si="1">J15</f>
        <v>2</v>
      </c>
      <c r="D15" s="94"/>
      <c r="E15" s="94">
        <f t="shared" ref="E15:E18" si="2">K15+E$13</f>
        <v>650</v>
      </c>
      <c r="F15" s="94">
        <f t="shared" ref="F15:F18" si="3">L15+F$13</f>
        <v>363</v>
      </c>
      <c r="G15" s="94" t="str">
        <f>D36</f>
        <v>PR6</v>
      </c>
      <c r="H15" s="30"/>
      <c r="J15" s="3">
        <f>J26</f>
        <v>2</v>
      </c>
      <c r="K15" s="4">
        <f>E36</f>
        <v>600</v>
      </c>
      <c r="L15" s="4">
        <f>F36</f>
        <v>365</v>
      </c>
    </row>
    <row r="16" spans="1:15" ht="18" x14ac:dyDescent="0.35">
      <c r="A16" s="110">
        <v>3</v>
      </c>
      <c r="B16" s="101"/>
      <c r="C16" s="94">
        <f t="shared" si="1"/>
        <v>2</v>
      </c>
      <c r="D16" s="94"/>
      <c r="E16" s="94">
        <f t="shared" si="2"/>
        <v>650</v>
      </c>
      <c r="F16" s="94">
        <f t="shared" si="3"/>
        <v>346</v>
      </c>
      <c r="G16" s="94" t="str">
        <f>D37</f>
        <v>PR6</v>
      </c>
      <c r="H16" s="30"/>
      <c r="J16" s="3">
        <f>J27</f>
        <v>2</v>
      </c>
      <c r="K16" s="4">
        <f>E37</f>
        <v>600</v>
      </c>
      <c r="L16" s="4">
        <f>F37</f>
        <v>348</v>
      </c>
    </row>
    <row r="17" spans="1:12" ht="18" x14ac:dyDescent="0.35">
      <c r="A17" s="110">
        <v>4</v>
      </c>
      <c r="B17" s="101"/>
      <c r="C17" s="94">
        <f t="shared" si="1"/>
        <v>2</v>
      </c>
      <c r="D17" s="94"/>
      <c r="E17" s="94">
        <f t="shared" si="2"/>
        <v>750</v>
      </c>
      <c r="F17" s="94">
        <f t="shared" si="3"/>
        <v>354</v>
      </c>
      <c r="G17" s="94" t="str">
        <f>D38</f>
        <v>PR6</v>
      </c>
      <c r="H17" s="30"/>
      <c r="J17" s="3">
        <f>J28</f>
        <v>2</v>
      </c>
      <c r="K17" s="4">
        <f>E38</f>
        <v>700</v>
      </c>
      <c r="L17" s="4">
        <f>F38</f>
        <v>356</v>
      </c>
    </row>
    <row r="18" spans="1:12" ht="18" x14ac:dyDescent="0.35">
      <c r="A18" s="110">
        <v>5</v>
      </c>
      <c r="B18" s="101"/>
      <c r="C18" s="94">
        <f t="shared" si="1"/>
        <v>2</v>
      </c>
      <c r="D18" s="94"/>
      <c r="E18" s="94">
        <f t="shared" si="2"/>
        <v>750</v>
      </c>
      <c r="F18" s="94">
        <f t="shared" si="3"/>
        <v>344</v>
      </c>
      <c r="G18" s="94" t="str">
        <f>D39</f>
        <v>PR6</v>
      </c>
      <c r="H18" s="30"/>
      <c r="J18" s="3">
        <f>J29</f>
        <v>2</v>
      </c>
      <c r="K18" s="4">
        <f>E39</f>
        <v>700</v>
      </c>
      <c r="L18" s="4">
        <f>F39</f>
        <v>346</v>
      </c>
    </row>
    <row r="19" spans="1:12" ht="18" x14ac:dyDescent="0.35">
      <c r="A19" s="110"/>
      <c r="B19" s="101"/>
      <c r="C19" s="136"/>
      <c r="D19" s="136"/>
      <c r="E19" s="136"/>
      <c r="F19" s="136"/>
      <c r="G19" s="136"/>
      <c r="H19" s="30"/>
      <c r="J19" s="138"/>
      <c r="K19" s="137"/>
      <c r="L19" s="137"/>
    </row>
    <row r="20" spans="1:12" ht="6.75" customHeight="1" x14ac:dyDescent="0.35">
      <c r="A20" s="2"/>
      <c r="B20" s="30"/>
      <c r="C20" s="30"/>
      <c r="D20" s="30"/>
      <c r="E20" s="30"/>
      <c r="F20" s="30"/>
      <c r="G20" s="30"/>
      <c r="H20" s="30"/>
    </row>
    <row r="21" spans="1:12" ht="18" x14ac:dyDescent="0.35">
      <c r="A21" s="2"/>
      <c r="B21" s="130" t="s">
        <v>13</v>
      </c>
      <c r="C21" s="130"/>
      <c r="D21" s="130"/>
      <c r="E21" s="130"/>
      <c r="F21" s="130"/>
      <c r="G21" s="130"/>
      <c r="H21" s="30"/>
    </row>
    <row r="22" spans="1:12" ht="10.5" customHeight="1" x14ac:dyDescent="0.35">
      <c r="A22" s="2"/>
      <c r="B22" s="30"/>
      <c r="C22" s="30"/>
      <c r="D22" s="91"/>
      <c r="E22" s="30"/>
      <c r="F22" s="30"/>
      <c r="G22" s="30"/>
      <c r="H22" s="30"/>
    </row>
    <row r="23" spans="1:12" ht="18" x14ac:dyDescent="0.35">
      <c r="A23" s="2"/>
      <c r="B23" s="30"/>
      <c r="C23" s="30"/>
      <c r="D23" s="30"/>
      <c r="E23" s="66" t="s">
        <v>6</v>
      </c>
      <c r="F23" s="66" t="s">
        <v>7</v>
      </c>
      <c r="G23" s="30"/>
      <c r="H23" s="30"/>
    </row>
    <row r="24" spans="1:12" ht="18" x14ac:dyDescent="0.35">
      <c r="A24" s="2"/>
      <c r="B24" s="66" t="s">
        <v>8</v>
      </c>
      <c r="C24" s="82" t="s">
        <v>9</v>
      </c>
      <c r="D24" s="82" t="s">
        <v>10</v>
      </c>
      <c r="E24" s="95">
        <v>40</v>
      </c>
      <c r="F24" s="95">
        <v>90</v>
      </c>
      <c r="G24" s="82" t="s">
        <v>107</v>
      </c>
      <c r="H24" s="30"/>
      <c r="K24" s="5" t="s">
        <v>6</v>
      </c>
      <c r="L24" s="5" t="s">
        <v>7</v>
      </c>
    </row>
    <row r="25" spans="1:12" ht="18" x14ac:dyDescent="0.35">
      <c r="A25" s="110">
        <v>1</v>
      </c>
      <c r="B25" s="101"/>
      <c r="C25" s="96">
        <f t="shared" ref="C25" si="4">J25</f>
        <v>2</v>
      </c>
      <c r="D25" s="96"/>
      <c r="E25" s="96">
        <f>K25+E$24</f>
        <v>640</v>
      </c>
      <c r="F25" s="96">
        <f>L25+F$24</f>
        <v>384</v>
      </c>
      <c r="G25" s="96" t="str">
        <f>D35</f>
        <v>PR6</v>
      </c>
      <c r="H25" s="30"/>
      <c r="J25" s="3">
        <f>C35</f>
        <v>2</v>
      </c>
      <c r="K25" s="107">
        <f>E35</f>
        <v>600</v>
      </c>
      <c r="L25" s="107">
        <f>F35</f>
        <v>294</v>
      </c>
    </row>
    <row r="26" spans="1:12" ht="18" x14ac:dyDescent="0.35">
      <c r="A26" s="110">
        <v>2</v>
      </c>
      <c r="B26" s="101"/>
      <c r="C26" s="96">
        <f t="shared" ref="C26:C29" si="5">J26</f>
        <v>2</v>
      </c>
      <c r="D26" s="96"/>
      <c r="E26" s="96">
        <f t="shared" ref="E26:E29" si="6">K26+E$24</f>
        <v>640</v>
      </c>
      <c r="F26" s="96">
        <f t="shared" ref="F26:F29" si="7">L26+F$24</f>
        <v>455</v>
      </c>
      <c r="G26" s="96" t="str">
        <f t="shared" ref="G26:G29" si="8">D36</f>
        <v>PR6</v>
      </c>
      <c r="H26" s="30"/>
      <c r="J26" s="3">
        <f t="shared" ref="J26:J29" si="9">C36</f>
        <v>2</v>
      </c>
      <c r="K26" s="107">
        <f t="shared" ref="K26:L26" si="10">E36</f>
        <v>600</v>
      </c>
      <c r="L26" s="107">
        <f t="shared" si="10"/>
        <v>365</v>
      </c>
    </row>
    <row r="27" spans="1:12" ht="18" x14ac:dyDescent="0.35">
      <c r="A27" s="110">
        <v>3</v>
      </c>
      <c r="B27" s="101"/>
      <c r="C27" s="96">
        <f t="shared" si="5"/>
        <v>2</v>
      </c>
      <c r="D27" s="96"/>
      <c r="E27" s="96">
        <f t="shared" si="6"/>
        <v>640</v>
      </c>
      <c r="F27" s="96">
        <f t="shared" si="7"/>
        <v>438</v>
      </c>
      <c r="G27" s="96" t="str">
        <f t="shared" si="8"/>
        <v>PR6</v>
      </c>
      <c r="H27" s="30"/>
      <c r="J27" s="3">
        <f t="shared" si="9"/>
        <v>2</v>
      </c>
      <c r="K27" s="107">
        <f t="shared" ref="K27:L27" si="11">E37</f>
        <v>600</v>
      </c>
      <c r="L27" s="107">
        <f t="shared" si="11"/>
        <v>348</v>
      </c>
    </row>
    <row r="28" spans="1:12" ht="18" x14ac:dyDescent="0.35">
      <c r="A28" s="110">
        <v>4</v>
      </c>
      <c r="B28" s="101"/>
      <c r="C28" s="96">
        <f t="shared" si="5"/>
        <v>2</v>
      </c>
      <c r="D28" s="96"/>
      <c r="E28" s="96">
        <f t="shared" si="6"/>
        <v>740</v>
      </c>
      <c r="F28" s="96">
        <f t="shared" si="7"/>
        <v>446</v>
      </c>
      <c r="G28" s="96" t="str">
        <f t="shared" si="8"/>
        <v>PR6</v>
      </c>
      <c r="H28" s="30"/>
      <c r="J28" s="3">
        <f t="shared" si="9"/>
        <v>2</v>
      </c>
      <c r="K28" s="107">
        <f t="shared" ref="K28:L28" si="12">E38</f>
        <v>700</v>
      </c>
      <c r="L28" s="107">
        <f t="shared" si="12"/>
        <v>356</v>
      </c>
    </row>
    <row r="29" spans="1:12" ht="18" x14ac:dyDescent="0.35">
      <c r="A29" s="110">
        <v>5</v>
      </c>
      <c r="B29" s="101"/>
      <c r="C29" s="96">
        <f t="shared" si="5"/>
        <v>2</v>
      </c>
      <c r="D29" s="96"/>
      <c r="E29" s="96">
        <f t="shared" si="6"/>
        <v>740</v>
      </c>
      <c r="F29" s="96">
        <f t="shared" si="7"/>
        <v>436</v>
      </c>
      <c r="G29" s="96" t="str">
        <f t="shared" si="8"/>
        <v>PR6</v>
      </c>
      <c r="H29" s="30"/>
      <c r="J29" s="3">
        <f t="shared" si="9"/>
        <v>2</v>
      </c>
      <c r="K29" s="107">
        <f t="shared" ref="K29:L29" si="13">E39</f>
        <v>700</v>
      </c>
      <c r="L29" s="107">
        <f t="shared" si="13"/>
        <v>346</v>
      </c>
    </row>
    <row r="30" spans="1:12" ht="18" x14ac:dyDescent="0.35">
      <c r="A30" s="110"/>
      <c r="B30" s="101"/>
      <c r="C30" s="73"/>
      <c r="D30" s="73"/>
      <c r="E30" s="73"/>
      <c r="F30" s="73"/>
      <c r="G30" s="73"/>
      <c r="H30" s="30"/>
      <c r="J30" s="23"/>
      <c r="K30" s="120"/>
      <c r="L30" s="120"/>
    </row>
    <row r="31" spans="1:12" ht="18.600000000000001" thickBot="1" x14ac:dyDescent="0.4">
      <c r="A31" s="2"/>
      <c r="B31" s="83"/>
      <c r="C31" s="73"/>
      <c r="D31" s="73"/>
      <c r="E31" s="73"/>
      <c r="F31" s="73"/>
      <c r="G31" s="73"/>
      <c r="H31" s="30"/>
      <c r="I31" s="108"/>
      <c r="J31" s="109"/>
      <c r="K31" s="109"/>
      <c r="L31" s="109"/>
    </row>
    <row r="32" spans="1:12" ht="18.600000000000001" thickBot="1" x14ac:dyDescent="0.4">
      <c r="A32" s="2"/>
      <c r="B32" s="66"/>
      <c r="C32" s="97" t="s">
        <v>104</v>
      </c>
      <c r="D32" s="33"/>
      <c r="E32" s="33"/>
      <c r="F32" s="33"/>
      <c r="G32" s="98"/>
      <c r="H32" s="30"/>
      <c r="J32" s="2"/>
      <c r="K32" s="2"/>
      <c r="L32" s="2"/>
    </row>
    <row r="33" spans="1:10" ht="10.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0" ht="18" x14ac:dyDescent="0.35">
      <c r="A34" s="2"/>
      <c r="B34" s="66" t="s">
        <v>8</v>
      </c>
      <c r="C34" s="99" t="s">
        <v>9</v>
      </c>
      <c r="D34" s="99" t="s">
        <v>107</v>
      </c>
      <c r="E34" s="99" t="s">
        <v>6</v>
      </c>
      <c r="F34" s="99" t="s">
        <v>7</v>
      </c>
      <c r="G34" s="99" t="s">
        <v>21</v>
      </c>
      <c r="H34" s="30"/>
    </row>
    <row r="35" spans="1:10" ht="18" x14ac:dyDescent="0.35">
      <c r="A35" s="110">
        <v>1</v>
      </c>
      <c r="B35" s="101" t="s">
        <v>141</v>
      </c>
      <c r="C35" s="94">
        <f>'4637'!B21</f>
        <v>2</v>
      </c>
      <c r="D35" s="94" t="str">
        <f>D60</f>
        <v>PR6</v>
      </c>
      <c r="E35" s="116">
        <f>'4637'!D21</f>
        <v>600</v>
      </c>
      <c r="F35" s="116">
        <f>'4637'!E21</f>
        <v>294</v>
      </c>
      <c r="G35" s="4" t="str">
        <f>'4637'!F21</f>
        <v>SHELL WHITE 20011 SF</v>
      </c>
      <c r="H35" s="30"/>
      <c r="I35" s="28">
        <f>E35*F35/1000000</f>
        <v>0.1764</v>
      </c>
      <c r="J35" s="28">
        <f>I35*C35</f>
        <v>0.3528</v>
      </c>
    </row>
    <row r="36" spans="1:10" ht="18" x14ac:dyDescent="0.35">
      <c r="A36" s="110">
        <v>2</v>
      </c>
      <c r="B36" s="101"/>
      <c r="C36" s="94">
        <f>'4637'!B22</f>
        <v>2</v>
      </c>
      <c r="D36" s="94" t="str">
        <f>D61</f>
        <v>PR6</v>
      </c>
      <c r="E36" s="116">
        <f>'4637'!D22</f>
        <v>600</v>
      </c>
      <c r="F36" s="116">
        <f>'4637'!E22</f>
        <v>365</v>
      </c>
      <c r="G36" s="4" t="str">
        <f>'4637'!F22</f>
        <v>SHELL WHITE 20011 SF</v>
      </c>
      <c r="H36" s="30"/>
      <c r="I36" s="28"/>
      <c r="J36" s="28"/>
    </row>
    <row r="37" spans="1:10" ht="18" x14ac:dyDescent="0.35">
      <c r="A37" s="110">
        <v>3</v>
      </c>
      <c r="B37" s="101"/>
      <c r="C37" s="94">
        <f>'4637'!B23</f>
        <v>2</v>
      </c>
      <c r="D37" s="94" t="str">
        <f>D62</f>
        <v>PR6</v>
      </c>
      <c r="E37" s="116">
        <f>'4637'!D23</f>
        <v>600</v>
      </c>
      <c r="F37" s="116">
        <f>'4637'!E23</f>
        <v>348</v>
      </c>
      <c r="G37" s="4" t="str">
        <f>'4637'!F23</f>
        <v>SHELL WHITE 20011 SF</v>
      </c>
      <c r="H37" s="30"/>
      <c r="I37" s="28"/>
      <c r="J37" s="28"/>
    </row>
    <row r="38" spans="1:10" ht="18" x14ac:dyDescent="0.35">
      <c r="A38" s="110">
        <v>4</v>
      </c>
      <c r="B38" s="101"/>
      <c r="C38" s="94">
        <f>'4637'!B24</f>
        <v>2</v>
      </c>
      <c r="D38" s="94" t="str">
        <f>D63</f>
        <v>PR6</v>
      </c>
      <c r="E38" s="116">
        <f>'4637'!D24</f>
        <v>700</v>
      </c>
      <c r="F38" s="116">
        <f>'4637'!E24</f>
        <v>356</v>
      </c>
      <c r="G38" s="4" t="str">
        <f>'4637'!F24</f>
        <v>SHELL WHITE 20011 SF</v>
      </c>
      <c r="H38" s="30"/>
      <c r="I38" s="28"/>
      <c r="J38" s="28"/>
    </row>
    <row r="39" spans="1:10" ht="18" x14ac:dyDescent="0.35">
      <c r="A39" s="110">
        <v>5</v>
      </c>
      <c r="B39" s="101"/>
      <c r="C39" s="94">
        <f>'4637'!B25</f>
        <v>2</v>
      </c>
      <c r="D39" s="94" t="str">
        <f>D64</f>
        <v>PR6</v>
      </c>
      <c r="E39" s="116">
        <f>'4637'!D25</f>
        <v>700</v>
      </c>
      <c r="F39" s="116">
        <f>'4637'!E25</f>
        <v>346</v>
      </c>
      <c r="G39" s="4" t="str">
        <f>'4637'!F25</f>
        <v>SHELL WHITE 20011 SF</v>
      </c>
      <c r="H39" s="30"/>
      <c r="I39" s="28"/>
      <c r="J39" s="28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  <c r="J41" s="28">
        <f>SUM(J35:J35)*2</f>
        <v>0.7056</v>
      </c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73"/>
      <c r="D46" s="73"/>
      <c r="E46" s="73"/>
      <c r="F46" s="73"/>
      <c r="G46" s="73"/>
      <c r="H46" s="30"/>
    </row>
    <row r="47" spans="1:10" ht="18" x14ac:dyDescent="0.35">
      <c r="A47" s="2"/>
      <c r="B47" s="30"/>
      <c r="C47" s="73"/>
      <c r="D47" s="73"/>
      <c r="E47" s="73"/>
      <c r="F47" s="73"/>
      <c r="G47" s="73"/>
      <c r="H47" s="30"/>
    </row>
    <row r="48" spans="1:10" ht="18" x14ac:dyDescent="0.35">
      <c r="A48" s="2"/>
      <c r="B48" s="30"/>
      <c r="C48" s="73"/>
      <c r="D48" s="73"/>
      <c r="E48" s="73"/>
      <c r="F48" s="73"/>
      <c r="G48" s="73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30"/>
      <c r="C50" s="30"/>
      <c r="D50" s="74" t="s">
        <v>25</v>
      </c>
      <c r="E50" s="75">
        <f>'4637'!G8</f>
        <v>4235</v>
      </c>
      <c r="F50" s="30"/>
      <c r="G50" s="30"/>
      <c r="H50" s="30"/>
    </row>
    <row r="51" spans="1:13" ht="17.25" customHeight="1" x14ac:dyDescent="0.35">
      <c r="A51" s="2"/>
      <c r="B51" s="30"/>
      <c r="C51" s="30"/>
      <c r="D51" s="76" t="s">
        <v>64</v>
      </c>
      <c r="E51" s="77" t="str">
        <f>'4637'!C10</f>
        <v>RODRIGO SALAS</v>
      </c>
      <c r="F51" s="48"/>
      <c r="G51" s="48"/>
      <c r="H51" s="30"/>
    </row>
    <row r="52" spans="1:13" ht="4.5" customHeight="1" x14ac:dyDescent="0.35">
      <c r="A52" s="2"/>
      <c r="B52" s="30"/>
      <c r="C52" s="30"/>
      <c r="D52" s="78"/>
      <c r="E52" s="79"/>
      <c r="F52" s="30"/>
      <c r="G52" s="30"/>
      <c r="H52" s="30"/>
    </row>
    <row r="53" spans="1:13" ht="18" x14ac:dyDescent="0.35">
      <c r="A53" s="2"/>
      <c r="B53" s="30"/>
      <c r="C53" s="30"/>
      <c r="D53" s="80" t="str">
        <f>'4637'!F11</f>
        <v>FECHA LIMITE :</v>
      </c>
      <c r="E53" s="81">
        <f>'4637'!G11</f>
        <v>0</v>
      </c>
      <c r="F53" s="30"/>
      <c r="G53" s="30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 t="s">
        <v>135</v>
      </c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18" x14ac:dyDescent="0.35">
      <c r="A56" s="2"/>
      <c r="B56" s="131" t="s">
        <v>65</v>
      </c>
      <c r="C56" s="131"/>
      <c r="D56" s="131"/>
      <c r="E56" s="131"/>
      <c r="F56" s="131"/>
      <c r="G56" s="131"/>
      <c r="H56" s="30"/>
    </row>
    <row r="57" spans="1:13" ht="18" x14ac:dyDescent="0.35">
      <c r="A57" s="2"/>
      <c r="B57" s="30"/>
      <c r="C57" s="30"/>
      <c r="D57" s="30"/>
      <c r="E57" s="30"/>
      <c r="F57" s="30"/>
      <c r="G57" s="30"/>
      <c r="H57" s="30"/>
    </row>
    <row r="58" spans="1:13" ht="20.100000000000001" customHeight="1" x14ac:dyDescent="0.35">
      <c r="A58" s="2"/>
      <c r="B58" s="30"/>
      <c r="C58" s="132" t="s">
        <v>66</v>
      </c>
      <c r="D58" s="133"/>
      <c r="E58" s="134"/>
      <c r="F58" s="134"/>
      <c r="G58" s="135"/>
      <c r="H58" s="30"/>
      <c r="I58" s="25" t="s">
        <v>130</v>
      </c>
    </row>
    <row r="59" spans="1:13" s="10" customFormat="1" ht="20.100000000000001" customHeight="1" x14ac:dyDescent="0.35">
      <c r="A59" s="111"/>
      <c r="B59" s="30"/>
      <c r="C59" s="84" t="s">
        <v>9</v>
      </c>
      <c r="D59" s="85" t="s">
        <v>10</v>
      </c>
      <c r="E59" s="88" t="s">
        <v>6</v>
      </c>
      <c r="F59" s="88" t="s">
        <v>7</v>
      </c>
      <c r="G59" s="86" t="s">
        <v>11</v>
      </c>
      <c r="H59" s="30"/>
      <c r="K59" s="10">
        <v>15000</v>
      </c>
    </row>
    <row r="60" spans="1:13" s="10" customFormat="1" ht="20.100000000000001" customHeight="1" x14ac:dyDescent="0.35">
      <c r="A60" s="110">
        <v>1</v>
      </c>
      <c r="B60" s="100" t="s">
        <v>141</v>
      </c>
      <c r="C60" s="96">
        <f>'4637'!B21</f>
        <v>2</v>
      </c>
      <c r="D60" s="4" t="str">
        <f>'4637'!C21</f>
        <v>PR6</v>
      </c>
      <c r="E60" s="116">
        <f>'4637'!D21</f>
        <v>600</v>
      </c>
      <c r="F60" s="103">
        <f>'4637'!E21</f>
        <v>294</v>
      </c>
      <c r="G60" s="4" t="str">
        <f>'4637'!F21</f>
        <v>SHELL WHITE 20011 SF</v>
      </c>
      <c r="H60" s="30"/>
      <c r="I60" s="10">
        <f>E60*F60/1000000</f>
        <v>0.1764</v>
      </c>
      <c r="J60" s="10">
        <f>I60*C60</f>
        <v>0.3528</v>
      </c>
      <c r="K60" s="26">
        <f>J60*K$59</f>
        <v>5292</v>
      </c>
      <c r="M60" s="24">
        <v>12096</v>
      </c>
    </row>
    <row r="61" spans="1:13" s="10" customFormat="1" ht="20.100000000000001" customHeight="1" x14ac:dyDescent="0.35">
      <c r="A61" s="110">
        <v>2</v>
      </c>
      <c r="B61" s="100"/>
      <c r="C61" s="96">
        <f>'4637'!B22</f>
        <v>2</v>
      </c>
      <c r="D61" s="4" t="str">
        <f>'4637'!C22</f>
        <v>PR6</v>
      </c>
      <c r="E61" s="116">
        <f>'4637'!D22</f>
        <v>600</v>
      </c>
      <c r="F61" s="103">
        <f>'4637'!E22</f>
        <v>365</v>
      </c>
      <c r="G61" s="4" t="str">
        <f>'4637'!F22</f>
        <v>SHELL WHITE 20011 SF</v>
      </c>
      <c r="H61" s="30"/>
      <c r="K61" s="26"/>
      <c r="M61" s="29"/>
    </row>
    <row r="62" spans="1:13" s="10" customFormat="1" ht="20.100000000000001" customHeight="1" x14ac:dyDescent="0.35">
      <c r="A62" s="110">
        <v>3</v>
      </c>
      <c r="B62" s="100"/>
      <c r="C62" s="96">
        <f>'4637'!B23</f>
        <v>2</v>
      </c>
      <c r="D62" s="4" t="str">
        <f>'4637'!C23</f>
        <v>PR6</v>
      </c>
      <c r="E62" s="116">
        <f>'4637'!D23</f>
        <v>600</v>
      </c>
      <c r="F62" s="103">
        <f>'4637'!E23</f>
        <v>348</v>
      </c>
      <c r="G62" s="4" t="str">
        <f>'4637'!F23</f>
        <v>SHELL WHITE 20011 SF</v>
      </c>
      <c r="H62" s="30"/>
      <c r="K62" s="26"/>
      <c r="M62" s="29"/>
    </row>
    <row r="63" spans="1:13" s="10" customFormat="1" ht="20.100000000000001" customHeight="1" x14ac:dyDescent="0.35">
      <c r="A63" s="110">
        <v>4</v>
      </c>
      <c r="B63" s="100"/>
      <c r="C63" s="96">
        <f>'4637'!B24</f>
        <v>2</v>
      </c>
      <c r="D63" s="4" t="str">
        <f>'4637'!C24</f>
        <v>PR6</v>
      </c>
      <c r="E63" s="116">
        <f>'4637'!D24</f>
        <v>700</v>
      </c>
      <c r="F63" s="103">
        <f>'4637'!E24</f>
        <v>356</v>
      </c>
      <c r="G63" s="4" t="str">
        <f>'4637'!F24</f>
        <v>SHELL WHITE 20011 SF</v>
      </c>
      <c r="H63" s="30"/>
      <c r="K63" s="26"/>
      <c r="M63" s="29"/>
    </row>
    <row r="64" spans="1:13" s="10" customFormat="1" ht="20.100000000000001" customHeight="1" x14ac:dyDescent="0.35">
      <c r="A64" s="110">
        <v>5</v>
      </c>
      <c r="B64" s="100"/>
      <c r="C64" s="96">
        <f>'4637'!B25</f>
        <v>2</v>
      </c>
      <c r="D64" s="4" t="str">
        <f>'4637'!C25</f>
        <v>PR6</v>
      </c>
      <c r="E64" s="116">
        <f>'4637'!D25</f>
        <v>700</v>
      </c>
      <c r="F64" s="103">
        <f>'4637'!E25</f>
        <v>346</v>
      </c>
      <c r="G64" s="4" t="str">
        <f>'4637'!F25</f>
        <v>SHELL WHITE 20011 SF</v>
      </c>
      <c r="H64" s="30"/>
      <c r="K64" s="26"/>
      <c r="M64" s="29"/>
    </row>
    <row r="65" spans="1:13" s="10" customFormat="1" ht="20.100000000000001" customHeight="1" x14ac:dyDescent="0.35">
      <c r="A65" s="110"/>
      <c r="B65" s="100"/>
      <c r="C65" s="73"/>
      <c r="D65" s="2"/>
      <c r="E65" s="119"/>
      <c r="F65" s="105"/>
      <c r="G65" s="2"/>
      <c r="H65" s="30"/>
      <c r="K65" s="26"/>
      <c r="M65" s="29"/>
    </row>
    <row r="66" spans="1:13" s="10" customFormat="1" ht="15" customHeight="1" x14ac:dyDescent="0.35">
      <c r="B66" s="83"/>
      <c r="C66" s="66"/>
      <c r="D66" s="66"/>
      <c r="E66" s="66"/>
      <c r="F66" s="66"/>
      <c r="G66" s="66"/>
      <c r="H66" s="30"/>
    </row>
    <row r="67" spans="1:13" ht="18" x14ac:dyDescent="0.35">
      <c r="B67" s="73"/>
      <c r="C67" s="73"/>
      <c r="D67" s="30"/>
      <c r="E67" s="73"/>
      <c r="F67" s="73"/>
      <c r="G67" s="78"/>
      <c r="H67" s="30"/>
    </row>
    <row r="68" spans="1:13" ht="18" x14ac:dyDescent="0.35">
      <c r="B68" s="73"/>
      <c r="C68" s="73"/>
      <c r="D68" s="30"/>
      <c r="E68" s="73"/>
      <c r="F68" s="73"/>
      <c r="G68" s="73"/>
      <c r="H68" s="30"/>
      <c r="J68" s="10">
        <f>SUM(J60:J60)</f>
        <v>0.3528</v>
      </c>
      <c r="K68" s="27">
        <f>SUM(K60:K60)</f>
        <v>5292</v>
      </c>
    </row>
    <row r="69" spans="1:13" ht="18" x14ac:dyDescent="0.35">
      <c r="B69" s="30"/>
      <c r="C69" s="30"/>
      <c r="D69" s="30"/>
      <c r="E69" s="30"/>
      <c r="F69" s="30"/>
      <c r="G69" s="30"/>
      <c r="H69" s="30"/>
    </row>
    <row r="70" spans="1:13" ht="18" x14ac:dyDescent="0.35">
      <c r="B70" s="30"/>
      <c r="C70" s="30"/>
      <c r="D70" s="30"/>
      <c r="E70" s="30"/>
      <c r="F70" s="30"/>
      <c r="G70" s="30"/>
      <c r="H70" s="30"/>
    </row>
    <row r="71" spans="1:13" ht="18" x14ac:dyDescent="0.35">
      <c r="B71" s="30"/>
      <c r="C71" s="30"/>
      <c r="D71" s="30"/>
      <c r="E71" s="30"/>
      <c r="F71" s="30"/>
      <c r="G71" s="30"/>
      <c r="H71" s="30"/>
    </row>
    <row r="72" spans="1:13" ht="15" customHeight="1" x14ac:dyDescent="0.35">
      <c r="B72" s="30"/>
      <c r="C72" s="30"/>
      <c r="D72" s="30"/>
      <c r="E72" s="30"/>
      <c r="F72" s="30"/>
      <c r="G72" s="30"/>
      <c r="H72" s="30"/>
    </row>
    <row r="73" spans="1:13" ht="18" x14ac:dyDescent="0.35">
      <c r="B73" s="30"/>
      <c r="C73" s="30"/>
      <c r="D73" s="30"/>
      <c r="E73" s="30"/>
      <c r="F73" s="30"/>
      <c r="G73" s="30"/>
      <c r="H73" s="30"/>
    </row>
    <row r="74" spans="1:13" ht="18" x14ac:dyDescent="0.35">
      <c r="B74" s="73"/>
      <c r="C74" s="87"/>
      <c r="D74" s="30"/>
      <c r="E74" s="30"/>
      <c r="F74" s="30"/>
      <c r="G74" s="30"/>
      <c r="H74" s="30"/>
    </row>
    <row r="75" spans="1:13" ht="18" x14ac:dyDescent="0.35">
      <c r="B75" s="30"/>
      <c r="C75" s="30"/>
      <c r="D75" s="30"/>
      <c r="E75" s="30"/>
      <c r="F75" s="30"/>
      <c r="G75" s="30"/>
      <c r="H75" s="30"/>
    </row>
    <row r="76" spans="1:13" x14ac:dyDescent="0.3">
      <c r="C76" s="14"/>
      <c r="D76" s="14"/>
      <c r="F76" s="14"/>
      <c r="G76" s="14"/>
    </row>
    <row r="77" spans="1:13" x14ac:dyDescent="0.3">
      <c r="C77" s="14"/>
      <c r="D77" s="14"/>
      <c r="F77" s="14"/>
      <c r="G77" s="14"/>
    </row>
  </sheetData>
  <mergeCells count="6">
    <mergeCell ref="N3:O3"/>
    <mergeCell ref="B21:G21"/>
    <mergeCell ref="B10:G10"/>
    <mergeCell ref="B56:G56"/>
    <mergeCell ref="C58:G5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2025-12-18T18:12:24Z</cp:lastPrinted>
  <dcterms:created xsi:type="dcterms:W3CDTF">2013-03-19T12:54:14Z</dcterms:created>
  <dcterms:modified xsi:type="dcterms:W3CDTF">2025-12-18T18:13:13Z</dcterms:modified>
</cp:coreProperties>
</file>