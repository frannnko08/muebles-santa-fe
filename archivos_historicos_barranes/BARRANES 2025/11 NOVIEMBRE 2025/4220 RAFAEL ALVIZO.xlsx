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1 NOVIEMBRE 2025\"/>
    </mc:Choice>
  </mc:AlternateContent>
  <xr:revisionPtr revIDLastSave="0" documentId="13_ncr:1_{2C9A2FAF-9A3B-4DA2-8127-818E83B03B0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'4637'!$B$1:$H$52</definedName>
    <definedName name="_xlnm.Print_Area" localSheetId="2">CUBIERTA!$A$1:$G$47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4" l="1"/>
  <c r="G24" i="4"/>
  <c r="G23" i="4"/>
  <c r="G22" i="4"/>
  <c r="G21" i="4"/>
  <c r="A62" i="3"/>
  <c r="A63" i="3" s="1"/>
  <c r="A64" i="3" s="1"/>
  <c r="A65" i="3" s="1"/>
  <c r="A66" i="3" s="1"/>
  <c r="A36" i="3"/>
  <c r="A37" i="3" s="1"/>
  <c r="A38" i="3" s="1"/>
  <c r="A39" i="3" s="1"/>
  <c r="A26" i="3"/>
  <c r="A27" i="3" s="1"/>
  <c r="A28" i="3" s="1"/>
  <c r="A29" i="3" s="1"/>
  <c r="C37" i="3"/>
  <c r="J27" i="3" s="1"/>
  <c r="C27" i="3" s="1"/>
  <c r="E37" i="3"/>
  <c r="K27" i="3" s="1"/>
  <c r="E27" i="3" s="1"/>
  <c r="F37" i="3"/>
  <c r="L27" i="3" s="1"/>
  <c r="G37" i="3"/>
  <c r="C38" i="3"/>
  <c r="J28" i="3" s="1"/>
  <c r="C28" i="3" s="1"/>
  <c r="E38" i="3"/>
  <c r="K28" i="3" s="1"/>
  <c r="E28" i="3" s="1"/>
  <c r="F38" i="3"/>
  <c r="L28" i="3" s="1"/>
  <c r="G38" i="3"/>
  <c r="C39" i="3"/>
  <c r="J29" i="3" s="1"/>
  <c r="C29" i="3" s="1"/>
  <c r="E39" i="3"/>
  <c r="K29" i="3" s="1"/>
  <c r="E29" i="3" s="1"/>
  <c r="F39" i="3"/>
  <c r="L29" i="3" s="1"/>
  <c r="G39" i="3"/>
  <c r="C63" i="3"/>
  <c r="D63" i="3"/>
  <c r="D37" i="3" s="1"/>
  <c r="G27" i="3" s="1"/>
  <c r="E63" i="3"/>
  <c r="F63" i="3"/>
  <c r="G63" i="3"/>
  <c r="C64" i="3"/>
  <c r="D64" i="3"/>
  <c r="D38" i="3" s="1"/>
  <c r="G28" i="3" s="1"/>
  <c r="E64" i="3"/>
  <c r="F64" i="3"/>
  <c r="G64" i="3"/>
  <c r="C65" i="3"/>
  <c r="D65" i="3"/>
  <c r="D39" i="3" s="1"/>
  <c r="G29" i="3" s="1"/>
  <c r="E65" i="3"/>
  <c r="F65" i="3"/>
  <c r="G65" i="3"/>
  <c r="C66" i="3"/>
  <c r="D66" i="3"/>
  <c r="E66" i="3"/>
  <c r="F66" i="3"/>
  <c r="G66" i="3"/>
  <c r="J18" i="3" l="1"/>
  <c r="C18" i="3" s="1"/>
  <c r="K16" i="3"/>
  <c r="G18" i="3"/>
  <c r="G17" i="3"/>
  <c r="L18" i="3"/>
  <c r="F18" i="3" s="1"/>
  <c r="K17" i="3"/>
  <c r="E17" i="3" s="1"/>
  <c r="J16" i="3"/>
  <c r="C16" i="3" s="1"/>
  <c r="K18" i="3"/>
  <c r="E18" i="3" s="1"/>
  <c r="J17" i="3"/>
  <c r="C17" i="3" s="1"/>
  <c r="G16" i="3"/>
  <c r="L16" i="3"/>
  <c r="L17" i="3"/>
  <c r="F17" i="3" s="1"/>
  <c r="C36" i="3" l="1"/>
  <c r="J26" i="3" s="1"/>
  <c r="C26" i="3" s="1"/>
  <c r="E36" i="3"/>
  <c r="K26" i="3" s="1"/>
  <c r="E26" i="3" s="1"/>
  <c r="F36" i="3"/>
  <c r="L15" i="3" s="1"/>
  <c r="G36" i="3"/>
  <c r="C62" i="3"/>
  <c r="D62" i="3"/>
  <c r="D36" i="3" s="1"/>
  <c r="G26" i="3" s="1"/>
  <c r="E62" i="3"/>
  <c r="F62" i="3"/>
  <c r="G62" i="3"/>
  <c r="L26" i="3" l="1"/>
  <c r="K15" i="3"/>
  <c r="J15" i="3"/>
  <c r="C15" i="3" s="1"/>
  <c r="G15" i="3"/>
  <c r="G35" i="3"/>
  <c r="F35" i="3"/>
  <c r="L14" i="3" s="1"/>
  <c r="E35" i="3"/>
  <c r="K14" i="3" s="1"/>
  <c r="C35" i="3"/>
  <c r="C40" i="3" s="1"/>
  <c r="G61" i="3"/>
  <c r="F61" i="3"/>
  <c r="E61" i="3"/>
  <c r="D61" i="3"/>
  <c r="D35" i="3" s="1"/>
  <c r="C61" i="3"/>
  <c r="L21" i="4" l="1"/>
  <c r="K21" i="4"/>
  <c r="M21" i="4" l="1"/>
  <c r="N21" i="4" s="1"/>
  <c r="G25" i="3" l="1"/>
  <c r="L25" i="3"/>
  <c r="J25" i="3" l="1"/>
  <c r="I35" i="3"/>
  <c r="J35" i="3" s="1"/>
  <c r="K25" i="3"/>
  <c r="E25" i="3" s="1"/>
  <c r="I61" i="3"/>
  <c r="J61" i="3" s="1"/>
  <c r="G14" i="3"/>
  <c r="C25" i="3" l="1"/>
  <c r="J14" i="3"/>
  <c r="C14" i="3" s="1"/>
  <c r="J42" i="3"/>
  <c r="K61" i="3"/>
  <c r="J69" i="3"/>
  <c r="H30" i="4"/>
  <c r="O5" i="3"/>
  <c r="K69" i="3" l="1"/>
  <c r="N5" i="3"/>
  <c r="M5" i="3"/>
  <c r="L5" i="3"/>
  <c r="D54" i="3" l="1"/>
  <c r="D7" i="3"/>
  <c r="E52" i="3"/>
  <c r="E5" i="3"/>
  <c r="E54" i="3"/>
  <c r="E7" i="3"/>
  <c r="E51" i="3"/>
  <c r="E4" i="3"/>
</calcChain>
</file>

<file path=xl/sharedStrings.xml><?xml version="1.0" encoding="utf-8"?>
<sst xmlns="http://schemas.openxmlformats.org/spreadsheetml/2006/main" count="256" uniqueCount="146">
  <si>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</si>
  <si>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</si>
  <si>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</si>
  <si>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</si>
  <si>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</si>
  <si>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</si>
  <si>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</si>
  <si>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</si>
  <si>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</si>
  <si>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</si>
  <si>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</si>
  <si>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</si>
  <si>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</si>
  <si>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</si>
  <si>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</si>
  <si>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</si>
  <si>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</si>
  <si>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</si>
  <si>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</si>
  <si>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</si>
  <si>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</si>
  <si>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</si>
  <si>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</si>
  <si>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</si>
  <si>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</si>
  <si>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</si>
  <si>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</si>
  <si>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</si>
  <si>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</si>
  <si>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</si>
  <si>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</si>
  <si>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</si>
  <si>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</si>
  <si>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</si>
  <si>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</si>
  <si>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</si>
  <si>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</si>
  <si>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</si>
  <si>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</si>
  <si>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</si>
  <si>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</si>
  <si>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</si>
  <si>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</si>
  <si>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</si>
  <si>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</si>
  <si>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</si>
  <si>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</si>
  <si>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</si>
  <si>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</si>
  <si>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</si>
  <si>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</si>
  <si>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</si>
  <si>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</si>
  <si>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</si>
  <si>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</si>
  <si>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</si>
  <si>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</si>
  <si>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</si>
  <si>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</si>
  <si>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</si>
  <si>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</si>
  <si>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</si>
  <si>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</si>
  <si>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</si>
  <si>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</si>
  <si>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</si>
  <si>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</si>
  <si>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</si>
  <si>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</si>
  <si>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</si>
  <si>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</si>
  <si>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</si>
  <si>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</si>
  <si>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</si>
  <si>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</si>
  <si>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</si>
  <si>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</si>
  <si>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</si>
  <si>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</si>
  <si>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</si>
  <si>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</si>
  <si>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</si>
  <si>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</si>
  <si>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</si>
  <si>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</si>
  <si>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</si>
  <si>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</si>
  <si>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</si>
  <si>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</si>
  <si>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</si>
  <si>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</si>
  <si>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</si>
  <si>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</si>
  <si>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</si>
  <si>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</si>
  <si>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</si>
  <si>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</si>
  <si>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</si>
  <si>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</si>
  <si>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</si>
  <si>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</si>
  <si>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</si>
  <si>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</si>
  <si>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</si>
  <si>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</si>
  <si>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</si>
  <si>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</si>
  <si>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</si>
  <si>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</si>
  <si>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</si>
  <si>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</si>
  <si>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</si>
  <si>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</si>
  <si>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</si>
  <si>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</si>
  <si>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</si>
  <si>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</si>
  <si>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</si>
  <si>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</si>
  <si>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</si>
  <si>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</si>
  <si>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</si>
  <si>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</si>
  <si>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</si>
  <si>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</si>
  <si>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</si>
  <si>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</si>
  <si>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</si>
  <si>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</si>
  <si>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</si>
  <si>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</si>
  <si>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</si>
  <si>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</si>
  <si>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</si>
  <si>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</si>
  <si>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</si>
  <si>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</si>
  <si>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</si>
  <si>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RAFAEL ALVIZO</t>
  </si>
  <si>
    <t>MELAMIL 18MM</t>
  </si>
  <si>
    <t>N° 11747</t>
  </si>
  <si>
    <t>E/R 1 CARA MDF 18MM</t>
  </si>
  <si>
    <t>CHAMOIS TROPICAL 40443 SF</t>
  </si>
  <si>
    <t>CUB S/R R6</t>
  </si>
  <si>
    <t>INSTALACION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</si>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</sst>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0" fontId="19" fillId="0" borderId="0" xfId="0" quotePrefix="1" applyFont="1" applyAlignment="1">
      <alignment horizontal="left" vertical="top"/>
    </xf>
    <xf numFmtId="0" fontId="0" fillId="10" borderId="0" xfId="0" applyFill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20" fillId="0" borderId="2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  <xf numFmtId="165" fontId="9" fillId="0" borderId="2" xfId="0" applyNumberFormat="1" applyFont="1" applyFill="1" applyBorder="1" applyAlignment="1">
      <alignment horizontal="center" vertical="center"/>
    </xf>
    <xf numFmtId="1" fontId="9" fillId="0" borderId="2" xfId="0" applyNumberFormat="1" applyFont="1" applyFill="1" applyBorder="1" applyAlignment="1">
      <alignment horizontal="center" vertic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27</xdr:row>
      <xdr:rowOff>23327</xdr:rowOff>
    </xdr:from>
    <xdr:to>
      <xdr:col>5</xdr:col>
      <xdr:colOff>1539552</xdr:colOff>
      <xdr:row>30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47</xdr:row>
      <xdr:rowOff>0</xdr:rowOff>
    </xdr:from>
    <xdr:to>
      <xdr:col>4</xdr:col>
      <xdr:colOff>369336</xdr:colOff>
      <xdr:row>47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49</xdr:row>
      <xdr:rowOff>1</xdr:rowOff>
    </xdr:from>
    <xdr:to>
      <xdr:col>4</xdr:col>
      <xdr:colOff>349897</xdr:colOff>
      <xdr:row>49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19</xdr:row>
      <xdr:rowOff>66674</xdr:rowOff>
    </xdr:from>
    <xdr:to>
      <xdr:col>6</xdr:col>
      <xdr:colOff>2914649</xdr:colOff>
      <xdr:row>21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55</xdr:row>
      <xdr:rowOff>190500</xdr:rowOff>
    </xdr:from>
    <xdr:to>
      <xdr:col>7</xdr:col>
      <xdr:colOff>9524</xdr:colOff>
      <xdr:row>57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52</xdr:row>
      <xdr:rowOff>30479</xdr:rowOff>
    </xdr:from>
    <xdr:to>
      <xdr:col>6</xdr:col>
      <xdr:colOff>2912745</xdr:colOff>
      <xdr:row>53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50</xdr:row>
      <xdr:rowOff>209549</xdr:rowOff>
    </xdr:from>
    <xdr:to>
      <xdr:col>7</xdr:col>
      <xdr:colOff>0</xdr:colOff>
      <xdr:row>52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49</xdr:row>
      <xdr:rowOff>171450</xdr:rowOff>
    </xdr:from>
    <xdr:to>
      <xdr:col>7</xdr:col>
      <xdr:colOff>19050</xdr:colOff>
      <xdr:row>50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67</xdr:row>
      <xdr:rowOff>0</xdr:rowOff>
    </xdr:from>
    <xdr:to>
      <xdr:col>3</xdr:col>
      <xdr:colOff>38100</xdr:colOff>
      <xdr:row>68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67</xdr:row>
      <xdr:rowOff>0</xdr:rowOff>
    </xdr:from>
    <xdr:to>
      <xdr:col>3</xdr:col>
      <xdr:colOff>1019175</xdr:colOff>
      <xdr:row>68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67</xdr:row>
      <xdr:rowOff>0</xdr:rowOff>
    </xdr:from>
    <xdr:to>
      <xdr:col>4</xdr:col>
      <xdr:colOff>352425</xdr:colOff>
      <xdr:row>68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67</xdr:row>
      <xdr:rowOff>0</xdr:rowOff>
    </xdr:from>
    <xdr:to>
      <xdr:col>5</xdr:col>
      <xdr:colOff>257175</xdr:colOff>
      <xdr:row>68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67</xdr:row>
      <xdr:rowOff>0</xdr:rowOff>
    </xdr:from>
    <xdr:to>
      <xdr:col>6</xdr:col>
      <xdr:colOff>447675</xdr:colOff>
      <xdr:row>68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67</xdr:row>
      <xdr:rowOff>0</xdr:rowOff>
    </xdr:from>
    <xdr:to>
      <xdr:col>7</xdr:col>
      <xdr:colOff>0</xdr:colOff>
      <xdr:row>68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68</xdr:row>
      <xdr:rowOff>0</xdr:rowOff>
    </xdr:from>
    <xdr:to>
      <xdr:col>3</xdr:col>
      <xdr:colOff>304800</xdr:colOff>
      <xdr:row>69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68</xdr:row>
      <xdr:rowOff>0</xdr:rowOff>
    </xdr:from>
    <xdr:to>
      <xdr:col>3</xdr:col>
      <xdr:colOff>1276350</xdr:colOff>
      <xdr:row>69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68</xdr:row>
      <xdr:rowOff>0</xdr:rowOff>
    </xdr:from>
    <xdr:to>
      <xdr:col>4</xdr:col>
      <xdr:colOff>619125</xdr:colOff>
      <xdr:row>69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68</xdr:row>
      <xdr:rowOff>0</xdr:rowOff>
    </xdr:from>
    <xdr:to>
      <xdr:col>5</xdr:col>
      <xdr:colOff>523875</xdr:colOff>
      <xdr:row>69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68</xdr:row>
      <xdr:rowOff>0</xdr:rowOff>
    </xdr:from>
    <xdr:to>
      <xdr:col>6</xdr:col>
      <xdr:colOff>723900</xdr:colOff>
      <xdr:row>69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68</xdr:row>
      <xdr:rowOff>0</xdr:rowOff>
    </xdr:from>
    <xdr:to>
      <xdr:col>7</xdr:col>
      <xdr:colOff>0</xdr:colOff>
      <xdr:row>69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41</xdr:row>
      <xdr:rowOff>15239</xdr:rowOff>
    </xdr:from>
    <xdr:to>
      <xdr:col>7</xdr:col>
      <xdr:colOff>0</xdr:colOff>
      <xdr:row>45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PARA PROYECTO DE MUEBLES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31</xdr:row>
      <xdr:rowOff>1</xdr:rowOff>
    </xdr:from>
    <xdr:to>
      <xdr:col>7</xdr:col>
      <xdr:colOff>19048</xdr:colOff>
      <xdr:row>32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70</xdr:row>
      <xdr:rowOff>32385</xdr:rowOff>
    </xdr:from>
    <xdr:to>
      <xdr:col>7</xdr:col>
      <xdr:colOff>7620</xdr:colOff>
      <xdr:row>74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OBSERVACIONES:SON PARA PROYECTO DE MUEBLES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49</xdr:row>
      <xdr:rowOff>146685</xdr:rowOff>
    </xdr:from>
    <xdr:to>
      <xdr:col>2</xdr:col>
      <xdr:colOff>786523</xdr:colOff>
      <xdr:row>55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76</xdr:row>
      <xdr:rowOff>0</xdr:rowOff>
    </xdr:from>
    <xdr:to>
      <xdr:col>4</xdr:col>
      <xdr:colOff>304800</xdr:colOff>
      <xdr:row>77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3"/>
  <sheetViews>
    <sheetView topLeftCell="B16" zoomScale="98" zoomScaleNormal="98" workbookViewId="0">
      <selection activeCell="I19" sqref="I1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 t="s">
        <v>140</v>
      </c>
      <c r="E8" s="30"/>
      <c r="F8" s="35" t="s">
        <v>25</v>
      </c>
      <c r="G8" s="36">
        <v>4220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138</v>
      </c>
      <c r="D10" s="39"/>
      <c r="E10" s="39"/>
      <c r="F10" s="40" t="s">
        <v>26</v>
      </c>
      <c r="G10" s="41">
        <v>45973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9"/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137</v>
      </c>
      <c r="D16" s="55"/>
      <c r="E16" s="56"/>
      <c r="F16" s="121" t="s">
        <v>17</v>
      </c>
      <c r="G16" s="121"/>
      <c r="H16" s="122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3" t="s">
        <v>18</v>
      </c>
      <c r="C19" s="124"/>
      <c r="D19" s="124"/>
      <c r="E19" s="124"/>
      <c r="F19" s="124"/>
      <c r="G19" s="124"/>
      <c r="H19" s="125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2</v>
      </c>
      <c r="C21" s="135" t="s">
        <v>141</v>
      </c>
      <c r="D21" s="103">
        <v>580</v>
      </c>
      <c r="E21" s="103">
        <v>230</v>
      </c>
      <c r="F21" s="102" t="s">
        <v>142</v>
      </c>
      <c r="G21" s="113">
        <f>R21</f>
        <v>0</v>
      </c>
      <c r="H21" s="113"/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2">
        <v>1</v>
      </c>
      <c r="C22" s="135" t="s">
        <v>141</v>
      </c>
      <c r="D22" s="103">
        <v>1530</v>
      </c>
      <c r="E22" s="103">
        <v>590</v>
      </c>
      <c r="F22" s="102" t="s">
        <v>142</v>
      </c>
      <c r="G22" s="113">
        <f t="shared" ref="G22:G25" si="0">R22</f>
        <v>0</v>
      </c>
      <c r="H22" s="113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2">
        <v>1</v>
      </c>
      <c r="C23" s="135" t="s">
        <v>141</v>
      </c>
      <c r="D23" s="103">
        <v>2000</v>
      </c>
      <c r="E23" s="103">
        <v>800</v>
      </c>
      <c r="F23" s="102" t="s">
        <v>142</v>
      </c>
      <c r="G23" s="113">
        <f t="shared" si="0"/>
        <v>0</v>
      </c>
      <c r="H23" s="113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36">
        <v>1</v>
      </c>
      <c r="C24" s="137" t="s">
        <v>143</v>
      </c>
      <c r="D24" s="139">
        <v>2120</v>
      </c>
      <c r="E24" s="139">
        <v>600</v>
      </c>
      <c r="F24" s="136" t="s">
        <v>142</v>
      </c>
      <c r="G24" s="113">
        <f t="shared" si="0"/>
        <v>0</v>
      </c>
      <c r="H24" s="113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36">
        <v>1</v>
      </c>
      <c r="C25" s="137" t="s">
        <v>143</v>
      </c>
      <c r="D25" s="139">
        <v>1250</v>
      </c>
      <c r="E25" s="139">
        <v>600</v>
      </c>
      <c r="F25" s="136" t="s">
        <v>142</v>
      </c>
      <c r="G25" s="113">
        <f t="shared" si="0"/>
        <v>0</v>
      </c>
      <c r="H25" s="113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36">
        <v>1</v>
      </c>
      <c r="C26" s="137" t="s">
        <v>144</v>
      </c>
      <c r="D26" s="138"/>
      <c r="E26" s="138"/>
      <c r="F26" s="136"/>
      <c r="G26" s="113">
        <v>65000</v>
      </c>
      <c r="H26" s="113"/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104"/>
      <c r="C27" s="104"/>
      <c r="D27" s="112"/>
      <c r="E27" s="112"/>
      <c r="F27" s="104"/>
      <c r="G27" s="106"/>
      <c r="H27" s="106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2"/>
      <c r="E28" s="112"/>
      <c r="F28" s="104"/>
      <c r="G28" s="60" t="s">
        <v>5</v>
      </c>
      <c r="H28" s="61">
        <v>496951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/>
      <c r="C29" s="104"/>
      <c r="D29" s="112"/>
      <c r="E29" s="112"/>
      <c r="F29" s="104"/>
      <c r="G29" s="62" t="s">
        <v>136</v>
      </c>
      <c r="H29" s="63"/>
      <c r="I29" s="30"/>
      <c r="K29" s="11"/>
      <c r="L29" s="15"/>
      <c r="M29" s="11"/>
      <c r="N29" s="11"/>
      <c r="O29" s="15"/>
      <c r="P29" s="21"/>
    </row>
    <row r="30" spans="1:16" ht="20.100000000000001" customHeight="1" thickBot="1" x14ac:dyDescent="0.4">
      <c r="A30" s="30"/>
      <c r="B30" s="104"/>
      <c r="C30" s="104"/>
      <c r="D30" s="112"/>
      <c r="E30" s="112"/>
      <c r="F30" s="104"/>
      <c r="G30" s="64" t="s">
        <v>4</v>
      </c>
      <c r="H30" s="65">
        <f>H28+H29</f>
        <v>496951</v>
      </c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12"/>
      <c r="E31" s="112"/>
      <c r="F31" s="104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4"/>
      <c r="C32" s="104"/>
      <c r="D32" s="112"/>
      <c r="E32" s="112"/>
      <c r="F32" s="104"/>
      <c r="G32" s="106"/>
      <c r="H32" s="106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4"/>
      <c r="C33" s="104"/>
      <c r="D33" s="112"/>
      <c r="E33" s="112"/>
      <c r="F33" s="104"/>
      <c r="G33" s="106"/>
      <c r="H33" s="106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4"/>
      <c r="C34" s="104"/>
      <c r="D34" s="105"/>
      <c r="E34" s="105"/>
      <c r="F34" s="104"/>
      <c r="G34" s="106"/>
      <c r="H34" s="106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4"/>
      <c r="C35" s="104"/>
      <c r="D35" s="105"/>
      <c r="E35" s="105"/>
      <c r="F35" s="104"/>
      <c r="G35" s="106"/>
      <c r="H35" s="106"/>
      <c r="I35" s="30"/>
      <c r="K35" s="11"/>
      <c r="L35" s="15"/>
      <c r="M35" s="11"/>
      <c r="N35" s="11"/>
      <c r="O35" s="15"/>
      <c r="P35" s="21"/>
    </row>
    <row r="36" spans="1:16" ht="13.2" customHeight="1" x14ac:dyDescent="0.35">
      <c r="A36" s="30"/>
      <c r="B36" s="59"/>
      <c r="C36" s="59"/>
      <c r="D36" s="59"/>
      <c r="E36" s="59"/>
      <c r="F36" s="59"/>
      <c r="G36" s="58"/>
      <c r="H36" s="58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I38" s="30"/>
    </row>
    <row r="39" spans="1:16" ht="20.100000000000001" customHeight="1" x14ac:dyDescent="0.35">
      <c r="A39" s="30"/>
      <c r="B39" s="30"/>
      <c r="C39" s="30"/>
      <c r="D39" s="30"/>
      <c r="E39" s="30"/>
      <c r="F39" s="30"/>
      <c r="I39" s="30"/>
    </row>
    <row r="40" spans="1:16" ht="20.100000000000001" customHeight="1" x14ac:dyDescent="0.35">
      <c r="A40" s="30"/>
      <c r="B40" s="30"/>
      <c r="C40" s="30"/>
      <c r="D40" s="30"/>
      <c r="E40" s="30"/>
      <c r="F40" s="30"/>
      <c r="G40" s="66"/>
      <c r="H40" s="67"/>
      <c r="I40" s="30"/>
    </row>
    <row r="41" spans="1:16" ht="18" x14ac:dyDescent="0.35">
      <c r="A41" s="30"/>
      <c r="B41" s="30"/>
      <c r="C41" s="30"/>
      <c r="D41" s="30"/>
      <c r="E41" s="30"/>
      <c r="F41" s="30"/>
      <c r="G41" s="30"/>
      <c r="H41" s="30"/>
      <c r="I41" s="30"/>
    </row>
    <row r="42" spans="1:16" ht="18" x14ac:dyDescent="0.35">
      <c r="A42" s="30"/>
      <c r="B42" s="68" t="s">
        <v>133</v>
      </c>
      <c r="C42" s="69"/>
      <c r="D42" s="70"/>
      <c r="E42" s="70"/>
      <c r="F42" s="59"/>
      <c r="G42" s="30"/>
      <c r="H42" s="30"/>
      <c r="I42" s="30"/>
    </row>
    <row r="43" spans="1:16" ht="18" x14ac:dyDescent="0.35">
      <c r="A43" s="30"/>
      <c r="B43" s="68" t="s">
        <v>119</v>
      </c>
      <c r="C43" s="69"/>
      <c r="D43" s="70"/>
      <c r="E43" s="70"/>
      <c r="F43" s="59"/>
      <c r="G43" s="30"/>
      <c r="H43" s="30"/>
      <c r="I43" s="30"/>
    </row>
    <row r="44" spans="1:16" ht="18" x14ac:dyDescent="0.35">
      <c r="A44" s="30"/>
      <c r="B44" s="30" t="s">
        <v>23</v>
      </c>
      <c r="C44" s="30"/>
      <c r="D44" s="30"/>
      <c r="E44" s="30"/>
      <c r="F44" s="30"/>
      <c r="G44" s="30"/>
      <c r="H44" s="30"/>
      <c r="I44" s="30"/>
    </row>
    <row r="45" spans="1:16" ht="18" x14ac:dyDescent="0.35">
      <c r="A45" s="30"/>
      <c r="B45" s="71" t="s">
        <v>24</v>
      </c>
      <c r="C45" s="71"/>
      <c r="D45" s="30"/>
      <c r="E45" s="30"/>
      <c r="F45" s="30"/>
      <c r="G45" s="30"/>
      <c r="H45" s="30"/>
      <c r="I45" s="30"/>
    </row>
    <row r="46" spans="1:16" ht="18" x14ac:dyDescent="0.35">
      <c r="A46" s="30"/>
      <c r="B46" s="30"/>
      <c r="C46" s="30"/>
      <c r="D46" s="30"/>
      <c r="E46" s="71"/>
      <c r="F46" s="30"/>
      <c r="G46" s="30"/>
      <c r="H46" s="30"/>
      <c r="I46" s="30"/>
    </row>
    <row r="47" spans="1:16" ht="18" x14ac:dyDescent="0.35">
      <c r="A47" s="30"/>
      <c r="B47" s="31" t="s">
        <v>131</v>
      </c>
      <c r="C47" s="31"/>
      <c r="D47" s="31"/>
      <c r="E47" s="72"/>
      <c r="F47" s="30"/>
      <c r="G47" s="30"/>
      <c r="H47" s="30"/>
      <c r="I47" s="30"/>
    </row>
    <row r="48" spans="1:16" ht="18" x14ac:dyDescent="0.35">
      <c r="A48" s="30"/>
      <c r="B48" s="31"/>
      <c r="C48" s="31"/>
      <c r="D48" s="31"/>
      <c r="E48" s="72"/>
      <c r="F48" s="30"/>
      <c r="G48" s="30"/>
      <c r="H48" s="30"/>
      <c r="I48" s="30"/>
    </row>
    <row r="49" spans="1:9" ht="18" x14ac:dyDescent="0.35">
      <c r="A49" s="30"/>
      <c r="B49" s="31" t="s">
        <v>132</v>
      </c>
      <c r="C49" s="30"/>
      <c r="D49" s="30"/>
      <c r="E49" s="71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71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8" x14ac:dyDescent="0.35">
      <c r="A52" s="30"/>
      <c r="B52" s="30"/>
      <c r="C52" s="30"/>
      <c r="D52" s="30"/>
      <c r="E52" s="30"/>
      <c r="F52" s="30"/>
      <c r="G52" s="30"/>
      <c r="H52" s="30"/>
      <c r="I52" s="30"/>
    </row>
    <row r="53" spans="1:9" ht="15.6" x14ac:dyDescent="0.3">
      <c r="C53" s="1"/>
    </row>
  </sheetData>
  <sortState xmlns:xlrd2="http://schemas.microsoft.com/office/spreadsheetml/2017/richdata2" ref="B54">
    <sortCondition sortBy="fontColor" ref="B54" dxfId="0"/>
  </sortState>
  <mergeCells count="2">
    <mergeCell ref="F16:H16"/>
    <mergeCell ref="B19:H19"/>
  </mergeCells>
  <phoneticPr fontId="8" type="noConversion"/>
  <hyperlinks>
    <hyperlink ref="B45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6" t="s">
        <v>28</v>
      </c>
      <c r="C2" s="126"/>
      <c r="D2" s="126"/>
      <c r="E2" s="12"/>
      <c r="G2" s="126" t="s">
        <v>67</v>
      </c>
      <c r="H2" s="126"/>
      <c r="I2" s="126"/>
      <c r="P2" s="127" t="s">
        <v>55</v>
      </c>
      <c r="Q2" s="127"/>
      <c r="R2" s="127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7" t="s">
        <v>55</v>
      </c>
      <c r="M8" s="127"/>
      <c r="N8" s="127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8"/>
  <sheetViews>
    <sheetView tabSelected="1" zoomScaleNormal="100" workbookViewId="0">
      <selection activeCell="J7" sqref="J7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8" t="s">
        <v>58</v>
      </c>
      <c r="M3" s="128"/>
      <c r="N3" s="128" t="s">
        <v>13</v>
      </c>
      <c r="O3" s="128"/>
    </row>
    <row r="4" spans="1:15" ht="15.75" customHeight="1" x14ac:dyDescent="0.35">
      <c r="B4" s="30"/>
      <c r="C4" s="30"/>
      <c r="D4" s="74" t="s">
        <v>25</v>
      </c>
      <c r="E4" s="75">
        <f>'4637'!G8</f>
        <v>4220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RAFAEL ALVIZO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9" t="s">
        <v>58</v>
      </c>
      <c r="C10" s="129"/>
      <c r="D10" s="129"/>
      <c r="E10" s="129"/>
      <c r="F10" s="129"/>
      <c r="G10" s="129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/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145</v>
      </c>
      <c r="C14" s="94">
        <f>J14</f>
        <v>2</v>
      </c>
      <c r="D14" s="94"/>
      <c r="E14" s="94">
        <v>620</v>
      </c>
      <c r="F14" s="94">
        <v>250</v>
      </c>
      <c r="G14" s="94" t="str">
        <f>D35</f>
        <v>E/R 1 CARA MDF 18MM</v>
      </c>
      <c r="H14" s="30"/>
      <c r="J14" s="3">
        <f>J25</f>
        <v>2</v>
      </c>
      <c r="K14" s="4">
        <f t="shared" ref="K14:L14" si="0">E35</f>
        <v>580</v>
      </c>
      <c r="L14" s="4">
        <f t="shared" si="0"/>
        <v>230</v>
      </c>
    </row>
    <row r="15" spans="1:15" ht="18" x14ac:dyDescent="0.35">
      <c r="A15" s="110">
        <v>2</v>
      </c>
      <c r="B15" s="101"/>
      <c r="C15" s="94">
        <f>J15</f>
        <v>1</v>
      </c>
      <c r="D15" s="94"/>
      <c r="E15" s="94">
        <v>1570</v>
      </c>
      <c r="F15" s="94">
        <v>610</v>
      </c>
      <c r="G15" s="94" t="str">
        <f>D36</f>
        <v>E/R 1 CARA MDF 18MM</v>
      </c>
      <c r="H15" s="30"/>
      <c r="J15" s="3">
        <f>J26</f>
        <v>1</v>
      </c>
      <c r="K15" s="4">
        <f t="shared" ref="K15" si="1">E36</f>
        <v>1530</v>
      </c>
      <c r="L15" s="4">
        <f t="shared" ref="L15" si="2">F36</f>
        <v>590</v>
      </c>
    </row>
    <row r="16" spans="1:15" ht="18" x14ac:dyDescent="0.35">
      <c r="A16" s="110">
        <v>3</v>
      </c>
      <c r="B16" s="101"/>
      <c r="C16" s="94">
        <f t="shared" ref="C16:C18" si="3">J16</f>
        <v>1</v>
      </c>
      <c r="D16" s="94"/>
      <c r="E16" s="94">
        <v>2040</v>
      </c>
      <c r="F16" s="94">
        <v>820</v>
      </c>
      <c r="G16" s="94" t="str">
        <f>D37</f>
        <v>E/R 1 CARA MDF 18MM</v>
      </c>
      <c r="H16" s="30"/>
      <c r="J16" s="3">
        <f>J27</f>
        <v>1</v>
      </c>
      <c r="K16" s="4">
        <f>E37</f>
        <v>2000</v>
      </c>
      <c r="L16" s="4">
        <f>F37</f>
        <v>800</v>
      </c>
    </row>
    <row r="17" spans="1:12" ht="18" x14ac:dyDescent="0.35">
      <c r="A17" s="110">
        <v>4</v>
      </c>
      <c r="B17" s="101"/>
      <c r="C17" s="94">
        <f t="shared" si="3"/>
        <v>1</v>
      </c>
      <c r="D17" s="94"/>
      <c r="E17" s="94">
        <f t="shared" ref="E17:E18" si="4">K17+E$13</f>
        <v>2170</v>
      </c>
      <c r="F17" s="94">
        <f t="shared" ref="F17:F18" si="5">L17+F$13</f>
        <v>600</v>
      </c>
      <c r="G17" s="94" t="str">
        <f>D38</f>
        <v>CUB S/R R6</v>
      </c>
      <c r="H17" s="30"/>
      <c r="J17" s="3">
        <f>J28</f>
        <v>1</v>
      </c>
      <c r="K17" s="4">
        <f>E38</f>
        <v>2120</v>
      </c>
      <c r="L17" s="4">
        <f>F38</f>
        <v>600</v>
      </c>
    </row>
    <row r="18" spans="1:12" ht="18" x14ac:dyDescent="0.35">
      <c r="A18" s="110">
        <v>5</v>
      </c>
      <c r="B18" s="101"/>
      <c r="C18" s="94">
        <f t="shared" si="3"/>
        <v>1</v>
      </c>
      <c r="D18" s="94"/>
      <c r="E18" s="94">
        <f t="shared" si="4"/>
        <v>1300</v>
      </c>
      <c r="F18" s="94">
        <f t="shared" si="5"/>
        <v>600</v>
      </c>
      <c r="G18" s="94" t="str">
        <f>D39</f>
        <v>CUB S/R R6</v>
      </c>
      <c r="H18" s="30"/>
      <c r="J18" s="3">
        <f>J29</f>
        <v>1</v>
      </c>
      <c r="K18" s="4">
        <f>E39</f>
        <v>1250</v>
      </c>
      <c r="L18" s="4">
        <f>F39</f>
        <v>600</v>
      </c>
    </row>
    <row r="19" spans="1:12" ht="18" x14ac:dyDescent="0.35">
      <c r="A19" s="2"/>
      <c r="B19" s="83"/>
      <c r="C19" s="73"/>
      <c r="D19" s="73"/>
      <c r="E19" s="73"/>
      <c r="F19" s="73"/>
      <c r="G19" s="73"/>
      <c r="H19" s="30"/>
      <c r="J19" s="23"/>
      <c r="K19" s="2"/>
      <c r="L19" s="2"/>
    </row>
    <row r="20" spans="1:12" ht="6.75" customHeight="1" x14ac:dyDescent="0.35">
      <c r="A20" s="2"/>
      <c r="B20" s="30"/>
      <c r="C20" s="30"/>
      <c r="D20" s="30"/>
      <c r="E20" s="30"/>
      <c r="F20" s="30"/>
      <c r="G20" s="30"/>
      <c r="H20" s="30"/>
    </row>
    <row r="21" spans="1:12" ht="18" x14ac:dyDescent="0.35">
      <c r="A21" s="2"/>
      <c r="B21" s="129" t="s">
        <v>13</v>
      </c>
      <c r="C21" s="129"/>
      <c r="D21" s="129"/>
      <c r="E21" s="129"/>
      <c r="F21" s="129"/>
      <c r="G21" s="129"/>
      <c r="H21" s="30"/>
    </row>
    <row r="22" spans="1:12" ht="10.5" customHeight="1" x14ac:dyDescent="0.35">
      <c r="A22" s="2"/>
      <c r="B22" s="30"/>
      <c r="C22" s="30"/>
      <c r="D22" s="91"/>
      <c r="E22" s="30"/>
      <c r="F22" s="30"/>
      <c r="G22" s="30"/>
      <c r="H22" s="30"/>
    </row>
    <row r="23" spans="1:12" ht="18" x14ac:dyDescent="0.35">
      <c r="A23" s="2"/>
      <c r="B23" s="30"/>
      <c r="C23" s="30"/>
      <c r="D23" s="30"/>
      <c r="E23" s="66" t="s">
        <v>6</v>
      </c>
      <c r="F23" s="66" t="s">
        <v>7</v>
      </c>
      <c r="G23" s="30"/>
      <c r="H23" s="30"/>
    </row>
    <row r="24" spans="1:12" ht="18" x14ac:dyDescent="0.35">
      <c r="A24" s="2"/>
      <c r="B24" s="66" t="s">
        <v>8</v>
      </c>
      <c r="C24" s="82" t="s">
        <v>9</v>
      </c>
      <c r="D24" s="82" t="s">
        <v>10</v>
      </c>
      <c r="E24" s="95">
        <v>40</v>
      </c>
      <c r="F24" s="95">
        <v>90</v>
      </c>
      <c r="G24" s="82" t="s">
        <v>107</v>
      </c>
      <c r="H24" s="30"/>
      <c r="K24" s="5" t="s">
        <v>6</v>
      </c>
      <c r="L24" s="5" t="s">
        <v>7</v>
      </c>
    </row>
    <row r="25" spans="1:12" ht="18" x14ac:dyDescent="0.35">
      <c r="A25" s="110">
        <v>1</v>
      </c>
      <c r="B25" s="101"/>
      <c r="C25" s="96">
        <f t="shared" ref="C25" si="6">J25</f>
        <v>2</v>
      </c>
      <c r="D25" s="96"/>
      <c r="E25" s="96">
        <f t="shared" ref="E25" si="7">K25+E$24</f>
        <v>620</v>
      </c>
      <c r="F25" s="96">
        <v>250</v>
      </c>
      <c r="G25" s="96" t="str">
        <f>D35</f>
        <v>E/R 1 CARA MDF 18MM</v>
      </c>
      <c r="H25" s="30"/>
      <c r="J25" s="3">
        <f>C35</f>
        <v>2</v>
      </c>
      <c r="K25" s="107">
        <f>E35</f>
        <v>580</v>
      </c>
      <c r="L25" s="107">
        <f>F35</f>
        <v>230</v>
      </c>
    </row>
    <row r="26" spans="1:12" ht="18" x14ac:dyDescent="0.35">
      <c r="A26" s="110">
        <f>A25+1</f>
        <v>2</v>
      </c>
      <c r="B26" s="101"/>
      <c r="C26" s="96">
        <f t="shared" ref="C26" si="8">J26</f>
        <v>1</v>
      </c>
      <c r="D26" s="96"/>
      <c r="E26" s="96">
        <f t="shared" ref="E26" si="9">K26+E$24</f>
        <v>1570</v>
      </c>
      <c r="F26" s="96">
        <v>610</v>
      </c>
      <c r="G26" s="96" t="str">
        <f>D36</f>
        <v>E/R 1 CARA MDF 18MM</v>
      </c>
      <c r="H26" s="30"/>
      <c r="J26" s="3">
        <f>C36</f>
        <v>1</v>
      </c>
      <c r="K26" s="107">
        <f>E36</f>
        <v>1530</v>
      </c>
      <c r="L26" s="107">
        <f>F36</f>
        <v>590</v>
      </c>
    </row>
    <row r="27" spans="1:12" ht="18" x14ac:dyDescent="0.35">
      <c r="A27" s="110">
        <f t="shared" ref="A27:A29" si="10">A26+1</f>
        <v>3</v>
      </c>
      <c r="B27" s="101"/>
      <c r="C27" s="96">
        <f t="shared" ref="C27:C29" si="11">J27</f>
        <v>1</v>
      </c>
      <c r="D27" s="96"/>
      <c r="E27" s="96">
        <f>K27+E$24</f>
        <v>2040</v>
      </c>
      <c r="F27" s="96">
        <v>820</v>
      </c>
      <c r="G27" s="96" t="str">
        <f>D37</f>
        <v>E/R 1 CARA MDF 18MM</v>
      </c>
      <c r="H27" s="30"/>
      <c r="J27" s="3">
        <f>C37</f>
        <v>1</v>
      </c>
      <c r="K27" s="107">
        <f t="shared" ref="K27:L27" si="12">E37</f>
        <v>2000</v>
      </c>
      <c r="L27" s="107">
        <f t="shared" si="12"/>
        <v>800</v>
      </c>
    </row>
    <row r="28" spans="1:12" ht="18" x14ac:dyDescent="0.35">
      <c r="A28" s="110">
        <f t="shared" si="10"/>
        <v>4</v>
      </c>
      <c r="B28" s="101"/>
      <c r="C28" s="96">
        <f t="shared" si="11"/>
        <v>1</v>
      </c>
      <c r="D28" s="96"/>
      <c r="E28" s="96">
        <f>K28+E$24</f>
        <v>2160</v>
      </c>
      <c r="F28" s="96">
        <v>660</v>
      </c>
      <c r="G28" s="96" t="str">
        <f>D38</f>
        <v>CUB S/R R6</v>
      </c>
      <c r="H28" s="30"/>
      <c r="J28" s="3">
        <f>C38</f>
        <v>1</v>
      </c>
      <c r="K28" s="107">
        <f t="shared" ref="K28:L28" si="13">E38</f>
        <v>2120</v>
      </c>
      <c r="L28" s="107">
        <f t="shared" si="13"/>
        <v>600</v>
      </c>
    </row>
    <row r="29" spans="1:12" ht="18" x14ac:dyDescent="0.35">
      <c r="A29" s="110">
        <f t="shared" si="10"/>
        <v>5</v>
      </c>
      <c r="B29" s="101"/>
      <c r="C29" s="96">
        <f t="shared" si="11"/>
        <v>1</v>
      </c>
      <c r="D29" s="96"/>
      <c r="E29" s="96">
        <f>K29+E$24</f>
        <v>1290</v>
      </c>
      <c r="F29" s="96">
        <v>660</v>
      </c>
      <c r="G29" s="96" t="str">
        <f>D39</f>
        <v>CUB S/R R6</v>
      </c>
      <c r="H29" s="30"/>
      <c r="J29" s="3">
        <f>C39</f>
        <v>1</v>
      </c>
      <c r="K29" s="107">
        <f t="shared" ref="K29:L29" si="14">E39</f>
        <v>1250</v>
      </c>
      <c r="L29" s="107">
        <f t="shared" si="14"/>
        <v>600</v>
      </c>
    </row>
    <row r="30" spans="1:12" ht="18" x14ac:dyDescent="0.35">
      <c r="A30" s="110"/>
      <c r="B30" s="101"/>
      <c r="C30" s="73"/>
      <c r="D30" s="73"/>
      <c r="E30" s="73"/>
      <c r="F30" s="73"/>
      <c r="G30" s="73"/>
      <c r="H30" s="30"/>
      <c r="J30" s="23"/>
      <c r="K30" s="120"/>
      <c r="L30" s="120"/>
    </row>
    <row r="31" spans="1:12" ht="18.600000000000001" thickBot="1" x14ac:dyDescent="0.4">
      <c r="A31" s="2"/>
      <c r="B31" s="83"/>
      <c r="C31" s="73"/>
      <c r="D31" s="73"/>
      <c r="E31" s="73"/>
      <c r="F31" s="73"/>
      <c r="G31" s="73"/>
      <c r="H31" s="30"/>
      <c r="I31" s="108"/>
      <c r="J31" s="109"/>
      <c r="K31" s="109"/>
      <c r="L31" s="109"/>
    </row>
    <row r="32" spans="1:12" ht="18.600000000000001" thickBot="1" x14ac:dyDescent="0.4">
      <c r="A32" s="2"/>
      <c r="B32" s="66"/>
      <c r="C32" s="97" t="s">
        <v>104</v>
      </c>
      <c r="D32" s="33"/>
      <c r="E32" s="33"/>
      <c r="F32" s="33"/>
      <c r="G32" s="98"/>
      <c r="H32" s="30"/>
      <c r="J32" s="2"/>
      <c r="K32" s="2"/>
      <c r="L32" s="2"/>
    </row>
    <row r="33" spans="1:10" ht="10.5" customHeight="1" x14ac:dyDescent="0.35">
      <c r="A33" s="2"/>
      <c r="B33" s="30"/>
      <c r="C33" s="30"/>
      <c r="D33" s="30"/>
      <c r="E33" s="30"/>
      <c r="F33" s="30"/>
      <c r="G33" s="30"/>
      <c r="H33" s="30"/>
    </row>
    <row r="34" spans="1:10" ht="18" x14ac:dyDescent="0.35">
      <c r="A34" s="2"/>
      <c r="B34" s="66" t="s">
        <v>8</v>
      </c>
      <c r="C34" s="99" t="s">
        <v>9</v>
      </c>
      <c r="D34" s="99" t="s">
        <v>107</v>
      </c>
      <c r="E34" s="99" t="s">
        <v>6</v>
      </c>
      <c r="F34" s="99" t="s">
        <v>7</v>
      </c>
      <c r="G34" s="99" t="s">
        <v>21</v>
      </c>
      <c r="H34" s="30"/>
    </row>
    <row r="35" spans="1:10" ht="18" x14ac:dyDescent="0.35">
      <c r="A35" s="110">
        <v>1</v>
      </c>
      <c r="B35" s="101" t="s">
        <v>139</v>
      </c>
      <c r="C35" s="94">
        <f>'4637'!B21</f>
        <v>2</v>
      </c>
      <c r="D35" s="94" t="str">
        <f>D61</f>
        <v>E/R 1 CARA MDF 18MM</v>
      </c>
      <c r="E35" s="116">
        <f>'4637'!D21</f>
        <v>580</v>
      </c>
      <c r="F35" s="116">
        <f>'4637'!E21</f>
        <v>230</v>
      </c>
      <c r="G35" s="4" t="str">
        <f>'4637'!F21</f>
        <v>CHAMOIS TROPICAL 40443 SF</v>
      </c>
      <c r="H35" s="30"/>
      <c r="I35" s="28">
        <f>E35*F35/1000000</f>
        <v>0.13339999999999999</v>
      </c>
      <c r="J35" s="28">
        <f>I35*C35</f>
        <v>0.26679999999999998</v>
      </c>
    </row>
    <row r="36" spans="1:10" ht="18" x14ac:dyDescent="0.35">
      <c r="A36" s="110">
        <f>A35+1</f>
        <v>2</v>
      </c>
      <c r="B36" s="101"/>
      <c r="C36" s="94">
        <f>'4637'!B22</f>
        <v>1</v>
      </c>
      <c r="D36" s="94" t="str">
        <f>D62</f>
        <v>E/R 1 CARA MDF 18MM</v>
      </c>
      <c r="E36" s="116">
        <f>'4637'!D22</f>
        <v>1530</v>
      </c>
      <c r="F36" s="116">
        <f>'4637'!E22</f>
        <v>590</v>
      </c>
      <c r="G36" s="4" t="str">
        <f>'4637'!F22</f>
        <v>CHAMOIS TROPICAL 40443 SF</v>
      </c>
      <c r="H36" s="30"/>
      <c r="I36" s="28"/>
      <c r="J36" s="28"/>
    </row>
    <row r="37" spans="1:10" ht="18" x14ac:dyDescent="0.35">
      <c r="A37" s="110">
        <f t="shared" ref="A37:A39" si="15">A36+1</f>
        <v>3</v>
      </c>
      <c r="B37" s="101"/>
      <c r="C37" s="94">
        <f>'4637'!B23</f>
        <v>1</v>
      </c>
      <c r="D37" s="94" t="str">
        <f>D63</f>
        <v>E/R 1 CARA MDF 18MM</v>
      </c>
      <c r="E37" s="116">
        <f>'4637'!D23</f>
        <v>2000</v>
      </c>
      <c r="F37" s="116">
        <f>'4637'!E23</f>
        <v>800</v>
      </c>
      <c r="G37" s="4" t="str">
        <f>'4637'!F23</f>
        <v>CHAMOIS TROPICAL 40443 SF</v>
      </c>
      <c r="H37" s="30"/>
      <c r="I37" s="28"/>
      <c r="J37" s="28"/>
    </row>
    <row r="38" spans="1:10" ht="18" x14ac:dyDescent="0.35">
      <c r="A38" s="110">
        <f t="shared" si="15"/>
        <v>4</v>
      </c>
      <c r="B38" s="101"/>
      <c r="C38" s="94">
        <f>'4637'!B24</f>
        <v>1</v>
      </c>
      <c r="D38" s="94" t="str">
        <f>D64</f>
        <v>CUB S/R R6</v>
      </c>
      <c r="E38" s="116">
        <f>'4637'!D24</f>
        <v>2120</v>
      </c>
      <c r="F38" s="116">
        <f>'4637'!E24</f>
        <v>600</v>
      </c>
      <c r="G38" s="4" t="str">
        <f>'4637'!F24</f>
        <v>CHAMOIS TROPICAL 40443 SF</v>
      </c>
      <c r="H38" s="30"/>
      <c r="I38" s="28"/>
      <c r="J38" s="28"/>
    </row>
    <row r="39" spans="1:10" ht="18" x14ac:dyDescent="0.35">
      <c r="A39" s="110">
        <f t="shared" si="15"/>
        <v>5</v>
      </c>
      <c r="B39" s="101"/>
      <c r="C39" s="94">
        <f>'4637'!B25</f>
        <v>1</v>
      </c>
      <c r="D39" s="94" t="str">
        <f>D65</f>
        <v>CUB S/R R6</v>
      </c>
      <c r="E39" s="116">
        <f>'4637'!D25</f>
        <v>1250</v>
      </c>
      <c r="F39" s="116">
        <f>'4637'!E25</f>
        <v>600</v>
      </c>
      <c r="G39" s="4" t="str">
        <f>'4637'!F25</f>
        <v>CHAMOIS TROPICAL 40443 SF</v>
      </c>
      <c r="H39" s="30"/>
      <c r="I39" s="28"/>
      <c r="J39" s="28"/>
    </row>
    <row r="40" spans="1:10" ht="18" x14ac:dyDescent="0.35">
      <c r="A40" s="110"/>
      <c r="B40" s="101"/>
      <c r="C40" s="104">
        <f>SUM(C35:C39)</f>
        <v>6</v>
      </c>
      <c r="D40" s="104"/>
      <c r="E40" s="105"/>
      <c r="F40" s="105"/>
      <c r="G40" s="104"/>
      <c r="H40" s="30"/>
      <c r="I40" s="28"/>
      <c r="J40" s="28"/>
    </row>
    <row r="41" spans="1:10" ht="18" x14ac:dyDescent="0.35">
      <c r="A41" s="2"/>
      <c r="B41" s="30"/>
      <c r="C41" s="73"/>
      <c r="D41" s="73"/>
      <c r="E41" s="73"/>
      <c r="F41" s="73"/>
      <c r="G41" s="73"/>
      <c r="H41" s="30"/>
    </row>
    <row r="42" spans="1:10" ht="18" x14ac:dyDescent="0.35">
      <c r="A42" s="2"/>
      <c r="B42" s="30"/>
      <c r="C42" s="73"/>
      <c r="D42" s="73"/>
      <c r="E42" s="73"/>
      <c r="F42" s="73"/>
      <c r="G42" s="73"/>
      <c r="H42" s="30"/>
      <c r="J42" s="28">
        <f>SUM(J35:J35)*2</f>
        <v>0.53359999999999996</v>
      </c>
    </row>
    <row r="43" spans="1:10" ht="18" x14ac:dyDescent="0.35">
      <c r="A43" s="2"/>
      <c r="B43" s="30"/>
      <c r="C43" s="73"/>
      <c r="D43" s="73"/>
      <c r="E43" s="73"/>
      <c r="F43" s="73"/>
      <c r="G43" s="73"/>
      <c r="H43" s="30"/>
    </row>
    <row r="44" spans="1:10" ht="18" x14ac:dyDescent="0.35">
      <c r="A44" s="2"/>
      <c r="B44" s="30"/>
      <c r="C44" s="73"/>
      <c r="D44" s="73"/>
      <c r="E44" s="73"/>
      <c r="F44" s="73"/>
      <c r="G44" s="73"/>
      <c r="H44" s="30"/>
    </row>
    <row r="45" spans="1:10" ht="18" x14ac:dyDescent="0.35">
      <c r="A45" s="2"/>
      <c r="B45" s="30"/>
      <c r="C45" s="73"/>
      <c r="D45" s="73"/>
      <c r="E45" s="73"/>
      <c r="F45" s="73"/>
      <c r="G45" s="73"/>
      <c r="H45" s="30"/>
    </row>
    <row r="46" spans="1:10" ht="18" x14ac:dyDescent="0.35">
      <c r="A46" s="2"/>
      <c r="B46" s="30"/>
      <c r="C46" s="73"/>
      <c r="D46" s="73"/>
      <c r="E46" s="73"/>
      <c r="F46" s="73"/>
      <c r="G46" s="73"/>
      <c r="H46" s="30"/>
    </row>
    <row r="47" spans="1:10" ht="18" x14ac:dyDescent="0.35">
      <c r="A47" s="2"/>
      <c r="B47" s="30"/>
      <c r="C47" s="73"/>
      <c r="D47" s="73"/>
      <c r="E47" s="73"/>
      <c r="F47" s="73"/>
      <c r="G47" s="73"/>
      <c r="H47" s="30"/>
    </row>
    <row r="48" spans="1:10" ht="18" x14ac:dyDescent="0.35">
      <c r="A48" s="2"/>
      <c r="B48" s="30"/>
      <c r="C48" s="73"/>
      <c r="D48" s="73"/>
      <c r="E48" s="73"/>
      <c r="F48" s="73"/>
      <c r="G48" s="73"/>
      <c r="H48" s="30"/>
    </row>
    <row r="49" spans="1:13" ht="18" x14ac:dyDescent="0.35">
      <c r="A49" s="2"/>
      <c r="B49" s="30"/>
      <c r="C49" s="73"/>
      <c r="D49" s="73"/>
      <c r="E49" s="73"/>
      <c r="F49" s="73"/>
      <c r="G49" s="73"/>
      <c r="H49" s="30"/>
    </row>
    <row r="50" spans="1:13" ht="18" x14ac:dyDescent="0.35">
      <c r="A50" s="2"/>
      <c r="B50" s="30"/>
      <c r="C50" s="30"/>
      <c r="D50" s="30"/>
      <c r="E50" s="30"/>
      <c r="F50" s="30"/>
      <c r="G50" s="30"/>
      <c r="H50" s="30"/>
    </row>
    <row r="51" spans="1:13" ht="18" x14ac:dyDescent="0.35">
      <c r="A51" s="2"/>
      <c r="B51" s="30"/>
      <c r="C51" s="30"/>
      <c r="D51" s="74" t="s">
        <v>25</v>
      </c>
      <c r="E51" s="75">
        <f>'4637'!G8</f>
        <v>4220</v>
      </c>
      <c r="F51" s="30"/>
      <c r="G51" s="30"/>
      <c r="H51" s="30"/>
    </row>
    <row r="52" spans="1:13" ht="17.25" customHeight="1" x14ac:dyDescent="0.35">
      <c r="A52" s="2"/>
      <c r="B52" s="30"/>
      <c r="C52" s="30"/>
      <c r="D52" s="76" t="s">
        <v>64</v>
      </c>
      <c r="E52" s="77" t="str">
        <f>'4637'!C10</f>
        <v>RAFAEL ALVIZO</v>
      </c>
      <c r="F52" s="48"/>
      <c r="G52" s="48"/>
      <c r="H52" s="30"/>
    </row>
    <row r="53" spans="1:13" ht="4.5" customHeight="1" x14ac:dyDescent="0.35">
      <c r="A53" s="2"/>
      <c r="B53" s="30"/>
      <c r="C53" s="30"/>
      <c r="D53" s="78"/>
      <c r="E53" s="79"/>
      <c r="F53" s="30"/>
      <c r="G53" s="30"/>
      <c r="H53" s="30"/>
    </row>
    <row r="54" spans="1:13" ht="18" x14ac:dyDescent="0.35">
      <c r="A54" s="2"/>
      <c r="B54" s="30"/>
      <c r="C54" s="30"/>
      <c r="D54" s="80" t="str">
        <f>'4637'!F11</f>
        <v>FECHA LIMITE :</v>
      </c>
      <c r="E54" s="81">
        <f>'4637'!G11</f>
        <v>0</v>
      </c>
      <c r="F54" s="30"/>
      <c r="G54" s="30"/>
      <c r="H54" s="30"/>
    </row>
    <row r="55" spans="1:13" ht="18" x14ac:dyDescent="0.35">
      <c r="A55" s="2"/>
      <c r="B55" s="30"/>
      <c r="C55" s="30"/>
      <c r="D55" s="30"/>
      <c r="E55" s="30"/>
      <c r="F55" s="30"/>
      <c r="G55" s="30" t="s">
        <v>135</v>
      </c>
      <c r="H55" s="30"/>
    </row>
    <row r="56" spans="1:13" ht="18" x14ac:dyDescent="0.35">
      <c r="A56" s="2"/>
      <c r="B56" s="30"/>
      <c r="C56" s="30"/>
      <c r="D56" s="30"/>
      <c r="E56" s="30"/>
      <c r="F56" s="30"/>
      <c r="G56" s="30"/>
      <c r="H56" s="30"/>
    </row>
    <row r="57" spans="1:13" ht="18" x14ac:dyDescent="0.35">
      <c r="A57" s="2"/>
      <c r="B57" s="130" t="s">
        <v>65</v>
      </c>
      <c r="C57" s="130"/>
      <c r="D57" s="130"/>
      <c r="E57" s="130"/>
      <c r="F57" s="130"/>
      <c r="G57" s="130"/>
      <c r="H57" s="30"/>
    </row>
    <row r="58" spans="1:13" ht="18" x14ac:dyDescent="0.35">
      <c r="A58" s="2"/>
      <c r="B58" s="30"/>
      <c r="C58" s="30"/>
      <c r="D58" s="30"/>
      <c r="E58" s="30"/>
      <c r="F58" s="30"/>
      <c r="G58" s="30"/>
      <c r="H58" s="30"/>
    </row>
    <row r="59" spans="1:13" ht="20.100000000000001" customHeight="1" x14ac:dyDescent="0.35">
      <c r="A59" s="2"/>
      <c r="B59" s="30"/>
      <c r="C59" s="131" t="s">
        <v>66</v>
      </c>
      <c r="D59" s="132"/>
      <c r="E59" s="133"/>
      <c r="F59" s="133"/>
      <c r="G59" s="134"/>
      <c r="H59" s="30"/>
      <c r="I59" s="25" t="s">
        <v>130</v>
      </c>
    </row>
    <row r="60" spans="1:13" s="10" customFormat="1" ht="20.100000000000001" customHeight="1" x14ac:dyDescent="0.35">
      <c r="A60" s="111"/>
      <c r="B60" s="30"/>
      <c r="C60" s="84" t="s">
        <v>9</v>
      </c>
      <c r="D60" s="85" t="s">
        <v>10</v>
      </c>
      <c r="E60" s="88" t="s">
        <v>6</v>
      </c>
      <c r="F60" s="88" t="s">
        <v>7</v>
      </c>
      <c r="G60" s="86" t="s">
        <v>11</v>
      </c>
      <c r="H60" s="30"/>
      <c r="K60" s="10">
        <v>15000</v>
      </c>
    </row>
    <row r="61" spans="1:13" s="10" customFormat="1" ht="20.100000000000001" customHeight="1" x14ac:dyDescent="0.35">
      <c r="A61" s="110">
        <v>1</v>
      </c>
      <c r="B61" s="100" t="s">
        <v>139</v>
      </c>
      <c r="C61" s="96">
        <f>'4637'!B21</f>
        <v>2</v>
      </c>
      <c r="D61" s="4" t="str">
        <f>'4637'!C21</f>
        <v>E/R 1 CARA MDF 18MM</v>
      </c>
      <c r="E61" s="116">
        <f>'4637'!D21</f>
        <v>580</v>
      </c>
      <c r="F61" s="103">
        <f>'4637'!E21</f>
        <v>230</v>
      </c>
      <c r="G61" s="4" t="str">
        <f>'4637'!F21</f>
        <v>CHAMOIS TROPICAL 40443 SF</v>
      </c>
      <c r="H61" s="30"/>
      <c r="I61" s="10">
        <f>E61*F61/1000000</f>
        <v>0.13339999999999999</v>
      </c>
      <c r="J61" s="10">
        <f>I61*C61</f>
        <v>0.26679999999999998</v>
      </c>
      <c r="K61" s="26">
        <f>J61*K$60</f>
        <v>4001.9999999999995</v>
      </c>
      <c r="M61" s="24">
        <v>12096</v>
      </c>
    </row>
    <row r="62" spans="1:13" s="10" customFormat="1" ht="20.100000000000001" customHeight="1" x14ac:dyDescent="0.35">
      <c r="A62" s="110">
        <f>A61+1</f>
        <v>2</v>
      </c>
      <c r="B62" s="100"/>
      <c r="C62" s="96">
        <f>'4637'!B22</f>
        <v>1</v>
      </c>
      <c r="D62" s="4" t="str">
        <f>'4637'!C22</f>
        <v>E/R 1 CARA MDF 18MM</v>
      </c>
      <c r="E62" s="116">
        <f>'4637'!D22</f>
        <v>1530</v>
      </c>
      <c r="F62" s="103">
        <f>'4637'!E22</f>
        <v>590</v>
      </c>
      <c r="G62" s="4" t="str">
        <f>'4637'!F22</f>
        <v>CHAMOIS TROPICAL 40443 SF</v>
      </c>
      <c r="H62" s="30"/>
      <c r="K62" s="26"/>
      <c r="M62" s="29"/>
    </row>
    <row r="63" spans="1:13" s="10" customFormat="1" ht="20.100000000000001" customHeight="1" x14ac:dyDescent="0.35">
      <c r="A63" s="110">
        <f t="shared" ref="A63:A66" si="16">A62+1</f>
        <v>3</v>
      </c>
      <c r="B63" s="100"/>
      <c r="C63" s="96">
        <f>'4637'!B23</f>
        <v>1</v>
      </c>
      <c r="D63" s="4" t="str">
        <f>'4637'!C23</f>
        <v>E/R 1 CARA MDF 18MM</v>
      </c>
      <c r="E63" s="116">
        <f>'4637'!D23</f>
        <v>2000</v>
      </c>
      <c r="F63" s="103">
        <f>'4637'!E23</f>
        <v>800</v>
      </c>
      <c r="G63" s="4" t="str">
        <f>'4637'!F23</f>
        <v>CHAMOIS TROPICAL 40443 SF</v>
      </c>
      <c r="H63" s="30"/>
      <c r="K63" s="26"/>
      <c r="M63" s="29"/>
    </row>
    <row r="64" spans="1:13" s="10" customFormat="1" ht="20.100000000000001" customHeight="1" x14ac:dyDescent="0.35">
      <c r="A64" s="110">
        <f t="shared" si="16"/>
        <v>4</v>
      </c>
      <c r="B64" s="100"/>
      <c r="C64" s="96">
        <f>'4637'!B24</f>
        <v>1</v>
      </c>
      <c r="D64" s="4" t="str">
        <f>'4637'!C24</f>
        <v>CUB S/R R6</v>
      </c>
      <c r="E64" s="116">
        <f>'4637'!D24</f>
        <v>2120</v>
      </c>
      <c r="F64" s="103">
        <f>'4637'!E24</f>
        <v>600</v>
      </c>
      <c r="G64" s="4" t="str">
        <f>'4637'!F24</f>
        <v>CHAMOIS TROPICAL 40443 SF</v>
      </c>
      <c r="H64" s="30"/>
      <c r="K64" s="26"/>
      <c r="M64" s="29"/>
    </row>
    <row r="65" spans="1:13" s="10" customFormat="1" ht="20.100000000000001" customHeight="1" x14ac:dyDescent="0.35">
      <c r="A65" s="110">
        <f t="shared" si="16"/>
        <v>5</v>
      </c>
      <c r="B65" s="100"/>
      <c r="C65" s="96">
        <f>'4637'!B25</f>
        <v>1</v>
      </c>
      <c r="D65" s="4" t="str">
        <f>'4637'!C25</f>
        <v>CUB S/R R6</v>
      </c>
      <c r="E65" s="116">
        <f>'4637'!D25</f>
        <v>1250</v>
      </c>
      <c r="F65" s="103">
        <f>'4637'!E25</f>
        <v>600</v>
      </c>
      <c r="G65" s="4" t="str">
        <f>'4637'!F25</f>
        <v>CHAMOIS TROPICAL 40443 SF</v>
      </c>
      <c r="H65" s="30"/>
      <c r="K65" s="26"/>
      <c r="M65" s="29"/>
    </row>
    <row r="66" spans="1:13" s="10" customFormat="1" ht="20.100000000000001" customHeight="1" x14ac:dyDescent="0.35">
      <c r="A66" s="110">
        <f t="shared" si="16"/>
        <v>6</v>
      </c>
      <c r="B66" s="100"/>
      <c r="C66" s="96">
        <f>'4637'!B26</f>
        <v>1</v>
      </c>
      <c r="D66" s="4" t="str">
        <f>'4637'!C26</f>
        <v>INSTALACION</v>
      </c>
      <c r="E66" s="116">
        <f>'4637'!D26</f>
        <v>0</v>
      </c>
      <c r="F66" s="103">
        <f>'4637'!E26</f>
        <v>0</v>
      </c>
      <c r="G66" s="4">
        <f>'4637'!F26</f>
        <v>0</v>
      </c>
      <c r="H66" s="30"/>
      <c r="K66" s="26"/>
      <c r="M66" s="29"/>
    </row>
    <row r="67" spans="1:13" s="10" customFormat="1" ht="15" customHeight="1" x14ac:dyDescent="0.35">
      <c r="B67" s="83"/>
      <c r="C67" s="66"/>
      <c r="D67" s="66"/>
      <c r="E67" s="66"/>
      <c r="F67" s="66"/>
      <c r="G67" s="66"/>
      <c r="H67" s="30"/>
    </row>
    <row r="68" spans="1:13" ht="18" x14ac:dyDescent="0.35">
      <c r="B68" s="73"/>
      <c r="C68" s="73"/>
      <c r="D68" s="30"/>
      <c r="E68" s="73"/>
      <c r="F68" s="73"/>
      <c r="G68" s="78"/>
      <c r="H68" s="30"/>
    </row>
    <row r="69" spans="1:13" ht="18" x14ac:dyDescent="0.35">
      <c r="B69" s="73"/>
      <c r="C69" s="73"/>
      <c r="D69" s="30"/>
      <c r="E69" s="73"/>
      <c r="F69" s="73"/>
      <c r="G69" s="73"/>
      <c r="H69" s="30"/>
      <c r="J69" s="10">
        <f>SUM(J61:J61)</f>
        <v>0.26679999999999998</v>
      </c>
      <c r="K69" s="27">
        <f>SUM(K61:K61)</f>
        <v>4001.9999999999995</v>
      </c>
    </row>
    <row r="70" spans="1:13" ht="18" x14ac:dyDescent="0.35">
      <c r="B70" s="30"/>
      <c r="C70" s="30"/>
      <c r="D70" s="30"/>
      <c r="E70" s="30"/>
      <c r="F70" s="30"/>
      <c r="G70" s="30"/>
      <c r="H70" s="30"/>
    </row>
    <row r="71" spans="1:13" ht="18" x14ac:dyDescent="0.35">
      <c r="B71" s="30"/>
      <c r="C71" s="30"/>
      <c r="D71" s="30"/>
      <c r="E71" s="30"/>
      <c r="F71" s="30"/>
      <c r="G71" s="30"/>
      <c r="H71" s="30"/>
    </row>
    <row r="72" spans="1:13" ht="18" x14ac:dyDescent="0.35">
      <c r="B72" s="30"/>
      <c r="C72" s="30"/>
      <c r="D72" s="30"/>
      <c r="E72" s="30"/>
      <c r="F72" s="30"/>
      <c r="G72" s="30"/>
      <c r="H72" s="30"/>
    </row>
    <row r="73" spans="1:13" ht="15" customHeight="1" x14ac:dyDescent="0.35">
      <c r="B73" s="30"/>
      <c r="C73" s="30"/>
      <c r="D73" s="30"/>
      <c r="E73" s="30"/>
      <c r="F73" s="30"/>
      <c r="G73" s="30"/>
      <c r="H73" s="30"/>
    </row>
    <row r="74" spans="1:13" ht="18" x14ac:dyDescent="0.35">
      <c r="B74" s="30"/>
      <c r="C74" s="30"/>
      <c r="D74" s="30"/>
      <c r="E74" s="30"/>
      <c r="F74" s="30"/>
      <c r="G74" s="30"/>
      <c r="H74" s="30"/>
    </row>
    <row r="75" spans="1:13" ht="18" x14ac:dyDescent="0.35">
      <c r="B75" s="73"/>
      <c r="C75" s="87"/>
      <c r="D75" s="30"/>
      <c r="E75" s="30"/>
      <c r="F75" s="30"/>
      <c r="G75" s="30"/>
      <c r="H75" s="30"/>
    </row>
    <row r="76" spans="1:13" ht="18" x14ac:dyDescent="0.35">
      <c r="B76" s="30"/>
      <c r="C76" s="30"/>
      <c r="D76" s="30"/>
      <c r="E76" s="30"/>
      <c r="F76" s="30"/>
      <c r="G76" s="30"/>
      <c r="H76" s="30"/>
    </row>
    <row r="77" spans="1:13" x14ac:dyDescent="0.3">
      <c r="C77" s="14"/>
      <c r="D77" s="14"/>
      <c r="F77" s="14"/>
      <c r="G77" s="14"/>
    </row>
    <row r="78" spans="1:13" x14ac:dyDescent="0.3">
      <c r="C78" s="14"/>
      <c r="D78" s="14"/>
      <c r="F78" s="14"/>
      <c r="G78" s="14"/>
    </row>
  </sheetData>
  <mergeCells count="6">
    <mergeCell ref="N3:O3"/>
    <mergeCell ref="B21:G21"/>
    <mergeCell ref="B10:G10"/>
    <mergeCell ref="B57:G57"/>
    <mergeCell ref="C59:G59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2025-11-12T18:17:08Z</cp:lastPrinted>
  <dcterms:created xsi:type="dcterms:W3CDTF">2013-03-19T12:54:14Z</dcterms:created>
  <dcterms:modified xsi:type="dcterms:W3CDTF">2025-11-12T18:18:48Z</dcterms:modified>
</cp:coreProperties>
</file>