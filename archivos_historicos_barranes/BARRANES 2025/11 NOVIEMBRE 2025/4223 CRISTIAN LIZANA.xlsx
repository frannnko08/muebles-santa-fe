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DC0950BD-E215-48C9-9B1B-1FC34FA2A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CUBIERTA!$A$47:$G$73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J26" i="3" s="1"/>
  <c r="C26" i="3" s="1"/>
  <c r="E35" i="3"/>
  <c r="K26" i="3" s="1"/>
  <c r="E26" i="3" s="1"/>
  <c r="F35" i="3"/>
  <c r="L26" i="3" s="1"/>
  <c r="F26" i="3" s="1"/>
  <c r="G35" i="3"/>
  <c r="C36" i="3"/>
  <c r="J27" i="3" s="1"/>
  <c r="C27" i="3" s="1"/>
  <c r="E36" i="3"/>
  <c r="K27" i="3" s="1"/>
  <c r="E27" i="3" s="1"/>
  <c r="F36" i="3"/>
  <c r="L27" i="3" s="1"/>
  <c r="F27" i="3" s="1"/>
  <c r="G36" i="3"/>
  <c r="C61" i="3"/>
  <c r="D61" i="3"/>
  <c r="D35" i="3" s="1"/>
  <c r="G26" i="3" s="1"/>
  <c r="E61" i="3"/>
  <c r="F61" i="3"/>
  <c r="G61" i="3"/>
  <c r="C62" i="3"/>
  <c r="D62" i="3"/>
  <c r="D36" i="3" s="1"/>
  <c r="G27" i="3" s="1"/>
  <c r="E62" i="3"/>
  <c r="F62" i="3"/>
  <c r="G62" i="3"/>
  <c r="H23" i="4"/>
  <c r="H24" i="4"/>
  <c r="H22" i="4"/>
  <c r="H21" i="4"/>
  <c r="L17" i="3" l="1"/>
  <c r="F17" i="3" s="1"/>
  <c r="L16" i="3"/>
  <c r="F16" i="3" s="1"/>
  <c r="K17" i="3"/>
  <c r="E17" i="3" s="1"/>
  <c r="K16" i="3"/>
  <c r="E16" i="3" s="1"/>
  <c r="J17" i="3"/>
  <c r="C17" i="3" s="1"/>
  <c r="J16" i="3"/>
  <c r="C16" i="3" s="1"/>
  <c r="G17" i="3"/>
  <c r="G16" i="3"/>
  <c r="H25" i="4"/>
  <c r="H27" i="4" s="1"/>
  <c r="C37" i="3"/>
  <c r="E37" i="3"/>
  <c r="F37" i="3"/>
  <c r="G37" i="3"/>
  <c r="C63" i="3"/>
  <c r="D63" i="3"/>
  <c r="D37" i="3" s="1"/>
  <c r="E63" i="3"/>
  <c r="F63" i="3"/>
  <c r="G63" i="3"/>
  <c r="C34" i="3" l="1"/>
  <c r="J25" i="3" s="1"/>
  <c r="C25" i="3" s="1"/>
  <c r="E34" i="3"/>
  <c r="K25" i="3" s="1"/>
  <c r="E25" i="3" s="1"/>
  <c r="F34" i="3"/>
  <c r="L15" i="3" s="1"/>
  <c r="F15" i="3" s="1"/>
  <c r="G34" i="3"/>
  <c r="C60" i="3"/>
  <c r="D60" i="3"/>
  <c r="D34" i="3" s="1"/>
  <c r="G25" i="3" s="1"/>
  <c r="E60" i="3"/>
  <c r="F60" i="3"/>
  <c r="G60" i="3"/>
  <c r="L25" i="3" l="1"/>
  <c r="F25" i="3" s="1"/>
  <c r="K15" i="3"/>
  <c r="E15" i="3" s="1"/>
  <c r="J15" i="3"/>
  <c r="C15" i="3" s="1"/>
  <c r="G15" i="3"/>
  <c r="G33" i="3"/>
  <c r="F33" i="3"/>
  <c r="L14" i="3" s="1"/>
  <c r="F14" i="3" s="1"/>
  <c r="E33" i="3"/>
  <c r="K14" i="3" s="1"/>
  <c r="E14" i="3" s="1"/>
  <c r="C33" i="3"/>
  <c r="C38" i="3" s="1"/>
  <c r="G59" i="3"/>
  <c r="F59" i="3"/>
  <c r="E59" i="3"/>
  <c r="D59" i="3"/>
  <c r="D33" i="3" s="1"/>
  <c r="C59" i="3"/>
  <c r="L21" i="4" l="1"/>
  <c r="K21" i="4"/>
  <c r="M21" i="4" l="1"/>
  <c r="N21" i="4" s="1"/>
  <c r="G24" i="3" l="1"/>
  <c r="L24" i="3"/>
  <c r="F24" i="3" s="1"/>
  <c r="J24" i="3" l="1"/>
  <c r="I33" i="3"/>
  <c r="J33" i="3" s="1"/>
  <c r="K24" i="3"/>
  <c r="E24" i="3" s="1"/>
  <c r="I59" i="3"/>
  <c r="J59" i="3" s="1"/>
  <c r="G14" i="3"/>
  <c r="C24" i="3" l="1"/>
  <c r="J14" i="3"/>
  <c r="C14" i="3" s="1"/>
  <c r="J40" i="3"/>
  <c r="K59" i="3"/>
  <c r="J66" i="3"/>
  <c r="H29" i="4"/>
  <c r="O5" i="3"/>
  <c r="K66" i="3" l="1"/>
  <c r="N5" i="3"/>
  <c r="M5" i="3"/>
  <c r="L5" i="3"/>
  <c r="D52" i="3" l="1"/>
  <c r="D7" i="3"/>
  <c r="E50" i="3"/>
  <c r="E5" i="3"/>
  <c r="E52" i="3"/>
  <c r="E7" i="3"/>
  <c r="E49" i="3"/>
  <c r="E4" i="3"/>
</calcChain>
</file>

<file path=xl/sharedStrings.xml><?xml version="1.0" encoding="utf-8"?>
<sst xmlns="http://schemas.openxmlformats.org/spreadsheetml/2006/main" count="254" uniqueCount="144">
  <si>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</si>
  <si>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</si>
  <si>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</si>
  <si>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</si>
  <si>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</si>
  <si>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</si>
  <si>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</si>
  <si>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</si>
  <si>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</si>
  <si>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</si>
  <si>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</si>
  <si>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</si>
  <si>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</si>
  <si>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</si>
  <si>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</si>
  <si>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</si>
  <si>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</si>
  <si>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</si>
  <si>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</si>
  <si>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</si>
  <si>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</si>
  <si>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</si>
  <si>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</si>
  <si>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</si>
  <si>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</si>
  <si>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</si>
  <si>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</si>
  <si>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</si>
  <si>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</si>
  <si>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</si>
  <si>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</si>
  <si>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</si>
  <si>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</si>
  <si>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</si>
  <si>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</si>
  <si>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</si>
  <si>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</si>
  <si>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</si>
  <si>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</si>
  <si>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</si>
  <si>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</si>
  <si>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</si>
  <si>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</si>
  <si>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</si>
  <si>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</si>
  <si>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</si>
  <si>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</si>
  <si>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</si>
  <si>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</si>
  <si>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</si>
  <si>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</si>
  <si>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</si>
  <si>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</si>
  <si>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</si>
  <si>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</si>
  <si>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</si>
  <si>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</si>
  <si>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</si>
  <si>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</si>
  <si>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</si>
  <si>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</si>
  <si>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</si>
  <si>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</si>
  <si>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</si>
  <si>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</si>
  <si>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</si>
  <si>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</si>
  <si>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</si>
  <si>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</si>
  <si>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</si>
  <si>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</si>
  <si>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</si>
  <si>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</si>
  <si>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</si>
  <si>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</si>
  <si>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</si>
  <si>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</si>
  <si>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</si>
  <si>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</si>
  <si>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</si>
  <si>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</si>
  <si>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</si>
  <si>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</si>
  <si>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</si>
  <si>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</si>
  <si>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</si>
  <si>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</si>
  <si>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</si>
  <si>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</si>
  <si>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</si>
  <si>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</si>
  <si>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</si>
  <si>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</si>
  <si>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</si>
  <si>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</si>
  <si>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</si>
  <si>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</si>
  <si>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</si>
  <si>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</si>
  <si>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</si>
  <si>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</si>
  <si>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</si>
  <si>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</si>
  <si>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</si>
  <si>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</si>
  <si>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</si>
  <si>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</si>
  <si>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</si>
  <si>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</si>
  <si>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</si>
  <si>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</si>
  <si>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</si>
  <si>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</si>
  <si>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</si>
  <si>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</si>
  <si>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</si>
  <si>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</si>
  <si>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</si>
  <si>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</si>
  <si>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</si>
  <si>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</si>
  <si>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</si>
  <si>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</si>
  <si>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</si>
  <si>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</si>
  <si>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</si>
  <si>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</si>
  <si>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</si>
  <si>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</si>
  <si>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</si>
  <si>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</si>
  <si>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</si>
  <si>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</si>
  <si>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</si>
  <si>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</si>
  <si>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</si>
  <si>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</si>
  <si>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</si>
  <si>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11749</t>
  </si>
  <si>
    <t>CORTE 45° MAS DESFONDADOS</t>
  </si>
  <si>
    <t>CUB C/R R8</t>
  </si>
  <si>
    <t>CRISTIAN LIZANA</t>
  </si>
  <si>
    <t>BELARUS CHERRY 10277 SF</t>
  </si>
  <si>
    <t>"MUEBLES SANTA FE SPA." - RUT : 77.054.606-0, CORREO: FDONOSO@TOPMOBILI.CL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</si>
</sst>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$ 150.000.-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53</xdr:row>
      <xdr:rowOff>190500</xdr:rowOff>
    </xdr:from>
    <xdr:to>
      <xdr:col>7</xdr:col>
      <xdr:colOff>9524</xdr:colOff>
      <xdr:row>55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50</xdr:row>
      <xdr:rowOff>30479</xdr:rowOff>
    </xdr:from>
    <xdr:to>
      <xdr:col>6</xdr:col>
      <xdr:colOff>2912745</xdr:colOff>
      <xdr:row>51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209549</xdr:rowOff>
    </xdr:from>
    <xdr:to>
      <xdr:col>7</xdr:col>
      <xdr:colOff>0</xdr:colOff>
      <xdr:row>50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171450</xdr:rowOff>
    </xdr:from>
    <xdr:to>
      <xdr:col>7</xdr:col>
      <xdr:colOff>19050</xdr:colOff>
      <xdr:row>48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1019175</xdr:colOff>
      <xdr:row>65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447675</xdr:colOff>
      <xdr:row>65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65</xdr:row>
      <xdr:rowOff>0</xdr:rowOff>
    </xdr:from>
    <xdr:to>
      <xdr:col>3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65</xdr:row>
      <xdr:rowOff>0</xdr:rowOff>
    </xdr:from>
    <xdr:to>
      <xdr:col>4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65</xdr:row>
      <xdr:rowOff>0</xdr:rowOff>
    </xdr:from>
    <xdr:to>
      <xdr:col>5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65</xdr:row>
      <xdr:rowOff>0</xdr:rowOff>
    </xdr:from>
    <xdr:to>
      <xdr:col>6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65</xdr:row>
      <xdr:rowOff>0</xdr:rowOff>
    </xdr:from>
    <xdr:to>
      <xdr:col>7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39</xdr:row>
      <xdr:rowOff>15239</xdr:rowOff>
    </xdr:from>
    <xdr:to>
      <xdr:col>7</xdr:col>
      <xdr:colOff>0</xdr:colOff>
      <xdr:row>43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45° MAS DESFONDADOS SEGUN DIBUJO, ENTREGAR DESPUNTE LAMINAS AL CLIENTE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67</xdr:row>
      <xdr:rowOff>32385</xdr:rowOff>
    </xdr:from>
    <xdr:to>
      <xdr:col>7</xdr:col>
      <xdr:colOff>7620</xdr:colOff>
      <xdr:row>71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 LLEVA CORTE 45°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SEGUN DIBUJO, ENTREGAR DESPUNTE DE LAMINA AL CLIENTE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47</xdr:row>
      <xdr:rowOff>146685</xdr:rowOff>
    </xdr:from>
    <xdr:to>
      <xdr:col>2</xdr:col>
      <xdr:colOff>786523</xdr:colOff>
      <xdr:row>53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abSelected="1" zoomScale="98" zoomScaleNormal="98" workbookViewId="0">
      <selection activeCell="K9" sqref="K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138</v>
      </c>
      <c r="E8" s="30"/>
      <c r="F8" s="35" t="s">
        <v>25</v>
      </c>
      <c r="G8" s="36">
        <v>4223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38" t="s">
        <v>141</v>
      </c>
      <c r="D10" s="39"/>
      <c r="E10" s="39"/>
      <c r="F10" s="40" t="s">
        <v>26</v>
      </c>
      <c r="G10" s="41">
        <v>45975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119</v>
      </c>
      <c r="G11" s="45">
        <v>45982</v>
      </c>
      <c r="H11" s="46"/>
      <c r="I11" s="30"/>
    </row>
    <row r="12" spans="1:17" ht="18" x14ac:dyDescent="0.35">
      <c r="A12" s="30"/>
      <c r="B12" s="47" t="s">
        <v>125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126</v>
      </c>
      <c r="C13" s="118"/>
      <c r="D13" s="48"/>
      <c r="E13" s="48"/>
      <c r="F13" s="48" t="s">
        <v>123</v>
      </c>
      <c r="G13" s="49" t="s">
        <v>133</v>
      </c>
      <c r="H13" s="50"/>
      <c r="I13" s="30"/>
    </row>
    <row r="14" spans="1:17" ht="18" x14ac:dyDescent="0.35">
      <c r="A14" s="30"/>
      <c r="B14" s="43" t="s">
        <v>16</v>
      </c>
      <c r="C14" s="119">
        <v>56995408856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128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136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127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21" t="s">
        <v>140</v>
      </c>
      <c r="D21" s="103">
        <v>2027</v>
      </c>
      <c r="E21" s="103">
        <v>570</v>
      </c>
      <c r="F21" s="102" t="s">
        <v>142</v>
      </c>
      <c r="G21" s="113">
        <v>89331</v>
      </c>
      <c r="H21" s="113">
        <f t="shared" ref="H21:H24" si="0">G21*B21</f>
        <v>89331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21" t="s">
        <v>140</v>
      </c>
      <c r="D22" s="103">
        <v>1120</v>
      </c>
      <c r="E22" s="103">
        <v>570</v>
      </c>
      <c r="F22" s="102" t="s">
        <v>142</v>
      </c>
      <c r="G22" s="113">
        <v>50877</v>
      </c>
      <c r="H22" s="113">
        <f t="shared" si="0"/>
        <v>50877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21" t="s">
        <v>140</v>
      </c>
      <c r="D23" s="103">
        <v>2085</v>
      </c>
      <c r="E23" s="103">
        <v>570</v>
      </c>
      <c r="F23" s="102" t="s">
        <v>142</v>
      </c>
      <c r="G23" s="113">
        <v>91790</v>
      </c>
      <c r="H23" s="113">
        <f t="shared" si="0"/>
        <v>91790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6">
        <v>1</v>
      </c>
      <c r="C24" s="121" t="s">
        <v>140</v>
      </c>
      <c r="D24" s="137">
        <v>1520</v>
      </c>
      <c r="E24" s="137">
        <v>570</v>
      </c>
      <c r="F24" s="102" t="s">
        <v>142</v>
      </c>
      <c r="G24" s="106">
        <v>67836</v>
      </c>
      <c r="H24" s="113">
        <f t="shared" si="0"/>
        <v>67836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4</v>
      </c>
      <c r="C25" s="121" t="s">
        <v>139</v>
      </c>
      <c r="D25" s="103"/>
      <c r="E25" s="103"/>
      <c r="F25" s="102"/>
      <c r="G25" s="113">
        <v>10000</v>
      </c>
      <c r="H25" s="113">
        <f>G25*B25</f>
        <v>40000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106"/>
      <c r="H26" s="10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G27" s="60" t="s">
        <v>5</v>
      </c>
      <c r="H27" s="61">
        <f>SUM(H21:H26)</f>
        <v>339834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62" t="s">
        <v>135</v>
      </c>
      <c r="H28" s="63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4"/>
      <c r="C29" s="104"/>
      <c r="D29" s="112"/>
      <c r="E29" s="112"/>
      <c r="F29" s="104"/>
      <c r="G29" s="64" t="s">
        <v>4</v>
      </c>
      <c r="H29" s="65">
        <f>H27+H28</f>
        <v>339834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68" t="s">
        <v>132</v>
      </c>
      <c r="C32" s="104"/>
      <c r="D32" s="112"/>
      <c r="E32" s="112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68" t="s">
        <v>143</v>
      </c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30" t="s">
        <v>23</v>
      </c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71" t="s">
        <v>24</v>
      </c>
      <c r="C35" s="59"/>
      <c r="D35" s="59"/>
      <c r="E35" s="59"/>
      <c r="F35" s="59"/>
      <c r="G35" s="58"/>
      <c r="H35" s="58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1" t="s">
        <v>130</v>
      </c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1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1" t="s">
        <v>131</v>
      </c>
      <c r="C39" s="30"/>
      <c r="D39" s="30"/>
      <c r="E39" s="30"/>
      <c r="F39" s="30"/>
      <c r="G39" s="66"/>
      <c r="H39" s="67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C41" s="69"/>
      <c r="D41" s="70"/>
      <c r="E41" s="70"/>
      <c r="F41" s="59"/>
      <c r="G41" s="30"/>
      <c r="H41" s="30"/>
      <c r="I41" s="30"/>
    </row>
    <row r="42" spans="1:16" ht="18" x14ac:dyDescent="0.35">
      <c r="A42" s="30"/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C44" s="71"/>
      <c r="D44" s="30"/>
      <c r="E44" s="30"/>
      <c r="F44" s="30"/>
      <c r="G44" s="30"/>
      <c r="H44" s="30"/>
      <c r="I44" s="30"/>
    </row>
    <row r="45" spans="1:16" ht="18" x14ac:dyDescent="0.35">
      <c r="A45" s="30"/>
      <c r="C45" s="30"/>
      <c r="D45" s="30"/>
      <c r="E45" s="71"/>
      <c r="F45" s="30"/>
      <c r="G45" s="30"/>
      <c r="H45" s="30"/>
      <c r="I45" s="30"/>
    </row>
    <row r="46" spans="1:16" ht="18" x14ac:dyDescent="0.35">
      <c r="A46" s="30"/>
      <c r="C46" s="31"/>
      <c r="D46" s="31"/>
      <c r="E46" s="72"/>
      <c r="F46" s="30"/>
      <c r="G46" s="30"/>
      <c r="H46" s="30"/>
      <c r="I46" s="30"/>
    </row>
    <row r="47" spans="1:16" ht="18" x14ac:dyDescent="0.35">
      <c r="A47" s="30"/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5"/>
  <sheetViews>
    <sheetView topLeftCell="A37" zoomScaleNormal="100" workbookViewId="0">
      <selection activeCell="A47" sqref="A47:G7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4223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CRISTIAN LIZANA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45982</v>
      </c>
      <c r="F7" s="30"/>
      <c r="G7" s="30" t="s">
        <v>134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/>
      <c r="B14" s="101" t="s">
        <v>137</v>
      </c>
      <c r="C14" s="94">
        <f>J14</f>
        <v>1</v>
      </c>
      <c r="D14" s="94"/>
      <c r="E14" s="94">
        <f>K14+E$13</f>
        <v>2107</v>
      </c>
      <c r="F14" s="94">
        <f>L14+F$13</f>
        <v>540</v>
      </c>
      <c r="G14" s="94" t="str">
        <f>D33</f>
        <v>CUB C/R R8</v>
      </c>
      <c r="H14" s="30"/>
      <c r="J14" s="3">
        <f>J24</f>
        <v>1</v>
      </c>
      <c r="K14" s="4">
        <f t="shared" ref="K14:L14" si="0">E33</f>
        <v>2027</v>
      </c>
      <c r="L14" s="4">
        <f t="shared" si="0"/>
        <v>570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1200</v>
      </c>
      <c r="F15" s="94">
        <f>L15+F$13</f>
        <v>540</v>
      </c>
      <c r="G15" s="94" t="str">
        <f>D34</f>
        <v>CUB C/R R8</v>
      </c>
      <c r="H15" s="30"/>
      <c r="J15" s="3">
        <f>J25</f>
        <v>1</v>
      </c>
      <c r="K15" s="4">
        <f t="shared" ref="K15" si="1">E34</f>
        <v>1120</v>
      </c>
      <c r="L15" s="4">
        <f t="shared" ref="L15" si="2">F34</f>
        <v>570</v>
      </c>
    </row>
    <row r="16" spans="1:15" ht="18" x14ac:dyDescent="0.35">
      <c r="A16" s="110"/>
      <c r="B16" s="101"/>
      <c r="C16" s="94">
        <f t="shared" ref="C16:C17" si="3">J16</f>
        <v>1</v>
      </c>
      <c r="D16" s="94"/>
      <c r="E16" s="94">
        <f t="shared" ref="E16:E17" si="4">K16+E$13</f>
        <v>2165</v>
      </c>
      <c r="F16" s="94">
        <f t="shared" ref="F16:F17" si="5">L16+F$13</f>
        <v>540</v>
      </c>
      <c r="G16" s="94" t="str">
        <f t="shared" ref="G16:G17" si="6">D35</f>
        <v>CUB C/R R8</v>
      </c>
      <c r="H16" s="30"/>
      <c r="J16" s="3">
        <f t="shared" ref="J16:J17" si="7">J26</f>
        <v>1</v>
      </c>
      <c r="K16" s="4">
        <f t="shared" ref="K16:K17" si="8">E35</f>
        <v>2085</v>
      </c>
      <c r="L16" s="4">
        <f t="shared" ref="L16:L17" si="9">F35</f>
        <v>570</v>
      </c>
    </row>
    <row r="17" spans="1:12" ht="18" x14ac:dyDescent="0.35">
      <c r="A17" s="110"/>
      <c r="B17" s="101"/>
      <c r="C17" s="94">
        <f t="shared" si="3"/>
        <v>1</v>
      </c>
      <c r="D17" s="94"/>
      <c r="E17" s="94">
        <f t="shared" si="4"/>
        <v>1600</v>
      </c>
      <c r="F17" s="94">
        <f t="shared" si="5"/>
        <v>540</v>
      </c>
      <c r="G17" s="94" t="str">
        <f t="shared" si="6"/>
        <v>CUB C/R R8</v>
      </c>
      <c r="H17" s="30"/>
      <c r="J17" s="3">
        <f t="shared" si="7"/>
        <v>1</v>
      </c>
      <c r="K17" s="4">
        <f t="shared" si="8"/>
        <v>1520</v>
      </c>
      <c r="L17" s="4">
        <f t="shared" si="9"/>
        <v>570</v>
      </c>
    </row>
    <row r="18" spans="1:12" ht="18" x14ac:dyDescent="0.35">
      <c r="A18" s="2"/>
      <c r="B18" s="83"/>
      <c r="C18" s="73"/>
      <c r="D18" s="73"/>
      <c r="E18" s="73"/>
      <c r="F18" s="73"/>
      <c r="G18" s="73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0" t="s">
        <v>13</v>
      </c>
      <c r="C20" s="130"/>
      <c r="D20" s="130"/>
      <c r="E20" s="130"/>
      <c r="F20" s="130"/>
      <c r="G20" s="130"/>
      <c r="H20" s="30"/>
    </row>
    <row r="21" spans="1:12" ht="10.5" customHeight="1" x14ac:dyDescent="0.35">
      <c r="A21" s="2"/>
      <c r="B21" s="30"/>
      <c r="C21" s="30"/>
      <c r="D21" s="91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6" t="s">
        <v>6</v>
      </c>
      <c r="F22" s="66" t="s">
        <v>7</v>
      </c>
      <c r="G22" s="30"/>
      <c r="H22" s="30"/>
    </row>
    <row r="23" spans="1:12" ht="18" x14ac:dyDescent="0.35">
      <c r="A23" s="2"/>
      <c r="B23" s="66" t="s">
        <v>8</v>
      </c>
      <c r="C23" s="82" t="s">
        <v>9</v>
      </c>
      <c r="D23" s="82" t="s">
        <v>10</v>
      </c>
      <c r="E23" s="95">
        <v>40</v>
      </c>
      <c r="F23" s="95">
        <v>130</v>
      </c>
      <c r="G23" s="82" t="s">
        <v>107</v>
      </c>
      <c r="H23" s="30"/>
      <c r="K23" s="5" t="s">
        <v>6</v>
      </c>
      <c r="L23" s="5" t="s">
        <v>7</v>
      </c>
    </row>
    <row r="24" spans="1:12" ht="18" x14ac:dyDescent="0.35">
      <c r="A24" s="110"/>
      <c r="B24" s="101"/>
      <c r="C24" s="96">
        <f t="shared" ref="C24" si="10">J24</f>
        <v>1</v>
      </c>
      <c r="D24" s="96"/>
      <c r="E24" s="96">
        <f t="shared" ref="E24" si="11">K24+E$23</f>
        <v>2067</v>
      </c>
      <c r="F24" s="96">
        <f>L24+F$23</f>
        <v>700</v>
      </c>
      <c r="G24" s="96" t="str">
        <f>D33</f>
        <v>CUB C/R R8</v>
      </c>
      <c r="H24" s="30"/>
      <c r="J24" s="3">
        <f>C33</f>
        <v>1</v>
      </c>
      <c r="K24" s="107">
        <f>E33</f>
        <v>2027</v>
      </c>
      <c r="L24" s="107">
        <f>F33</f>
        <v>570</v>
      </c>
    </row>
    <row r="25" spans="1:12" ht="18" x14ac:dyDescent="0.35">
      <c r="A25" s="110"/>
      <c r="B25" s="101"/>
      <c r="C25" s="96">
        <f t="shared" ref="C25" si="12">J25</f>
        <v>1</v>
      </c>
      <c r="D25" s="96"/>
      <c r="E25" s="96">
        <f t="shared" ref="E25" si="13">K25+E$23</f>
        <v>1160</v>
      </c>
      <c r="F25" s="96">
        <f>L25+F$23</f>
        <v>700</v>
      </c>
      <c r="G25" s="96" t="str">
        <f>D34</f>
        <v>CUB C/R R8</v>
      </c>
      <c r="H25" s="30"/>
      <c r="J25" s="3">
        <f>C34</f>
        <v>1</v>
      </c>
      <c r="K25" s="107">
        <f>E34</f>
        <v>1120</v>
      </c>
      <c r="L25" s="107">
        <f>F34</f>
        <v>570</v>
      </c>
    </row>
    <row r="26" spans="1:12" ht="18" x14ac:dyDescent="0.35">
      <c r="A26" s="110"/>
      <c r="B26" s="101"/>
      <c r="C26" s="96">
        <f t="shared" ref="C26:C27" si="14">J26</f>
        <v>1</v>
      </c>
      <c r="D26" s="96"/>
      <c r="E26" s="96">
        <f t="shared" ref="E26:E27" si="15">K26+E$23</f>
        <v>2125</v>
      </c>
      <c r="F26" s="96">
        <f t="shared" ref="F26:F27" si="16">L26+F$23</f>
        <v>700</v>
      </c>
      <c r="G26" s="96" t="str">
        <f t="shared" ref="G26:G27" si="17">D35</f>
        <v>CUB C/R R8</v>
      </c>
      <c r="H26" s="30"/>
      <c r="J26" s="3">
        <f t="shared" ref="J26:J27" si="18">C35</f>
        <v>1</v>
      </c>
      <c r="K26" s="107">
        <f t="shared" ref="K26:L26" si="19">E35</f>
        <v>2085</v>
      </c>
      <c r="L26" s="107">
        <f t="shared" si="19"/>
        <v>570</v>
      </c>
    </row>
    <row r="27" spans="1:12" ht="18" x14ac:dyDescent="0.35">
      <c r="A27" s="110"/>
      <c r="B27" s="101"/>
      <c r="C27" s="96">
        <f t="shared" si="14"/>
        <v>1</v>
      </c>
      <c r="D27" s="96"/>
      <c r="E27" s="96">
        <f t="shared" si="15"/>
        <v>1560</v>
      </c>
      <c r="F27" s="96">
        <f t="shared" si="16"/>
        <v>700</v>
      </c>
      <c r="G27" s="96" t="str">
        <f t="shared" si="17"/>
        <v>CUB C/R R8</v>
      </c>
      <c r="H27" s="30"/>
      <c r="J27" s="3">
        <f t="shared" si="18"/>
        <v>1</v>
      </c>
      <c r="K27" s="107">
        <f t="shared" ref="K27:L27" si="20">E36</f>
        <v>1520</v>
      </c>
      <c r="L27" s="107">
        <f t="shared" si="20"/>
        <v>570</v>
      </c>
    </row>
    <row r="28" spans="1:12" ht="18" x14ac:dyDescent="0.35">
      <c r="A28" s="110"/>
      <c r="B28" s="101"/>
      <c r="C28" s="73"/>
      <c r="D28" s="73"/>
      <c r="E28" s="73"/>
      <c r="F28" s="73"/>
      <c r="G28" s="73"/>
      <c r="H28" s="30"/>
      <c r="J28" s="23"/>
      <c r="K28" s="120"/>
      <c r="L28" s="120"/>
    </row>
    <row r="29" spans="1:12" ht="18.600000000000001" thickBot="1" x14ac:dyDescent="0.4">
      <c r="A29" s="2"/>
      <c r="B29" s="83"/>
      <c r="C29" s="73"/>
      <c r="D29" s="73"/>
      <c r="E29" s="73"/>
      <c r="F29" s="73"/>
      <c r="G29" s="73"/>
      <c r="H29" s="30"/>
      <c r="I29" s="108"/>
      <c r="J29" s="109"/>
      <c r="K29" s="109"/>
      <c r="L29" s="109"/>
    </row>
    <row r="30" spans="1:12" ht="18.600000000000001" thickBot="1" x14ac:dyDescent="0.4">
      <c r="A30" s="2"/>
      <c r="B30" s="66"/>
      <c r="C30" s="97" t="s">
        <v>104</v>
      </c>
      <c r="D30" s="33"/>
      <c r="E30" s="33"/>
      <c r="F30" s="33"/>
      <c r="G30" s="98"/>
      <c r="H30" s="30"/>
      <c r="J30" s="2"/>
      <c r="K30" s="2"/>
      <c r="L30" s="2"/>
    </row>
    <row r="31" spans="1:12" ht="10.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2" ht="18" x14ac:dyDescent="0.35">
      <c r="A32" s="2"/>
      <c r="B32" s="66" t="s">
        <v>8</v>
      </c>
      <c r="C32" s="99" t="s">
        <v>9</v>
      </c>
      <c r="D32" s="99" t="s">
        <v>107</v>
      </c>
      <c r="E32" s="99" t="s">
        <v>6</v>
      </c>
      <c r="F32" s="99" t="s">
        <v>7</v>
      </c>
      <c r="G32" s="99" t="s">
        <v>21</v>
      </c>
      <c r="H32" s="30"/>
    </row>
    <row r="33" spans="1:10" ht="18" x14ac:dyDescent="0.35">
      <c r="A33" s="110"/>
      <c r="B33" s="101" t="s">
        <v>137</v>
      </c>
      <c r="C33" s="94">
        <f>'4637'!B21</f>
        <v>1</v>
      </c>
      <c r="D33" s="94" t="str">
        <f>D59</f>
        <v>CUB C/R R8</v>
      </c>
      <c r="E33" s="116">
        <f>'4637'!D21</f>
        <v>2027</v>
      </c>
      <c r="F33" s="116">
        <f>'4637'!E21</f>
        <v>570</v>
      </c>
      <c r="G33" s="4" t="str">
        <f>'4637'!F21</f>
        <v>BELARUS CHERRY 10277 SF</v>
      </c>
      <c r="H33" s="30"/>
      <c r="I33" s="28">
        <f>E33*F33/1000000</f>
        <v>1.1553899999999999</v>
      </c>
      <c r="J33" s="28">
        <f>I33*C33</f>
        <v>1.1553899999999999</v>
      </c>
    </row>
    <row r="34" spans="1:10" ht="18" x14ac:dyDescent="0.35">
      <c r="A34" s="110"/>
      <c r="B34" s="101"/>
      <c r="C34" s="94">
        <f>'4637'!B22</f>
        <v>1</v>
      </c>
      <c r="D34" s="94" t="str">
        <f>D60</f>
        <v>CUB C/R R8</v>
      </c>
      <c r="E34" s="116">
        <f>'4637'!D22</f>
        <v>1120</v>
      </c>
      <c r="F34" s="116">
        <f>'4637'!E22</f>
        <v>570</v>
      </c>
      <c r="G34" s="4" t="str">
        <f>'4637'!F22</f>
        <v>BELARUS CHERRY 10277 SF</v>
      </c>
      <c r="H34" s="30"/>
      <c r="I34" s="28"/>
      <c r="J34" s="28"/>
    </row>
    <row r="35" spans="1:10" ht="18" x14ac:dyDescent="0.35">
      <c r="A35" s="110"/>
      <c r="B35" s="101"/>
      <c r="C35" s="94">
        <f>'4637'!B23</f>
        <v>1</v>
      </c>
      <c r="D35" s="94" t="str">
        <f t="shared" ref="D35:D36" si="21">D61</f>
        <v>CUB C/R R8</v>
      </c>
      <c r="E35" s="116">
        <f>'4637'!D23</f>
        <v>2085</v>
      </c>
      <c r="F35" s="116">
        <f>'4637'!E23</f>
        <v>570</v>
      </c>
      <c r="G35" s="4" t="str">
        <f>'4637'!F23</f>
        <v>BELARUS CHERRY 10277 SF</v>
      </c>
      <c r="H35" s="30"/>
      <c r="I35" s="28"/>
      <c r="J35" s="28"/>
    </row>
    <row r="36" spans="1:10" ht="18" x14ac:dyDescent="0.35">
      <c r="A36" s="110"/>
      <c r="B36" s="101"/>
      <c r="C36" s="94">
        <f>'4637'!B24</f>
        <v>1</v>
      </c>
      <c r="D36" s="94" t="str">
        <f t="shared" si="21"/>
        <v>CUB C/R R8</v>
      </c>
      <c r="E36" s="116">
        <f>'4637'!D24</f>
        <v>1520</v>
      </c>
      <c r="F36" s="116">
        <f>'4637'!E24</f>
        <v>570</v>
      </c>
      <c r="G36" s="4" t="str">
        <f>'4637'!F24</f>
        <v>BELARUS CHERRY 10277 SF</v>
      </c>
      <c r="H36" s="30"/>
      <c r="I36" s="28"/>
      <c r="J36" s="28"/>
    </row>
    <row r="37" spans="1:10" ht="18" x14ac:dyDescent="0.35">
      <c r="A37" s="110"/>
      <c r="B37" s="101"/>
      <c r="C37" s="94">
        <f>'4637'!B25</f>
        <v>4</v>
      </c>
      <c r="D37" s="94" t="str">
        <f>D63</f>
        <v>CORTE 45° MAS DESFONDADOS</v>
      </c>
      <c r="E37" s="116">
        <f>'4637'!D25</f>
        <v>0</v>
      </c>
      <c r="F37" s="116">
        <f>'4637'!E25</f>
        <v>0</v>
      </c>
      <c r="G37" s="4">
        <f>'4637'!F25</f>
        <v>0</v>
      </c>
      <c r="H37" s="30"/>
      <c r="I37" s="28"/>
      <c r="J37" s="28"/>
    </row>
    <row r="38" spans="1:10" ht="18" x14ac:dyDescent="0.35">
      <c r="A38" s="110"/>
      <c r="B38" s="101"/>
      <c r="C38" s="104">
        <f>SUM(C33:C37)</f>
        <v>8</v>
      </c>
      <c r="D38" s="104"/>
      <c r="E38" s="105"/>
      <c r="F38" s="105"/>
      <c r="G38" s="104"/>
      <c r="H38" s="30"/>
      <c r="I38" s="28"/>
      <c r="J38" s="28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  <c r="J40" s="28">
        <f>SUM(J33:J33)*2</f>
        <v>2.3107799999999998</v>
      </c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73"/>
      <c r="D46" s="73"/>
      <c r="E46" s="73"/>
      <c r="F46" s="73"/>
      <c r="G46" s="73"/>
      <c r="H46" s="30"/>
    </row>
    <row r="47" spans="1:10" ht="18" x14ac:dyDescent="0.35">
      <c r="A47" s="2"/>
      <c r="B47" s="30"/>
      <c r="C47" s="73"/>
      <c r="D47" s="73"/>
      <c r="E47" s="73"/>
      <c r="F47" s="73"/>
      <c r="G47" s="73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18" x14ac:dyDescent="0.35">
      <c r="A49" s="2"/>
      <c r="B49" s="30"/>
      <c r="C49" s="30"/>
      <c r="D49" s="74" t="s">
        <v>25</v>
      </c>
      <c r="E49" s="75">
        <f>'4637'!G8</f>
        <v>4223</v>
      </c>
      <c r="F49" s="30"/>
      <c r="G49" s="30"/>
      <c r="H49" s="30"/>
    </row>
    <row r="50" spans="1:13" ht="17.25" customHeight="1" x14ac:dyDescent="0.35">
      <c r="A50" s="2"/>
      <c r="B50" s="30"/>
      <c r="C50" s="30"/>
      <c r="D50" s="76" t="s">
        <v>64</v>
      </c>
      <c r="E50" s="77" t="str">
        <f>'4637'!C10</f>
        <v>CRISTIAN LIZANA</v>
      </c>
      <c r="F50" s="48"/>
      <c r="G50" s="48"/>
      <c r="H50" s="30"/>
    </row>
    <row r="51" spans="1:13" ht="4.5" customHeight="1" x14ac:dyDescent="0.35">
      <c r="A51" s="2"/>
      <c r="B51" s="30"/>
      <c r="C51" s="30"/>
      <c r="D51" s="78"/>
      <c r="E51" s="79"/>
      <c r="F51" s="30"/>
      <c r="G51" s="30"/>
      <c r="H51" s="30"/>
    </row>
    <row r="52" spans="1:13" ht="18" x14ac:dyDescent="0.35">
      <c r="A52" s="2"/>
      <c r="B52" s="30"/>
      <c r="C52" s="30"/>
      <c r="D52" s="80" t="str">
        <f>'4637'!F11</f>
        <v>FECHA LIMITE :</v>
      </c>
      <c r="E52" s="81">
        <f>'4637'!G11</f>
        <v>45982</v>
      </c>
      <c r="F52" s="30"/>
      <c r="G52" s="30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 t="s">
        <v>134</v>
      </c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18" x14ac:dyDescent="0.35">
      <c r="A55" s="2"/>
      <c r="B55" s="131" t="s">
        <v>65</v>
      </c>
      <c r="C55" s="131"/>
      <c r="D55" s="131"/>
      <c r="E55" s="131"/>
      <c r="F55" s="131"/>
      <c r="G55" s="131"/>
      <c r="H55" s="30"/>
    </row>
    <row r="56" spans="1:13" ht="18" x14ac:dyDescent="0.35">
      <c r="A56" s="2"/>
      <c r="B56" s="30"/>
      <c r="C56" s="30"/>
      <c r="D56" s="30"/>
      <c r="E56" s="30"/>
      <c r="F56" s="30"/>
      <c r="G56" s="30"/>
      <c r="H56" s="30"/>
    </row>
    <row r="57" spans="1:13" ht="20.100000000000001" customHeight="1" x14ac:dyDescent="0.35">
      <c r="A57" s="2"/>
      <c r="B57" s="30"/>
      <c r="C57" s="132" t="s">
        <v>66</v>
      </c>
      <c r="D57" s="133"/>
      <c r="E57" s="134"/>
      <c r="F57" s="134"/>
      <c r="G57" s="135"/>
      <c r="H57" s="30"/>
      <c r="I57" s="25" t="s">
        <v>129</v>
      </c>
    </row>
    <row r="58" spans="1:13" s="10" customFormat="1" ht="20.100000000000001" customHeight="1" x14ac:dyDescent="0.35">
      <c r="A58" s="111"/>
      <c r="B58" s="30"/>
      <c r="C58" s="84" t="s">
        <v>9</v>
      </c>
      <c r="D58" s="85" t="s">
        <v>10</v>
      </c>
      <c r="E58" s="88" t="s">
        <v>6</v>
      </c>
      <c r="F58" s="88" t="s">
        <v>7</v>
      </c>
      <c r="G58" s="86" t="s">
        <v>11</v>
      </c>
      <c r="H58" s="30"/>
      <c r="K58" s="10">
        <v>15000</v>
      </c>
    </row>
    <row r="59" spans="1:13" s="10" customFormat="1" ht="20.100000000000001" customHeight="1" x14ac:dyDescent="0.35">
      <c r="A59" s="110"/>
      <c r="B59" s="100" t="s">
        <v>137</v>
      </c>
      <c r="C59" s="96">
        <f>'4637'!B21</f>
        <v>1</v>
      </c>
      <c r="D59" s="4" t="str">
        <f>'4637'!C21</f>
        <v>CUB C/R R8</v>
      </c>
      <c r="E59" s="116">
        <f>'4637'!D21</f>
        <v>2027</v>
      </c>
      <c r="F59" s="103">
        <f>'4637'!E21</f>
        <v>570</v>
      </c>
      <c r="G59" s="4" t="str">
        <f>'4637'!F21</f>
        <v>BELARUS CHERRY 10277 SF</v>
      </c>
      <c r="H59" s="30"/>
      <c r="I59" s="10">
        <f>E59*F59/1000000</f>
        <v>1.1553899999999999</v>
      </c>
      <c r="J59" s="10">
        <f>I59*C59</f>
        <v>1.1553899999999999</v>
      </c>
      <c r="K59" s="26">
        <f>J59*K$58</f>
        <v>17330.849999999999</v>
      </c>
      <c r="M59" s="24">
        <v>12096</v>
      </c>
    </row>
    <row r="60" spans="1:13" s="10" customFormat="1" ht="20.100000000000001" customHeight="1" x14ac:dyDescent="0.35">
      <c r="A60" s="110"/>
      <c r="B60" s="100"/>
      <c r="C60" s="96">
        <f>'4637'!B22</f>
        <v>1</v>
      </c>
      <c r="D60" s="4" t="str">
        <f>'4637'!C22</f>
        <v>CUB C/R R8</v>
      </c>
      <c r="E60" s="116">
        <f>'4637'!D22</f>
        <v>1120</v>
      </c>
      <c r="F60" s="103">
        <f>'4637'!E22</f>
        <v>570</v>
      </c>
      <c r="G60" s="4" t="str">
        <f>'4637'!F22</f>
        <v>BELARUS CHERRY 10277 SF</v>
      </c>
      <c r="H60" s="30"/>
      <c r="K60" s="26"/>
      <c r="M60" s="29"/>
    </row>
    <row r="61" spans="1:13" s="10" customFormat="1" ht="20.100000000000001" customHeight="1" x14ac:dyDescent="0.35">
      <c r="A61" s="110"/>
      <c r="B61" s="100"/>
      <c r="C61" s="96">
        <f>'4637'!B23</f>
        <v>1</v>
      </c>
      <c r="D61" s="4" t="str">
        <f>'4637'!C23</f>
        <v>CUB C/R R8</v>
      </c>
      <c r="E61" s="116">
        <f>'4637'!D23</f>
        <v>2085</v>
      </c>
      <c r="F61" s="103">
        <f>'4637'!E23</f>
        <v>570</v>
      </c>
      <c r="G61" s="4" t="str">
        <f>'4637'!F23</f>
        <v>BELARUS CHERRY 10277 SF</v>
      </c>
      <c r="H61" s="30"/>
      <c r="K61" s="26"/>
      <c r="M61" s="29"/>
    </row>
    <row r="62" spans="1:13" s="10" customFormat="1" ht="20.100000000000001" customHeight="1" x14ac:dyDescent="0.35">
      <c r="A62" s="110"/>
      <c r="B62" s="100"/>
      <c r="C62" s="96">
        <f>'4637'!B24</f>
        <v>1</v>
      </c>
      <c r="D62" s="4" t="str">
        <f>'4637'!C24</f>
        <v>CUB C/R R8</v>
      </c>
      <c r="E62" s="116">
        <f>'4637'!D24</f>
        <v>1520</v>
      </c>
      <c r="F62" s="103">
        <f>'4637'!E24</f>
        <v>570</v>
      </c>
      <c r="G62" s="4" t="str">
        <f>'4637'!F24</f>
        <v>BELARUS CHERRY 10277 SF</v>
      </c>
      <c r="H62" s="30"/>
      <c r="K62" s="26"/>
      <c r="M62" s="29"/>
    </row>
    <row r="63" spans="1:13" s="10" customFormat="1" ht="20.100000000000001" customHeight="1" x14ac:dyDescent="0.35">
      <c r="A63" s="110"/>
      <c r="B63" s="100"/>
      <c r="C63" s="96">
        <f>'4637'!B25</f>
        <v>4</v>
      </c>
      <c r="D63" s="4" t="str">
        <f>'4637'!C25</f>
        <v>CORTE 45° MAS DESFONDADOS</v>
      </c>
      <c r="E63" s="116">
        <f>'4637'!D25</f>
        <v>0</v>
      </c>
      <c r="F63" s="103">
        <f>'4637'!E25</f>
        <v>0</v>
      </c>
      <c r="G63" s="4">
        <f>'4637'!F25</f>
        <v>0</v>
      </c>
      <c r="H63" s="30"/>
      <c r="K63" s="26"/>
      <c r="M63" s="29"/>
    </row>
    <row r="64" spans="1:13" s="10" customFormat="1" ht="15" customHeight="1" x14ac:dyDescent="0.35">
      <c r="B64" s="83"/>
      <c r="C64" s="66"/>
      <c r="D64" s="66"/>
      <c r="E64" s="66"/>
      <c r="F64" s="66"/>
      <c r="G64" s="66"/>
      <c r="H64" s="30"/>
    </row>
    <row r="65" spans="2:11" ht="18" x14ac:dyDescent="0.35">
      <c r="B65" s="73"/>
      <c r="C65" s="73"/>
      <c r="D65" s="30"/>
      <c r="E65" s="73"/>
      <c r="F65" s="73"/>
      <c r="G65" s="78"/>
      <c r="H65" s="30"/>
    </row>
    <row r="66" spans="2:11" ht="18" x14ac:dyDescent="0.35">
      <c r="B66" s="73"/>
      <c r="C66" s="73"/>
      <c r="D66" s="30"/>
      <c r="E66" s="73"/>
      <c r="F66" s="73"/>
      <c r="G66" s="73"/>
      <c r="H66" s="30"/>
      <c r="J66" s="10">
        <f>SUM(J59:J59)</f>
        <v>1.1553899999999999</v>
      </c>
      <c r="K66" s="27">
        <f>SUM(K59:K59)</f>
        <v>17330.849999999999</v>
      </c>
    </row>
    <row r="67" spans="2:11" ht="18" x14ac:dyDescent="0.35">
      <c r="B67" s="30"/>
      <c r="C67" s="30"/>
      <c r="D67" s="30"/>
      <c r="E67" s="30"/>
      <c r="F67" s="30"/>
      <c r="G67" s="30"/>
      <c r="H67" s="30"/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8" x14ac:dyDescent="0.35">
      <c r="B69" s="30"/>
      <c r="C69" s="30"/>
      <c r="D69" s="30"/>
      <c r="E69" s="30"/>
      <c r="F69" s="30"/>
      <c r="G69" s="30"/>
      <c r="H69" s="30"/>
    </row>
    <row r="70" spans="2:11" ht="15" customHeight="1" x14ac:dyDescent="0.35">
      <c r="B70" s="30"/>
      <c r="C70" s="30"/>
      <c r="D70" s="30"/>
      <c r="E70" s="30"/>
      <c r="F70" s="30"/>
      <c r="G70" s="30"/>
      <c r="H70" s="30"/>
    </row>
    <row r="71" spans="2:11" ht="18" x14ac:dyDescent="0.35">
      <c r="B71" s="30"/>
      <c r="C71" s="30"/>
      <c r="D71" s="30"/>
      <c r="E71" s="30"/>
      <c r="F71" s="30"/>
      <c r="G71" s="30"/>
      <c r="H71" s="30"/>
    </row>
    <row r="72" spans="2:11" ht="18" x14ac:dyDescent="0.35">
      <c r="B72" s="73"/>
      <c r="C72" s="87"/>
      <c r="D72" s="30"/>
      <c r="E72" s="30"/>
      <c r="F72" s="30"/>
      <c r="G72" s="30"/>
      <c r="H72" s="30"/>
    </row>
    <row r="73" spans="2:11" ht="18" x14ac:dyDescent="0.35">
      <c r="B73" s="30"/>
      <c r="C73" s="30"/>
      <c r="D73" s="30"/>
      <c r="E73" s="30"/>
      <c r="F73" s="30"/>
      <c r="G73" s="30"/>
      <c r="H73" s="30"/>
    </row>
    <row r="74" spans="2:11" x14ac:dyDescent="0.3">
      <c r="C74" s="14"/>
      <c r="D74" s="14"/>
      <c r="F74" s="14"/>
      <c r="G74" s="14"/>
    </row>
    <row r="75" spans="2:11" x14ac:dyDescent="0.3">
      <c r="C75" s="14"/>
      <c r="D75" s="14"/>
      <c r="F75" s="14"/>
      <c r="G75" s="14"/>
    </row>
  </sheetData>
  <mergeCells count="6">
    <mergeCell ref="N3:O3"/>
    <mergeCell ref="B20:G20"/>
    <mergeCell ref="B10:G10"/>
    <mergeCell ref="B55:G55"/>
    <mergeCell ref="C57:G5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2025-11-18T14:21:15Z</cp:lastPrinted>
  <dcterms:created xsi:type="dcterms:W3CDTF">2013-03-19T12:54:14Z</dcterms:created>
  <dcterms:modified xsi:type="dcterms:W3CDTF">2025-11-18T14:38:02Z</dcterms:modified>
</cp:coreProperties>
</file>