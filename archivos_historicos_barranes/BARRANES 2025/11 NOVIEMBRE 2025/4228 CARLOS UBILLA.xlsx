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5\"/>
    </mc:Choice>
  </mc:AlternateContent>
  <xr:revisionPtr revIDLastSave="0" documentId="13_ncr:1_{47D4FD85-E038-44FD-972B-3166E6787627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'4637'!$B$1:$H$59</definedName>
    <definedName name="_xlnm.Print_Area" localSheetId="2">CUBIERTA!$A$1:$H$106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1" i="3" l="1"/>
  <c r="A22" i="3" s="1"/>
  <c r="A23" i="3" s="1"/>
  <c r="A24" i="3" s="1"/>
  <c r="A25" i="3" s="1"/>
  <c r="A20" i="3"/>
  <c r="L20" i="3"/>
  <c r="F20" i="3" s="1"/>
  <c r="L21" i="3"/>
  <c r="F21" i="3" s="1"/>
  <c r="L22" i="3"/>
  <c r="F22" i="3" s="1"/>
  <c r="L23" i="3"/>
  <c r="F23" i="3" s="1"/>
  <c r="L24" i="3"/>
  <c r="F24" i="3" s="1"/>
  <c r="L25" i="3"/>
  <c r="F25" i="3" s="1"/>
  <c r="A39" i="3"/>
  <c r="A40" i="3" s="1"/>
  <c r="A41" i="3" s="1"/>
  <c r="A42" i="3" s="1"/>
  <c r="A43" i="3" s="1"/>
  <c r="A44" i="3" s="1"/>
  <c r="A56" i="3"/>
  <c r="A57" i="3" s="1"/>
  <c r="A58" i="3" s="1"/>
  <c r="A59" i="3" s="1"/>
  <c r="A60" i="3" s="1"/>
  <c r="A61" i="3" s="1"/>
  <c r="C56" i="3"/>
  <c r="J39" i="3" s="1"/>
  <c r="C39" i="3" s="1"/>
  <c r="E56" i="3"/>
  <c r="K39" i="3" s="1"/>
  <c r="E39" i="3" s="1"/>
  <c r="F56" i="3"/>
  <c r="L39" i="3" s="1"/>
  <c r="F39" i="3" s="1"/>
  <c r="G56" i="3"/>
  <c r="C57" i="3"/>
  <c r="J40" i="3" s="1"/>
  <c r="C40" i="3" s="1"/>
  <c r="E57" i="3"/>
  <c r="K40" i="3" s="1"/>
  <c r="E40" i="3" s="1"/>
  <c r="F57" i="3"/>
  <c r="L40" i="3" s="1"/>
  <c r="F40" i="3" s="1"/>
  <c r="G57" i="3"/>
  <c r="C58" i="3"/>
  <c r="J41" i="3" s="1"/>
  <c r="C41" i="3" s="1"/>
  <c r="E58" i="3"/>
  <c r="K41" i="3" s="1"/>
  <c r="E41" i="3" s="1"/>
  <c r="F58" i="3"/>
  <c r="L41" i="3" s="1"/>
  <c r="F41" i="3" s="1"/>
  <c r="G58" i="3"/>
  <c r="C59" i="3"/>
  <c r="J42" i="3" s="1"/>
  <c r="C42" i="3" s="1"/>
  <c r="E59" i="3"/>
  <c r="K42" i="3" s="1"/>
  <c r="E42" i="3" s="1"/>
  <c r="F59" i="3"/>
  <c r="L42" i="3" s="1"/>
  <c r="F42" i="3" s="1"/>
  <c r="G59" i="3"/>
  <c r="C60" i="3"/>
  <c r="J43" i="3" s="1"/>
  <c r="C43" i="3" s="1"/>
  <c r="E60" i="3"/>
  <c r="K43" i="3" s="1"/>
  <c r="E43" i="3" s="1"/>
  <c r="F60" i="3"/>
  <c r="L43" i="3" s="1"/>
  <c r="F43" i="3" s="1"/>
  <c r="G60" i="3"/>
  <c r="C61" i="3"/>
  <c r="J44" i="3" s="1"/>
  <c r="C44" i="3" s="1"/>
  <c r="E61" i="3"/>
  <c r="K44" i="3" s="1"/>
  <c r="E44" i="3" s="1"/>
  <c r="F61" i="3"/>
  <c r="L44" i="3" s="1"/>
  <c r="F44" i="3" s="1"/>
  <c r="G61" i="3"/>
  <c r="C92" i="3"/>
  <c r="D92" i="3"/>
  <c r="D60" i="3" s="1"/>
  <c r="G43" i="3" s="1"/>
  <c r="E92" i="3"/>
  <c r="F92" i="3"/>
  <c r="G92" i="3"/>
  <c r="C93" i="3"/>
  <c r="D93" i="3"/>
  <c r="D61" i="3" s="1"/>
  <c r="G44" i="3" s="1"/>
  <c r="E93" i="3"/>
  <c r="F93" i="3"/>
  <c r="G93" i="3"/>
  <c r="C88" i="3"/>
  <c r="D88" i="3"/>
  <c r="D56" i="3" s="1"/>
  <c r="G39" i="3" s="1"/>
  <c r="E88" i="3"/>
  <c r="F88" i="3"/>
  <c r="G88" i="3"/>
  <c r="C89" i="3"/>
  <c r="D89" i="3"/>
  <c r="D57" i="3" s="1"/>
  <c r="G40" i="3" s="1"/>
  <c r="E89" i="3"/>
  <c r="F89" i="3"/>
  <c r="G89" i="3"/>
  <c r="C90" i="3"/>
  <c r="D90" i="3"/>
  <c r="D58" i="3" s="1"/>
  <c r="G41" i="3" s="1"/>
  <c r="E90" i="3"/>
  <c r="F90" i="3"/>
  <c r="G90" i="3"/>
  <c r="C91" i="3"/>
  <c r="D91" i="3"/>
  <c r="D59" i="3" s="1"/>
  <c r="G42" i="3" s="1"/>
  <c r="E91" i="3"/>
  <c r="F91" i="3"/>
  <c r="G91" i="3"/>
  <c r="K24" i="3" l="1"/>
  <c r="E24" i="3" s="1"/>
  <c r="K23" i="3"/>
  <c r="E23" i="3" s="1"/>
  <c r="K22" i="3"/>
  <c r="E22" i="3" s="1"/>
  <c r="K21" i="3"/>
  <c r="E21" i="3" s="1"/>
  <c r="K20" i="3"/>
  <c r="E20" i="3" s="1"/>
  <c r="J25" i="3"/>
  <c r="C25" i="3" s="1"/>
  <c r="J24" i="3"/>
  <c r="C24" i="3" s="1"/>
  <c r="J23" i="3"/>
  <c r="C23" i="3" s="1"/>
  <c r="J22" i="3"/>
  <c r="C22" i="3" s="1"/>
  <c r="J21" i="3"/>
  <c r="C21" i="3" s="1"/>
  <c r="J20" i="3"/>
  <c r="C20" i="3" s="1"/>
  <c r="K25" i="3"/>
  <c r="E25" i="3" s="1"/>
  <c r="G25" i="3"/>
  <c r="G24" i="3"/>
  <c r="G23" i="3"/>
  <c r="G22" i="3"/>
  <c r="G21" i="3"/>
  <c r="G20" i="3"/>
  <c r="C52" i="3"/>
  <c r="J35" i="3" s="1"/>
  <c r="C35" i="3" s="1"/>
  <c r="E52" i="3"/>
  <c r="K35" i="3" s="1"/>
  <c r="E35" i="3" s="1"/>
  <c r="F52" i="3"/>
  <c r="L35" i="3" s="1"/>
  <c r="F35" i="3" s="1"/>
  <c r="G52" i="3"/>
  <c r="C53" i="3"/>
  <c r="J36" i="3" s="1"/>
  <c r="C36" i="3" s="1"/>
  <c r="E53" i="3"/>
  <c r="K36" i="3" s="1"/>
  <c r="E36" i="3" s="1"/>
  <c r="F53" i="3"/>
  <c r="L36" i="3" s="1"/>
  <c r="F36" i="3" s="1"/>
  <c r="G53" i="3"/>
  <c r="C54" i="3"/>
  <c r="J37" i="3" s="1"/>
  <c r="C37" i="3" s="1"/>
  <c r="E54" i="3"/>
  <c r="K37" i="3" s="1"/>
  <c r="E37" i="3" s="1"/>
  <c r="F54" i="3"/>
  <c r="L37" i="3" s="1"/>
  <c r="F37" i="3" s="1"/>
  <c r="G54" i="3"/>
  <c r="C55" i="3"/>
  <c r="J38" i="3" s="1"/>
  <c r="C38" i="3" s="1"/>
  <c r="E55" i="3"/>
  <c r="K38" i="3" s="1"/>
  <c r="E38" i="3" s="1"/>
  <c r="F55" i="3"/>
  <c r="L38" i="3" s="1"/>
  <c r="F38" i="3" s="1"/>
  <c r="G55" i="3"/>
  <c r="C84" i="3"/>
  <c r="D84" i="3"/>
  <c r="D52" i="3" s="1"/>
  <c r="G35" i="3" s="1"/>
  <c r="E84" i="3"/>
  <c r="F84" i="3"/>
  <c r="G84" i="3"/>
  <c r="C85" i="3"/>
  <c r="D85" i="3"/>
  <c r="D53" i="3" s="1"/>
  <c r="G36" i="3" s="1"/>
  <c r="E85" i="3"/>
  <c r="F85" i="3"/>
  <c r="G85" i="3"/>
  <c r="C86" i="3"/>
  <c r="D86" i="3"/>
  <c r="D54" i="3" s="1"/>
  <c r="G37" i="3" s="1"/>
  <c r="E86" i="3"/>
  <c r="F86" i="3"/>
  <c r="G86" i="3"/>
  <c r="C87" i="3"/>
  <c r="D87" i="3"/>
  <c r="D55" i="3" s="1"/>
  <c r="G38" i="3" s="1"/>
  <c r="E87" i="3"/>
  <c r="F87" i="3"/>
  <c r="G87" i="3"/>
  <c r="C51" i="3"/>
  <c r="J34" i="3" s="1"/>
  <c r="C34" i="3" s="1"/>
  <c r="E51" i="3"/>
  <c r="K34" i="3" s="1"/>
  <c r="E34" i="3" s="1"/>
  <c r="F51" i="3"/>
  <c r="L34" i="3" s="1"/>
  <c r="F34" i="3" s="1"/>
  <c r="G51" i="3"/>
  <c r="C83" i="3"/>
  <c r="D83" i="3"/>
  <c r="D51" i="3" s="1"/>
  <c r="G34" i="3" s="1"/>
  <c r="E83" i="3"/>
  <c r="F83" i="3"/>
  <c r="G83" i="3"/>
  <c r="J16" i="3" l="1"/>
  <c r="C16" i="3" s="1"/>
  <c r="L19" i="3"/>
  <c r="F19" i="3" s="1"/>
  <c r="L16" i="3"/>
  <c r="F16" i="3" s="1"/>
  <c r="K17" i="3"/>
  <c r="E17" i="3" s="1"/>
  <c r="L18" i="3"/>
  <c r="F18" i="3" s="1"/>
  <c r="L17" i="3"/>
  <c r="F17" i="3" s="1"/>
  <c r="K19" i="3"/>
  <c r="E19" i="3" s="1"/>
  <c r="K18" i="3"/>
  <c r="E18" i="3" s="1"/>
  <c r="K16" i="3"/>
  <c r="E16" i="3" s="1"/>
  <c r="J19" i="3"/>
  <c r="C19" i="3" s="1"/>
  <c r="J18" i="3"/>
  <c r="C18" i="3" s="1"/>
  <c r="J17" i="3"/>
  <c r="C17" i="3" s="1"/>
  <c r="G19" i="3"/>
  <c r="G18" i="3"/>
  <c r="G17" i="3"/>
  <c r="G16" i="3"/>
  <c r="L15" i="3"/>
  <c r="F15" i="3" s="1"/>
  <c r="K15" i="3"/>
  <c r="E15" i="3" s="1"/>
  <c r="J15" i="3"/>
  <c r="C15" i="3" s="1"/>
  <c r="G15" i="3"/>
  <c r="G50" i="3"/>
  <c r="F50" i="3"/>
  <c r="L14" i="3" s="1"/>
  <c r="E50" i="3"/>
  <c r="K14" i="3" s="1"/>
  <c r="E14" i="3" s="1"/>
  <c r="C50" i="3"/>
  <c r="G82" i="3"/>
  <c r="F82" i="3"/>
  <c r="E82" i="3"/>
  <c r="D82" i="3"/>
  <c r="D50" i="3" s="1"/>
  <c r="C82" i="3"/>
  <c r="L21" i="4" l="1"/>
  <c r="K21" i="4"/>
  <c r="M21" i="4" l="1"/>
  <c r="N21" i="4" s="1"/>
  <c r="G33" i="3" l="1"/>
  <c r="L33" i="3"/>
  <c r="F33" i="3" s="1"/>
  <c r="J33" i="3" l="1"/>
  <c r="I50" i="3"/>
  <c r="J50" i="3" s="1"/>
  <c r="K33" i="3"/>
  <c r="E33" i="3" s="1"/>
  <c r="I82" i="3"/>
  <c r="J82" i="3" s="1"/>
  <c r="G14" i="3"/>
  <c r="F14" i="3"/>
  <c r="C33" i="3" l="1"/>
  <c r="J14" i="3"/>
  <c r="C14" i="3" s="1"/>
  <c r="J63" i="3"/>
  <c r="K82" i="3"/>
  <c r="J97" i="3"/>
  <c r="O5" i="3"/>
  <c r="K97" i="3" l="1"/>
  <c r="N5" i="3"/>
  <c r="M5" i="3"/>
  <c r="L5" i="3"/>
  <c r="D75" i="3" l="1"/>
  <c r="D7" i="3"/>
  <c r="E73" i="3"/>
  <c r="E5" i="3"/>
  <c r="E75" i="3"/>
  <c r="E7" i="3"/>
  <c r="E72" i="3"/>
  <c r="E4" i="3"/>
</calcChain>
</file>

<file path=xl/sharedStrings.xml><?xml version="1.0" encoding="utf-8"?>
<sst xmlns="http://schemas.openxmlformats.org/spreadsheetml/2006/main" count="269" uniqueCount="145">
  <si>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</si>
  <si>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</si>
  <si>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</si>
  <si>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</si>
  <si>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</si>
  <si>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</si>
  <si>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</si>
  <si>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</si>
  <si>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</si>
  <si>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</si>
  <si>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</si>
  <si>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</si>
  <si>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</si>
  <si>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</si>
  <si>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</si>
  <si>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</si>
  <si>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</si>
  <si>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</si>
  <si>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</si>
  <si>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</si>
  <si>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</si>
  <si>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</si>
  <si>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</si>
  <si>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</si>
  <si>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</si>
  <si>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</si>
  <si>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</si>
  <si>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</si>
  <si>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</si>
  <si>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</si>
  <si>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</si>
  <si>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</si>
  <si>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</si>
  <si>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</si>
  <si>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</si>
  <si>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</si>
  <si>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</si>
  <si>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</si>
  <si>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</si>
  <si>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</si>
  <si>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</si>
  <si>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</si>
  <si>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</si>
  <si>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</si>
  <si>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</si>
  <si>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</si>
  <si>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</si>
  <si>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</si>
  <si>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</si>
  <si>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</si>
  <si>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</si>
  <si>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</si>
  <si>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</si>
  <si>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</si>
  <si>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</si>
  <si>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</si>
  <si>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</si>
  <si>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</si>
  <si>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</si>
  <si>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</si>
  <si>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</si>
  <si>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</si>
  <si>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</si>
  <si>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</si>
  <si>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</si>
  <si>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</si>
  <si>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</si>
  <si>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</si>
  <si>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</si>
  <si>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</si>
  <si>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</si>
  <si>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</si>
  <si>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</si>
  <si>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</si>
  <si>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</si>
  <si>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</si>
  <si>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</si>
  <si>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</si>
  <si>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</si>
  <si>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</si>
  <si>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</si>
  <si>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</si>
  <si>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</si>
  <si>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</si>
  <si>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</si>
  <si>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</si>
  <si>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</si>
  <si>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</si>
  <si>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</si>
  <si>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</si>
  <si>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</si>
  <si>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</si>
  <si>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</si>
  <si>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</si>
  <si>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</si>
  <si>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</si>
  <si>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</si>
  <si>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</si>
  <si>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</si>
  <si>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</si>
  <si>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</si>
  <si>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</si>
  <si>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</si>
  <si>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</si>
  <si>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</si>
  <si>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</si>
  <si>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</si>
  <si>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</si>
  <si>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</si>
  <si>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</si>
  <si>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</si>
  <si>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</si>
  <si>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</si>
  <si>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</si>
  <si>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</si>
  <si>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</si>
  <si>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</si>
  <si>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</si>
  <si>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</si>
  <si>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</si>
  <si>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</si>
  <si>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</si>
  <si>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</si>
  <si>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</si>
  <si>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</si>
  <si>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</si>
  <si>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</si>
  <si>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</si>
  <si>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</si>
  <si>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</si>
  <si>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</si>
  <si>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</si>
  <si>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</si>
  <si>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</si>
  <si>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</si>
  <si>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</si>
  <si>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</si>
  <si>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569 6258 4788</t>
  </si>
  <si>
    <t xml:space="preserve">N° </t>
  </si>
  <si>
    <t>MELAMIL 18MM</t>
  </si>
  <si>
    <t>CARLOS UBILLA</t>
  </si>
  <si>
    <t>LOS ANDES</t>
  </si>
  <si>
    <t>WINTER SANSARA MAPLE 14689 SF</t>
  </si>
  <si>
    <t>PR6 / 2 DE 350</t>
  </si>
  <si>
    <t>PR6 / 3FTES DE 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</si>
</sst>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 applyAlignment="1">
      <alignment horizontal="left" vertical="top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9" fillId="0" borderId="0" xfId="0" applyFont="1" applyBorder="1" applyAlignment="1">
      <alignment horizontal="center" vertical="center"/>
    </xf>
    <xf numFmtId="1" fontId="9" fillId="0" borderId="0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34</xdr:row>
      <xdr:rowOff>23327</xdr:rowOff>
    </xdr:from>
    <xdr:to>
      <xdr:col>5</xdr:col>
      <xdr:colOff>1539552</xdr:colOff>
      <xdr:row>37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PROYECTO PARTICULAR</a:t>
          </a:r>
          <a:endParaRPr lang="es-CL" sz="900" b="1" i="0" baseline="0"/>
        </a:p>
      </xdr:txBody>
    </xdr:sp>
    <xdr:clientData/>
  </xdr:twoCellAnchor>
  <xdr:twoCellAnchor editAs="oneCell">
    <xdr:from>
      <xdr:col>0</xdr:col>
      <xdr:colOff>1083</xdr:colOff>
      <xdr:row>0</xdr:row>
      <xdr:rowOff>38100</xdr:rowOff>
    </xdr:from>
    <xdr:to>
      <xdr:col>2</xdr:col>
      <xdr:colOff>587503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3" y="38100"/>
          <a:ext cx="1558359" cy="1125739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54</xdr:row>
      <xdr:rowOff>0</xdr:rowOff>
    </xdr:from>
    <xdr:to>
      <xdr:col>4</xdr:col>
      <xdr:colOff>369336</xdr:colOff>
      <xdr:row>54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56</xdr:row>
      <xdr:rowOff>1</xdr:rowOff>
    </xdr:from>
    <xdr:to>
      <xdr:col>4</xdr:col>
      <xdr:colOff>349897</xdr:colOff>
      <xdr:row>56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27</xdr:row>
      <xdr:rowOff>66674</xdr:rowOff>
    </xdr:from>
    <xdr:to>
      <xdr:col>6</xdr:col>
      <xdr:colOff>2914649</xdr:colOff>
      <xdr:row>29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76</xdr:row>
      <xdr:rowOff>190500</xdr:rowOff>
    </xdr:from>
    <xdr:to>
      <xdr:col>7</xdr:col>
      <xdr:colOff>9524</xdr:colOff>
      <xdr:row>78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73</xdr:row>
      <xdr:rowOff>30479</xdr:rowOff>
    </xdr:from>
    <xdr:to>
      <xdr:col>6</xdr:col>
      <xdr:colOff>2912745</xdr:colOff>
      <xdr:row>74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71</xdr:row>
      <xdr:rowOff>209549</xdr:rowOff>
    </xdr:from>
    <xdr:to>
      <xdr:col>7</xdr:col>
      <xdr:colOff>0</xdr:colOff>
      <xdr:row>73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70</xdr:row>
      <xdr:rowOff>171450</xdr:rowOff>
    </xdr:from>
    <xdr:to>
      <xdr:col>7</xdr:col>
      <xdr:colOff>19050</xdr:colOff>
      <xdr:row>71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95</xdr:row>
      <xdr:rowOff>0</xdr:rowOff>
    </xdr:from>
    <xdr:to>
      <xdr:col>3</xdr:col>
      <xdr:colOff>38100</xdr:colOff>
      <xdr:row>96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95</xdr:row>
      <xdr:rowOff>0</xdr:rowOff>
    </xdr:from>
    <xdr:to>
      <xdr:col>3</xdr:col>
      <xdr:colOff>1019175</xdr:colOff>
      <xdr:row>96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95</xdr:row>
      <xdr:rowOff>0</xdr:rowOff>
    </xdr:from>
    <xdr:to>
      <xdr:col>4</xdr:col>
      <xdr:colOff>352425</xdr:colOff>
      <xdr:row>96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95</xdr:row>
      <xdr:rowOff>0</xdr:rowOff>
    </xdr:from>
    <xdr:to>
      <xdr:col>5</xdr:col>
      <xdr:colOff>257175</xdr:colOff>
      <xdr:row>96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95</xdr:row>
      <xdr:rowOff>0</xdr:rowOff>
    </xdr:from>
    <xdr:to>
      <xdr:col>6</xdr:col>
      <xdr:colOff>447675</xdr:colOff>
      <xdr:row>96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95</xdr:row>
      <xdr:rowOff>0</xdr:rowOff>
    </xdr:from>
    <xdr:to>
      <xdr:col>7</xdr:col>
      <xdr:colOff>0</xdr:colOff>
      <xdr:row>96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96</xdr:row>
      <xdr:rowOff>0</xdr:rowOff>
    </xdr:from>
    <xdr:to>
      <xdr:col>3</xdr:col>
      <xdr:colOff>304800</xdr:colOff>
      <xdr:row>97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96</xdr:row>
      <xdr:rowOff>0</xdr:rowOff>
    </xdr:from>
    <xdr:to>
      <xdr:col>3</xdr:col>
      <xdr:colOff>1276350</xdr:colOff>
      <xdr:row>97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96</xdr:row>
      <xdr:rowOff>0</xdr:rowOff>
    </xdr:from>
    <xdr:to>
      <xdr:col>4</xdr:col>
      <xdr:colOff>619125</xdr:colOff>
      <xdr:row>97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96</xdr:row>
      <xdr:rowOff>0</xdr:rowOff>
    </xdr:from>
    <xdr:to>
      <xdr:col>5</xdr:col>
      <xdr:colOff>523875</xdr:colOff>
      <xdr:row>97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96</xdr:row>
      <xdr:rowOff>0</xdr:rowOff>
    </xdr:from>
    <xdr:to>
      <xdr:col>6</xdr:col>
      <xdr:colOff>723900</xdr:colOff>
      <xdr:row>97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96</xdr:row>
      <xdr:rowOff>0</xdr:rowOff>
    </xdr:from>
    <xdr:to>
      <xdr:col>7</xdr:col>
      <xdr:colOff>0</xdr:colOff>
      <xdr:row>97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62</xdr:row>
      <xdr:rowOff>15239</xdr:rowOff>
    </xdr:from>
    <xdr:to>
      <xdr:col>7</xdr:col>
      <xdr:colOff>0</xdr:colOff>
      <xdr:row>66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SON PARA PROYECTO DE COCINA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46</xdr:row>
      <xdr:rowOff>1</xdr:rowOff>
    </xdr:from>
    <xdr:to>
      <xdr:col>7</xdr:col>
      <xdr:colOff>19048</xdr:colOff>
      <xdr:row>47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98</xdr:row>
      <xdr:rowOff>32385</xdr:rowOff>
    </xdr:from>
    <xdr:to>
      <xdr:col>7</xdr:col>
      <xdr:colOff>7620</xdr:colOff>
      <xdr:row>102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SON PARA PROYECTO DE COCINA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70</xdr:row>
      <xdr:rowOff>146685</xdr:rowOff>
    </xdr:from>
    <xdr:to>
      <xdr:col>2</xdr:col>
      <xdr:colOff>786523</xdr:colOff>
      <xdr:row>76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104</xdr:row>
      <xdr:rowOff>0</xdr:rowOff>
    </xdr:from>
    <xdr:to>
      <xdr:col>4</xdr:col>
      <xdr:colOff>304800</xdr:colOff>
      <xdr:row>105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0"/>
  <sheetViews>
    <sheetView topLeftCell="B17" zoomScale="98" zoomScaleNormal="98" workbookViewId="0">
      <selection activeCell="B10" sqref="B1:B104857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138</v>
      </c>
      <c r="E8" s="30"/>
      <c r="F8" s="35" t="s">
        <v>25</v>
      </c>
      <c r="G8" s="36">
        <v>4228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45989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19" t="s">
        <v>137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141</v>
      </c>
      <c r="D16" s="55"/>
      <c r="E16" s="56"/>
      <c r="F16" s="120" t="s">
        <v>17</v>
      </c>
      <c r="G16" s="120"/>
      <c r="H16" s="121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2" t="s">
        <v>18</v>
      </c>
      <c r="C19" s="123"/>
      <c r="D19" s="123"/>
      <c r="E19" s="123"/>
      <c r="F19" s="123"/>
      <c r="G19" s="123"/>
      <c r="H19" s="124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2</v>
      </c>
      <c r="C21" s="102" t="s">
        <v>60</v>
      </c>
      <c r="D21" s="103">
        <v>730</v>
      </c>
      <c r="E21" s="103">
        <v>487</v>
      </c>
      <c r="F21" s="102" t="s">
        <v>142</v>
      </c>
      <c r="G21" s="113"/>
      <c r="H21" s="113"/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2</v>
      </c>
      <c r="C22" s="102" t="s">
        <v>60</v>
      </c>
      <c r="D22" s="103">
        <v>730</v>
      </c>
      <c r="E22" s="103">
        <v>397</v>
      </c>
      <c r="F22" s="102" t="s">
        <v>142</v>
      </c>
      <c r="G22" s="113"/>
      <c r="H22" s="113"/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1</v>
      </c>
      <c r="C23" s="102" t="s">
        <v>144</v>
      </c>
      <c r="D23" s="103">
        <v>730</v>
      </c>
      <c r="E23" s="103">
        <v>591</v>
      </c>
      <c r="F23" s="102" t="s">
        <v>142</v>
      </c>
      <c r="G23" s="113"/>
      <c r="H23" s="113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2">
        <v>2</v>
      </c>
      <c r="C24" s="102" t="s">
        <v>60</v>
      </c>
      <c r="D24" s="103">
        <v>730</v>
      </c>
      <c r="E24" s="103">
        <v>297</v>
      </c>
      <c r="F24" s="102" t="s">
        <v>142</v>
      </c>
      <c r="G24" s="113"/>
      <c r="H24" s="113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2">
        <v>2</v>
      </c>
      <c r="C25" s="102" t="s">
        <v>60</v>
      </c>
      <c r="D25" s="103">
        <v>730</v>
      </c>
      <c r="E25" s="103">
        <v>297</v>
      </c>
      <c r="F25" s="102" t="s">
        <v>142</v>
      </c>
      <c r="G25" s="113"/>
      <c r="H25" s="113"/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2">
        <v>2</v>
      </c>
      <c r="C26" s="102" t="s">
        <v>60</v>
      </c>
      <c r="D26" s="103">
        <v>416</v>
      </c>
      <c r="E26" s="103">
        <v>297</v>
      </c>
      <c r="F26" s="102" t="s">
        <v>142</v>
      </c>
      <c r="G26" s="113"/>
      <c r="H26" s="113"/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2">
        <v>4</v>
      </c>
      <c r="C27" s="102" t="s">
        <v>60</v>
      </c>
      <c r="D27" s="103">
        <v>730</v>
      </c>
      <c r="E27" s="103">
        <v>335</v>
      </c>
      <c r="F27" s="102" t="s">
        <v>142</v>
      </c>
      <c r="G27" s="113"/>
      <c r="H27" s="113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2">
        <v>2</v>
      </c>
      <c r="C28" s="102" t="s">
        <v>60</v>
      </c>
      <c r="D28" s="103">
        <v>730</v>
      </c>
      <c r="E28" s="103">
        <v>147</v>
      </c>
      <c r="F28" s="102" t="s">
        <v>142</v>
      </c>
      <c r="G28" s="113"/>
      <c r="H28" s="113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2">
        <v>1</v>
      </c>
      <c r="C29" s="102" t="s">
        <v>143</v>
      </c>
      <c r="D29" s="103">
        <v>730</v>
      </c>
      <c r="E29" s="103">
        <v>597</v>
      </c>
      <c r="F29" s="102" t="s">
        <v>142</v>
      </c>
      <c r="G29" s="113"/>
      <c r="H29" s="113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2">
        <v>4</v>
      </c>
      <c r="C30" s="102" t="s">
        <v>60</v>
      </c>
      <c r="D30" s="103">
        <v>820</v>
      </c>
      <c r="E30" s="103">
        <v>335</v>
      </c>
      <c r="F30" s="102" t="s">
        <v>142</v>
      </c>
      <c r="G30" s="113"/>
      <c r="H30" s="113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2">
        <v>2</v>
      </c>
      <c r="C31" s="102" t="s">
        <v>60</v>
      </c>
      <c r="D31" s="103">
        <v>820</v>
      </c>
      <c r="E31" s="103">
        <v>432</v>
      </c>
      <c r="F31" s="102" t="s">
        <v>142</v>
      </c>
      <c r="G31" s="113"/>
      <c r="H31" s="113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2">
        <v>2</v>
      </c>
      <c r="C32" s="102" t="s">
        <v>60</v>
      </c>
      <c r="D32" s="103">
        <v>520</v>
      </c>
      <c r="E32" s="103">
        <v>457</v>
      </c>
      <c r="F32" s="102" t="s">
        <v>142</v>
      </c>
      <c r="G32" s="113"/>
      <c r="H32" s="113"/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34"/>
      <c r="C33" s="134"/>
      <c r="D33" s="135"/>
      <c r="E33" s="135"/>
      <c r="F33" s="134"/>
      <c r="G33" s="106"/>
      <c r="H33" s="106"/>
      <c r="I33" s="30"/>
      <c r="K33" s="11"/>
      <c r="L33" s="15"/>
      <c r="M33" s="11"/>
      <c r="N33" s="11"/>
      <c r="O33" s="15"/>
      <c r="P33" s="21"/>
    </row>
    <row r="34" spans="1:16" ht="20.100000000000001" customHeight="1" thickBot="1" x14ac:dyDescent="0.4">
      <c r="A34" s="30"/>
      <c r="B34" s="104"/>
      <c r="C34" s="104"/>
      <c r="D34" s="112"/>
      <c r="E34" s="112"/>
      <c r="F34" s="104"/>
      <c r="G34" s="106"/>
      <c r="H34" s="106"/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4"/>
      <c r="C35" s="104"/>
      <c r="D35" s="112"/>
      <c r="E35" s="112"/>
      <c r="F35" s="104"/>
      <c r="G35" s="60" t="s">
        <v>5</v>
      </c>
      <c r="H35" s="61"/>
      <c r="I35" s="30"/>
      <c r="K35" s="11"/>
      <c r="L35" s="15"/>
      <c r="M35" s="11"/>
      <c r="N35" s="11"/>
      <c r="O35" s="15"/>
      <c r="P35" s="21"/>
    </row>
    <row r="36" spans="1:16" ht="20.100000000000001" customHeight="1" x14ac:dyDescent="0.35">
      <c r="A36" s="30"/>
      <c r="B36" s="104"/>
      <c r="C36" s="104"/>
      <c r="D36" s="112"/>
      <c r="E36" s="112"/>
      <c r="F36" s="104"/>
      <c r="G36" s="62" t="s">
        <v>136</v>
      </c>
      <c r="H36" s="63"/>
      <c r="I36" s="30"/>
      <c r="K36" s="11"/>
      <c r="L36" s="15"/>
      <c r="M36" s="11"/>
      <c r="N36" s="11"/>
      <c r="O36" s="15"/>
      <c r="P36" s="21"/>
    </row>
    <row r="37" spans="1:16" ht="20.100000000000001" customHeight="1" thickBot="1" x14ac:dyDescent="0.4">
      <c r="A37" s="30"/>
      <c r="B37" s="104"/>
      <c r="C37" s="104"/>
      <c r="D37" s="112"/>
      <c r="E37" s="112"/>
      <c r="F37" s="104"/>
      <c r="G37" s="64" t="s">
        <v>4</v>
      </c>
      <c r="H37" s="65"/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04"/>
      <c r="C38" s="104"/>
      <c r="D38" s="112"/>
      <c r="E38" s="112"/>
      <c r="F38" s="104"/>
      <c r="I38" s="30"/>
      <c r="K38" s="11"/>
      <c r="L38" s="15"/>
      <c r="M38" s="11"/>
      <c r="N38" s="11"/>
      <c r="O38" s="15"/>
      <c r="P38" s="21"/>
    </row>
    <row r="39" spans="1:16" ht="20.100000000000001" customHeight="1" x14ac:dyDescent="0.35">
      <c r="A39" s="30"/>
      <c r="B39" s="104"/>
      <c r="C39" s="104"/>
      <c r="D39" s="112"/>
      <c r="E39" s="112"/>
      <c r="F39" s="104"/>
      <c r="G39" s="106"/>
      <c r="H39" s="106"/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104"/>
      <c r="C40" s="104"/>
      <c r="D40" s="112"/>
      <c r="E40" s="112"/>
      <c r="F40" s="104"/>
      <c r="G40" s="106"/>
      <c r="H40" s="106"/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04"/>
      <c r="C41" s="104"/>
      <c r="D41" s="105"/>
      <c r="E41" s="105"/>
      <c r="F41" s="104"/>
      <c r="G41" s="106"/>
      <c r="H41" s="106"/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04"/>
      <c r="C42" s="104"/>
      <c r="D42" s="105"/>
      <c r="E42" s="105"/>
      <c r="F42" s="104"/>
      <c r="G42" s="106"/>
      <c r="H42" s="106"/>
      <c r="I42" s="30"/>
      <c r="K42" s="11"/>
      <c r="L42" s="15"/>
      <c r="M42" s="11"/>
      <c r="N42" s="11"/>
      <c r="O42" s="15"/>
      <c r="P42" s="21"/>
    </row>
    <row r="43" spans="1:16" ht="13.2" customHeight="1" x14ac:dyDescent="0.35">
      <c r="A43" s="30"/>
      <c r="B43" s="59"/>
      <c r="C43" s="59"/>
      <c r="D43" s="59"/>
      <c r="E43" s="59"/>
      <c r="F43" s="59"/>
      <c r="G43" s="58"/>
      <c r="H43" s="58"/>
      <c r="I43" s="30"/>
    </row>
    <row r="44" spans="1:16" ht="20.100000000000001" customHeight="1" x14ac:dyDescent="0.35">
      <c r="A44" s="30"/>
      <c r="B44" s="30"/>
      <c r="C44" s="30"/>
      <c r="D44" s="30"/>
      <c r="E44" s="30"/>
      <c r="F44" s="30"/>
      <c r="I44" s="30"/>
    </row>
    <row r="45" spans="1:16" ht="20.100000000000001" customHeight="1" x14ac:dyDescent="0.35">
      <c r="A45" s="30"/>
      <c r="B45" s="30"/>
      <c r="C45" s="30"/>
      <c r="D45" s="30"/>
      <c r="E45" s="30"/>
      <c r="F45" s="30"/>
      <c r="I45" s="30"/>
    </row>
    <row r="46" spans="1:16" ht="20.100000000000001" customHeight="1" x14ac:dyDescent="0.35">
      <c r="A46" s="30"/>
      <c r="B46" s="30"/>
      <c r="C46" s="30"/>
      <c r="D46" s="30"/>
      <c r="E46" s="30"/>
      <c r="F46" s="30"/>
      <c r="I46" s="30"/>
    </row>
    <row r="47" spans="1:16" ht="20.100000000000001" customHeight="1" x14ac:dyDescent="0.35">
      <c r="A47" s="30"/>
      <c r="B47" s="30"/>
      <c r="C47" s="30"/>
      <c r="D47" s="30"/>
      <c r="E47" s="30"/>
      <c r="F47" s="30"/>
      <c r="G47" s="66"/>
      <c r="H47" s="67"/>
      <c r="I47" s="30"/>
    </row>
    <row r="48" spans="1:16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68" t="s">
        <v>133</v>
      </c>
      <c r="C49" s="69"/>
      <c r="D49" s="70"/>
      <c r="E49" s="70"/>
      <c r="F49" s="59"/>
      <c r="G49" s="30"/>
      <c r="H49" s="30"/>
      <c r="I49" s="30"/>
    </row>
    <row r="50" spans="1:9" ht="18" x14ac:dyDescent="0.35">
      <c r="A50" s="30"/>
      <c r="B50" s="68" t="s">
        <v>119</v>
      </c>
      <c r="C50" s="69"/>
      <c r="D50" s="70"/>
      <c r="E50" s="70"/>
      <c r="F50" s="59"/>
      <c r="G50" s="30"/>
      <c r="H50" s="30"/>
      <c r="I50" s="30"/>
    </row>
    <row r="51" spans="1:9" ht="18" x14ac:dyDescent="0.35">
      <c r="A51" s="30"/>
      <c r="B51" s="30" t="s">
        <v>23</v>
      </c>
      <c r="C51" s="30"/>
      <c r="D51" s="30"/>
      <c r="E51" s="30"/>
      <c r="F51" s="30"/>
      <c r="G51" s="30"/>
      <c r="H51" s="30"/>
      <c r="I51" s="30"/>
    </row>
    <row r="52" spans="1:9" ht="18" x14ac:dyDescent="0.35">
      <c r="A52" s="30"/>
      <c r="B52" s="71" t="s">
        <v>24</v>
      </c>
      <c r="C52" s="71"/>
      <c r="D52" s="30"/>
      <c r="E52" s="30"/>
      <c r="F52" s="30"/>
      <c r="G52" s="30"/>
      <c r="H52" s="30"/>
      <c r="I52" s="30"/>
    </row>
    <row r="53" spans="1:9" ht="18" x14ac:dyDescent="0.35">
      <c r="A53" s="30"/>
      <c r="B53" s="30"/>
      <c r="C53" s="30"/>
      <c r="D53" s="30"/>
      <c r="E53" s="71"/>
      <c r="F53" s="30"/>
      <c r="G53" s="30"/>
      <c r="H53" s="30"/>
      <c r="I53" s="30"/>
    </row>
    <row r="54" spans="1:9" ht="18" x14ac:dyDescent="0.35">
      <c r="A54" s="30"/>
      <c r="B54" s="31" t="s">
        <v>131</v>
      </c>
      <c r="C54" s="31"/>
      <c r="D54" s="31"/>
      <c r="E54" s="72"/>
      <c r="F54" s="30"/>
      <c r="G54" s="30"/>
      <c r="H54" s="30"/>
      <c r="I54" s="30"/>
    </row>
    <row r="55" spans="1:9" ht="18" x14ac:dyDescent="0.35">
      <c r="A55" s="30"/>
      <c r="B55" s="31"/>
      <c r="C55" s="31"/>
      <c r="D55" s="31"/>
      <c r="E55" s="72"/>
      <c r="F55" s="30"/>
      <c r="G55" s="30"/>
      <c r="H55" s="30"/>
      <c r="I55" s="30"/>
    </row>
    <row r="56" spans="1:9" ht="18" x14ac:dyDescent="0.35">
      <c r="A56" s="30"/>
      <c r="B56" s="31" t="s">
        <v>132</v>
      </c>
      <c r="C56" s="30"/>
      <c r="D56" s="30"/>
      <c r="E56" s="71"/>
      <c r="F56" s="30"/>
      <c r="G56" s="30"/>
      <c r="H56" s="30"/>
      <c r="I56" s="30"/>
    </row>
    <row r="57" spans="1:9" ht="18" x14ac:dyDescent="0.35">
      <c r="A57" s="30"/>
      <c r="B57" s="30"/>
      <c r="C57" s="30"/>
      <c r="D57" s="30"/>
      <c r="E57" s="71"/>
      <c r="F57" s="30"/>
      <c r="G57" s="30"/>
      <c r="H57" s="30"/>
      <c r="I57" s="30"/>
    </row>
    <row r="58" spans="1:9" ht="18" x14ac:dyDescent="0.35">
      <c r="A58" s="30"/>
      <c r="B58" s="30"/>
      <c r="C58" s="30"/>
      <c r="D58" s="30"/>
      <c r="E58" s="30"/>
      <c r="F58" s="30"/>
      <c r="G58" s="30"/>
      <c r="H58" s="30"/>
      <c r="I58" s="30"/>
    </row>
    <row r="59" spans="1:9" ht="18" x14ac:dyDescent="0.35">
      <c r="A59" s="30"/>
      <c r="B59" s="30"/>
      <c r="C59" s="30"/>
      <c r="D59" s="30"/>
      <c r="E59" s="30"/>
      <c r="F59" s="30"/>
      <c r="G59" s="30"/>
      <c r="H59" s="30"/>
      <c r="I59" s="30"/>
    </row>
    <row r="60" spans="1:9" ht="15.6" x14ac:dyDescent="0.3">
      <c r="C60" s="1"/>
    </row>
  </sheetData>
  <sortState xmlns:xlrd2="http://schemas.microsoft.com/office/spreadsheetml/2017/richdata2" ref="B61">
    <sortCondition sortBy="fontColor" ref="B61" dxfId="7"/>
  </sortState>
  <mergeCells count="2">
    <mergeCell ref="F16:H16"/>
    <mergeCell ref="B19:H19"/>
  </mergeCells>
  <phoneticPr fontId="8" type="noConversion"/>
  <hyperlinks>
    <hyperlink ref="B5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28</v>
      </c>
      <c r="C2" s="125"/>
      <c r="D2" s="125"/>
      <c r="E2" s="12"/>
      <c r="G2" s="125" t="s">
        <v>67</v>
      </c>
      <c r="H2" s="125"/>
      <c r="I2" s="125"/>
      <c r="P2" s="126" t="s">
        <v>55</v>
      </c>
      <c r="Q2" s="126"/>
      <c r="R2" s="126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6" t="s">
        <v>55</v>
      </c>
      <c r="M8" s="126"/>
      <c r="N8" s="126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06"/>
  <sheetViews>
    <sheetView tabSelected="1" zoomScaleNormal="100" workbookViewId="0">
      <selection sqref="A1:H106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7" t="s">
        <v>58</v>
      </c>
      <c r="M3" s="127"/>
      <c r="N3" s="127" t="s">
        <v>13</v>
      </c>
      <c r="O3" s="127"/>
    </row>
    <row r="4" spans="1:15" ht="15.75" customHeight="1" x14ac:dyDescent="0.35">
      <c r="B4" s="30"/>
      <c r="C4" s="30"/>
      <c r="D4" s="74" t="s">
        <v>25</v>
      </c>
      <c r="E4" s="75">
        <f>'4637'!G8</f>
        <v>4228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CARLOS UBILLA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8" t="s">
        <v>58</v>
      </c>
      <c r="C10" s="128"/>
      <c r="D10" s="128"/>
      <c r="E10" s="128"/>
      <c r="F10" s="128"/>
      <c r="G10" s="128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-2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139</v>
      </c>
      <c r="C14" s="94">
        <f>J14</f>
        <v>2</v>
      </c>
      <c r="D14" s="94"/>
      <c r="E14" s="94">
        <f>K14+E$13</f>
        <v>780</v>
      </c>
      <c r="F14" s="94">
        <f>L14+F$13</f>
        <v>485</v>
      </c>
      <c r="G14" s="94" t="str">
        <f>D50</f>
        <v>PR6</v>
      </c>
      <c r="H14" s="30"/>
      <c r="J14" s="3">
        <f>J33</f>
        <v>2</v>
      </c>
      <c r="K14" s="4">
        <f t="shared" ref="K14:L14" si="0">E50</f>
        <v>730</v>
      </c>
      <c r="L14" s="4">
        <f t="shared" si="0"/>
        <v>487</v>
      </c>
    </row>
    <row r="15" spans="1:15" ht="18" x14ac:dyDescent="0.35">
      <c r="A15" s="110">
        <v>2</v>
      </c>
      <c r="B15" s="101"/>
      <c r="C15" s="94">
        <f>J15</f>
        <v>2</v>
      </c>
      <c r="D15" s="94"/>
      <c r="E15" s="94">
        <f>K15+E$13</f>
        <v>780</v>
      </c>
      <c r="F15" s="94">
        <f>L15+F$13</f>
        <v>395</v>
      </c>
      <c r="G15" s="94" t="str">
        <f>D51</f>
        <v>PR6</v>
      </c>
      <c r="H15" s="30"/>
      <c r="J15" s="3">
        <f>J34</f>
        <v>2</v>
      </c>
      <c r="K15" s="4">
        <f t="shared" ref="K15" si="1">E51</f>
        <v>730</v>
      </c>
      <c r="L15" s="4">
        <f t="shared" ref="L15" si="2">F51</f>
        <v>397</v>
      </c>
    </row>
    <row r="16" spans="1:15" ht="18" x14ac:dyDescent="0.35">
      <c r="A16" s="110">
        <v>3</v>
      </c>
      <c r="B16" s="101"/>
      <c r="C16" s="94">
        <f t="shared" ref="C16:C19" si="3">J16</f>
        <v>1</v>
      </c>
      <c r="D16" s="94"/>
      <c r="E16" s="94">
        <f t="shared" ref="E16:E19" si="4">K16+E$13</f>
        <v>780</v>
      </c>
      <c r="F16" s="94">
        <f t="shared" ref="F16:F19" si="5">L16+F$13</f>
        <v>589</v>
      </c>
      <c r="G16" s="94" t="str">
        <f t="shared" ref="G16:G19" si="6">D52</f>
        <v>PR6 / 3FTES DE 222</v>
      </c>
      <c r="H16" s="30"/>
      <c r="J16" s="3">
        <f t="shared" ref="J16:J18" si="7">J35</f>
        <v>1</v>
      </c>
      <c r="K16" s="4">
        <f t="shared" ref="K16:K19" si="8">E52</f>
        <v>730</v>
      </c>
      <c r="L16" s="4">
        <f t="shared" ref="L16:L19" si="9">F52</f>
        <v>591</v>
      </c>
    </row>
    <row r="17" spans="1:12" ht="18" x14ac:dyDescent="0.35">
      <c r="A17" s="110">
        <v>4</v>
      </c>
      <c r="B17" s="101"/>
      <c r="C17" s="94">
        <f t="shared" si="3"/>
        <v>2</v>
      </c>
      <c r="D17" s="94"/>
      <c r="E17" s="94">
        <f t="shared" si="4"/>
        <v>780</v>
      </c>
      <c r="F17" s="94">
        <f t="shared" si="5"/>
        <v>295</v>
      </c>
      <c r="G17" s="94" t="str">
        <f t="shared" si="6"/>
        <v>PR6</v>
      </c>
      <c r="H17" s="30"/>
      <c r="J17" s="3">
        <f t="shared" si="7"/>
        <v>2</v>
      </c>
      <c r="K17" s="4">
        <f t="shared" si="8"/>
        <v>730</v>
      </c>
      <c r="L17" s="4">
        <f t="shared" si="9"/>
        <v>297</v>
      </c>
    </row>
    <row r="18" spans="1:12" ht="18" x14ac:dyDescent="0.35">
      <c r="A18" s="110">
        <v>5</v>
      </c>
      <c r="B18" s="101"/>
      <c r="C18" s="94">
        <f t="shared" si="3"/>
        <v>2</v>
      </c>
      <c r="D18" s="94"/>
      <c r="E18" s="94">
        <f t="shared" si="4"/>
        <v>780</v>
      </c>
      <c r="F18" s="94">
        <f t="shared" si="5"/>
        <v>295</v>
      </c>
      <c r="G18" s="94" t="str">
        <f t="shared" si="6"/>
        <v>PR6</v>
      </c>
      <c r="H18" s="30"/>
      <c r="J18" s="3">
        <f t="shared" si="7"/>
        <v>2</v>
      </c>
      <c r="K18" s="4">
        <f t="shared" si="8"/>
        <v>730</v>
      </c>
      <c r="L18" s="4">
        <f t="shared" si="9"/>
        <v>297</v>
      </c>
    </row>
    <row r="19" spans="1:12" ht="18" x14ac:dyDescent="0.35">
      <c r="A19" s="110">
        <v>6</v>
      </c>
      <c r="B19" s="101"/>
      <c r="C19" s="94">
        <f t="shared" si="3"/>
        <v>2</v>
      </c>
      <c r="D19" s="94"/>
      <c r="E19" s="94">
        <f t="shared" si="4"/>
        <v>466</v>
      </c>
      <c r="F19" s="94">
        <f t="shared" si="5"/>
        <v>295</v>
      </c>
      <c r="G19" s="94" t="str">
        <f t="shared" si="6"/>
        <v>PR6</v>
      </c>
      <c r="H19" s="30"/>
      <c r="J19" s="3">
        <f>J38</f>
        <v>2</v>
      </c>
      <c r="K19" s="4">
        <f t="shared" si="8"/>
        <v>416</v>
      </c>
      <c r="L19" s="4">
        <f t="shared" si="9"/>
        <v>297</v>
      </c>
    </row>
    <row r="20" spans="1:12" ht="18" x14ac:dyDescent="0.35">
      <c r="A20" s="110">
        <f>A19+1</f>
        <v>7</v>
      </c>
      <c r="B20" s="101"/>
      <c r="C20" s="94">
        <f t="shared" ref="C20:C25" si="10">J20</f>
        <v>4</v>
      </c>
      <c r="D20" s="94"/>
      <c r="E20" s="94">
        <f t="shared" ref="E20:E25" si="11">K20+E$13</f>
        <v>780</v>
      </c>
      <c r="F20" s="94">
        <f t="shared" ref="F20:F25" si="12">L20+F$13</f>
        <v>333</v>
      </c>
      <c r="G20" s="94" t="str">
        <f>D56</f>
        <v>PR6</v>
      </c>
      <c r="H20" s="30"/>
      <c r="J20" s="3">
        <f>J39</f>
        <v>4</v>
      </c>
      <c r="K20" s="4">
        <f>E56</f>
        <v>730</v>
      </c>
      <c r="L20" s="4">
        <f>F56</f>
        <v>335</v>
      </c>
    </row>
    <row r="21" spans="1:12" ht="18" x14ac:dyDescent="0.35">
      <c r="A21" s="110">
        <f t="shared" ref="A21:A25" si="13">A20+1</f>
        <v>8</v>
      </c>
      <c r="B21" s="101"/>
      <c r="C21" s="94">
        <f t="shared" si="10"/>
        <v>2</v>
      </c>
      <c r="D21" s="94"/>
      <c r="E21" s="94">
        <f t="shared" si="11"/>
        <v>780</v>
      </c>
      <c r="F21" s="94">
        <f t="shared" si="12"/>
        <v>145</v>
      </c>
      <c r="G21" s="94" t="str">
        <f>D57</f>
        <v>PR6</v>
      </c>
      <c r="H21" s="30"/>
      <c r="J21" s="3">
        <f>J40</f>
        <v>2</v>
      </c>
      <c r="K21" s="4">
        <f>E57</f>
        <v>730</v>
      </c>
      <c r="L21" s="4">
        <f>F57</f>
        <v>147</v>
      </c>
    </row>
    <row r="22" spans="1:12" ht="18" x14ac:dyDescent="0.35">
      <c r="A22" s="110">
        <f t="shared" si="13"/>
        <v>9</v>
      </c>
      <c r="B22" s="101"/>
      <c r="C22" s="94">
        <f t="shared" si="10"/>
        <v>1</v>
      </c>
      <c r="D22" s="94"/>
      <c r="E22" s="94">
        <f t="shared" si="11"/>
        <v>780</v>
      </c>
      <c r="F22" s="94">
        <f t="shared" si="12"/>
        <v>595</v>
      </c>
      <c r="G22" s="94" t="str">
        <f>D58</f>
        <v>PR6 / 2 DE 350</v>
      </c>
      <c r="H22" s="30"/>
      <c r="J22" s="3">
        <f>J41</f>
        <v>1</v>
      </c>
      <c r="K22" s="4">
        <f>E58</f>
        <v>730</v>
      </c>
      <c r="L22" s="4">
        <f>F58</f>
        <v>597</v>
      </c>
    </row>
    <row r="23" spans="1:12" ht="18" x14ac:dyDescent="0.35">
      <c r="A23" s="110">
        <f t="shared" si="13"/>
        <v>10</v>
      </c>
      <c r="B23" s="101"/>
      <c r="C23" s="94">
        <f t="shared" si="10"/>
        <v>4</v>
      </c>
      <c r="D23" s="94"/>
      <c r="E23" s="94">
        <f t="shared" si="11"/>
        <v>870</v>
      </c>
      <c r="F23" s="94">
        <f t="shared" si="12"/>
        <v>333</v>
      </c>
      <c r="G23" s="94" t="str">
        <f>D59</f>
        <v>PR6</v>
      </c>
      <c r="H23" s="30"/>
      <c r="J23" s="3">
        <f>J42</f>
        <v>4</v>
      </c>
      <c r="K23" s="4">
        <f>E59</f>
        <v>820</v>
      </c>
      <c r="L23" s="4">
        <f>F59</f>
        <v>335</v>
      </c>
    </row>
    <row r="24" spans="1:12" ht="18" x14ac:dyDescent="0.35">
      <c r="A24" s="110">
        <f t="shared" si="13"/>
        <v>11</v>
      </c>
      <c r="B24" s="101"/>
      <c r="C24" s="94">
        <f t="shared" si="10"/>
        <v>2</v>
      </c>
      <c r="D24" s="94"/>
      <c r="E24" s="94">
        <f t="shared" si="11"/>
        <v>870</v>
      </c>
      <c r="F24" s="94">
        <f t="shared" si="12"/>
        <v>430</v>
      </c>
      <c r="G24" s="94" t="str">
        <f>D60</f>
        <v>PR6</v>
      </c>
      <c r="H24" s="30"/>
      <c r="J24" s="3">
        <f>J43</f>
        <v>2</v>
      </c>
      <c r="K24" s="4">
        <f>E60</f>
        <v>820</v>
      </c>
      <c r="L24" s="4">
        <f>F60</f>
        <v>432</v>
      </c>
    </row>
    <row r="25" spans="1:12" ht="18" x14ac:dyDescent="0.35">
      <c r="A25" s="110">
        <f t="shared" si="13"/>
        <v>12</v>
      </c>
      <c r="B25" s="101"/>
      <c r="C25" s="94">
        <f t="shared" si="10"/>
        <v>2</v>
      </c>
      <c r="D25" s="94"/>
      <c r="E25" s="94">
        <f t="shared" si="11"/>
        <v>570</v>
      </c>
      <c r="F25" s="94">
        <f t="shared" si="12"/>
        <v>455</v>
      </c>
      <c r="G25" s="94" t="str">
        <f>D61</f>
        <v>PR6</v>
      </c>
      <c r="H25" s="30"/>
      <c r="J25" s="3">
        <f>J44</f>
        <v>2</v>
      </c>
      <c r="K25" s="4">
        <f>E61</f>
        <v>520</v>
      </c>
      <c r="L25" s="4">
        <f>F61</f>
        <v>457</v>
      </c>
    </row>
    <row r="26" spans="1:12" ht="18" x14ac:dyDescent="0.35">
      <c r="A26" s="110"/>
      <c r="B26" s="101"/>
      <c r="C26" s="73"/>
      <c r="D26" s="73"/>
      <c r="E26" s="73"/>
      <c r="F26" s="73"/>
      <c r="G26" s="73"/>
      <c r="H26" s="30"/>
      <c r="J26" s="23"/>
      <c r="K26" s="2"/>
      <c r="L26" s="2"/>
    </row>
    <row r="27" spans="1:12" ht="18" x14ac:dyDescent="0.35">
      <c r="A27" s="2"/>
      <c r="B27" s="83"/>
      <c r="C27" s="73"/>
      <c r="D27" s="73"/>
      <c r="E27" s="73"/>
      <c r="F27" s="73"/>
      <c r="G27" s="73"/>
      <c r="H27" s="30"/>
      <c r="J27" s="23"/>
      <c r="K27" s="2"/>
      <c r="L27" s="2"/>
    </row>
    <row r="28" spans="1:12" ht="6.75" customHeight="1" x14ac:dyDescent="0.35">
      <c r="A28" s="2"/>
      <c r="B28" s="30"/>
      <c r="C28" s="30"/>
      <c r="D28" s="30"/>
      <c r="E28" s="30"/>
      <c r="F28" s="30"/>
      <c r="G28" s="30"/>
      <c r="H28" s="30"/>
    </row>
    <row r="29" spans="1:12" ht="18" x14ac:dyDescent="0.35">
      <c r="A29" s="2"/>
      <c r="B29" s="128" t="s">
        <v>13</v>
      </c>
      <c r="C29" s="128"/>
      <c r="D29" s="128"/>
      <c r="E29" s="128"/>
      <c r="F29" s="128"/>
      <c r="G29" s="128"/>
      <c r="H29" s="30"/>
    </row>
    <row r="30" spans="1:12" ht="10.5" customHeight="1" x14ac:dyDescent="0.35">
      <c r="A30" s="2"/>
      <c r="B30" s="30"/>
      <c r="C30" s="30"/>
      <c r="D30" s="91"/>
      <c r="E30" s="30"/>
      <c r="F30" s="30"/>
      <c r="G30" s="30"/>
      <c r="H30" s="30"/>
    </row>
    <row r="31" spans="1:12" ht="18" x14ac:dyDescent="0.35">
      <c r="A31" s="2"/>
      <c r="B31" s="30"/>
      <c r="C31" s="30"/>
      <c r="D31" s="30"/>
      <c r="E31" s="66" t="s">
        <v>6</v>
      </c>
      <c r="F31" s="66" t="s">
        <v>7</v>
      </c>
      <c r="G31" s="30"/>
      <c r="H31" s="30"/>
    </row>
    <row r="32" spans="1:12" ht="18" x14ac:dyDescent="0.35">
      <c r="A32" s="2"/>
      <c r="B32" s="66" t="s">
        <v>8</v>
      </c>
      <c r="C32" s="82" t="s">
        <v>9</v>
      </c>
      <c r="D32" s="82" t="s">
        <v>10</v>
      </c>
      <c r="E32" s="95">
        <v>40</v>
      </c>
      <c r="F32" s="95">
        <v>90</v>
      </c>
      <c r="G32" s="82" t="s">
        <v>107</v>
      </c>
      <c r="H32" s="30"/>
      <c r="K32" s="5" t="s">
        <v>6</v>
      </c>
      <c r="L32" s="5" t="s">
        <v>7</v>
      </c>
    </row>
    <row r="33" spans="1:12" ht="18" x14ac:dyDescent="0.35">
      <c r="A33" s="110">
        <v>1</v>
      </c>
      <c r="B33" s="101"/>
      <c r="C33" s="96">
        <f t="shared" ref="C33" si="14">J33</f>
        <v>2</v>
      </c>
      <c r="D33" s="96"/>
      <c r="E33" s="96">
        <f>K33+E32</f>
        <v>770</v>
      </c>
      <c r="F33" s="96">
        <f t="shared" ref="F33" si="15">L33+F$32</f>
        <v>577</v>
      </c>
      <c r="G33" s="96" t="str">
        <f>D50</f>
        <v>PR6</v>
      </c>
      <c r="H33" s="30"/>
      <c r="J33" s="3">
        <f>C50</f>
        <v>2</v>
      </c>
      <c r="K33" s="107">
        <f>E50</f>
        <v>730</v>
      </c>
      <c r="L33" s="107">
        <f>F50</f>
        <v>487</v>
      </c>
    </row>
    <row r="34" spans="1:12" ht="18" x14ac:dyDescent="0.35">
      <c r="A34" s="110">
        <v>2</v>
      </c>
      <c r="B34" s="101"/>
      <c r="C34" s="96">
        <f t="shared" ref="C34" si="16">J34</f>
        <v>2</v>
      </c>
      <c r="D34" s="96"/>
      <c r="E34" s="96">
        <f t="shared" ref="E34" si="17">K34+E$32</f>
        <v>770</v>
      </c>
      <c r="F34" s="96">
        <f t="shared" ref="F34" si="18">L34+F$32</f>
        <v>487</v>
      </c>
      <c r="G34" s="96" t="str">
        <f>D51</f>
        <v>PR6</v>
      </c>
      <c r="H34" s="30"/>
      <c r="J34" s="3">
        <f>C51</f>
        <v>2</v>
      </c>
      <c r="K34" s="107">
        <f>E51</f>
        <v>730</v>
      </c>
      <c r="L34" s="107">
        <f>F51</f>
        <v>397</v>
      </c>
    </row>
    <row r="35" spans="1:12" ht="18" x14ac:dyDescent="0.35">
      <c r="A35" s="110">
        <v>3</v>
      </c>
      <c r="B35" s="101"/>
      <c r="C35" s="96">
        <f t="shared" ref="C35:C37" si="19">J35</f>
        <v>1</v>
      </c>
      <c r="D35" s="96"/>
      <c r="E35" s="96">
        <f t="shared" ref="E35:E37" si="20">K35+E$32</f>
        <v>770</v>
      </c>
      <c r="F35" s="96">
        <f t="shared" ref="F35:F37" si="21">L35+F$32</f>
        <v>681</v>
      </c>
      <c r="G35" s="96" t="str">
        <f t="shared" ref="G35:G38" si="22">D52</f>
        <v>PR6 / 3FTES DE 222</v>
      </c>
      <c r="H35" s="30"/>
      <c r="J35" s="3">
        <f t="shared" ref="J35:J38" si="23">C52</f>
        <v>1</v>
      </c>
      <c r="K35" s="107">
        <f t="shared" ref="K35:L35" si="24">E52</f>
        <v>730</v>
      </c>
      <c r="L35" s="107">
        <f t="shared" si="24"/>
        <v>591</v>
      </c>
    </row>
    <row r="36" spans="1:12" ht="18" x14ac:dyDescent="0.35">
      <c r="A36" s="110">
        <v>4</v>
      </c>
      <c r="B36" s="101"/>
      <c r="C36" s="96">
        <f t="shared" si="19"/>
        <v>2</v>
      </c>
      <c r="D36" s="96"/>
      <c r="E36" s="96">
        <f t="shared" si="20"/>
        <v>770</v>
      </c>
      <c r="F36" s="96">
        <f t="shared" si="21"/>
        <v>387</v>
      </c>
      <c r="G36" s="96" t="str">
        <f t="shared" si="22"/>
        <v>PR6</v>
      </c>
      <c r="H36" s="30"/>
      <c r="J36" s="3">
        <f t="shared" si="23"/>
        <v>2</v>
      </c>
      <c r="K36" s="107">
        <f t="shared" ref="K36:L36" si="25">E53</f>
        <v>730</v>
      </c>
      <c r="L36" s="107">
        <f t="shared" si="25"/>
        <v>297</v>
      </c>
    </row>
    <row r="37" spans="1:12" ht="18" x14ac:dyDescent="0.35">
      <c r="A37" s="110">
        <v>5</v>
      </c>
      <c r="B37" s="101"/>
      <c r="C37" s="96">
        <f t="shared" si="19"/>
        <v>2</v>
      </c>
      <c r="D37" s="96"/>
      <c r="E37" s="96">
        <f t="shared" si="20"/>
        <v>770</v>
      </c>
      <c r="F37" s="96">
        <f t="shared" si="21"/>
        <v>387</v>
      </c>
      <c r="G37" s="96" t="str">
        <f t="shared" si="22"/>
        <v>PR6</v>
      </c>
      <c r="H37" s="30"/>
      <c r="J37" s="3">
        <f t="shared" si="23"/>
        <v>2</v>
      </c>
      <c r="K37" s="107">
        <f t="shared" ref="K37:L37" si="26">E54</f>
        <v>730</v>
      </c>
      <c r="L37" s="107">
        <f t="shared" si="26"/>
        <v>297</v>
      </c>
    </row>
    <row r="38" spans="1:12" ht="18" x14ac:dyDescent="0.35">
      <c r="A38" s="110">
        <v>6</v>
      </c>
      <c r="B38" s="101"/>
      <c r="C38" s="96">
        <f>J38</f>
        <v>2</v>
      </c>
      <c r="D38" s="96"/>
      <c r="E38" s="96">
        <f>K38+E$32</f>
        <v>456</v>
      </c>
      <c r="F38" s="96">
        <f>L38+F$32</f>
        <v>387</v>
      </c>
      <c r="G38" s="96" t="str">
        <f>D55</f>
        <v>PR6</v>
      </c>
      <c r="H38" s="30"/>
      <c r="J38" s="3">
        <f>C55</f>
        <v>2</v>
      </c>
      <c r="K38" s="107">
        <f>E55</f>
        <v>416</v>
      </c>
      <c r="L38" s="107">
        <f>F55</f>
        <v>297</v>
      </c>
    </row>
    <row r="39" spans="1:12" ht="18" x14ac:dyDescent="0.35">
      <c r="A39" s="110">
        <f>A38+1</f>
        <v>7</v>
      </c>
      <c r="B39" s="101"/>
      <c r="C39" s="96">
        <f t="shared" ref="C39:C44" si="27">J39</f>
        <v>4</v>
      </c>
      <c r="D39" s="96"/>
      <c r="E39" s="96">
        <f t="shared" ref="E39:E44" si="28">K39+E$32</f>
        <v>770</v>
      </c>
      <c r="F39" s="96">
        <f t="shared" ref="F39:F44" si="29">L39+F$32</f>
        <v>425</v>
      </c>
      <c r="G39" s="96" t="str">
        <f t="shared" ref="G39:G44" si="30">D56</f>
        <v>PR6</v>
      </c>
      <c r="H39" s="30"/>
      <c r="J39" s="3">
        <f t="shared" ref="J39:J44" si="31">C56</f>
        <v>4</v>
      </c>
      <c r="K39" s="107">
        <f t="shared" ref="K39:L39" si="32">E56</f>
        <v>730</v>
      </c>
      <c r="L39" s="107">
        <f t="shared" si="32"/>
        <v>335</v>
      </c>
    </row>
    <row r="40" spans="1:12" ht="18" x14ac:dyDescent="0.35">
      <c r="A40" s="110">
        <f t="shared" ref="A40:A44" si="33">A39+1</f>
        <v>8</v>
      </c>
      <c r="B40" s="101"/>
      <c r="C40" s="96">
        <f t="shared" si="27"/>
        <v>2</v>
      </c>
      <c r="D40" s="96"/>
      <c r="E40" s="96">
        <f t="shared" si="28"/>
        <v>770</v>
      </c>
      <c r="F40" s="96">
        <f t="shared" si="29"/>
        <v>237</v>
      </c>
      <c r="G40" s="96" t="str">
        <f t="shared" si="30"/>
        <v>PR6</v>
      </c>
      <c r="H40" s="30"/>
      <c r="J40" s="3">
        <f t="shared" si="31"/>
        <v>2</v>
      </c>
      <c r="K40" s="107">
        <f t="shared" ref="K40:L40" si="34">E57</f>
        <v>730</v>
      </c>
      <c r="L40" s="107">
        <f t="shared" si="34"/>
        <v>147</v>
      </c>
    </row>
    <row r="41" spans="1:12" ht="18" x14ac:dyDescent="0.35">
      <c r="A41" s="110">
        <f t="shared" si="33"/>
        <v>9</v>
      </c>
      <c r="B41" s="101"/>
      <c r="C41" s="96">
        <f t="shared" si="27"/>
        <v>1</v>
      </c>
      <c r="D41" s="96"/>
      <c r="E41" s="96">
        <f t="shared" si="28"/>
        <v>770</v>
      </c>
      <c r="F41" s="96">
        <f t="shared" si="29"/>
        <v>687</v>
      </c>
      <c r="G41" s="96" t="str">
        <f t="shared" si="30"/>
        <v>PR6 / 2 DE 350</v>
      </c>
      <c r="H41" s="30"/>
      <c r="J41" s="3">
        <f t="shared" si="31"/>
        <v>1</v>
      </c>
      <c r="K41" s="107">
        <f t="shared" ref="K41:L41" si="35">E58</f>
        <v>730</v>
      </c>
      <c r="L41" s="107">
        <f t="shared" si="35"/>
        <v>597</v>
      </c>
    </row>
    <row r="42" spans="1:12" ht="18" x14ac:dyDescent="0.35">
      <c r="A42" s="110">
        <f t="shared" si="33"/>
        <v>10</v>
      </c>
      <c r="B42" s="101"/>
      <c r="C42" s="96">
        <f t="shared" si="27"/>
        <v>4</v>
      </c>
      <c r="D42" s="96"/>
      <c r="E42" s="96">
        <f t="shared" si="28"/>
        <v>860</v>
      </c>
      <c r="F42" s="96">
        <f t="shared" si="29"/>
        <v>425</v>
      </c>
      <c r="G42" s="96" t="str">
        <f t="shared" si="30"/>
        <v>PR6</v>
      </c>
      <c r="H42" s="30"/>
      <c r="J42" s="3">
        <f t="shared" si="31"/>
        <v>4</v>
      </c>
      <c r="K42" s="107">
        <f t="shared" ref="K42:L42" si="36">E59</f>
        <v>820</v>
      </c>
      <c r="L42" s="107">
        <f t="shared" si="36"/>
        <v>335</v>
      </c>
    </row>
    <row r="43" spans="1:12" ht="18" x14ac:dyDescent="0.35">
      <c r="A43" s="110">
        <f t="shared" si="33"/>
        <v>11</v>
      </c>
      <c r="B43" s="101"/>
      <c r="C43" s="96">
        <f t="shared" si="27"/>
        <v>2</v>
      </c>
      <c r="D43" s="96"/>
      <c r="E43" s="96">
        <f t="shared" si="28"/>
        <v>860</v>
      </c>
      <c r="F43" s="96">
        <f t="shared" si="29"/>
        <v>522</v>
      </c>
      <c r="G43" s="96" t="str">
        <f t="shared" si="30"/>
        <v>PR6</v>
      </c>
      <c r="H43" s="30"/>
      <c r="J43" s="3">
        <f t="shared" si="31"/>
        <v>2</v>
      </c>
      <c r="K43" s="107">
        <f t="shared" ref="K43:L43" si="37">E60</f>
        <v>820</v>
      </c>
      <c r="L43" s="107">
        <f t="shared" si="37"/>
        <v>432</v>
      </c>
    </row>
    <row r="44" spans="1:12" ht="18" x14ac:dyDescent="0.35">
      <c r="A44" s="110">
        <f t="shared" si="33"/>
        <v>12</v>
      </c>
      <c r="B44" s="101"/>
      <c r="C44" s="96">
        <f t="shared" si="27"/>
        <v>2</v>
      </c>
      <c r="D44" s="96"/>
      <c r="E44" s="96">
        <f t="shared" si="28"/>
        <v>560</v>
      </c>
      <c r="F44" s="96">
        <f t="shared" si="29"/>
        <v>547</v>
      </c>
      <c r="G44" s="96" t="str">
        <f t="shared" si="30"/>
        <v>PR6</v>
      </c>
      <c r="H44" s="30"/>
      <c r="J44" s="3">
        <f t="shared" si="31"/>
        <v>2</v>
      </c>
      <c r="K44" s="107">
        <f t="shared" ref="K44:L44" si="38">E61</f>
        <v>520</v>
      </c>
      <c r="L44" s="107">
        <f t="shared" si="38"/>
        <v>457</v>
      </c>
    </row>
    <row r="45" spans="1:12" ht="18" x14ac:dyDescent="0.35">
      <c r="A45" s="110"/>
      <c r="B45" s="101"/>
      <c r="C45" s="136"/>
      <c r="D45" s="136"/>
      <c r="E45" s="136"/>
      <c r="F45" s="136"/>
      <c r="G45" s="136"/>
      <c r="H45" s="30"/>
      <c r="J45" s="139"/>
      <c r="K45" s="140"/>
      <c r="L45" s="140"/>
    </row>
    <row r="46" spans="1:12" ht="18.600000000000001" thickBot="1" x14ac:dyDescent="0.4">
      <c r="A46" s="2"/>
      <c r="B46" s="83"/>
      <c r="C46" s="73"/>
      <c r="D46" s="73"/>
      <c r="E46" s="73"/>
      <c r="F46" s="73"/>
      <c r="G46" s="73"/>
      <c r="H46" s="30"/>
      <c r="I46" s="108"/>
      <c r="J46" s="109"/>
      <c r="K46" s="109"/>
      <c r="L46" s="109"/>
    </row>
    <row r="47" spans="1:12" ht="18.600000000000001" thickBot="1" x14ac:dyDescent="0.4">
      <c r="A47" s="2"/>
      <c r="B47" s="66"/>
      <c r="C47" s="97" t="s">
        <v>104</v>
      </c>
      <c r="D47" s="33"/>
      <c r="E47" s="33"/>
      <c r="F47" s="33"/>
      <c r="G47" s="98"/>
      <c r="H47" s="30"/>
      <c r="J47" s="2"/>
      <c r="K47" s="2"/>
      <c r="L47" s="2"/>
    </row>
    <row r="48" spans="1:12" ht="10.5" customHeight="1" x14ac:dyDescent="0.35">
      <c r="A48" s="2"/>
      <c r="B48" s="30"/>
      <c r="C48" s="30"/>
      <c r="D48" s="30"/>
      <c r="E48" s="30"/>
      <c r="F48" s="30"/>
      <c r="G48" s="30"/>
      <c r="H48" s="30"/>
    </row>
    <row r="49" spans="1:10" ht="18" x14ac:dyDescent="0.35">
      <c r="A49" s="2"/>
      <c r="B49" s="66" t="s">
        <v>8</v>
      </c>
      <c r="C49" s="99" t="s">
        <v>9</v>
      </c>
      <c r="D49" s="99" t="s">
        <v>107</v>
      </c>
      <c r="E49" s="99" t="s">
        <v>6</v>
      </c>
      <c r="F49" s="99" t="s">
        <v>7</v>
      </c>
      <c r="G49" s="99" t="s">
        <v>21</v>
      </c>
      <c r="H49" s="30"/>
    </row>
    <row r="50" spans="1:10" ht="18" x14ac:dyDescent="0.35">
      <c r="A50" s="110">
        <v>1</v>
      </c>
      <c r="B50" s="101"/>
      <c r="C50" s="94">
        <f>'4637'!B21</f>
        <v>2</v>
      </c>
      <c r="D50" s="94" t="str">
        <f>D82</f>
        <v>PR6</v>
      </c>
      <c r="E50" s="116">
        <f>'4637'!D21</f>
        <v>730</v>
      </c>
      <c r="F50" s="116">
        <f>'4637'!E21</f>
        <v>487</v>
      </c>
      <c r="G50" s="4" t="str">
        <f>'4637'!F21</f>
        <v>WINTER SANSARA MAPLE 14689 SF</v>
      </c>
      <c r="H50" s="30"/>
      <c r="I50" s="28">
        <f>E50*F50/1000000</f>
        <v>0.35550999999999999</v>
      </c>
      <c r="J50" s="28">
        <f>I50*C50</f>
        <v>0.71101999999999999</v>
      </c>
    </row>
    <row r="51" spans="1:10" ht="18" x14ac:dyDescent="0.35">
      <c r="A51" s="110">
        <v>2</v>
      </c>
      <c r="B51" s="101"/>
      <c r="C51" s="94">
        <f>'4637'!B22</f>
        <v>2</v>
      </c>
      <c r="D51" s="94" t="str">
        <f>D83</f>
        <v>PR6</v>
      </c>
      <c r="E51" s="116">
        <f>'4637'!D22</f>
        <v>730</v>
      </c>
      <c r="F51" s="116">
        <f>'4637'!E22</f>
        <v>397</v>
      </c>
      <c r="G51" s="4" t="str">
        <f>'4637'!F22</f>
        <v>WINTER SANSARA MAPLE 14689 SF</v>
      </c>
      <c r="H51" s="30"/>
      <c r="I51" s="28"/>
      <c r="J51" s="28"/>
    </row>
    <row r="52" spans="1:10" ht="18" x14ac:dyDescent="0.35">
      <c r="A52" s="110">
        <v>3</v>
      </c>
      <c r="B52" s="101"/>
      <c r="C52" s="94">
        <f>'4637'!B23</f>
        <v>1</v>
      </c>
      <c r="D52" s="94" t="str">
        <f>D84</f>
        <v>PR6 / 3FTES DE 222</v>
      </c>
      <c r="E52" s="116">
        <f>'4637'!D23</f>
        <v>730</v>
      </c>
      <c r="F52" s="116">
        <f>'4637'!E23</f>
        <v>591</v>
      </c>
      <c r="G52" s="4" t="str">
        <f>'4637'!F23</f>
        <v>WINTER SANSARA MAPLE 14689 SF</v>
      </c>
      <c r="H52" s="30"/>
      <c r="I52" s="28"/>
      <c r="J52" s="28"/>
    </row>
    <row r="53" spans="1:10" ht="18" x14ac:dyDescent="0.35">
      <c r="A53" s="110">
        <v>4</v>
      </c>
      <c r="B53" s="101"/>
      <c r="C53" s="94">
        <f>'4637'!B24</f>
        <v>2</v>
      </c>
      <c r="D53" s="94" t="str">
        <f>D85</f>
        <v>PR6</v>
      </c>
      <c r="E53" s="116">
        <f>'4637'!D24</f>
        <v>730</v>
      </c>
      <c r="F53" s="116">
        <f>'4637'!E24</f>
        <v>297</v>
      </c>
      <c r="G53" s="4" t="str">
        <f>'4637'!F24</f>
        <v>WINTER SANSARA MAPLE 14689 SF</v>
      </c>
      <c r="H53" s="30"/>
      <c r="I53" s="28"/>
      <c r="J53" s="28"/>
    </row>
    <row r="54" spans="1:10" ht="18" x14ac:dyDescent="0.35">
      <c r="A54" s="110">
        <v>5</v>
      </c>
      <c r="B54" s="101"/>
      <c r="C54" s="94">
        <f>'4637'!B25</f>
        <v>2</v>
      </c>
      <c r="D54" s="94" t="str">
        <f>D86</f>
        <v>PR6</v>
      </c>
      <c r="E54" s="116">
        <f>'4637'!D25</f>
        <v>730</v>
      </c>
      <c r="F54" s="116">
        <f>'4637'!E25</f>
        <v>297</v>
      </c>
      <c r="G54" s="4" t="str">
        <f>'4637'!F25</f>
        <v>WINTER SANSARA MAPLE 14689 SF</v>
      </c>
      <c r="H54" s="30"/>
      <c r="I54" s="28"/>
      <c r="J54" s="28"/>
    </row>
    <row r="55" spans="1:10" ht="18" x14ac:dyDescent="0.35">
      <c r="A55" s="110">
        <v>6</v>
      </c>
      <c r="B55" s="101"/>
      <c r="C55" s="94">
        <f>'4637'!B26</f>
        <v>2</v>
      </c>
      <c r="D55" s="94" t="str">
        <f>D87</f>
        <v>PR6</v>
      </c>
      <c r="E55" s="116">
        <f>'4637'!D26</f>
        <v>416</v>
      </c>
      <c r="F55" s="116">
        <f>'4637'!E26</f>
        <v>297</v>
      </c>
      <c r="G55" s="4" t="str">
        <f>'4637'!F26</f>
        <v>WINTER SANSARA MAPLE 14689 SF</v>
      </c>
      <c r="H55" s="30"/>
      <c r="I55" s="28"/>
      <c r="J55" s="28"/>
    </row>
    <row r="56" spans="1:10" ht="18" x14ac:dyDescent="0.35">
      <c r="A56" s="110">
        <f>A55+1</f>
        <v>7</v>
      </c>
      <c r="B56" s="101"/>
      <c r="C56" s="94">
        <f>'4637'!B27</f>
        <v>4</v>
      </c>
      <c r="D56" s="94" t="str">
        <f>D88</f>
        <v>PR6</v>
      </c>
      <c r="E56" s="116">
        <f>'4637'!D27</f>
        <v>730</v>
      </c>
      <c r="F56" s="116">
        <f>'4637'!E27</f>
        <v>335</v>
      </c>
      <c r="G56" s="4" t="str">
        <f>'4637'!F27</f>
        <v>WINTER SANSARA MAPLE 14689 SF</v>
      </c>
      <c r="H56" s="30"/>
      <c r="I56" s="28"/>
      <c r="J56" s="28"/>
    </row>
    <row r="57" spans="1:10" ht="18" x14ac:dyDescent="0.35">
      <c r="A57" s="110">
        <f t="shared" ref="A57:A61" si="39">A56+1</f>
        <v>8</v>
      </c>
      <c r="B57" s="101"/>
      <c r="C57" s="94">
        <f>'4637'!B28</f>
        <v>2</v>
      </c>
      <c r="D57" s="94" t="str">
        <f>D89</f>
        <v>PR6</v>
      </c>
      <c r="E57" s="116">
        <f>'4637'!D28</f>
        <v>730</v>
      </c>
      <c r="F57" s="116">
        <f>'4637'!E28</f>
        <v>147</v>
      </c>
      <c r="G57" s="4" t="str">
        <f>'4637'!F28</f>
        <v>WINTER SANSARA MAPLE 14689 SF</v>
      </c>
      <c r="H57" s="30"/>
      <c r="I57" s="28"/>
      <c r="J57" s="28"/>
    </row>
    <row r="58" spans="1:10" ht="18" x14ac:dyDescent="0.35">
      <c r="A58" s="110">
        <f t="shared" si="39"/>
        <v>9</v>
      </c>
      <c r="B58" s="101"/>
      <c r="C58" s="94">
        <f>'4637'!B29</f>
        <v>1</v>
      </c>
      <c r="D58" s="94" t="str">
        <f>D90</f>
        <v>PR6 / 2 DE 350</v>
      </c>
      <c r="E58" s="116">
        <f>'4637'!D29</f>
        <v>730</v>
      </c>
      <c r="F58" s="116">
        <f>'4637'!E29</f>
        <v>597</v>
      </c>
      <c r="G58" s="4" t="str">
        <f>'4637'!F29</f>
        <v>WINTER SANSARA MAPLE 14689 SF</v>
      </c>
      <c r="H58" s="30"/>
      <c r="I58" s="28"/>
      <c r="J58" s="28"/>
    </row>
    <row r="59" spans="1:10" ht="18" x14ac:dyDescent="0.35">
      <c r="A59" s="110">
        <f t="shared" si="39"/>
        <v>10</v>
      </c>
      <c r="B59" s="101"/>
      <c r="C59" s="94">
        <f>'4637'!B30</f>
        <v>4</v>
      </c>
      <c r="D59" s="94" t="str">
        <f>D91</f>
        <v>PR6</v>
      </c>
      <c r="E59" s="116">
        <f>'4637'!D30</f>
        <v>820</v>
      </c>
      <c r="F59" s="116">
        <f>'4637'!E30</f>
        <v>335</v>
      </c>
      <c r="G59" s="4" t="str">
        <f>'4637'!F30</f>
        <v>WINTER SANSARA MAPLE 14689 SF</v>
      </c>
      <c r="H59" s="30"/>
      <c r="I59" s="28"/>
      <c r="J59" s="28"/>
    </row>
    <row r="60" spans="1:10" ht="18" x14ac:dyDescent="0.35">
      <c r="A60" s="110">
        <f t="shared" si="39"/>
        <v>11</v>
      </c>
      <c r="B60" s="101"/>
      <c r="C60" s="94">
        <f>'4637'!B31</f>
        <v>2</v>
      </c>
      <c r="D60" s="94" t="str">
        <f>D92</f>
        <v>PR6</v>
      </c>
      <c r="E60" s="116">
        <f>'4637'!D31</f>
        <v>820</v>
      </c>
      <c r="F60" s="116">
        <f>'4637'!E31</f>
        <v>432</v>
      </c>
      <c r="G60" s="4" t="str">
        <f>'4637'!F31</f>
        <v>WINTER SANSARA MAPLE 14689 SF</v>
      </c>
      <c r="H60" s="30"/>
      <c r="I60" s="28"/>
      <c r="J60" s="28"/>
    </row>
    <row r="61" spans="1:10" ht="18" x14ac:dyDescent="0.35">
      <c r="A61" s="110">
        <f t="shared" si="39"/>
        <v>12</v>
      </c>
      <c r="B61" s="101"/>
      <c r="C61" s="94">
        <f>'4637'!B32</f>
        <v>2</v>
      </c>
      <c r="D61" s="94" t="str">
        <f>D93</f>
        <v>PR6</v>
      </c>
      <c r="E61" s="116">
        <f>'4637'!D32</f>
        <v>520</v>
      </c>
      <c r="F61" s="116">
        <f>'4637'!E32</f>
        <v>457</v>
      </c>
      <c r="G61" s="4" t="str">
        <f>'4637'!F32</f>
        <v>WINTER SANSARA MAPLE 14689 SF</v>
      </c>
      <c r="H61" s="30"/>
      <c r="I61" s="28"/>
      <c r="J61" s="28"/>
    </row>
    <row r="62" spans="1:10" ht="18" x14ac:dyDescent="0.35">
      <c r="A62" s="2"/>
      <c r="B62" s="30"/>
      <c r="C62" s="73"/>
      <c r="D62" s="73"/>
      <c r="E62" s="73"/>
      <c r="F62" s="73"/>
      <c r="G62" s="73"/>
      <c r="H62" s="30"/>
    </row>
    <row r="63" spans="1:10" ht="18" x14ac:dyDescent="0.35">
      <c r="A63" s="2"/>
      <c r="B63" s="30"/>
      <c r="C63" s="73"/>
      <c r="D63" s="73"/>
      <c r="E63" s="73"/>
      <c r="F63" s="73"/>
      <c r="G63" s="73"/>
      <c r="H63" s="30"/>
      <c r="J63" s="28">
        <f>SUM(J50:J50)*2</f>
        <v>1.42204</v>
      </c>
    </row>
    <row r="64" spans="1:10" ht="18" x14ac:dyDescent="0.35">
      <c r="A64" s="2"/>
      <c r="B64" s="30"/>
      <c r="C64" s="73"/>
      <c r="D64" s="73"/>
      <c r="E64" s="73"/>
      <c r="F64" s="73"/>
      <c r="G64" s="73"/>
      <c r="H64" s="30"/>
    </row>
    <row r="65" spans="1:9" ht="18" x14ac:dyDescent="0.35">
      <c r="A65" s="2"/>
      <c r="B65" s="30"/>
      <c r="C65" s="73"/>
      <c r="D65" s="73"/>
      <c r="E65" s="73"/>
      <c r="F65" s="73"/>
      <c r="G65" s="73"/>
      <c r="H65" s="30"/>
    </row>
    <row r="66" spans="1:9" ht="18" x14ac:dyDescent="0.35">
      <c r="A66" s="2"/>
      <c r="B66" s="30"/>
      <c r="C66" s="73"/>
      <c r="D66" s="73"/>
      <c r="E66" s="73"/>
      <c r="F66" s="73"/>
      <c r="G66" s="73"/>
      <c r="H66" s="30"/>
    </row>
    <row r="67" spans="1:9" ht="18" x14ac:dyDescent="0.35">
      <c r="A67" s="2"/>
      <c r="B67" s="30"/>
      <c r="C67" s="73"/>
      <c r="D67" s="73"/>
      <c r="E67" s="73"/>
      <c r="F67" s="73"/>
      <c r="G67" s="73"/>
      <c r="H67" s="30"/>
    </row>
    <row r="68" spans="1:9" ht="18" x14ac:dyDescent="0.35">
      <c r="A68" s="2"/>
      <c r="B68" s="30"/>
      <c r="C68" s="73"/>
      <c r="D68" s="73"/>
      <c r="E68" s="73"/>
      <c r="F68" s="73"/>
      <c r="G68" s="73"/>
      <c r="H68" s="30"/>
    </row>
    <row r="69" spans="1:9" ht="18" x14ac:dyDescent="0.35">
      <c r="A69" s="2"/>
      <c r="B69" s="30"/>
      <c r="C69" s="73"/>
      <c r="D69" s="73"/>
      <c r="E69" s="73"/>
      <c r="F69" s="73"/>
      <c r="G69" s="73"/>
      <c r="H69" s="30"/>
    </row>
    <row r="70" spans="1:9" ht="18" x14ac:dyDescent="0.35">
      <c r="A70" s="2"/>
      <c r="B70" s="30"/>
      <c r="C70" s="73"/>
      <c r="D70" s="73"/>
      <c r="E70" s="73"/>
      <c r="F70" s="73"/>
      <c r="G70" s="73"/>
      <c r="H70" s="30"/>
    </row>
    <row r="71" spans="1:9" ht="18" x14ac:dyDescent="0.35">
      <c r="A71" s="2"/>
      <c r="B71" s="30"/>
      <c r="C71" s="30"/>
      <c r="D71" s="30"/>
      <c r="E71" s="30"/>
      <c r="F71" s="30"/>
      <c r="G71" s="30"/>
      <c r="H71" s="30"/>
    </row>
    <row r="72" spans="1:9" ht="18" x14ac:dyDescent="0.35">
      <c r="A72" s="2"/>
      <c r="B72" s="30"/>
      <c r="C72" s="30"/>
      <c r="D72" s="74" t="s">
        <v>25</v>
      </c>
      <c r="E72" s="75">
        <f>'4637'!G8</f>
        <v>4228</v>
      </c>
      <c r="F72" s="30"/>
      <c r="G72" s="30"/>
      <c r="H72" s="30"/>
    </row>
    <row r="73" spans="1:9" ht="17.25" customHeight="1" x14ac:dyDescent="0.35">
      <c r="A73" s="2"/>
      <c r="B73" s="30"/>
      <c r="C73" s="30"/>
      <c r="D73" s="76" t="s">
        <v>64</v>
      </c>
      <c r="E73" s="77" t="str">
        <f>'4637'!C10</f>
        <v>CARLOS UBILLA</v>
      </c>
      <c r="F73" s="48"/>
      <c r="G73" s="48"/>
      <c r="H73" s="30"/>
    </row>
    <row r="74" spans="1:9" ht="4.5" customHeight="1" x14ac:dyDescent="0.35">
      <c r="A74" s="2"/>
      <c r="B74" s="30"/>
      <c r="C74" s="30"/>
      <c r="D74" s="78"/>
      <c r="E74" s="79"/>
      <c r="F74" s="30"/>
      <c r="G74" s="30"/>
      <c r="H74" s="30"/>
    </row>
    <row r="75" spans="1:9" ht="18" x14ac:dyDescent="0.35">
      <c r="A75" s="2"/>
      <c r="B75" s="30"/>
      <c r="C75" s="30"/>
      <c r="D75" s="80" t="str">
        <f>'4637'!F11</f>
        <v>FECHA LIMITE :</v>
      </c>
      <c r="E75" s="81">
        <f>'4637'!G11</f>
        <v>0</v>
      </c>
      <c r="F75" s="30"/>
      <c r="G75" s="30"/>
      <c r="H75" s="30"/>
    </row>
    <row r="76" spans="1:9" ht="18" x14ac:dyDescent="0.35">
      <c r="A76" s="2"/>
      <c r="B76" s="30"/>
      <c r="C76" s="30"/>
      <c r="D76" s="30"/>
      <c r="E76" s="30"/>
      <c r="F76" s="30"/>
      <c r="G76" s="30" t="s">
        <v>135</v>
      </c>
      <c r="H76" s="30"/>
    </row>
    <row r="77" spans="1:9" ht="18" x14ac:dyDescent="0.35">
      <c r="A77" s="2"/>
      <c r="B77" s="30"/>
      <c r="C77" s="30"/>
      <c r="D77" s="30"/>
      <c r="E77" s="30"/>
      <c r="F77" s="30"/>
      <c r="G77" s="30"/>
      <c r="H77" s="30"/>
    </row>
    <row r="78" spans="1:9" ht="18" x14ac:dyDescent="0.35">
      <c r="A78" s="2"/>
      <c r="B78" s="129" t="s">
        <v>65</v>
      </c>
      <c r="C78" s="129"/>
      <c r="D78" s="129"/>
      <c r="E78" s="129"/>
      <c r="F78" s="129"/>
      <c r="G78" s="129"/>
      <c r="H78" s="30"/>
    </row>
    <row r="79" spans="1:9" ht="18" x14ac:dyDescent="0.35">
      <c r="A79" s="2"/>
      <c r="B79" s="30"/>
      <c r="C79" s="30"/>
      <c r="D79" s="30"/>
      <c r="E79" s="30"/>
      <c r="F79" s="30"/>
      <c r="G79" s="30"/>
      <c r="H79" s="30"/>
    </row>
    <row r="80" spans="1:9" ht="20.100000000000001" customHeight="1" x14ac:dyDescent="0.35">
      <c r="A80" s="2"/>
      <c r="B80" s="30"/>
      <c r="C80" s="130" t="s">
        <v>66</v>
      </c>
      <c r="D80" s="131"/>
      <c r="E80" s="132"/>
      <c r="F80" s="132"/>
      <c r="G80" s="133"/>
      <c r="H80" s="30"/>
      <c r="I80" s="25" t="s">
        <v>130</v>
      </c>
    </row>
    <row r="81" spans="1:13" s="10" customFormat="1" ht="20.100000000000001" customHeight="1" x14ac:dyDescent="0.35">
      <c r="A81" s="111"/>
      <c r="B81" s="30"/>
      <c r="C81" s="84" t="s">
        <v>9</v>
      </c>
      <c r="D81" s="85" t="s">
        <v>10</v>
      </c>
      <c r="E81" s="88" t="s">
        <v>6</v>
      </c>
      <c r="F81" s="88" t="s">
        <v>7</v>
      </c>
      <c r="G81" s="86" t="s">
        <v>11</v>
      </c>
      <c r="H81" s="30"/>
      <c r="K81" s="10">
        <v>15000</v>
      </c>
    </row>
    <row r="82" spans="1:13" s="10" customFormat="1" ht="20.100000000000001" customHeight="1" x14ac:dyDescent="0.35">
      <c r="A82" s="110">
        <v>1</v>
      </c>
      <c r="B82" s="100" t="s">
        <v>139</v>
      </c>
      <c r="C82" s="96">
        <f>'4637'!B21</f>
        <v>2</v>
      </c>
      <c r="D82" s="4" t="str">
        <f>'4637'!C21</f>
        <v>PR6</v>
      </c>
      <c r="E82" s="116">
        <f>'4637'!D21</f>
        <v>730</v>
      </c>
      <c r="F82" s="103">
        <f>'4637'!E21</f>
        <v>487</v>
      </c>
      <c r="G82" s="4" t="str">
        <f>'4637'!F21</f>
        <v>WINTER SANSARA MAPLE 14689 SF</v>
      </c>
      <c r="H82" s="30"/>
      <c r="I82" s="10">
        <f>E82*F82/1000000</f>
        <v>0.35550999999999999</v>
      </c>
      <c r="J82" s="10">
        <f>I82*C82</f>
        <v>0.71101999999999999</v>
      </c>
      <c r="K82" s="26">
        <f>J82*K$81</f>
        <v>10665.3</v>
      </c>
      <c r="M82" s="24">
        <v>12096</v>
      </c>
    </row>
    <row r="83" spans="1:13" s="10" customFormat="1" ht="20.100000000000001" customHeight="1" x14ac:dyDescent="0.35">
      <c r="A83" s="110"/>
      <c r="B83" s="100"/>
      <c r="C83" s="96">
        <f>'4637'!B22</f>
        <v>2</v>
      </c>
      <c r="D83" s="4" t="str">
        <f>'4637'!C22</f>
        <v>PR6</v>
      </c>
      <c r="E83" s="116">
        <f>'4637'!D22</f>
        <v>730</v>
      </c>
      <c r="F83" s="103">
        <f>'4637'!E22</f>
        <v>397</v>
      </c>
      <c r="G83" s="4" t="str">
        <f>'4637'!F22</f>
        <v>WINTER SANSARA MAPLE 14689 SF</v>
      </c>
      <c r="H83" s="30"/>
      <c r="K83" s="26"/>
      <c r="M83" s="29"/>
    </row>
    <row r="84" spans="1:13" s="10" customFormat="1" ht="20.100000000000001" customHeight="1" x14ac:dyDescent="0.35">
      <c r="A84" s="110"/>
      <c r="B84" s="100"/>
      <c r="C84" s="96">
        <f>'4637'!B23</f>
        <v>1</v>
      </c>
      <c r="D84" s="4" t="str">
        <f>'4637'!C23</f>
        <v>PR6 / 3FTES DE 222</v>
      </c>
      <c r="E84" s="116">
        <f>'4637'!D23</f>
        <v>730</v>
      </c>
      <c r="F84" s="103">
        <f>'4637'!E23</f>
        <v>591</v>
      </c>
      <c r="G84" s="4" t="str">
        <f>'4637'!F23</f>
        <v>WINTER SANSARA MAPLE 14689 SF</v>
      </c>
      <c r="H84" s="30"/>
      <c r="K84" s="26"/>
      <c r="M84" s="29"/>
    </row>
    <row r="85" spans="1:13" s="10" customFormat="1" ht="20.100000000000001" customHeight="1" x14ac:dyDescent="0.35">
      <c r="A85" s="110"/>
      <c r="B85" s="100"/>
      <c r="C85" s="96">
        <f>'4637'!B24</f>
        <v>2</v>
      </c>
      <c r="D85" s="4" t="str">
        <f>'4637'!C24</f>
        <v>PR6</v>
      </c>
      <c r="E85" s="116">
        <f>'4637'!D24</f>
        <v>730</v>
      </c>
      <c r="F85" s="103">
        <f>'4637'!E24</f>
        <v>297</v>
      </c>
      <c r="G85" s="4" t="str">
        <f>'4637'!F24</f>
        <v>WINTER SANSARA MAPLE 14689 SF</v>
      </c>
      <c r="H85" s="30"/>
      <c r="K85" s="26"/>
      <c r="M85" s="29"/>
    </row>
    <row r="86" spans="1:13" s="10" customFormat="1" ht="20.100000000000001" customHeight="1" x14ac:dyDescent="0.35">
      <c r="A86" s="110"/>
      <c r="B86" s="100"/>
      <c r="C86" s="96">
        <f>'4637'!B25</f>
        <v>2</v>
      </c>
      <c r="D86" s="4" t="str">
        <f>'4637'!C25</f>
        <v>PR6</v>
      </c>
      <c r="E86" s="116">
        <f>'4637'!D25</f>
        <v>730</v>
      </c>
      <c r="F86" s="103">
        <f>'4637'!E25</f>
        <v>297</v>
      </c>
      <c r="G86" s="4" t="str">
        <f>'4637'!F25</f>
        <v>WINTER SANSARA MAPLE 14689 SF</v>
      </c>
      <c r="H86" s="30"/>
      <c r="K86" s="26"/>
      <c r="M86" s="29"/>
    </row>
    <row r="87" spans="1:13" s="10" customFormat="1" ht="20.100000000000001" customHeight="1" x14ac:dyDescent="0.35">
      <c r="A87" s="110"/>
      <c r="B87" s="100"/>
      <c r="C87" s="96">
        <f>'4637'!B26</f>
        <v>2</v>
      </c>
      <c r="D87" s="4" t="str">
        <f>'4637'!C26</f>
        <v>PR6</v>
      </c>
      <c r="E87" s="116">
        <f>'4637'!D26</f>
        <v>416</v>
      </c>
      <c r="F87" s="103">
        <f>'4637'!E26</f>
        <v>297</v>
      </c>
      <c r="G87" s="4" t="str">
        <f>'4637'!F26</f>
        <v>WINTER SANSARA MAPLE 14689 SF</v>
      </c>
      <c r="H87" s="30"/>
      <c r="K87" s="26"/>
      <c r="M87" s="29"/>
    </row>
    <row r="88" spans="1:13" s="10" customFormat="1" ht="20.100000000000001" customHeight="1" x14ac:dyDescent="0.35">
      <c r="A88" s="110"/>
      <c r="B88" s="100"/>
      <c r="C88" s="96">
        <f>'4637'!B27</f>
        <v>4</v>
      </c>
      <c r="D88" s="4" t="str">
        <f>'4637'!C27</f>
        <v>PR6</v>
      </c>
      <c r="E88" s="116">
        <f>'4637'!D27</f>
        <v>730</v>
      </c>
      <c r="F88" s="103">
        <f>'4637'!E27</f>
        <v>335</v>
      </c>
      <c r="G88" s="4" t="str">
        <f>'4637'!F27</f>
        <v>WINTER SANSARA MAPLE 14689 SF</v>
      </c>
      <c r="H88" s="30"/>
      <c r="K88" s="26"/>
      <c r="M88" s="29"/>
    </row>
    <row r="89" spans="1:13" s="10" customFormat="1" ht="20.100000000000001" customHeight="1" x14ac:dyDescent="0.35">
      <c r="A89" s="110"/>
      <c r="B89" s="100"/>
      <c r="C89" s="96">
        <f>'4637'!B28</f>
        <v>2</v>
      </c>
      <c r="D89" s="4" t="str">
        <f>'4637'!C28</f>
        <v>PR6</v>
      </c>
      <c r="E89" s="116">
        <f>'4637'!D28</f>
        <v>730</v>
      </c>
      <c r="F89" s="103">
        <f>'4637'!E28</f>
        <v>147</v>
      </c>
      <c r="G89" s="4" t="str">
        <f>'4637'!F28</f>
        <v>WINTER SANSARA MAPLE 14689 SF</v>
      </c>
      <c r="H89" s="30"/>
      <c r="K89" s="26"/>
      <c r="M89" s="29"/>
    </row>
    <row r="90" spans="1:13" s="10" customFormat="1" ht="20.100000000000001" customHeight="1" x14ac:dyDescent="0.35">
      <c r="A90" s="110"/>
      <c r="B90" s="100"/>
      <c r="C90" s="96">
        <f>'4637'!B29</f>
        <v>1</v>
      </c>
      <c r="D90" s="4" t="str">
        <f>'4637'!C29</f>
        <v>PR6 / 2 DE 350</v>
      </c>
      <c r="E90" s="116">
        <f>'4637'!D29</f>
        <v>730</v>
      </c>
      <c r="F90" s="103">
        <f>'4637'!E29</f>
        <v>597</v>
      </c>
      <c r="G90" s="4" t="str">
        <f>'4637'!F29</f>
        <v>WINTER SANSARA MAPLE 14689 SF</v>
      </c>
      <c r="H90" s="30"/>
      <c r="K90" s="26"/>
      <c r="M90" s="29"/>
    </row>
    <row r="91" spans="1:13" s="10" customFormat="1" ht="20.100000000000001" customHeight="1" x14ac:dyDescent="0.35">
      <c r="A91" s="110"/>
      <c r="B91" s="100"/>
      <c r="C91" s="96">
        <f>'4637'!B30</f>
        <v>4</v>
      </c>
      <c r="D91" s="4" t="str">
        <f>'4637'!C30</f>
        <v>PR6</v>
      </c>
      <c r="E91" s="116">
        <f>'4637'!D30</f>
        <v>820</v>
      </c>
      <c r="F91" s="103">
        <f>'4637'!E30</f>
        <v>335</v>
      </c>
      <c r="G91" s="4" t="str">
        <f>'4637'!F30</f>
        <v>WINTER SANSARA MAPLE 14689 SF</v>
      </c>
      <c r="H91" s="30"/>
      <c r="K91" s="26"/>
      <c r="M91" s="29"/>
    </row>
    <row r="92" spans="1:13" s="10" customFormat="1" ht="20.100000000000001" customHeight="1" x14ac:dyDescent="0.35">
      <c r="A92" s="110"/>
      <c r="B92" s="100"/>
      <c r="C92" s="96">
        <f>'4637'!B31</f>
        <v>2</v>
      </c>
      <c r="D92" s="4" t="str">
        <f>'4637'!C31</f>
        <v>PR6</v>
      </c>
      <c r="E92" s="116">
        <f>'4637'!D31</f>
        <v>820</v>
      </c>
      <c r="F92" s="103">
        <f>'4637'!E31</f>
        <v>432</v>
      </c>
      <c r="G92" s="4" t="str">
        <f>'4637'!F31</f>
        <v>WINTER SANSARA MAPLE 14689 SF</v>
      </c>
      <c r="H92" s="30"/>
      <c r="K92" s="26"/>
      <c r="M92" s="29"/>
    </row>
    <row r="93" spans="1:13" s="10" customFormat="1" ht="20.100000000000001" customHeight="1" x14ac:dyDescent="0.35">
      <c r="A93" s="110"/>
      <c r="B93" s="100"/>
      <c r="C93" s="96">
        <f>'4637'!B32</f>
        <v>2</v>
      </c>
      <c r="D93" s="4" t="str">
        <f>'4637'!C32</f>
        <v>PR6</v>
      </c>
      <c r="E93" s="116">
        <f>'4637'!D32</f>
        <v>520</v>
      </c>
      <c r="F93" s="103">
        <f>'4637'!E32</f>
        <v>457</v>
      </c>
      <c r="G93" s="4" t="str">
        <f>'4637'!F32</f>
        <v>WINTER SANSARA MAPLE 14689 SF</v>
      </c>
      <c r="H93" s="30"/>
      <c r="K93" s="26"/>
      <c r="M93" s="29"/>
    </row>
    <row r="94" spans="1:13" s="10" customFormat="1" ht="20.100000000000001" customHeight="1" x14ac:dyDescent="0.35">
      <c r="A94" s="110"/>
      <c r="B94" s="100"/>
      <c r="C94" s="136"/>
      <c r="D94" s="137"/>
      <c r="E94" s="138"/>
      <c r="F94" s="135"/>
      <c r="G94" s="137"/>
      <c r="H94" s="30"/>
      <c r="K94" s="26"/>
      <c r="M94" s="29"/>
    </row>
    <row r="95" spans="1:13" s="10" customFormat="1" ht="15" customHeight="1" x14ac:dyDescent="0.35">
      <c r="B95" s="83"/>
      <c r="C95" s="66"/>
      <c r="D95" s="66"/>
      <c r="E95" s="66"/>
      <c r="F95" s="66"/>
      <c r="G95" s="66"/>
      <c r="H95" s="30"/>
    </row>
    <row r="96" spans="1:13" ht="18" x14ac:dyDescent="0.35">
      <c r="B96" s="73"/>
      <c r="C96" s="73"/>
      <c r="D96" s="30"/>
      <c r="E96" s="73"/>
      <c r="F96" s="73"/>
      <c r="G96" s="78"/>
      <c r="H96" s="30"/>
    </row>
    <row r="97" spans="2:11" ht="18" x14ac:dyDescent="0.35">
      <c r="B97" s="73"/>
      <c r="C97" s="73"/>
      <c r="D97" s="30"/>
      <c r="E97" s="73"/>
      <c r="F97" s="73"/>
      <c r="G97" s="73"/>
      <c r="H97" s="30"/>
      <c r="J97" s="10">
        <f>SUM(J82:J82)</f>
        <v>0.71101999999999999</v>
      </c>
      <c r="K97" s="27">
        <f>SUM(K82:K82)</f>
        <v>10665.3</v>
      </c>
    </row>
    <row r="98" spans="2:11" ht="18" x14ac:dyDescent="0.35">
      <c r="B98" s="30"/>
      <c r="C98" s="30"/>
      <c r="D98" s="30"/>
      <c r="E98" s="30"/>
      <c r="F98" s="30"/>
      <c r="G98" s="30"/>
      <c r="H98" s="30"/>
    </row>
    <row r="99" spans="2:11" ht="18" x14ac:dyDescent="0.35">
      <c r="B99" s="30"/>
      <c r="C99" s="30"/>
      <c r="D99" s="30"/>
      <c r="E99" s="30"/>
      <c r="F99" s="30"/>
      <c r="G99" s="30"/>
      <c r="H99" s="30"/>
    </row>
    <row r="100" spans="2:11" ht="18" x14ac:dyDescent="0.35">
      <c r="B100" s="30"/>
      <c r="C100" s="30"/>
      <c r="D100" s="30"/>
      <c r="E100" s="30"/>
      <c r="F100" s="30"/>
      <c r="G100" s="30"/>
      <c r="H100" s="30"/>
    </row>
    <row r="101" spans="2:11" ht="15" customHeight="1" x14ac:dyDescent="0.35">
      <c r="B101" s="30"/>
      <c r="C101" s="30"/>
      <c r="D101" s="30"/>
      <c r="E101" s="30"/>
      <c r="F101" s="30"/>
      <c r="G101" s="30"/>
      <c r="H101" s="30"/>
    </row>
    <row r="102" spans="2:11" ht="18" x14ac:dyDescent="0.35">
      <c r="B102" s="30"/>
      <c r="C102" s="30"/>
      <c r="D102" s="30"/>
      <c r="E102" s="30"/>
      <c r="F102" s="30"/>
      <c r="G102" s="30"/>
      <c r="H102" s="30"/>
    </row>
    <row r="103" spans="2:11" ht="18" x14ac:dyDescent="0.35">
      <c r="B103" s="73"/>
      <c r="C103" s="87"/>
      <c r="D103" s="30"/>
      <c r="E103" s="30"/>
      <c r="F103" s="30"/>
      <c r="G103" s="30"/>
      <c r="H103" s="30"/>
    </row>
    <row r="104" spans="2:11" ht="18" x14ac:dyDescent="0.35">
      <c r="B104" s="30"/>
      <c r="C104" s="30"/>
      <c r="D104" s="30"/>
      <c r="E104" s="30"/>
      <c r="F104" s="30"/>
      <c r="G104" s="30"/>
      <c r="H104" s="30"/>
    </row>
    <row r="105" spans="2:11" x14ac:dyDescent="0.3">
      <c r="C105" s="14"/>
      <c r="D105" s="14"/>
      <c r="F105" s="14"/>
      <c r="G105" s="14"/>
    </row>
    <row r="106" spans="2:11" x14ac:dyDescent="0.3">
      <c r="C106" s="14"/>
      <c r="D106" s="14"/>
      <c r="F106" s="14"/>
      <c r="G106" s="14"/>
    </row>
  </sheetData>
  <mergeCells count="6">
    <mergeCell ref="N3:O3"/>
    <mergeCell ref="B29:G29"/>
    <mergeCell ref="B10:G10"/>
    <mergeCell ref="B78:G78"/>
    <mergeCell ref="C80:G80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3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2025-11-28T20:06:31Z</cp:lastPrinted>
  <dcterms:created xsi:type="dcterms:W3CDTF">2013-03-19T12:54:14Z</dcterms:created>
  <dcterms:modified xsi:type="dcterms:W3CDTF">2025-11-28T20:10:02Z</dcterms:modified>
</cp:coreProperties>
</file>