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78354080-CD32-4A6B-A640-55C9C28183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K24" i="3"/>
  <c r="E24" i="3" s="1"/>
  <c r="L24" i="3"/>
  <c r="F24" i="3" s="1"/>
  <c r="C31" i="3"/>
  <c r="J24" i="3" s="1"/>
  <c r="C24" i="3" s="1"/>
  <c r="E31" i="3"/>
  <c r="F31" i="3"/>
  <c r="G31" i="3"/>
  <c r="C32" i="3"/>
  <c r="E32" i="3"/>
  <c r="F32" i="3"/>
  <c r="G32" i="3"/>
  <c r="C55" i="3"/>
  <c r="D55" i="3"/>
  <c r="D31" i="3" s="1"/>
  <c r="G24" i="3" s="1"/>
  <c r="E55" i="3"/>
  <c r="F55" i="3"/>
  <c r="G55" i="3"/>
  <c r="C56" i="3"/>
  <c r="D56" i="3"/>
  <c r="D32" i="3" s="1"/>
  <c r="E56" i="3"/>
  <c r="F56" i="3"/>
  <c r="G56" i="3"/>
  <c r="H23" i="4"/>
  <c r="H22" i="4"/>
  <c r="H21" i="4"/>
  <c r="G30" i="3" l="1"/>
  <c r="F30" i="3"/>
  <c r="L14" i="3" s="1"/>
  <c r="E30" i="3"/>
  <c r="K14" i="3" s="1"/>
  <c r="C30" i="3"/>
  <c r="G54" i="3"/>
  <c r="F54" i="3"/>
  <c r="E54" i="3"/>
  <c r="D54" i="3"/>
  <c r="D30" i="3" s="1"/>
  <c r="C54" i="3"/>
  <c r="L21" i="4" l="1"/>
  <c r="K21" i="4"/>
  <c r="M21" i="4" l="1"/>
  <c r="N21" i="4" s="1"/>
  <c r="G23" i="3" l="1"/>
  <c r="L23" i="3"/>
  <c r="F23" i="3" s="1"/>
  <c r="J23" i="3" l="1"/>
  <c r="I30" i="3"/>
  <c r="J30" i="3" s="1"/>
  <c r="K23" i="3"/>
  <c r="I54" i="3"/>
  <c r="J54" i="3" s="1"/>
  <c r="G14" i="3"/>
  <c r="F14" i="3"/>
  <c r="C23" i="3" l="1"/>
  <c r="J14" i="3"/>
  <c r="C14" i="3" s="1"/>
  <c r="J35" i="3"/>
  <c r="K54" i="3"/>
  <c r="J61" i="3"/>
  <c r="H27" i="4"/>
  <c r="O5" i="3"/>
  <c r="K61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<sst xmlns="http://schemas.openxmlformats.org/spreadsheetml/2006/main" count="251" uniqueCount="145">
  <si>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</si>
  <si>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</si>
  <si>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</si>
  <si>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</si>
  <si>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</si>
  <si>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</si>
  <si>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</si>
  <si>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</si>
  <si>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</si>
  <si>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</si>
  <si>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</si>
  <si>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</si>
  <si>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</si>
  <si>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</si>
  <si>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</si>
  <si>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</si>
  <si>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</si>
  <si>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</si>
  <si>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</si>
  <si>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</si>
  <si>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</si>
  <si>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</si>
  <si>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</si>
  <si>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</si>
  <si>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</si>
  <si>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</si>
  <si>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</si>
  <si>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</si>
  <si>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</si>
  <si>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</si>
  <si>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</si>
  <si>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</si>
  <si>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</si>
  <si>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</si>
  <si>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</si>
  <si>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</si>
  <si>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</si>
  <si>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</si>
  <si>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</si>
  <si>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</si>
  <si>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</si>
  <si>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</si>
  <si>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</si>
  <si>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</si>
  <si>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</si>
  <si>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</si>
  <si>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</si>
  <si>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</si>
  <si>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</si>
  <si>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</si>
  <si>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</si>
  <si>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</si>
  <si>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</si>
  <si>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</si>
  <si>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</si>
  <si>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</si>
  <si>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</si>
  <si>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</si>
  <si>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</si>
  <si>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</si>
  <si>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</si>
  <si>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</si>
  <si>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</si>
  <si>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</si>
  <si>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</si>
  <si>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</si>
  <si>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</si>
  <si>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</si>
  <si>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</si>
  <si>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</si>
  <si>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</si>
  <si>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</si>
  <si>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</si>
  <si>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</si>
  <si>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</si>
  <si>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</si>
  <si>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</si>
  <si>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</si>
  <si>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</si>
  <si>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</si>
  <si>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</si>
  <si>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</si>
  <si>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</si>
  <si>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</si>
  <si>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</si>
  <si>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</si>
  <si>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</si>
  <si>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</si>
  <si>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</si>
  <si>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</si>
  <si>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</si>
  <si>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</si>
  <si>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</si>
  <si>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</si>
  <si>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</si>
  <si>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</si>
  <si>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</si>
  <si>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</si>
  <si>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</si>
  <si>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</si>
  <si>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</si>
  <si>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</si>
  <si>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</si>
  <si>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</si>
  <si>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</si>
  <si>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</si>
  <si>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</si>
  <si>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</si>
  <si>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</si>
  <si>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</si>
  <si>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</si>
  <si>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</si>
  <si>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</si>
  <si>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</si>
  <si>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</si>
  <si>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</si>
  <si>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</si>
  <si>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</si>
  <si>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</si>
  <si>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</si>
  <si>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</si>
  <si>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</si>
  <si>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</si>
  <si>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</si>
  <si>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</si>
  <si>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</si>
  <si>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</si>
  <si>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</si>
  <si>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</si>
  <si>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</si>
  <si>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</si>
  <si>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</si>
  <si>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</si>
  <si>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</si>
  <si>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</si>
  <si>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</si>
  <si>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</si>
  <si>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</si>
  <si>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</si>
  <si>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OMAR AGUILERA</t>
  </si>
  <si>
    <t>569 6258 4788</t>
  </si>
  <si>
    <t>CUB C/R 90° R 8</t>
  </si>
  <si>
    <t>DESFONDADOS</t>
  </si>
  <si>
    <t>N° 11761</t>
  </si>
  <si>
    <t>WHITE LILY  21081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</si>
</sst>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165" fontId="9" fillId="0" borderId="2" xfId="0" applyNumberFormat="1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$ 105.000.-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DESFONDADOS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62</xdr:row>
      <xdr:rowOff>32385</xdr:rowOff>
    </xdr:from>
    <xdr:to>
      <xdr:col>7</xdr:col>
      <xdr:colOff>7620</xdr:colOff>
      <xdr:row>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CORTES PARA DESFONDADOS, HAY QUE DESPACHAR A DOMICILIO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B3" zoomScale="98" zoomScaleNormal="98" workbookViewId="0">
      <selection activeCell="J12" sqref="J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143</v>
      </c>
      <c r="E8" s="30"/>
      <c r="F8" s="35" t="s">
        <v>25</v>
      </c>
      <c r="G8" s="36">
        <v>4226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45986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45989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140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3" t="s">
        <v>17</v>
      </c>
      <c r="G16" s="123"/>
      <c r="H16" s="12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5" t="s">
        <v>18</v>
      </c>
      <c r="C19" s="126"/>
      <c r="D19" s="126"/>
      <c r="E19" s="126"/>
      <c r="F19" s="126"/>
      <c r="G19" s="126"/>
      <c r="H19" s="127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141</v>
      </c>
      <c r="D21" s="103">
        <v>3000</v>
      </c>
      <c r="E21" s="103">
        <v>600</v>
      </c>
      <c r="F21" s="102" t="s">
        <v>144</v>
      </c>
      <c r="G21" s="113">
        <v>147308</v>
      </c>
      <c r="H21" s="113">
        <f>G21*B21</f>
        <v>147308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141</v>
      </c>
      <c r="D22" s="103">
        <v>1150</v>
      </c>
      <c r="E22" s="103">
        <v>600</v>
      </c>
      <c r="F22" s="102" t="s">
        <v>144</v>
      </c>
      <c r="G22" s="113">
        <v>45846</v>
      </c>
      <c r="H22" s="113">
        <f t="shared" ref="H22:H23" si="0">G22*B22</f>
        <v>45846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02" t="s">
        <v>142</v>
      </c>
      <c r="D23" s="121"/>
      <c r="E23" s="121"/>
      <c r="F23" s="102"/>
      <c r="G23" s="113">
        <v>10000</v>
      </c>
      <c r="H23" s="113">
        <f t="shared" si="0"/>
        <v>20000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4"/>
      <c r="C24" s="104"/>
      <c r="D24" s="112"/>
      <c r="E24" s="112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0" t="s">
        <v>5</v>
      </c>
      <c r="H25" s="61">
        <v>210000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2" t="s">
        <v>136</v>
      </c>
      <c r="H26" s="6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64" t="s">
        <v>4</v>
      </c>
      <c r="H27" s="65">
        <f>H25+H26</f>
        <v>210000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05"/>
      <c r="E32" s="10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9"/>
      <c r="C33" s="59"/>
      <c r="D33" s="59"/>
      <c r="E33" s="59"/>
      <c r="F33" s="59"/>
      <c r="G33" s="58"/>
      <c r="H33" s="58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6"/>
      <c r="H37" s="67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8" t="s">
        <v>133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68" t="s">
        <v>119</v>
      </c>
      <c r="C40" s="69"/>
      <c r="D40" s="70"/>
      <c r="E40" s="70"/>
      <c r="F40" s="59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71" t="s">
        <v>24</v>
      </c>
      <c r="C42" s="71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72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71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0"/>
  <sheetViews>
    <sheetView tabSelected="1" zoomScaleNormal="100" workbookViewId="0">
      <selection activeCell="A3" sqref="A3:G40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30"/>
      <c r="C4" s="30"/>
      <c r="D4" s="74" t="s">
        <v>25</v>
      </c>
      <c r="E4" s="75">
        <f>'4637'!G8</f>
        <v>4226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OMAR AGUILERA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45989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v>3100</v>
      </c>
      <c r="F14" s="94">
        <f>L14+F$13</f>
        <v>570</v>
      </c>
      <c r="G14" s="94" t="str">
        <f>D30</f>
        <v>CUB C/R 90° R 8</v>
      </c>
      <c r="H14" s="30"/>
      <c r="J14" s="3">
        <f>J23</f>
        <v>1</v>
      </c>
      <c r="K14" s="4">
        <f t="shared" ref="K14:L14" si="0">E30</f>
        <v>3000</v>
      </c>
      <c r="L14" s="4">
        <f t="shared" si="0"/>
        <v>600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1230</v>
      </c>
      <c r="F15" s="94">
        <f>L15+F$13</f>
        <v>570</v>
      </c>
      <c r="G15" s="94" t="str">
        <f>D31</f>
        <v>CUB C/R 90° R 8</v>
      </c>
      <c r="H15" s="30"/>
      <c r="J15" s="3">
        <f>J24</f>
        <v>1</v>
      </c>
      <c r="K15" s="4">
        <f t="shared" ref="K15" si="1">E31</f>
        <v>1150</v>
      </c>
      <c r="L15" s="4">
        <f t="shared" ref="L15" si="2">F31</f>
        <v>600</v>
      </c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1" t="s">
        <v>13</v>
      </c>
      <c r="C19" s="131"/>
      <c r="D19" s="131"/>
      <c r="E19" s="131"/>
      <c r="F19" s="131"/>
      <c r="G19" s="131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130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3">J23</f>
        <v>1</v>
      </c>
      <c r="D23" s="96"/>
      <c r="E23" s="96">
        <v>3080</v>
      </c>
      <c r="F23" s="96">
        <f t="shared" ref="F23" si="4">L23+F$22</f>
        <v>730</v>
      </c>
      <c r="G23" s="96" t="str">
        <f>D30</f>
        <v>CUB C/R 90° R 8</v>
      </c>
      <c r="H23" s="30"/>
      <c r="J23" s="3">
        <f>C30</f>
        <v>1</v>
      </c>
      <c r="K23" s="107">
        <f>E30</f>
        <v>3000</v>
      </c>
      <c r="L23" s="107">
        <f>F30</f>
        <v>600</v>
      </c>
    </row>
    <row r="24" spans="1:12" ht="18" x14ac:dyDescent="0.35">
      <c r="A24" s="110"/>
      <c r="B24" s="101"/>
      <c r="C24" s="96">
        <f t="shared" ref="C24" si="5">J24</f>
        <v>1</v>
      </c>
      <c r="D24" s="96"/>
      <c r="E24" s="96">
        <f t="shared" ref="E24" si="6">K24+E$22</f>
        <v>1190</v>
      </c>
      <c r="F24" s="96">
        <f t="shared" ref="F24" si="7">L24+F$22</f>
        <v>730</v>
      </c>
      <c r="G24" s="96" t="str">
        <f>D31</f>
        <v>CUB C/R 90° R 8</v>
      </c>
      <c r="H24" s="30"/>
      <c r="J24" s="3">
        <f>C31</f>
        <v>1</v>
      </c>
      <c r="K24" s="107">
        <f>E31</f>
        <v>1150</v>
      </c>
      <c r="L24" s="107">
        <f>F31</f>
        <v>600</v>
      </c>
    </row>
    <row r="25" spans="1:12" ht="18" x14ac:dyDescent="0.35">
      <c r="A25" s="110"/>
      <c r="B25" s="101"/>
      <c r="C25" s="73"/>
      <c r="D25" s="73"/>
      <c r="E25" s="73"/>
      <c r="F25" s="73"/>
      <c r="G25" s="73"/>
      <c r="H25" s="30"/>
      <c r="J25" s="23"/>
      <c r="K25" s="122"/>
      <c r="L25" s="122"/>
    </row>
    <row r="26" spans="1:12" ht="18.600000000000001" thickBot="1" x14ac:dyDescent="0.4">
      <c r="A26" s="2"/>
      <c r="B26" s="83"/>
      <c r="C26" s="73"/>
      <c r="D26" s="73"/>
      <c r="E26" s="73"/>
      <c r="F26" s="73"/>
      <c r="G26" s="73"/>
      <c r="H26" s="30"/>
      <c r="I26" s="108"/>
      <c r="J26" s="109"/>
      <c r="K26" s="109"/>
      <c r="L26" s="109"/>
    </row>
    <row r="27" spans="1:12" ht="18.600000000000001" thickBot="1" x14ac:dyDescent="0.4">
      <c r="A27" s="2"/>
      <c r="B27" s="66"/>
      <c r="C27" s="97" t="s">
        <v>104</v>
      </c>
      <c r="D27" s="33"/>
      <c r="E27" s="33"/>
      <c r="F27" s="33"/>
      <c r="G27" s="98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6" t="s">
        <v>8</v>
      </c>
      <c r="C29" s="99" t="s">
        <v>9</v>
      </c>
      <c r="D29" s="99" t="s">
        <v>107</v>
      </c>
      <c r="E29" s="99" t="s">
        <v>6</v>
      </c>
      <c r="F29" s="99" t="s">
        <v>7</v>
      </c>
      <c r="G29" s="99" t="s">
        <v>21</v>
      </c>
      <c r="H29" s="30"/>
    </row>
    <row r="30" spans="1:12" ht="18" x14ac:dyDescent="0.35">
      <c r="A30" s="110">
        <v>1</v>
      </c>
      <c r="B30" s="101" t="s">
        <v>138</v>
      </c>
      <c r="C30" s="94">
        <f>'4637'!B21</f>
        <v>1</v>
      </c>
      <c r="D30" s="94" t="str">
        <f>D54</f>
        <v>CUB C/R 90° R 8</v>
      </c>
      <c r="E30" s="116">
        <f>'4637'!D21</f>
        <v>3000</v>
      </c>
      <c r="F30" s="116">
        <f>'4637'!E21</f>
        <v>600</v>
      </c>
      <c r="G30" s="4" t="str">
        <f>'4637'!F21</f>
        <v>WHITE LILY  21081 BRILLO</v>
      </c>
      <c r="H30" s="30"/>
      <c r="I30" s="28">
        <f>E30*F30/1000000</f>
        <v>1.8</v>
      </c>
      <c r="J30" s="28">
        <f>I30*C30</f>
        <v>1.8</v>
      </c>
    </row>
    <row r="31" spans="1:12" ht="18" x14ac:dyDescent="0.35">
      <c r="A31" s="110"/>
      <c r="B31" s="101"/>
      <c r="C31" s="94">
        <f>'4637'!B22</f>
        <v>1</v>
      </c>
      <c r="D31" s="94" t="str">
        <f t="shared" ref="D31:D32" si="8">D55</f>
        <v>CUB C/R 90° R 8</v>
      </c>
      <c r="E31" s="116">
        <f>'4637'!D22</f>
        <v>1150</v>
      </c>
      <c r="F31" s="116">
        <f>'4637'!E22</f>
        <v>600</v>
      </c>
      <c r="G31" s="4" t="str">
        <f>'4637'!F22</f>
        <v>WHITE LILY  21081 BRILLO</v>
      </c>
      <c r="H31" s="30"/>
      <c r="I31" s="28"/>
      <c r="J31" s="28"/>
    </row>
    <row r="32" spans="1:12" ht="18" x14ac:dyDescent="0.35">
      <c r="A32" s="110"/>
      <c r="B32" s="101"/>
      <c r="C32" s="94">
        <f>'4637'!B23</f>
        <v>2</v>
      </c>
      <c r="D32" s="94" t="str">
        <f t="shared" si="8"/>
        <v>DESFONDADOS</v>
      </c>
      <c r="E32" s="116">
        <f>'4637'!D23</f>
        <v>0</v>
      </c>
      <c r="F32" s="116">
        <f>'4637'!E23</f>
        <v>0</v>
      </c>
      <c r="G32" s="4">
        <f>'4637'!F23</f>
        <v>0</v>
      </c>
      <c r="H32" s="30"/>
      <c r="I32" s="28"/>
      <c r="J32" s="28"/>
    </row>
    <row r="33" spans="1:10" ht="18" x14ac:dyDescent="0.35">
      <c r="A33" s="110"/>
      <c r="B33" s="101"/>
      <c r="C33" s="104"/>
      <c r="D33" s="104"/>
      <c r="E33" s="105"/>
      <c r="F33" s="105"/>
      <c r="G33" s="104"/>
      <c r="H33" s="30"/>
      <c r="I33" s="28"/>
      <c r="J33" s="28"/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  <c r="J35" s="28">
        <f>SUM(J30:J30)*2</f>
        <v>3.6</v>
      </c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74" t="s">
        <v>25</v>
      </c>
      <c r="E44" s="75">
        <f>'4637'!G8</f>
        <v>4226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6" t="s">
        <v>64</v>
      </c>
      <c r="E45" s="77" t="str">
        <f>'4637'!C10</f>
        <v>OMAR AGUILERA</v>
      </c>
      <c r="F45" s="48"/>
      <c r="G45" s="48"/>
      <c r="H45" s="30"/>
    </row>
    <row r="46" spans="1:10" ht="4.5" customHeight="1" x14ac:dyDescent="0.35">
      <c r="A46" s="2"/>
      <c r="B46" s="30"/>
      <c r="C46" s="30"/>
      <c r="D46" s="78"/>
      <c r="E46" s="79"/>
      <c r="F46" s="30"/>
      <c r="G46" s="30"/>
      <c r="H46" s="30"/>
    </row>
    <row r="47" spans="1:10" ht="18" x14ac:dyDescent="0.35">
      <c r="A47" s="2"/>
      <c r="B47" s="30"/>
      <c r="C47" s="30"/>
      <c r="D47" s="80" t="str">
        <f>'4637'!F11</f>
        <v>FECHA LIMITE :</v>
      </c>
      <c r="E47" s="81">
        <f>'4637'!G11</f>
        <v>45989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135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32" t="s">
        <v>65</v>
      </c>
      <c r="C50" s="132"/>
      <c r="D50" s="132"/>
      <c r="E50" s="132"/>
      <c r="F50" s="132"/>
      <c r="G50" s="132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33" t="s">
        <v>66</v>
      </c>
      <c r="D52" s="134"/>
      <c r="E52" s="135"/>
      <c r="F52" s="135"/>
      <c r="G52" s="136"/>
      <c r="H52" s="30"/>
      <c r="I52" s="25" t="s">
        <v>130</v>
      </c>
    </row>
    <row r="53" spans="1:13" s="10" customFormat="1" ht="20.100000000000001" customHeight="1" x14ac:dyDescent="0.35">
      <c r="A53" s="111"/>
      <c r="B53" s="30"/>
      <c r="C53" s="84" t="s">
        <v>9</v>
      </c>
      <c r="D53" s="85" t="s">
        <v>10</v>
      </c>
      <c r="E53" s="88" t="s">
        <v>6</v>
      </c>
      <c r="F53" s="88" t="s">
        <v>7</v>
      </c>
      <c r="G53" s="86" t="s">
        <v>11</v>
      </c>
      <c r="H53" s="30"/>
      <c r="K53" s="10">
        <v>15000</v>
      </c>
    </row>
    <row r="54" spans="1:13" s="10" customFormat="1" ht="20.100000000000001" customHeight="1" x14ac:dyDescent="0.35">
      <c r="A54" s="110">
        <v>1</v>
      </c>
      <c r="B54" s="100" t="s">
        <v>138</v>
      </c>
      <c r="C54" s="96">
        <f>'4637'!B21</f>
        <v>1</v>
      </c>
      <c r="D54" s="4" t="str">
        <f>'4637'!C21</f>
        <v>CUB C/R 90° R 8</v>
      </c>
      <c r="E54" s="116">
        <f>'4637'!D21</f>
        <v>3000</v>
      </c>
      <c r="F54" s="103">
        <f>'4637'!E21</f>
        <v>600</v>
      </c>
      <c r="G54" s="4" t="str">
        <f>'4637'!F21</f>
        <v>WHITE LILY  21081 BRILLO</v>
      </c>
      <c r="H54" s="30"/>
      <c r="I54" s="10">
        <f>E54*F54/1000000</f>
        <v>1.8</v>
      </c>
      <c r="J54" s="10">
        <f>I54*C54</f>
        <v>1.8</v>
      </c>
      <c r="K54" s="26">
        <f>J54*K$53</f>
        <v>27000</v>
      </c>
      <c r="M54" s="24">
        <v>12096</v>
      </c>
    </row>
    <row r="55" spans="1:13" s="10" customFormat="1" ht="20.100000000000001" customHeight="1" x14ac:dyDescent="0.35">
      <c r="A55" s="110"/>
      <c r="B55" s="100"/>
      <c r="C55" s="96">
        <f>'4637'!B22</f>
        <v>1</v>
      </c>
      <c r="D55" s="4" t="str">
        <f>'4637'!C22</f>
        <v>CUB C/R 90° R 8</v>
      </c>
      <c r="E55" s="116">
        <f>'4637'!D22</f>
        <v>1150</v>
      </c>
      <c r="F55" s="103">
        <f>'4637'!E22</f>
        <v>600</v>
      </c>
      <c r="G55" s="4" t="str">
        <f>'4637'!F22</f>
        <v>WHITE LILY  21081 BRILLO</v>
      </c>
      <c r="H55" s="30"/>
      <c r="K55" s="26"/>
      <c r="M55" s="29"/>
    </row>
    <row r="56" spans="1:13" s="10" customFormat="1" ht="20.100000000000001" customHeight="1" x14ac:dyDescent="0.35">
      <c r="A56" s="110"/>
      <c r="B56" s="100"/>
      <c r="C56" s="96">
        <f>'4637'!B23</f>
        <v>2</v>
      </c>
      <c r="D56" s="4" t="str">
        <f>'4637'!C23</f>
        <v>DESFONDADOS</v>
      </c>
      <c r="E56" s="116">
        <f>'4637'!D23</f>
        <v>0</v>
      </c>
      <c r="F56" s="103">
        <f>'4637'!E23</f>
        <v>0</v>
      </c>
      <c r="G56" s="4">
        <f>'4637'!F23</f>
        <v>0</v>
      </c>
      <c r="H56" s="30"/>
      <c r="K56" s="26"/>
      <c r="M56" s="29"/>
    </row>
    <row r="57" spans="1:13" s="10" customFormat="1" ht="20.100000000000001" customHeight="1" x14ac:dyDescent="0.35">
      <c r="A57" s="110"/>
      <c r="B57" s="100"/>
      <c r="C57" s="73"/>
      <c r="D57" s="2"/>
      <c r="E57" s="119"/>
      <c r="F57" s="105"/>
      <c r="G57" s="2"/>
      <c r="H57" s="30"/>
      <c r="K57" s="26"/>
      <c r="M57" s="29"/>
    </row>
    <row r="58" spans="1:13" s="10" customFormat="1" ht="20.100000000000001" customHeight="1" x14ac:dyDescent="0.35">
      <c r="A58" s="110"/>
      <c r="B58" s="100"/>
      <c r="C58" s="73"/>
      <c r="D58" s="2"/>
      <c r="E58" s="119"/>
      <c r="F58" s="105"/>
      <c r="G58" s="2"/>
      <c r="H58" s="30"/>
      <c r="K58" s="26"/>
      <c r="M58" s="29"/>
    </row>
    <row r="59" spans="1:13" s="10" customFormat="1" ht="15" customHeight="1" x14ac:dyDescent="0.35">
      <c r="B59" s="83"/>
      <c r="C59" s="66"/>
      <c r="D59" s="66"/>
      <c r="E59" s="66"/>
      <c r="F59" s="66"/>
      <c r="G59" s="66"/>
      <c r="H59" s="30"/>
    </row>
    <row r="60" spans="1:13" ht="18" x14ac:dyDescent="0.35">
      <c r="B60" s="73"/>
      <c r="C60" s="73"/>
      <c r="D60" s="30"/>
      <c r="E60" s="73"/>
      <c r="F60" s="73"/>
      <c r="G60" s="78"/>
      <c r="H60" s="30"/>
    </row>
    <row r="61" spans="1:13" ht="18" x14ac:dyDescent="0.35">
      <c r="B61" s="73"/>
      <c r="C61" s="73"/>
      <c r="D61" s="30"/>
      <c r="E61" s="73"/>
      <c r="F61" s="73"/>
      <c r="G61" s="73"/>
      <c r="H61" s="30"/>
      <c r="J61" s="10">
        <f>SUM(J54:J54)</f>
        <v>1.8</v>
      </c>
      <c r="K61" s="27">
        <f>SUM(K54:K54)</f>
        <v>27000</v>
      </c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5" customHeight="1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73"/>
      <c r="C67" s="87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x14ac:dyDescent="0.3">
      <c r="C69" s="14"/>
      <c r="D69" s="14"/>
      <c r="F69" s="14"/>
      <c r="G69" s="14"/>
    </row>
    <row r="70" spans="2:8" x14ac:dyDescent="0.3">
      <c r="C70" s="14"/>
      <c r="D70" s="14"/>
      <c r="F70" s="14"/>
      <c r="G70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2025-11-25T19:06:46Z</cp:lastPrinted>
  <dcterms:created xsi:type="dcterms:W3CDTF">2013-03-19T12:54:14Z</dcterms:created>
  <dcterms:modified xsi:type="dcterms:W3CDTF">2025-11-25T19:11:23Z</dcterms:modified>
</cp:coreProperties>
</file>