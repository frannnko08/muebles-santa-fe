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5 MAYO 2025\"/>
    </mc:Choice>
  </mc:AlternateContent>
  <xr:revisionPtr revIDLastSave="0" documentId="13_ncr:1_{C5CA01B6-075E-4C4C-857F-A92A76DFD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CUBIERTA!$B$45:$G$69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E27" i="3"/>
  <c r="E28" i="3"/>
  <c r="E29" i="3"/>
  <c r="F27" i="3"/>
  <c r="F28" i="3"/>
  <c r="F29" i="3"/>
  <c r="K28" i="3"/>
  <c r="L28" i="3"/>
  <c r="K29" i="3"/>
  <c r="L29" i="3"/>
  <c r="L27" i="3"/>
  <c r="K27" i="3"/>
  <c r="J28" i="3"/>
  <c r="J29" i="3"/>
  <c r="J27" i="3"/>
  <c r="E18" i="3"/>
  <c r="E16" i="3"/>
  <c r="F16" i="3"/>
  <c r="E17" i="3"/>
  <c r="F17" i="3"/>
  <c r="F18" i="3"/>
  <c r="C16" i="3"/>
  <c r="C17" i="3"/>
  <c r="C18" i="3"/>
  <c r="C58" i="3"/>
  <c r="C35" i="3" s="1"/>
  <c r="J26" i="3" s="1"/>
  <c r="D58" i="3"/>
  <c r="D35" i="3" s="1"/>
  <c r="G15" i="3" s="1"/>
  <c r="E58" i="3"/>
  <c r="E35" i="3" s="1"/>
  <c r="K15" i="3" s="1"/>
  <c r="E15" i="3" s="1"/>
  <c r="F58" i="3"/>
  <c r="F35" i="3" s="1"/>
  <c r="G58" i="3"/>
  <c r="G35" i="3" s="1"/>
  <c r="H22" i="4"/>
  <c r="L15" i="3" l="1"/>
  <c r="F15" i="3" s="1"/>
  <c r="L26" i="3"/>
  <c r="F26" i="3" s="1"/>
  <c r="C26" i="3"/>
  <c r="J15" i="3"/>
  <c r="C15" i="3" s="1"/>
  <c r="K26" i="3"/>
  <c r="E26" i="3" s="1"/>
  <c r="G26" i="3"/>
  <c r="G57" i="3"/>
  <c r="G34" i="3" s="1"/>
  <c r="F57" i="3"/>
  <c r="F34" i="3" s="1"/>
  <c r="L14" i="3" s="1"/>
  <c r="E57" i="3"/>
  <c r="E34" i="3" s="1"/>
  <c r="K14" i="3" s="1"/>
  <c r="C57" i="3"/>
  <c r="D57" i="3"/>
  <c r="D34" i="3" s="1"/>
  <c r="C34" i="3" l="1"/>
  <c r="H21" i="4"/>
  <c r="H24" i="4" l="1"/>
  <c r="L21" i="4" l="1"/>
  <c r="K21" i="4"/>
  <c r="M21" i="4" l="1"/>
  <c r="N21" i="4" s="1"/>
  <c r="G25" i="3" l="1"/>
  <c r="L25" i="3"/>
  <c r="F25" i="3" s="1"/>
  <c r="J25" i="3" l="1"/>
  <c r="I34" i="3"/>
  <c r="J34" i="3" s="1"/>
  <c r="K25" i="3"/>
  <c r="E25" i="3" s="1"/>
  <c r="I57" i="3"/>
  <c r="J57" i="3" s="1"/>
  <c r="E14" i="3"/>
  <c r="G14" i="3"/>
  <c r="F14" i="3"/>
  <c r="C25" i="3" l="1"/>
  <c r="J14" i="3"/>
  <c r="C14" i="3" s="1"/>
  <c r="J38" i="3"/>
  <c r="K57" i="3"/>
  <c r="J62" i="3"/>
  <c r="H26" i="4"/>
  <c r="O5" i="3"/>
  <c r="K62" i="3" l="1"/>
  <c r="N5" i="3"/>
  <c r="M5" i="3"/>
  <c r="L5" i="3"/>
  <c r="D50" i="3" l="1"/>
  <c r="D7" i="3"/>
  <c r="E48" i="3"/>
  <c r="E5" i="3"/>
  <c r="E50" i="3"/>
  <c r="E7" i="3"/>
  <c r="E47" i="3"/>
  <c r="E4" i="3"/>
</calcChain>
</file>

<file path=xl/sharedStrings.xml><?xml version="1.0" encoding="utf-8"?>
<sst xmlns="http://schemas.openxmlformats.org/spreadsheetml/2006/main" count="260" uniqueCount="147">
  <si>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</si>
  <si>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</si>
  <si>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</si>
  <si>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</si>
  <si>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</si>
  <si>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</si>
  <si>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</si>
  <si>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</si>
  <si>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</si>
  <si>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</si>
  <si>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</si>
  <si>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</si>
  <si>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</si>
  <si>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</si>
  <si>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</si>
  <si>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</si>
  <si>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</si>
  <si>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</si>
  <si>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</si>
  <si>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</si>
  <si>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</si>
  <si>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</si>
  <si>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</si>
  <si>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</si>
  <si>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</si>
  <si>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</si>
  <si>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</si>
  <si>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</si>
  <si>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</si>
  <si>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</si>
  <si>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</si>
  <si>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</si>
  <si>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</si>
  <si>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</si>
  <si>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</si>
  <si>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</si>
  <si>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</si>
  <si>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</si>
  <si>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</si>
  <si>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</si>
  <si>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</si>
  <si>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</si>
  <si>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</si>
  <si>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</si>
  <si>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</si>
  <si>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</si>
  <si>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</si>
  <si>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</si>
  <si>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</si>
  <si>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</si>
  <si>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</si>
  <si>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</si>
  <si>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</si>
  <si>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</si>
  <si>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</si>
  <si>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</si>
  <si>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</si>
  <si>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</si>
  <si>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</si>
  <si>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</si>
  <si>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</si>
  <si>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</si>
  <si>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</si>
  <si>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</si>
  <si>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</si>
  <si>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</si>
  <si>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</si>
  <si>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</si>
  <si>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</si>
  <si>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</si>
  <si>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</si>
  <si>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</si>
  <si>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</si>
  <si>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</si>
  <si>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</si>
  <si>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</si>
  <si>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</si>
  <si>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</si>
  <si>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</si>
  <si>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</si>
  <si>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</si>
  <si>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</si>
  <si>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</si>
  <si>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</si>
  <si>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</si>
  <si>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</si>
  <si>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</si>
  <si>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</si>
  <si>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</si>
  <si>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</si>
  <si>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</si>
  <si>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</si>
  <si>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</si>
  <si>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</si>
  <si>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</si>
  <si>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</si>
  <si>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</si>
  <si>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</si>
  <si>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</si>
  <si>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</si>
  <si>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</si>
  <si>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</si>
  <si>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</si>
  <si>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</si>
  <si>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</si>
  <si>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</si>
  <si>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</si>
  <si>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</si>
  <si>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</si>
  <si>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</si>
  <si>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</si>
  <si>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</si>
  <si>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</si>
  <si>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</si>
  <si>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</si>
  <si>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</si>
  <si>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</si>
  <si>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</si>
  <si>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</si>
  <si>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</si>
  <si>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</si>
  <si>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</si>
  <si>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</si>
  <si>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</si>
  <si>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</si>
  <si>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</si>
  <si>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</si>
  <si>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</si>
  <si>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</si>
  <si>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</si>
  <si>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</si>
  <si>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</si>
  <si>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</si>
  <si>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</si>
  <si>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</si>
  <si>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</si>
  <si>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</si>
  <si>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</si>
  <si>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MDF18MM</t>
  </si>
  <si>
    <t>CATHERINE SALINAS</t>
  </si>
  <si>
    <t>+569 9449 0390</t>
  </si>
  <si>
    <t>BLANCO BRILLO MERINO</t>
  </si>
  <si>
    <t>CUB RECTA FALDON 8 CMS</t>
  </si>
  <si>
    <t>CUB RECTA  FALDON 8 CMS</t>
  </si>
  <si>
    <t>SEGÚN CORTE</t>
  </si>
  <si>
    <t>SEGÚN DESARROLLO</t>
  </si>
  <si>
    <t>FALDON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</si>
</sst>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20" fillId="0" borderId="0" xfId="0" applyFont="1"/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/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3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$ 100.000.-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51</xdr:row>
      <xdr:rowOff>190500</xdr:rowOff>
    </xdr:from>
    <xdr:to>
      <xdr:col>7</xdr:col>
      <xdr:colOff>9524</xdr:colOff>
      <xdr:row>53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48</xdr:row>
      <xdr:rowOff>30479</xdr:rowOff>
    </xdr:from>
    <xdr:to>
      <xdr:col>6</xdr:col>
      <xdr:colOff>2912745</xdr:colOff>
      <xdr:row>49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209549</xdr:rowOff>
    </xdr:from>
    <xdr:to>
      <xdr:col>7</xdr:col>
      <xdr:colOff>0</xdr:colOff>
      <xdr:row>48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171450</xdr:rowOff>
    </xdr:from>
    <xdr:to>
      <xdr:col>7</xdr:col>
      <xdr:colOff>19050</xdr:colOff>
      <xdr:row>46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1019175</xdr:colOff>
      <xdr:row>61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447675</xdr:colOff>
      <xdr:row>61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37</xdr:row>
      <xdr:rowOff>15239</xdr:rowOff>
    </xdr:from>
    <xdr:to>
      <xdr:col>7</xdr:col>
      <xdr:colOff>0</xdr:colOff>
      <xdr:row>41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MEDIDA, SEGUN DIBUJO ADJUNTO, ENCHAPAR FALDON PRIMERO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30</xdr:row>
      <xdr:rowOff>1</xdr:rowOff>
    </xdr:from>
    <xdr:to>
      <xdr:col>7</xdr:col>
      <xdr:colOff>19048</xdr:colOff>
      <xdr:row>31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63</xdr:row>
      <xdr:rowOff>32385</xdr:rowOff>
    </xdr:from>
    <xdr:to>
      <xdr:col>7</xdr:col>
      <xdr:colOff>0</xdr:colOff>
      <xdr:row>67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CORTADA A LA MEDIDA, SEGUN DIBUJO ADJUNTO, ENCHAPAR FALDON PRIMERO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45</xdr:row>
      <xdr:rowOff>146685</xdr:rowOff>
    </xdr:from>
    <xdr:to>
      <xdr:col>2</xdr:col>
      <xdr:colOff>786523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304800</xdr:colOff>
      <xdr:row>70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zoomScale="98" zoomScaleNormal="98" workbookViewId="0">
      <selection activeCell="I23" sqref="I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137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>
        <v>11418</v>
      </c>
      <c r="E8" s="30"/>
      <c r="F8" s="35" t="s">
        <v>24</v>
      </c>
      <c r="G8" s="36">
        <v>4175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38" t="s">
        <v>139</v>
      </c>
      <c r="D10" s="39"/>
      <c r="E10" s="39"/>
      <c r="F10" s="40" t="s">
        <v>25</v>
      </c>
      <c r="G10" s="41">
        <v>45785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119</v>
      </c>
      <c r="G11" s="45">
        <v>45792</v>
      </c>
      <c r="H11" s="46"/>
      <c r="I11" s="30"/>
    </row>
    <row r="12" spans="1:17" ht="18" x14ac:dyDescent="0.35">
      <c r="A12" s="30"/>
      <c r="B12" s="47" t="s">
        <v>125</v>
      </c>
      <c r="C12" s="30"/>
      <c r="D12" s="48"/>
      <c r="E12" s="48"/>
      <c r="F12" s="48" t="s">
        <v>26</v>
      </c>
      <c r="G12" s="49"/>
      <c r="H12" s="50"/>
      <c r="I12" s="30"/>
    </row>
    <row r="13" spans="1:17" ht="18" x14ac:dyDescent="0.35">
      <c r="A13" s="30"/>
      <c r="B13" s="47" t="s">
        <v>126</v>
      </c>
      <c r="C13" s="51"/>
      <c r="D13" s="48"/>
      <c r="E13" s="48"/>
      <c r="F13" s="48" t="s">
        <v>123</v>
      </c>
      <c r="G13" s="49" t="s">
        <v>133</v>
      </c>
      <c r="H13" s="50"/>
      <c r="I13" s="30"/>
    </row>
    <row r="14" spans="1:17" ht="18" x14ac:dyDescent="0.35">
      <c r="A14" s="30"/>
      <c r="B14" s="43" t="s">
        <v>15</v>
      </c>
      <c r="C14" s="133" t="s">
        <v>140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7"/>
      <c r="D15" s="48"/>
      <c r="E15" s="48"/>
      <c r="F15" s="53" t="s">
        <v>71</v>
      </c>
      <c r="G15" s="53" t="s">
        <v>128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136</v>
      </c>
      <c r="D16" s="56"/>
      <c r="E16" s="57"/>
      <c r="F16" s="119" t="s">
        <v>16</v>
      </c>
      <c r="G16" s="119"/>
      <c r="H16" s="120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1" t="s">
        <v>17</v>
      </c>
      <c r="C19" s="122"/>
      <c r="D19" s="122"/>
      <c r="E19" s="122"/>
      <c r="F19" s="122"/>
      <c r="G19" s="122"/>
      <c r="H19" s="123"/>
      <c r="I19" s="30"/>
    </row>
    <row r="20" spans="1:16" ht="20.100000000000001" customHeight="1" x14ac:dyDescent="0.35">
      <c r="A20" s="30"/>
      <c r="B20" s="58" t="s">
        <v>127</v>
      </c>
      <c r="C20" s="115" t="s">
        <v>18</v>
      </c>
      <c r="D20" s="115" t="s">
        <v>19</v>
      </c>
      <c r="E20" s="115" t="s">
        <v>7</v>
      </c>
      <c r="F20" s="116" t="s">
        <v>20</v>
      </c>
      <c r="G20" s="58" t="s">
        <v>21</v>
      </c>
      <c r="H20" s="116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2</v>
      </c>
      <c r="C21" s="103" t="s">
        <v>142</v>
      </c>
      <c r="D21" s="104">
        <v>600</v>
      </c>
      <c r="E21" s="104">
        <v>400</v>
      </c>
      <c r="F21" s="103" t="s">
        <v>141</v>
      </c>
      <c r="G21" s="114">
        <v>44461</v>
      </c>
      <c r="H21" s="114">
        <f>G21*B21</f>
        <v>88922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143</v>
      </c>
      <c r="D22" s="104">
        <v>600</v>
      </c>
      <c r="E22" s="104">
        <v>600</v>
      </c>
      <c r="F22" s="103" t="s">
        <v>141</v>
      </c>
      <c r="G22" s="114">
        <v>58820</v>
      </c>
      <c r="H22" s="114">
        <f>G22*B22</f>
        <v>58820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5"/>
      <c r="C23" s="105"/>
      <c r="D23" s="113"/>
      <c r="E23" s="113"/>
      <c r="F23" s="105"/>
      <c r="G23" s="107"/>
      <c r="H23" s="107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5"/>
      <c r="C24" s="105"/>
      <c r="D24" s="113"/>
      <c r="E24" s="113"/>
      <c r="F24" s="105"/>
      <c r="G24" s="61" t="s">
        <v>5</v>
      </c>
      <c r="H24" s="62">
        <f>SUM(H21:H23)</f>
        <v>147742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5"/>
      <c r="C25" s="105"/>
      <c r="D25" s="113"/>
      <c r="E25" s="113"/>
      <c r="F25" s="105"/>
      <c r="G25" s="63" t="s">
        <v>135</v>
      </c>
      <c r="H25" s="64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5"/>
      <c r="C26" s="105"/>
      <c r="D26" s="113"/>
      <c r="E26" s="113"/>
      <c r="F26" s="105"/>
      <c r="G26" s="65" t="s">
        <v>4</v>
      </c>
      <c r="H26" s="66">
        <f>H24+H25</f>
        <v>147742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5"/>
      <c r="C27" s="105"/>
      <c r="D27" s="113"/>
      <c r="E27" s="113"/>
      <c r="F27" s="105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5"/>
      <c r="C28" s="105"/>
      <c r="D28" s="113"/>
      <c r="E28" s="113"/>
      <c r="F28" s="105"/>
      <c r="G28" s="107"/>
      <c r="H28" s="107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5"/>
      <c r="C29" s="105"/>
      <c r="D29" s="113"/>
      <c r="E29" s="113"/>
      <c r="F29" s="105"/>
      <c r="G29" s="107"/>
      <c r="H29" s="107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5"/>
      <c r="C30" s="105"/>
      <c r="D30" s="106"/>
      <c r="E30" s="106"/>
      <c r="F30" s="105"/>
      <c r="G30" s="107"/>
      <c r="H30" s="107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5"/>
      <c r="C31" s="105"/>
      <c r="D31" s="106"/>
      <c r="E31" s="106"/>
      <c r="F31" s="105"/>
      <c r="G31" s="107"/>
      <c r="H31" s="107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60"/>
      <c r="C32" s="60"/>
      <c r="D32" s="60"/>
      <c r="E32" s="60"/>
      <c r="F32" s="60"/>
      <c r="G32" s="59"/>
      <c r="H32" s="59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7"/>
      <c r="H36" s="68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9" t="s">
        <v>132</v>
      </c>
      <c r="C38" s="70"/>
      <c r="D38" s="71"/>
      <c r="E38" s="71"/>
      <c r="F38" s="60"/>
      <c r="G38" s="30"/>
      <c r="H38" s="30"/>
      <c r="I38" s="30"/>
    </row>
    <row r="39" spans="1:9" ht="18" x14ac:dyDescent="0.35">
      <c r="A39" s="30"/>
      <c r="B39" s="69" t="s">
        <v>118</v>
      </c>
      <c r="C39" s="70"/>
      <c r="D39" s="71"/>
      <c r="E39" s="71"/>
      <c r="F39" s="60"/>
      <c r="G39" s="30"/>
      <c r="H39" s="30"/>
      <c r="I39" s="30"/>
    </row>
    <row r="40" spans="1:9" ht="18" x14ac:dyDescent="0.35">
      <c r="A40" s="30"/>
      <c r="B40" s="30" t="s">
        <v>22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2" t="s">
        <v>23</v>
      </c>
      <c r="C41" s="72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2"/>
      <c r="F42" s="30"/>
      <c r="G42" s="30"/>
      <c r="H42" s="30"/>
      <c r="I42" s="30"/>
    </row>
    <row r="43" spans="1:9" ht="18" x14ac:dyDescent="0.35">
      <c r="A43" s="30"/>
      <c r="B43" s="31" t="s">
        <v>130</v>
      </c>
      <c r="C43" s="31"/>
      <c r="D43" s="31"/>
      <c r="E43" s="73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3"/>
      <c r="F44" s="30"/>
      <c r="G44" s="30"/>
      <c r="H44" s="30"/>
      <c r="I44" s="30"/>
    </row>
    <row r="45" spans="1:9" ht="18" x14ac:dyDescent="0.35">
      <c r="A45" s="30"/>
      <c r="B45" s="31" t="s">
        <v>131</v>
      </c>
      <c r="C45" s="30"/>
      <c r="D45" s="30"/>
      <c r="E45" s="72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2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27</v>
      </c>
      <c r="C2" s="124"/>
      <c r="D2" s="124"/>
      <c r="E2" s="12"/>
      <c r="G2" s="124" t="s">
        <v>66</v>
      </c>
      <c r="H2" s="124"/>
      <c r="I2" s="124"/>
      <c r="P2" s="125" t="s">
        <v>54</v>
      </c>
      <c r="Q2" s="125"/>
      <c r="R2" s="125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5" t="s">
        <v>54</v>
      </c>
      <c r="M8" s="125"/>
      <c r="N8" s="125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1"/>
  <sheetViews>
    <sheetView topLeftCell="A35" zoomScaleNormal="100" workbookViewId="0">
      <selection activeCell="B45" sqref="B45:G6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6" t="s">
        <v>57</v>
      </c>
      <c r="M3" s="126"/>
      <c r="N3" s="126" t="s">
        <v>13</v>
      </c>
      <c r="O3" s="126"/>
    </row>
    <row r="4" spans="1:15" ht="15.75" customHeight="1" x14ac:dyDescent="0.35">
      <c r="B4" s="30"/>
      <c r="C4" s="30"/>
      <c r="D4" s="75" t="s">
        <v>24</v>
      </c>
      <c r="E4" s="76">
        <f>'4637'!G8</f>
        <v>4175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63</v>
      </c>
      <c r="E5" s="78" t="str">
        <f>'4637'!C10</f>
        <v>CATHERINE SALINAS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45792</v>
      </c>
      <c r="F7" s="30"/>
      <c r="G7" s="30" t="s">
        <v>134</v>
      </c>
      <c r="H7" s="30"/>
    </row>
    <row r="8" spans="1:15" ht="18" x14ac:dyDescent="0.35">
      <c r="B8" s="30"/>
      <c r="C8" s="30"/>
      <c r="D8" s="91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7" t="s">
        <v>57</v>
      </c>
      <c r="C10" s="127"/>
      <c r="D10" s="127"/>
      <c r="E10" s="127"/>
      <c r="F10" s="127"/>
      <c r="G10" s="127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/>
      <c r="F13" s="94"/>
      <c r="G13" s="93" t="s">
        <v>106</v>
      </c>
      <c r="H13" s="30"/>
      <c r="K13" s="5" t="s">
        <v>6</v>
      </c>
      <c r="L13" s="5" t="s">
        <v>7</v>
      </c>
    </row>
    <row r="14" spans="1:15" ht="18" x14ac:dyDescent="0.35">
      <c r="A14" s="111">
        <v>1</v>
      </c>
      <c r="B14" s="102" t="s">
        <v>138</v>
      </c>
      <c r="C14" s="95">
        <f>J14</f>
        <v>2</v>
      </c>
      <c r="D14" s="95"/>
      <c r="E14" s="95">
        <f>K14+E$13</f>
        <v>600</v>
      </c>
      <c r="F14" s="95">
        <f>L14+F$13</f>
        <v>400</v>
      </c>
      <c r="G14" s="95" t="str">
        <f>D34</f>
        <v>CUB RECTA FALDON 8 CMS</v>
      </c>
      <c r="H14" s="30"/>
      <c r="J14" s="3">
        <f>J25</f>
        <v>2</v>
      </c>
      <c r="K14" s="4">
        <f t="shared" ref="K14:L14" si="0">E34</f>
        <v>600</v>
      </c>
      <c r="L14" s="4">
        <f t="shared" si="0"/>
        <v>400</v>
      </c>
    </row>
    <row r="15" spans="1:15" ht="18" x14ac:dyDescent="0.35">
      <c r="A15" s="111"/>
      <c r="B15" s="102"/>
      <c r="C15" s="95">
        <f>J15</f>
        <v>1</v>
      </c>
      <c r="D15" s="95" t="s">
        <v>145</v>
      </c>
      <c r="E15" s="95">
        <f>K15+E$13</f>
        <v>600</v>
      </c>
      <c r="F15" s="95">
        <f>L15+F$13</f>
        <v>600</v>
      </c>
      <c r="G15" s="95" t="str">
        <f>D35</f>
        <v>CUB RECTA  FALDON 8 CMS</v>
      </c>
      <c r="H15" s="30"/>
      <c r="J15" s="3">
        <f>J26</f>
        <v>1</v>
      </c>
      <c r="K15" s="4">
        <f t="shared" ref="K15" si="1">E35</f>
        <v>600</v>
      </c>
      <c r="L15" s="4">
        <f t="shared" ref="L15" si="2">F35</f>
        <v>600</v>
      </c>
    </row>
    <row r="16" spans="1:15" ht="18" x14ac:dyDescent="0.35">
      <c r="A16" s="111"/>
      <c r="B16" s="102"/>
      <c r="C16" s="95">
        <f t="shared" ref="C16:C18" si="3">J16</f>
        <v>2</v>
      </c>
      <c r="D16" s="95"/>
      <c r="E16" s="95">
        <f t="shared" ref="E16:E17" si="4">K16+E$13</f>
        <v>600</v>
      </c>
      <c r="F16" s="95">
        <f t="shared" ref="F16:F18" si="5">L16+F$13</f>
        <v>62</v>
      </c>
      <c r="G16" s="95" t="s">
        <v>146</v>
      </c>
      <c r="H16" s="30"/>
      <c r="J16" s="135">
        <v>2</v>
      </c>
      <c r="K16" s="134">
        <v>600</v>
      </c>
      <c r="L16" s="134">
        <v>62</v>
      </c>
    </row>
    <row r="17" spans="1:12" ht="18" x14ac:dyDescent="0.35">
      <c r="A17" s="111"/>
      <c r="B17" s="102"/>
      <c r="C17" s="95">
        <f t="shared" si="3"/>
        <v>1</v>
      </c>
      <c r="D17" s="95" t="s">
        <v>145</v>
      </c>
      <c r="E17" s="95">
        <f t="shared" si="4"/>
        <v>600</v>
      </c>
      <c r="F17" s="95">
        <f t="shared" si="5"/>
        <v>62</v>
      </c>
      <c r="G17" s="95" t="s">
        <v>146</v>
      </c>
      <c r="H17" s="30"/>
      <c r="J17" s="135">
        <v>1</v>
      </c>
      <c r="K17" s="134">
        <v>600</v>
      </c>
      <c r="L17" s="134">
        <v>62</v>
      </c>
    </row>
    <row r="18" spans="1:12" ht="18" x14ac:dyDescent="0.35">
      <c r="A18" s="111"/>
      <c r="B18" s="102"/>
      <c r="C18" s="95">
        <f t="shared" si="3"/>
        <v>2</v>
      </c>
      <c r="D18" s="95"/>
      <c r="E18" s="95">
        <f>K18</f>
        <v>382</v>
      </c>
      <c r="F18" s="95">
        <f t="shared" si="5"/>
        <v>62</v>
      </c>
      <c r="G18" s="95" t="s">
        <v>146</v>
      </c>
      <c r="H18" s="30"/>
      <c r="J18" s="135">
        <v>2</v>
      </c>
      <c r="K18" s="134">
        <v>382</v>
      </c>
      <c r="L18" s="134">
        <v>62</v>
      </c>
    </row>
    <row r="19" spans="1:12" ht="18" x14ac:dyDescent="0.35">
      <c r="A19" s="2"/>
      <c r="B19" s="84"/>
      <c r="C19" s="74"/>
      <c r="D19" s="74"/>
      <c r="E19" s="74"/>
      <c r="F19" s="74"/>
      <c r="G19" s="74"/>
      <c r="H19" s="30"/>
      <c r="J19" s="23"/>
      <c r="K19" s="2"/>
      <c r="L19" s="2"/>
    </row>
    <row r="20" spans="1:12" ht="6.75" customHeight="1" x14ac:dyDescent="0.35">
      <c r="A20" s="2"/>
      <c r="B20" s="30"/>
      <c r="C20" s="30"/>
      <c r="D20" s="30"/>
      <c r="E20" s="30"/>
      <c r="F20" s="30"/>
      <c r="G20" s="30"/>
      <c r="H20" s="30"/>
    </row>
    <row r="21" spans="1:12" ht="18" x14ac:dyDescent="0.35">
      <c r="A21" s="2"/>
      <c r="B21" s="127" t="s">
        <v>13</v>
      </c>
      <c r="C21" s="127"/>
      <c r="D21" s="127"/>
      <c r="E21" s="127"/>
      <c r="F21" s="127"/>
      <c r="G21" s="127"/>
      <c r="H21" s="30"/>
    </row>
    <row r="22" spans="1:12" ht="10.5" customHeight="1" x14ac:dyDescent="0.35">
      <c r="A22" s="2"/>
      <c r="B22" s="30"/>
      <c r="C22" s="30"/>
      <c r="D22" s="92"/>
      <c r="E22" s="30"/>
      <c r="F22" s="30"/>
      <c r="G22" s="30"/>
      <c r="H22" s="30"/>
    </row>
    <row r="23" spans="1:12" ht="18" x14ac:dyDescent="0.35">
      <c r="A23" s="2"/>
      <c r="B23" s="30"/>
      <c r="C23" s="30"/>
      <c r="D23" s="30"/>
      <c r="E23" s="67" t="s">
        <v>6</v>
      </c>
      <c r="F23" s="67" t="s">
        <v>7</v>
      </c>
      <c r="G23" s="30"/>
      <c r="H23" s="30"/>
    </row>
    <row r="24" spans="1:12" ht="18" x14ac:dyDescent="0.35">
      <c r="A24" s="2"/>
      <c r="B24" s="67" t="s">
        <v>8</v>
      </c>
      <c r="C24" s="83" t="s">
        <v>9</v>
      </c>
      <c r="D24" s="83" t="s">
        <v>10</v>
      </c>
      <c r="E24" s="96">
        <v>20</v>
      </c>
      <c r="F24" s="96">
        <v>20</v>
      </c>
      <c r="G24" s="83" t="s">
        <v>106</v>
      </c>
      <c r="H24" s="30"/>
      <c r="K24" s="5" t="s">
        <v>6</v>
      </c>
      <c r="L24" s="5" t="s">
        <v>7</v>
      </c>
    </row>
    <row r="25" spans="1:12" ht="18" x14ac:dyDescent="0.35">
      <c r="A25" s="111">
        <v>1</v>
      </c>
      <c r="B25" s="102"/>
      <c r="C25" s="97">
        <f t="shared" ref="C25" si="6">J25</f>
        <v>2</v>
      </c>
      <c r="D25" s="97"/>
      <c r="E25" s="97">
        <f>K25+E$24</f>
        <v>620</v>
      </c>
      <c r="F25" s="97">
        <f>L25+F$24</f>
        <v>420</v>
      </c>
      <c r="G25" s="97" t="str">
        <f>D34</f>
        <v>CUB RECTA FALDON 8 CMS</v>
      </c>
      <c r="H25" s="30"/>
      <c r="J25" s="3">
        <f>C34</f>
        <v>2</v>
      </c>
      <c r="K25" s="108">
        <f>E34</f>
        <v>600</v>
      </c>
      <c r="L25" s="108">
        <f>F34</f>
        <v>400</v>
      </c>
    </row>
    <row r="26" spans="1:12" ht="18" x14ac:dyDescent="0.35">
      <c r="A26" s="111"/>
      <c r="B26" s="102"/>
      <c r="C26" s="97">
        <f t="shared" ref="C26:C29" si="7">J26</f>
        <v>1</v>
      </c>
      <c r="D26" s="138" t="s">
        <v>145</v>
      </c>
      <c r="E26" s="138">
        <f>K26+E$24</f>
        <v>620</v>
      </c>
      <c r="F26" s="138">
        <f>L26+F$24</f>
        <v>620</v>
      </c>
      <c r="G26" s="138" t="str">
        <f>D35</f>
        <v>CUB RECTA  FALDON 8 CMS</v>
      </c>
      <c r="H26" s="30"/>
      <c r="J26" s="3">
        <f>C35</f>
        <v>1</v>
      </c>
      <c r="K26" s="108">
        <f>E35</f>
        <v>600</v>
      </c>
      <c r="L26" s="108">
        <f>F35</f>
        <v>600</v>
      </c>
    </row>
    <row r="27" spans="1:12" ht="18" x14ac:dyDescent="0.35">
      <c r="A27" s="111"/>
      <c r="B27" s="102"/>
      <c r="C27" s="137">
        <f t="shared" si="7"/>
        <v>2</v>
      </c>
      <c r="D27" s="95"/>
      <c r="E27" s="95">
        <f t="shared" ref="E27:E29" si="8">K27+E$24</f>
        <v>620</v>
      </c>
      <c r="F27" s="95">
        <f t="shared" ref="F27:F29" si="9">L27+F$24</f>
        <v>82</v>
      </c>
      <c r="G27" s="95" t="s">
        <v>146</v>
      </c>
      <c r="H27" s="30"/>
      <c r="J27" s="135">
        <f>J16</f>
        <v>2</v>
      </c>
      <c r="K27" s="136">
        <f>K16</f>
        <v>600</v>
      </c>
      <c r="L27" s="136">
        <f>L16</f>
        <v>62</v>
      </c>
    </row>
    <row r="28" spans="1:12" ht="18" x14ac:dyDescent="0.35">
      <c r="A28" s="111"/>
      <c r="B28" s="102"/>
      <c r="C28" s="137">
        <f t="shared" si="7"/>
        <v>1</v>
      </c>
      <c r="D28" s="95" t="s">
        <v>145</v>
      </c>
      <c r="E28" s="95">
        <f t="shared" si="8"/>
        <v>620</v>
      </c>
      <c r="F28" s="95">
        <f t="shared" si="9"/>
        <v>82</v>
      </c>
      <c r="G28" s="95" t="s">
        <v>146</v>
      </c>
      <c r="H28" s="30"/>
      <c r="J28" s="135">
        <f t="shared" ref="J28:L29" si="10">J17</f>
        <v>1</v>
      </c>
      <c r="K28" s="136">
        <f t="shared" si="10"/>
        <v>600</v>
      </c>
      <c r="L28" s="136">
        <f t="shared" si="10"/>
        <v>62</v>
      </c>
    </row>
    <row r="29" spans="1:12" ht="18" x14ac:dyDescent="0.35">
      <c r="A29" s="111"/>
      <c r="B29" s="102"/>
      <c r="C29" s="137">
        <f t="shared" si="7"/>
        <v>2</v>
      </c>
      <c r="D29" s="95"/>
      <c r="E29" s="95">
        <f t="shared" si="8"/>
        <v>402</v>
      </c>
      <c r="F29" s="95">
        <f t="shared" si="9"/>
        <v>82</v>
      </c>
      <c r="G29" s="95" t="s">
        <v>146</v>
      </c>
      <c r="H29" s="30"/>
      <c r="J29" s="135">
        <f t="shared" si="10"/>
        <v>2</v>
      </c>
      <c r="K29" s="136">
        <f t="shared" si="10"/>
        <v>382</v>
      </c>
      <c r="L29" s="136">
        <f t="shared" si="10"/>
        <v>62</v>
      </c>
    </row>
    <row r="30" spans="1:12" ht="18.600000000000001" thickBot="1" x14ac:dyDescent="0.4">
      <c r="A30" s="2"/>
      <c r="B30" s="84"/>
      <c r="C30" s="74"/>
      <c r="D30" s="74"/>
      <c r="E30" s="74"/>
      <c r="F30" s="74"/>
      <c r="G30" s="74"/>
      <c r="H30" s="30"/>
      <c r="I30" s="109"/>
      <c r="J30" s="110"/>
      <c r="K30" s="110"/>
      <c r="L30" s="110"/>
    </row>
    <row r="31" spans="1:12" ht="18.600000000000001" thickBot="1" x14ac:dyDescent="0.4">
      <c r="A31" s="2"/>
      <c r="B31" s="67"/>
      <c r="C31" s="98" t="s">
        <v>103</v>
      </c>
      <c r="D31" s="33"/>
      <c r="E31" s="33"/>
      <c r="F31" s="33"/>
      <c r="G31" s="99"/>
      <c r="H31" s="30"/>
      <c r="J31" s="2"/>
      <c r="K31" s="2"/>
      <c r="L31" s="2"/>
    </row>
    <row r="32" spans="1:12" ht="10.5" customHeight="1" x14ac:dyDescent="0.35">
      <c r="A32" s="2"/>
      <c r="B32" s="30"/>
      <c r="C32" s="30"/>
      <c r="D32" s="30"/>
      <c r="E32" s="30"/>
      <c r="F32" s="30"/>
      <c r="G32" s="30"/>
      <c r="H32" s="30"/>
    </row>
    <row r="33" spans="1:10" ht="18" x14ac:dyDescent="0.35">
      <c r="A33" s="2"/>
      <c r="B33" s="67" t="s">
        <v>8</v>
      </c>
      <c r="C33" s="100" t="s">
        <v>9</v>
      </c>
      <c r="D33" s="100" t="s">
        <v>106</v>
      </c>
      <c r="E33" s="100" t="s">
        <v>6</v>
      </c>
      <c r="F33" s="100" t="s">
        <v>7</v>
      </c>
      <c r="G33" s="100" t="s">
        <v>20</v>
      </c>
      <c r="H33" s="30"/>
    </row>
    <row r="34" spans="1:10" ht="18" x14ac:dyDescent="0.35">
      <c r="A34" s="111">
        <v>1</v>
      </c>
      <c r="B34" s="102" t="s">
        <v>138</v>
      </c>
      <c r="C34" s="95">
        <f>C57</f>
        <v>2</v>
      </c>
      <c r="D34" s="95" t="str">
        <f>D57</f>
        <v>CUB RECTA FALDON 8 CMS</v>
      </c>
      <c r="E34" s="118">
        <f>E57</f>
        <v>600</v>
      </c>
      <c r="F34" s="118">
        <f>F57</f>
        <v>400</v>
      </c>
      <c r="G34" s="4" t="str">
        <f>G57</f>
        <v>BLANCO BRILLO MERINO</v>
      </c>
      <c r="H34" s="30"/>
      <c r="I34" s="28">
        <f>E34*F34/1000000</f>
        <v>0.24</v>
      </c>
      <c r="J34" s="28">
        <f>I34*C34</f>
        <v>0.48</v>
      </c>
    </row>
    <row r="35" spans="1:10" ht="18" x14ac:dyDescent="0.35">
      <c r="A35" s="111"/>
      <c r="B35" s="102"/>
      <c r="C35" s="95">
        <f>C58</f>
        <v>1</v>
      </c>
      <c r="D35" s="95" t="str">
        <f>D58</f>
        <v>CUB RECTA  FALDON 8 CMS</v>
      </c>
      <c r="E35" s="118">
        <f>E58</f>
        <v>600</v>
      </c>
      <c r="F35" s="118">
        <f>F58</f>
        <v>600</v>
      </c>
      <c r="G35" s="4" t="str">
        <f>G58</f>
        <v>BLANCO BRILLO MERINO</v>
      </c>
      <c r="H35" s="30"/>
      <c r="I35" s="28"/>
      <c r="J35" s="28"/>
    </row>
    <row r="36" spans="1:10" ht="18" x14ac:dyDescent="0.35">
      <c r="A36" s="2"/>
      <c r="B36" s="84"/>
      <c r="C36" s="74"/>
      <c r="D36" s="74" t="s">
        <v>144</v>
      </c>
      <c r="E36" s="74"/>
      <c r="F36" s="74"/>
      <c r="G36" s="74"/>
      <c r="H36" s="30"/>
      <c r="I36" s="28"/>
      <c r="J36" s="28"/>
    </row>
    <row r="37" spans="1:10" ht="18" x14ac:dyDescent="0.35">
      <c r="A37" s="2"/>
      <c r="B37" s="30"/>
      <c r="C37" s="74"/>
      <c r="D37" s="74"/>
      <c r="E37" s="74"/>
      <c r="F37" s="74"/>
      <c r="G37" s="74"/>
      <c r="H37" s="30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  <c r="J38" s="28">
        <f>SUM(J34:J34)*2</f>
        <v>0.96</v>
      </c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74"/>
      <c r="D43" s="74"/>
      <c r="E43" s="74"/>
      <c r="F43" s="74"/>
      <c r="G43" s="74"/>
      <c r="H43" s="30"/>
    </row>
    <row r="44" spans="1:10" ht="18" x14ac:dyDescent="0.35">
      <c r="A44" s="2"/>
      <c r="B44" s="30"/>
      <c r="C44" s="74"/>
      <c r="D44" s="74"/>
      <c r="E44" s="74"/>
      <c r="F44" s="74"/>
      <c r="G44" s="74"/>
      <c r="H44" s="30"/>
    </row>
    <row r="45" spans="1:10" ht="18" x14ac:dyDescent="0.35">
      <c r="A45" s="2"/>
      <c r="B45" s="30"/>
      <c r="C45" s="74"/>
      <c r="D45" s="74"/>
      <c r="E45" s="74"/>
      <c r="F45" s="74"/>
      <c r="G45" s="74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/>
      <c r="H46" s="30"/>
    </row>
    <row r="47" spans="1:10" ht="18" x14ac:dyDescent="0.35">
      <c r="A47" s="2"/>
      <c r="B47" s="30"/>
      <c r="C47" s="30"/>
      <c r="D47" s="75" t="s">
        <v>24</v>
      </c>
      <c r="E47" s="76">
        <f>'4637'!G8</f>
        <v>4175</v>
      </c>
      <c r="F47" s="30"/>
      <c r="G47" s="30"/>
      <c r="H47" s="30"/>
    </row>
    <row r="48" spans="1:10" ht="17.25" customHeight="1" x14ac:dyDescent="0.35">
      <c r="A48" s="2"/>
      <c r="B48" s="30"/>
      <c r="C48" s="30"/>
      <c r="D48" s="77" t="s">
        <v>63</v>
      </c>
      <c r="E48" s="78" t="str">
        <f>'4637'!C10</f>
        <v>CATHERINE SALINAS</v>
      </c>
      <c r="F48" s="48"/>
      <c r="G48" s="48"/>
      <c r="H48" s="30"/>
    </row>
    <row r="49" spans="1:13" ht="4.5" customHeight="1" x14ac:dyDescent="0.35">
      <c r="A49" s="2"/>
      <c r="B49" s="30"/>
      <c r="C49" s="30"/>
      <c r="D49" s="79"/>
      <c r="E49" s="80"/>
      <c r="F49" s="30"/>
      <c r="G49" s="30"/>
      <c r="H49" s="30"/>
    </row>
    <row r="50" spans="1:13" ht="18" x14ac:dyDescent="0.35">
      <c r="A50" s="2"/>
      <c r="B50" s="30"/>
      <c r="C50" s="30"/>
      <c r="D50" s="81" t="str">
        <f>'4637'!F11</f>
        <v>FECHA LIMITE :</v>
      </c>
      <c r="E50" s="82">
        <f>'4637'!G11</f>
        <v>45792</v>
      </c>
      <c r="F50" s="30"/>
      <c r="G50" s="30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 t="s">
        <v>134</v>
      </c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18" x14ac:dyDescent="0.35">
      <c r="A53" s="2"/>
      <c r="B53" s="128" t="s">
        <v>64</v>
      </c>
      <c r="C53" s="128"/>
      <c r="D53" s="128"/>
      <c r="E53" s="128"/>
      <c r="F53" s="128"/>
      <c r="G53" s="128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20.100000000000001" customHeight="1" x14ac:dyDescent="0.35">
      <c r="A55" s="2"/>
      <c r="B55" s="30"/>
      <c r="C55" s="129" t="s">
        <v>65</v>
      </c>
      <c r="D55" s="130"/>
      <c r="E55" s="131"/>
      <c r="F55" s="131"/>
      <c r="G55" s="132"/>
      <c r="H55" s="30"/>
      <c r="I55" s="25" t="s">
        <v>129</v>
      </c>
    </row>
    <row r="56" spans="1:13" s="10" customFormat="1" ht="20.100000000000001" customHeight="1" x14ac:dyDescent="0.35">
      <c r="A56" s="112"/>
      <c r="B56" s="30"/>
      <c r="C56" s="85" t="s">
        <v>9</v>
      </c>
      <c r="D56" s="86" t="s">
        <v>10</v>
      </c>
      <c r="E56" s="89" t="s">
        <v>6</v>
      </c>
      <c r="F56" s="89" t="s">
        <v>7</v>
      </c>
      <c r="G56" s="87" t="s">
        <v>11</v>
      </c>
      <c r="H56" s="30"/>
      <c r="K56" s="10">
        <v>15000</v>
      </c>
    </row>
    <row r="57" spans="1:13" s="10" customFormat="1" ht="20.100000000000001" customHeight="1" x14ac:dyDescent="0.35">
      <c r="A57" s="111">
        <v>1</v>
      </c>
      <c r="B57" s="101" t="s">
        <v>138</v>
      </c>
      <c r="C57" s="97">
        <f>'4637'!B21</f>
        <v>2</v>
      </c>
      <c r="D57" s="4" t="str">
        <f>'4637'!C21</f>
        <v>CUB RECTA FALDON 8 CMS</v>
      </c>
      <c r="E57" s="118">
        <f>'4637'!D21</f>
        <v>600</v>
      </c>
      <c r="F57" s="118">
        <f>'4637'!E21</f>
        <v>400</v>
      </c>
      <c r="G57" s="4" t="str">
        <f>'4637'!F21</f>
        <v>BLANCO BRILLO MERINO</v>
      </c>
      <c r="H57" s="30"/>
      <c r="I57" s="10">
        <f>E57*F57/1000000</f>
        <v>0.24</v>
      </c>
      <c r="J57" s="10">
        <f>I57*C57</f>
        <v>0.48</v>
      </c>
      <c r="K57" s="26">
        <f>J57*K$56</f>
        <v>7200</v>
      </c>
      <c r="M57" s="24">
        <v>12096</v>
      </c>
    </row>
    <row r="58" spans="1:13" s="10" customFormat="1" ht="20.100000000000001" customHeight="1" x14ac:dyDescent="0.35">
      <c r="A58" s="111"/>
      <c r="B58" s="101"/>
      <c r="C58" s="97">
        <f>'4637'!B22</f>
        <v>1</v>
      </c>
      <c r="D58" s="4" t="str">
        <f>'4637'!C22</f>
        <v>CUB RECTA  FALDON 8 CMS</v>
      </c>
      <c r="E58" s="118">
        <f>'4637'!D22</f>
        <v>600</v>
      </c>
      <c r="F58" s="118">
        <f>'4637'!E22</f>
        <v>600</v>
      </c>
      <c r="G58" s="4" t="str">
        <f>'4637'!F22</f>
        <v>BLANCO BRILLO MERINO</v>
      </c>
      <c r="H58" s="30"/>
      <c r="K58" s="26"/>
      <c r="M58" s="29"/>
    </row>
    <row r="59" spans="1:13" s="10" customFormat="1" ht="20.100000000000001" customHeight="1" x14ac:dyDescent="0.35">
      <c r="A59" s="111"/>
      <c r="B59" s="101"/>
      <c r="C59" s="74"/>
      <c r="D59" s="74"/>
      <c r="E59" s="74"/>
      <c r="F59" s="74"/>
      <c r="G59" s="74"/>
      <c r="H59" s="30"/>
      <c r="K59" s="26"/>
      <c r="M59" s="29"/>
    </row>
    <row r="60" spans="1:13" s="10" customFormat="1" ht="15" customHeight="1" x14ac:dyDescent="0.35">
      <c r="B60" s="84"/>
      <c r="C60" s="67"/>
      <c r="D60" s="67"/>
      <c r="E60" s="67"/>
      <c r="F60" s="67"/>
      <c r="G60" s="67"/>
      <c r="H60" s="30"/>
    </row>
    <row r="61" spans="1:13" ht="18" x14ac:dyDescent="0.35">
      <c r="B61" s="74"/>
      <c r="C61" s="74"/>
      <c r="D61" s="30"/>
      <c r="E61" s="74"/>
      <c r="F61" s="74"/>
      <c r="G61" s="79"/>
      <c r="H61" s="30"/>
    </row>
    <row r="62" spans="1:13" ht="18" x14ac:dyDescent="0.35">
      <c r="B62" s="74"/>
      <c r="C62" s="74"/>
      <c r="D62" s="30"/>
      <c r="E62" s="74"/>
      <c r="F62" s="74"/>
      <c r="G62" s="74"/>
      <c r="H62" s="30"/>
      <c r="J62" s="10">
        <f>SUM(J57:J57)</f>
        <v>0.48</v>
      </c>
      <c r="K62" s="27">
        <f>SUM(K57:K57)</f>
        <v>7200</v>
      </c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5" customHeight="1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74"/>
      <c r="C68" s="88"/>
      <c r="D68" s="30"/>
      <c r="E68" s="30"/>
      <c r="F68" s="30"/>
      <c r="G68" s="30"/>
      <c r="H68" s="30"/>
    </row>
    <row r="69" spans="2:8" ht="18" x14ac:dyDescent="0.35">
      <c r="B69" s="30"/>
      <c r="C69" s="30"/>
      <c r="D69" s="30"/>
      <c r="E69" s="30"/>
      <c r="F69" s="30"/>
      <c r="G69" s="30"/>
      <c r="H69" s="30"/>
    </row>
    <row r="70" spans="2:8" x14ac:dyDescent="0.3">
      <c r="C70" s="14"/>
      <c r="D70" s="14"/>
      <c r="F70" s="14"/>
      <c r="G70" s="14"/>
    </row>
    <row r="71" spans="2:8" x14ac:dyDescent="0.3">
      <c r="C71" s="14"/>
      <c r="D71" s="14"/>
      <c r="F71" s="14"/>
      <c r="G71" s="14"/>
    </row>
  </sheetData>
  <mergeCells count="6">
    <mergeCell ref="N3:O3"/>
    <mergeCell ref="B21:G21"/>
    <mergeCell ref="B10:G10"/>
    <mergeCell ref="B53:G53"/>
    <mergeCell ref="C55:G5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2025-05-08T16:13:04Z</cp:lastPrinted>
  <dcterms:created xsi:type="dcterms:W3CDTF">2013-03-19T12:54:14Z</dcterms:created>
  <dcterms:modified xsi:type="dcterms:W3CDTF">2025-05-08T16:13:08Z</dcterms:modified>
</cp:coreProperties>
</file>