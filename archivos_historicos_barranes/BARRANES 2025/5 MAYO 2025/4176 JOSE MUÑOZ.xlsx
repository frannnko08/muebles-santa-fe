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5\"/>
    </mc:Choice>
  </mc:AlternateContent>
  <xr:revisionPtr revIDLastSave="0" documentId="13_ncr:1_{D6CDDB26-5C8C-4074-AFFE-D95D2BCF65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4" i="4"/>
  <c r="C51" i="3"/>
  <c r="C28" i="3" s="1"/>
  <c r="J22" i="3" s="1"/>
  <c r="D51" i="3"/>
  <c r="D28" i="3" s="1"/>
  <c r="E51" i="3"/>
  <c r="E28" i="3" s="1"/>
  <c r="F51" i="3"/>
  <c r="F28" i="3" s="1"/>
  <c r="G51" i="3"/>
  <c r="G28" i="3" s="1"/>
  <c r="H22" i="4"/>
  <c r="L22" i="3" l="1"/>
  <c r="C22" i="3"/>
  <c r="K22" i="3"/>
  <c r="G22" i="3"/>
  <c r="G50" i="3"/>
  <c r="G27" i="3" s="1"/>
  <c r="F50" i="3"/>
  <c r="F27" i="3" s="1"/>
  <c r="L14" i="3" s="1"/>
  <c r="E50" i="3"/>
  <c r="E27" i="3" s="1"/>
  <c r="K14" i="3" s="1"/>
  <c r="C50" i="3"/>
  <c r="D50" i="3"/>
  <c r="D27" i="3" s="1"/>
  <c r="C27" i="3" l="1"/>
  <c r="H21" i="4"/>
  <c r="H26" i="4" l="1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50" i="3"/>
  <c r="J50" i="3" s="1"/>
  <c r="E14" i="3"/>
  <c r="G14" i="3"/>
  <c r="F14" i="3"/>
  <c r="C21" i="3" l="1"/>
  <c r="J14" i="3"/>
  <c r="C14" i="3" s="1"/>
  <c r="J31" i="3"/>
  <c r="K50" i="3"/>
  <c r="J55" i="3"/>
  <c r="H28" i="4"/>
  <c r="O5" i="3"/>
  <c r="K55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<sst xmlns="http://schemas.openxmlformats.org/spreadsheetml/2006/main" count="254" uniqueCount="149">
  <si>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</si>
  <si>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</si>
  <si>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</si>
  <si>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</si>
  <si>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</si>
  <si>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</si>
  <si>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</si>
  <si>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</si>
  <si>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</si>
  <si>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</si>
  <si>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</si>
  <si>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</si>
  <si>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</si>
  <si>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</si>
  <si>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</si>
  <si>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</si>
  <si>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</si>
  <si>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</si>
  <si>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</si>
  <si>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</si>
  <si>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</si>
  <si>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</si>
  <si>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</si>
  <si>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</si>
  <si>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</si>
  <si>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</si>
  <si>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</si>
  <si>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</si>
  <si>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</si>
  <si>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</si>
  <si>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</si>
  <si>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</si>
  <si>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</si>
  <si>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</si>
  <si>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</si>
  <si>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</si>
  <si>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</si>
  <si>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</si>
  <si>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</si>
  <si>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</si>
  <si>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</si>
  <si>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</si>
  <si>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</si>
  <si>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</si>
  <si>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</si>
  <si>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</si>
  <si>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</si>
  <si>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</si>
  <si>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</si>
  <si>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</si>
  <si>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</si>
  <si>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</si>
  <si>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</si>
  <si>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</si>
  <si>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</si>
  <si>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</si>
  <si>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</si>
  <si>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</si>
  <si>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</si>
  <si>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</si>
  <si>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</si>
  <si>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</si>
  <si>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</si>
  <si>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</si>
  <si>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</si>
  <si>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</si>
  <si>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</si>
  <si>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</si>
  <si>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</si>
  <si>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</si>
  <si>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</si>
  <si>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</si>
  <si>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</si>
  <si>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</si>
  <si>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</si>
  <si>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</si>
  <si>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</si>
  <si>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</si>
  <si>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</si>
  <si>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</si>
  <si>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</si>
  <si>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</si>
  <si>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</si>
  <si>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</si>
  <si>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</si>
  <si>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</si>
  <si>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</si>
  <si>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</si>
  <si>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</si>
  <si>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</si>
  <si>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</si>
  <si>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</si>
  <si>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</si>
  <si>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</si>
  <si>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</si>
  <si>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</si>
  <si>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</si>
  <si>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</si>
  <si>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</si>
  <si>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</si>
  <si>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</si>
  <si>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</si>
  <si>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</si>
  <si>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</si>
  <si>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</si>
  <si>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</si>
  <si>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</si>
  <si>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</si>
  <si>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</si>
  <si>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</si>
  <si>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</si>
  <si>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</si>
  <si>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</si>
  <si>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</si>
  <si>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</si>
  <si>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</si>
  <si>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</si>
  <si>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</si>
  <si>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</si>
  <si>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</si>
  <si>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</si>
  <si>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</si>
  <si>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</si>
  <si>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</si>
  <si>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</si>
  <si>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</si>
  <si>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</si>
  <si>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</si>
  <si>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</si>
  <si>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</si>
  <si>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</si>
  <si>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</si>
  <si>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</si>
  <si>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</si>
  <si>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</si>
  <si>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</si>
  <si>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</si>
  <si>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</si>
  <si>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</si>
  <si>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SEGÚN CORTE</t>
  </si>
  <si>
    <t>SEGÚN DESARROLLO</t>
  </si>
  <si>
    <t>+569 9843 3740</t>
  </si>
  <si>
    <t>VARAS MENA 1080, SAN MIGUEL</t>
  </si>
  <si>
    <t>JOSE MUÑOZ</t>
  </si>
  <si>
    <t>CUB C/R 180°</t>
  </si>
  <si>
    <t>CUB RECTA</t>
  </si>
  <si>
    <t>DESFONDADOS</t>
  </si>
  <si>
    <t>INSTALACION</t>
  </si>
  <si>
    <t>MARINA DI CARRA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</si>
</sst>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10" fillId="0" borderId="23" xfId="0" applyFont="1" applyBorder="1" applyAlignment="1">
      <alignment horizontal="center"/>
    </xf>
    <xf numFmtId="0" fontId="20" fillId="3" borderId="0" xfId="0" applyFont="1" applyFill="1"/>
    <xf numFmtId="1" fontId="9" fillId="0" borderId="31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$ 104.000.-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INSTALAR, CUBIERTA RECTA CLIENTE LA TRAJO, COLOCAR PESTAÑA AL RESPALDO,, RES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INSTALACION, CUBIERTA RECTA CLIENTE LA  APORTO, COLOCAR PESTAÑA DE AJUSTE AL RESPALDO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10"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11422</v>
      </c>
      <c r="E8" s="30"/>
      <c r="F8" s="35" t="s">
        <v>24</v>
      </c>
      <c r="G8" s="36">
        <v>4176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143</v>
      </c>
      <c r="D10" s="39"/>
      <c r="E10" s="39"/>
      <c r="F10" s="40" t="s">
        <v>25</v>
      </c>
      <c r="G10" s="41">
        <v>45790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119</v>
      </c>
      <c r="G11" s="45">
        <v>45792</v>
      </c>
      <c r="H11" s="46"/>
      <c r="I11" s="30"/>
    </row>
    <row r="12" spans="1:17" ht="18" x14ac:dyDescent="0.35">
      <c r="A12" s="30"/>
      <c r="B12" s="47" t="s">
        <v>125</v>
      </c>
      <c r="C12" s="30"/>
      <c r="D12" s="48"/>
      <c r="E12" s="48"/>
      <c r="F12" s="48" t="s">
        <v>26</v>
      </c>
      <c r="G12" s="49"/>
      <c r="H12" s="50"/>
      <c r="I12" s="30"/>
    </row>
    <row r="13" spans="1:17" ht="18" x14ac:dyDescent="0.35">
      <c r="A13" s="30"/>
      <c r="B13" s="47" t="s">
        <v>126</v>
      </c>
      <c r="C13" s="51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15</v>
      </c>
      <c r="C14" s="118" t="s">
        <v>141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20" t="s">
        <v>142</v>
      </c>
      <c r="D15" s="48"/>
      <c r="E15" s="48"/>
      <c r="F15" s="53" t="s">
        <v>71</v>
      </c>
      <c r="G15" s="53" t="s">
        <v>128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136</v>
      </c>
      <c r="D16" s="56"/>
      <c r="E16" s="57"/>
      <c r="F16" s="123" t="s">
        <v>16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17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thickBot="1" x14ac:dyDescent="0.4">
      <c r="A20" s="30"/>
      <c r="B20" s="58" t="s">
        <v>127</v>
      </c>
      <c r="C20" s="115" t="s">
        <v>18</v>
      </c>
      <c r="D20" s="115" t="s">
        <v>19</v>
      </c>
      <c r="E20" s="115" t="s">
        <v>7</v>
      </c>
      <c r="F20" s="116" t="s">
        <v>20</v>
      </c>
      <c r="G20" s="58" t="s">
        <v>21</v>
      </c>
      <c r="H20" s="116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1</v>
      </c>
      <c r="C21" s="103" t="s">
        <v>144</v>
      </c>
      <c r="D21" s="121">
        <v>2310</v>
      </c>
      <c r="E21" s="121">
        <v>600</v>
      </c>
      <c r="F21" s="103" t="s">
        <v>148</v>
      </c>
      <c r="G21" s="114">
        <v>99253</v>
      </c>
      <c r="H21" s="114">
        <f>G21*B21</f>
        <v>99253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145</v>
      </c>
      <c r="D22" s="122">
        <v>1550</v>
      </c>
      <c r="E22" s="122">
        <v>800</v>
      </c>
      <c r="F22" s="103" t="s">
        <v>148</v>
      </c>
      <c r="G22" s="114">
        <v>35000</v>
      </c>
      <c r="H22" s="114">
        <f>G22*B22</f>
        <v>35000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2</v>
      </c>
      <c r="C23" s="103" t="s">
        <v>146</v>
      </c>
      <c r="D23" s="104"/>
      <c r="E23" s="104"/>
      <c r="F23" s="103"/>
      <c r="G23" s="114">
        <v>10000</v>
      </c>
      <c r="H23" s="114">
        <f t="shared" ref="H23:H24" si="0">G23*B23</f>
        <v>20000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1</v>
      </c>
      <c r="C24" s="103" t="s">
        <v>147</v>
      </c>
      <c r="D24" s="104"/>
      <c r="E24" s="104"/>
      <c r="F24" s="103"/>
      <c r="G24" s="114">
        <v>80000</v>
      </c>
      <c r="H24" s="114">
        <f t="shared" si="0"/>
        <v>80000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5"/>
      <c r="C25" s="105"/>
      <c r="D25" s="113"/>
      <c r="E25" s="113"/>
      <c r="F25" s="105"/>
      <c r="G25" s="107"/>
      <c r="H25" s="107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5"/>
      <c r="C26" s="105"/>
      <c r="D26" s="113"/>
      <c r="E26" s="113"/>
      <c r="F26" s="105"/>
      <c r="G26" s="61" t="s">
        <v>5</v>
      </c>
      <c r="H26" s="62">
        <f>SUM(H21:H25)</f>
        <v>234253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5"/>
      <c r="C27" s="105"/>
      <c r="D27" s="113"/>
      <c r="E27" s="113"/>
      <c r="F27" s="105"/>
      <c r="G27" s="63" t="s">
        <v>135</v>
      </c>
      <c r="H27" s="64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5"/>
      <c r="C28" s="105"/>
      <c r="D28" s="113"/>
      <c r="E28" s="113"/>
      <c r="F28" s="105"/>
      <c r="G28" s="65" t="s">
        <v>4</v>
      </c>
      <c r="H28" s="66">
        <f>H26+H27</f>
        <v>234253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5"/>
      <c r="C29" s="105"/>
      <c r="D29" s="113"/>
      <c r="E29" s="113"/>
      <c r="F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5"/>
      <c r="C30" s="105"/>
      <c r="D30" s="113"/>
      <c r="E30" s="113"/>
      <c r="F30" s="105"/>
      <c r="G30" s="107"/>
      <c r="H30" s="107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5"/>
      <c r="C31" s="105"/>
      <c r="D31" s="113"/>
      <c r="E31" s="113"/>
      <c r="F31" s="105"/>
      <c r="G31" s="107"/>
      <c r="H31" s="107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5"/>
      <c r="C32" s="105"/>
      <c r="D32" s="106"/>
      <c r="E32" s="106"/>
      <c r="F32" s="105"/>
      <c r="G32" s="107"/>
      <c r="H32" s="107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5"/>
      <c r="C33" s="105"/>
      <c r="D33" s="106"/>
      <c r="E33" s="106"/>
      <c r="F33" s="105"/>
      <c r="G33" s="107"/>
      <c r="H33" s="107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60"/>
      <c r="C34" s="60"/>
      <c r="D34" s="60"/>
      <c r="E34" s="60"/>
      <c r="F34" s="60"/>
      <c r="G34" s="59"/>
      <c r="H34" s="59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7"/>
      <c r="H38" s="68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9" t="s">
        <v>132</v>
      </c>
      <c r="C40" s="70"/>
      <c r="D40" s="71"/>
      <c r="E40" s="71"/>
      <c r="F40" s="60"/>
      <c r="G40" s="30"/>
      <c r="H40" s="30"/>
      <c r="I40" s="30"/>
    </row>
    <row r="41" spans="1:16" ht="18" x14ac:dyDescent="0.35">
      <c r="A41" s="30"/>
      <c r="B41" s="69" t="s">
        <v>118</v>
      </c>
      <c r="C41" s="70"/>
      <c r="D41" s="71"/>
      <c r="E41" s="71"/>
      <c r="F41" s="60"/>
      <c r="G41" s="30"/>
      <c r="H41" s="30"/>
      <c r="I41" s="30"/>
    </row>
    <row r="42" spans="1:16" ht="18" x14ac:dyDescent="0.35">
      <c r="A42" s="30"/>
      <c r="B42" s="30" t="s">
        <v>22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2" t="s">
        <v>23</v>
      </c>
      <c r="C43" s="72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2"/>
      <c r="F44" s="30"/>
      <c r="G44" s="30"/>
      <c r="H44" s="30"/>
      <c r="I44" s="30"/>
    </row>
    <row r="45" spans="1:16" ht="18" x14ac:dyDescent="0.35">
      <c r="A45" s="30"/>
      <c r="B45" s="31" t="s">
        <v>130</v>
      </c>
      <c r="C45" s="31"/>
      <c r="D45" s="31"/>
      <c r="E45" s="73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3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0"/>
      <c r="D47" s="30"/>
      <c r="E47" s="72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2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27</v>
      </c>
      <c r="C2" s="128"/>
      <c r="D2" s="128"/>
      <c r="E2" s="12"/>
      <c r="G2" s="128" t="s">
        <v>66</v>
      </c>
      <c r="H2" s="128"/>
      <c r="I2" s="128"/>
      <c r="P2" s="129" t="s">
        <v>54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9" t="s">
        <v>54</v>
      </c>
      <c r="M8" s="129"/>
      <c r="N8" s="129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zoomScaleNormal="100" workbookViewId="0">
      <selection sqref="A1: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57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5" t="s">
        <v>24</v>
      </c>
      <c r="E4" s="76">
        <f>'4637'!G8</f>
        <v>4176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63</v>
      </c>
      <c r="E5" s="78" t="str">
        <f>'4637'!C10</f>
        <v>JOSE MUÑOZ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45792</v>
      </c>
      <c r="F7" s="30"/>
      <c r="G7" s="30" t="s">
        <v>134</v>
      </c>
      <c r="H7" s="30"/>
    </row>
    <row r="8" spans="1:15" ht="18" x14ac:dyDescent="0.35">
      <c r="B8" s="30"/>
      <c r="C8" s="30"/>
      <c r="D8" s="91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57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80</v>
      </c>
      <c r="F13" s="94">
        <v>-30</v>
      </c>
      <c r="G13" s="93" t="s">
        <v>106</v>
      </c>
      <c r="H13" s="30"/>
      <c r="K13" s="5" t="s">
        <v>6</v>
      </c>
      <c r="L13" s="5" t="s">
        <v>7</v>
      </c>
    </row>
    <row r="14" spans="1:15" ht="18" x14ac:dyDescent="0.35">
      <c r="A14" s="111">
        <v>1</v>
      </c>
      <c r="B14" s="102" t="s">
        <v>138</v>
      </c>
      <c r="C14" s="95">
        <f>J14</f>
        <v>1</v>
      </c>
      <c r="D14" s="95"/>
      <c r="E14" s="95">
        <f>K14+E$13</f>
        <v>2390</v>
      </c>
      <c r="F14" s="95">
        <f>L14+F$13</f>
        <v>570</v>
      </c>
      <c r="G14" s="95" t="str">
        <f>D27</f>
        <v>CUB C/R 180°</v>
      </c>
      <c r="H14" s="30"/>
      <c r="J14" s="3">
        <f>J21</f>
        <v>1</v>
      </c>
      <c r="K14" s="4">
        <f t="shared" ref="K14:L14" si="0">E27</f>
        <v>2310</v>
      </c>
      <c r="L14" s="4">
        <f t="shared" si="0"/>
        <v>600</v>
      </c>
    </row>
    <row r="15" spans="1:15" ht="18" x14ac:dyDescent="0.35">
      <c r="A15" s="2"/>
      <c r="B15" s="84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6.75" customHeight="1" x14ac:dyDescent="0.35">
      <c r="A16" s="2"/>
      <c r="B16" s="30"/>
      <c r="C16" s="30"/>
      <c r="D16" s="30"/>
      <c r="E16" s="30"/>
      <c r="F16" s="30"/>
      <c r="G16" s="30"/>
      <c r="H16" s="30"/>
    </row>
    <row r="17" spans="1:12" ht="18" x14ac:dyDescent="0.35">
      <c r="A17" s="2"/>
      <c r="B17" s="131" t="s">
        <v>13</v>
      </c>
      <c r="C17" s="131"/>
      <c r="D17" s="131"/>
      <c r="E17" s="131"/>
      <c r="F17" s="131"/>
      <c r="G17" s="131"/>
      <c r="H17" s="30"/>
    </row>
    <row r="18" spans="1:12" ht="10.5" customHeight="1" x14ac:dyDescent="0.35">
      <c r="A18" s="2"/>
      <c r="B18" s="30"/>
      <c r="C18" s="30"/>
      <c r="D18" s="92"/>
      <c r="E18" s="30"/>
      <c r="F18" s="30"/>
      <c r="G18" s="30"/>
      <c r="H18" s="30"/>
    </row>
    <row r="19" spans="1:12" ht="18" x14ac:dyDescent="0.35">
      <c r="A19" s="2"/>
      <c r="B19" s="30"/>
      <c r="C19" s="30"/>
      <c r="D19" s="30"/>
      <c r="E19" s="67" t="s">
        <v>6</v>
      </c>
      <c r="F19" s="67" t="s">
        <v>7</v>
      </c>
      <c r="G19" s="30"/>
      <c r="H19" s="30"/>
    </row>
    <row r="20" spans="1:12" ht="18" x14ac:dyDescent="0.35">
      <c r="A20" s="2"/>
      <c r="B20" s="67" t="s">
        <v>8</v>
      </c>
      <c r="C20" s="83" t="s">
        <v>9</v>
      </c>
      <c r="D20" s="83" t="s">
        <v>10</v>
      </c>
      <c r="E20" s="96">
        <v>40</v>
      </c>
      <c r="F20" s="96">
        <v>130</v>
      </c>
      <c r="G20" s="83" t="s">
        <v>106</v>
      </c>
      <c r="H20" s="30"/>
      <c r="K20" s="5" t="s">
        <v>6</v>
      </c>
      <c r="L20" s="5" t="s">
        <v>7</v>
      </c>
    </row>
    <row r="21" spans="1:12" ht="18" x14ac:dyDescent="0.35">
      <c r="A21" s="111">
        <v>1</v>
      </c>
      <c r="B21" s="102"/>
      <c r="C21" s="97">
        <f t="shared" ref="C21" si="1">J21</f>
        <v>1</v>
      </c>
      <c r="D21" s="97"/>
      <c r="E21" s="97">
        <f>K21+E$20</f>
        <v>2350</v>
      </c>
      <c r="F21" s="97">
        <f>L21+F$20</f>
        <v>730</v>
      </c>
      <c r="G21" s="97" t="str">
        <f>D27</f>
        <v>CUB C/R 180°</v>
      </c>
      <c r="H21" s="30"/>
      <c r="J21" s="3">
        <f>C27</f>
        <v>1</v>
      </c>
      <c r="K21" s="108">
        <f>E27</f>
        <v>2310</v>
      </c>
      <c r="L21" s="108">
        <f>F27</f>
        <v>600</v>
      </c>
    </row>
    <row r="22" spans="1:12" ht="18" x14ac:dyDescent="0.35">
      <c r="A22" s="111"/>
      <c r="B22" s="102"/>
      <c r="C22" s="97">
        <f t="shared" ref="C22" si="2">J22</f>
        <v>1</v>
      </c>
      <c r="D22" s="119" t="s">
        <v>140</v>
      </c>
      <c r="E22" s="119">
        <v>1570</v>
      </c>
      <c r="F22" s="119">
        <v>820</v>
      </c>
      <c r="G22" s="119" t="str">
        <f>D28</f>
        <v>CUB RECTA</v>
      </c>
      <c r="H22" s="30"/>
      <c r="J22" s="3">
        <f>C28</f>
        <v>1</v>
      </c>
      <c r="K22" s="108">
        <f>E28</f>
        <v>1550</v>
      </c>
      <c r="L22" s="108">
        <f>F28</f>
        <v>800</v>
      </c>
    </row>
    <row r="23" spans="1:12" ht="18.600000000000001" thickBot="1" x14ac:dyDescent="0.4">
      <c r="A23" s="2"/>
      <c r="B23" s="84"/>
      <c r="C23" s="74"/>
      <c r="D23" s="74"/>
      <c r="E23" s="74"/>
      <c r="F23" s="74"/>
      <c r="G23" s="74"/>
      <c r="H23" s="30"/>
      <c r="I23" s="109"/>
      <c r="J23" s="110"/>
      <c r="K23" s="110"/>
      <c r="L23" s="110"/>
    </row>
    <row r="24" spans="1:12" ht="18.600000000000001" thickBot="1" x14ac:dyDescent="0.4">
      <c r="A24" s="2"/>
      <c r="B24" s="67"/>
      <c r="C24" s="98" t="s">
        <v>103</v>
      </c>
      <c r="D24" s="33"/>
      <c r="E24" s="33"/>
      <c r="F24" s="33"/>
      <c r="G24" s="99"/>
      <c r="H24" s="30"/>
      <c r="J24" s="2"/>
      <c r="K24" s="2"/>
      <c r="L24" s="2"/>
    </row>
    <row r="25" spans="1:12" ht="10.5" customHeight="1" x14ac:dyDescent="0.35">
      <c r="A25" s="2"/>
      <c r="B25" s="30"/>
      <c r="C25" s="30"/>
      <c r="D25" s="30"/>
      <c r="E25" s="30"/>
      <c r="F25" s="30"/>
      <c r="G25" s="30"/>
      <c r="H25" s="30"/>
    </row>
    <row r="26" spans="1:12" ht="18" x14ac:dyDescent="0.35">
      <c r="A26" s="2"/>
      <c r="B26" s="67" t="s">
        <v>8</v>
      </c>
      <c r="C26" s="100" t="s">
        <v>9</v>
      </c>
      <c r="D26" s="100" t="s">
        <v>106</v>
      </c>
      <c r="E26" s="100" t="s">
        <v>6</v>
      </c>
      <c r="F26" s="100" t="s">
        <v>7</v>
      </c>
      <c r="G26" s="100" t="s">
        <v>20</v>
      </c>
      <c r="H26" s="30"/>
    </row>
    <row r="27" spans="1:12" ht="18" x14ac:dyDescent="0.35">
      <c r="A27" s="111">
        <v>1</v>
      </c>
      <c r="B27" s="102" t="s">
        <v>138</v>
      </c>
      <c r="C27" s="95">
        <f t="shared" ref="C27:G28" si="3">C50</f>
        <v>1</v>
      </c>
      <c r="D27" s="95" t="str">
        <f t="shared" si="3"/>
        <v>CUB C/R 180°</v>
      </c>
      <c r="E27" s="117">
        <f t="shared" si="3"/>
        <v>2310</v>
      </c>
      <c r="F27" s="117">
        <f t="shared" si="3"/>
        <v>600</v>
      </c>
      <c r="G27" s="4" t="str">
        <f t="shared" si="3"/>
        <v>MARINA DI CARRA 3151 PL</v>
      </c>
      <c r="H27" s="30"/>
      <c r="I27" s="28">
        <f>E27*F27/1000000</f>
        <v>1.3859999999999999</v>
      </c>
      <c r="J27" s="28">
        <f>I27*C27</f>
        <v>1.3859999999999999</v>
      </c>
    </row>
    <row r="28" spans="1:12" ht="18" x14ac:dyDescent="0.35">
      <c r="A28" s="111"/>
      <c r="B28" s="102"/>
      <c r="C28" s="95">
        <f t="shared" si="3"/>
        <v>1</v>
      </c>
      <c r="D28" s="95" t="str">
        <f t="shared" si="3"/>
        <v>CUB RECTA</v>
      </c>
      <c r="E28" s="117">
        <f t="shared" si="3"/>
        <v>1550</v>
      </c>
      <c r="F28" s="117">
        <f t="shared" si="3"/>
        <v>800</v>
      </c>
      <c r="G28" s="4" t="str">
        <f t="shared" si="3"/>
        <v>MARINA DI CARRA 3151 PL</v>
      </c>
      <c r="H28" s="30"/>
      <c r="I28" s="28"/>
      <c r="J28" s="28"/>
    </row>
    <row r="29" spans="1:12" ht="18" x14ac:dyDescent="0.35">
      <c r="A29" s="2"/>
      <c r="B29" s="84"/>
      <c r="C29" s="74"/>
      <c r="D29" s="74" t="s">
        <v>139</v>
      </c>
      <c r="E29" s="74"/>
      <c r="F29" s="74"/>
      <c r="G29" s="74"/>
      <c r="H29" s="30"/>
      <c r="I29" s="28"/>
      <c r="J29" s="28"/>
    </row>
    <row r="30" spans="1:12" ht="18" x14ac:dyDescent="0.35">
      <c r="A30" s="2"/>
      <c r="B30" s="30"/>
      <c r="C30" s="74"/>
      <c r="D30" s="74"/>
      <c r="E30" s="74"/>
      <c r="F30" s="74"/>
      <c r="G30" s="74"/>
      <c r="H30" s="30"/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  <c r="J31" s="28">
        <f>SUM(J27:J27)*2</f>
        <v>2.7719999999999998</v>
      </c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</row>
    <row r="33" spans="1:9" ht="18" x14ac:dyDescent="0.35">
      <c r="A33" s="2"/>
      <c r="B33" s="30"/>
      <c r="C33" s="74"/>
      <c r="D33" s="74"/>
      <c r="E33" s="74"/>
      <c r="F33" s="74"/>
      <c r="G33" s="74"/>
      <c r="H33" s="30"/>
    </row>
    <row r="34" spans="1:9" ht="18" x14ac:dyDescent="0.35">
      <c r="A34" s="2"/>
      <c r="B34" s="30"/>
      <c r="C34" s="74"/>
      <c r="D34" s="74"/>
      <c r="E34" s="74"/>
      <c r="F34" s="74"/>
      <c r="G34" s="74"/>
      <c r="H34" s="30"/>
    </row>
    <row r="35" spans="1:9" ht="18" x14ac:dyDescent="0.35">
      <c r="A35" s="2"/>
      <c r="B35" s="30"/>
      <c r="C35" s="74"/>
      <c r="D35" s="74"/>
      <c r="E35" s="74"/>
      <c r="F35" s="74"/>
      <c r="G35" s="74"/>
      <c r="H35" s="30"/>
    </row>
    <row r="36" spans="1:9" ht="18" x14ac:dyDescent="0.35">
      <c r="A36" s="2"/>
      <c r="B36" s="30"/>
      <c r="C36" s="74"/>
      <c r="D36" s="74"/>
      <c r="E36" s="74"/>
      <c r="F36" s="74"/>
      <c r="G36" s="74"/>
      <c r="H36" s="30"/>
    </row>
    <row r="37" spans="1:9" ht="18" x14ac:dyDescent="0.35">
      <c r="A37" s="2"/>
      <c r="B37" s="30"/>
      <c r="C37" s="74"/>
      <c r="D37" s="74"/>
      <c r="E37" s="74"/>
      <c r="F37" s="74"/>
      <c r="G37" s="74"/>
      <c r="H37" s="30"/>
    </row>
    <row r="38" spans="1:9" ht="18" x14ac:dyDescent="0.35">
      <c r="A38" s="2"/>
      <c r="B38" s="30"/>
      <c r="C38" s="74"/>
      <c r="D38" s="74"/>
      <c r="E38" s="74"/>
      <c r="F38" s="74"/>
      <c r="G38" s="74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75" t="s">
        <v>24</v>
      </c>
      <c r="E40" s="76">
        <f>'4637'!G8</f>
        <v>4176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7" t="s">
        <v>63</v>
      </c>
      <c r="E41" s="78" t="str">
        <f>'4637'!C10</f>
        <v>JOSE MUÑOZ</v>
      </c>
      <c r="F41" s="48"/>
      <c r="G41" s="48"/>
      <c r="H41" s="30"/>
    </row>
    <row r="42" spans="1:9" ht="4.5" customHeight="1" x14ac:dyDescent="0.35">
      <c r="A42" s="2"/>
      <c r="B42" s="30"/>
      <c r="C42" s="30"/>
      <c r="D42" s="79"/>
      <c r="E42" s="80"/>
      <c r="F42" s="30"/>
      <c r="G42" s="30"/>
      <c r="H42" s="30"/>
    </row>
    <row r="43" spans="1:9" ht="18" x14ac:dyDescent="0.35">
      <c r="A43" s="2"/>
      <c r="B43" s="30"/>
      <c r="C43" s="30"/>
      <c r="D43" s="81" t="str">
        <f>'4637'!F11</f>
        <v>FECHA LIMITE :</v>
      </c>
      <c r="E43" s="82">
        <f>'4637'!G11</f>
        <v>45792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134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2" t="s">
        <v>64</v>
      </c>
      <c r="C46" s="132"/>
      <c r="D46" s="132"/>
      <c r="E46" s="132"/>
      <c r="F46" s="132"/>
      <c r="G46" s="132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3" t="s">
        <v>65</v>
      </c>
      <c r="D48" s="134"/>
      <c r="E48" s="135"/>
      <c r="F48" s="135"/>
      <c r="G48" s="136"/>
      <c r="H48" s="30"/>
      <c r="I48" s="25" t="s">
        <v>129</v>
      </c>
    </row>
    <row r="49" spans="1:13" s="10" customFormat="1" ht="20.100000000000001" customHeight="1" x14ac:dyDescent="0.35">
      <c r="A49" s="112"/>
      <c r="B49" s="30"/>
      <c r="C49" s="85" t="s">
        <v>9</v>
      </c>
      <c r="D49" s="86" t="s">
        <v>10</v>
      </c>
      <c r="E49" s="89" t="s">
        <v>6</v>
      </c>
      <c r="F49" s="89" t="s">
        <v>7</v>
      </c>
      <c r="G49" s="87" t="s">
        <v>11</v>
      </c>
      <c r="H49" s="30"/>
      <c r="K49" s="10">
        <v>15000</v>
      </c>
    </row>
    <row r="50" spans="1:13" s="10" customFormat="1" ht="20.100000000000001" customHeight="1" x14ac:dyDescent="0.35">
      <c r="A50" s="111">
        <v>1</v>
      </c>
      <c r="B50" s="101" t="s">
        <v>138</v>
      </c>
      <c r="C50" s="97">
        <f>'4637'!B21</f>
        <v>1</v>
      </c>
      <c r="D50" s="4" t="str">
        <f>'4637'!C21</f>
        <v>CUB C/R 180°</v>
      </c>
      <c r="E50" s="117">
        <f>'4637'!D21</f>
        <v>2310</v>
      </c>
      <c r="F50" s="117">
        <f>'4637'!E21</f>
        <v>600</v>
      </c>
      <c r="G50" s="4" t="str">
        <f>'4637'!F21</f>
        <v>MARINA DI CARRA 3151 PL</v>
      </c>
      <c r="H50" s="30"/>
      <c r="I50" s="10">
        <f>E50*F50/1000000</f>
        <v>1.3859999999999999</v>
      </c>
      <c r="J50" s="10">
        <f>I50*C50</f>
        <v>1.3859999999999999</v>
      </c>
      <c r="K50" s="26">
        <f>J50*K$49</f>
        <v>20790</v>
      </c>
      <c r="M50" s="24">
        <v>12096</v>
      </c>
    </row>
    <row r="51" spans="1:13" s="10" customFormat="1" ht="20.100000000000001" customHeight="1" x14ac:dyDescent="0.35">
      <c r="A51" s="111"/>
      <c r="B51" s="101"/>
      <c r="C51" s="97">
        <f>'4637'!B22</f>
        <v>1</v>
      </c>
      <c r="D51" s="4" t="str">
        <f>'4637'!C22</f>
        <v>CUB RECTA</v>
      </c>
      <c r="E51" s="117">
        <f>'4637'!D22</f>
        <v>1550</v>
      </c>
      <c r="F51" s="117">
        <f>'4637'!E22</f>
        <v>800</v>
      </c>
      <c r="G51" s="4" t="str">
        <f>'4637'!F22</f>
        <v>MARINA DI CARRA 3151 PL</v>
      </c>
      <c r="H51" s="30"/>
      <c r="K51" s="26"/>
      <c r="M51" s="29"/>
    </row>
    <row r="52" spans="1:13" s="10" customFormat="1" ht="20.100000000000001" customHeight="1" x14ac:dyDescent="0.35">
      <c r="A52" s="111"/>
      <c r="B52" s="101"/>
      <c r="C52" s="74"/>
      <c r="D52" s="74"/>
      <c r="E52" s="74"/>
      <c r="F52" s="74"/>
      <c r="G52" s="74"/>
      <c r="H52" s="30"/>
      <c r="K52" s="26"/>
      <c r="M52" s="29"/>
    </row>
    <row r="53" spans="1:13" s="10" customFormat="1" ht="15" customHeight="1" x14ac:dyDescent="0.35">
      <c r="B53" s="84"/>
      <c r="C53" s="67"/>
      <c r="D53" s="67"/>
      <c r="E53" s="67"/>
      <c r="F53" s="67"/>
      <c r="G53" s="67"/>
      <c r="H53" s="30"/>
    </row>
    <row r="54" spans="1:13" ht="18" x14ac:dyDescent="0.35">
      <c r="B54" s="74"/>
      <c r="C54" s="74"/>
      <c r="D54" s="30"/>
      <c r="E54" s="74"/>
      <c r="F54" s="74"/>
      <c r="G54" s="79"/>
      <c r="H54" s="30"/>
    </row>
    <row r="55" spans="1:13" ht="18" x14ac:dyDescent="0.35">
      <c r="B55" s="74"/>
      <c r="C55" s="74"/>
      <c r="D55" s="30"/>
      <c r="E55" s="74"/>
      <c r="F55" s="74"/>
      <c r="G55" s="74"/>
      <c r="H55" s="30"/>
      <c r="J55" s="10">
        <f>SUM(J50:J50)</f>
        <v>1.3859999999999999</v>
      </c>
      <c r="K55" s="27">
        <f>SUM(K50:K50)</f>
        <v>20790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4"/>
      <c r="C61" s="88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7:G17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2025-05-14T14:00:04Z</cp:lastPrinted>
  <dcterms:created xsi:type="dcterms:W3CDTF">2013-03-19T12:54:14Z</dcterms:created>
  <dcterms:modified xsi:type="dcterms:W3CDTF">2025-05-14T14:00:23Z</dcterms:modified>
</cp:coreProperties>
</file>