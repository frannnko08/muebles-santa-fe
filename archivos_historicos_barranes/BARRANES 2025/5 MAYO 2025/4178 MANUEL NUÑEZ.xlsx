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5\"/>
    </mc:Choice>
  </mc:AlternateContent>
  <xr:revisionPtr revIDLastSave="0" documentId="13_ncr:1_{EE4682C8-D94B-4C49-A70B-1E01A5B38F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CUBIERTA!$A$44:$G$72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G15" i="3"/>
  <c r="J15" i="3"/>
  <c r="C15" i="3" s="1"/>
  <c r="K15" i="3"/>
  <c r="E15" i="3" s="1"/>
  <c r="L15" i="3"/>
  <c r="G16" i="3"/>
  <c r="J16" i="3"/>
  <c r="C16" i="3" s="1"/>
  <c r="K16" i="3"/>
  <c r="E16" i="3" s="1"/>
  <c r="L16" i="3"/>
  <c r="F16" i="3" s="1"/>
  <c r="C58" i="3"/>
  <c r="D58" i="3"/>
  <c r="E58" i="3"/>
  <c r="F58" i="3"/>
  <c r="G58" i="3"/>
  <c r="C59" i="3"/>
  <c r="D59" i="3"/>
  <c r="E59" i="3"/>
  <c r="F59" i="3"/>
  <c r="G59" i="3"/>
  <c r="C60" i="3"/>
  <c r="D60" i="3"/>
  <c r="E60" i="3"/>
  <c r="F60" i="3"/>
  <c r="G60" i="3"/>
  <c r="C61" i="3"/>
  <c r="D61" i="3"/>
  <c r="E61" i="3"/>
  <c r="F61" i="3"/>
  <c r="G61" i="3"/>
  <c r="G34" i="3"/>
  <c r="G35" i="3"/>
  <c r="G33" i="3"/>
  <c r="F34" i="3"/>
  <c r="L26" i="3" s="1"/>
  <c r="F26" i="3" s="1"/>
  <c r="F35" i="3"/>
  <c r="F33" i="3"/>
  <c r="L25" i="3" s="1"/>
  <c r="F25" i="3" s="1"/>
  <c r="E34" i="3"/>
  <c r="K26" i="3" s="1"/>
  <c r="E26" i="3" s="1"/>
  <c r="E35" i="3"/>
  <c r="E33" i="3"/>
  <c r="K25" i="3" s="1"/>
  <c r="E25" i="3" s="1"/>
  <c r="C36" i="3"/>
  <c r="D34" i="3"/>
  <c r="G26" i="3" s="1"/>
  <c r="D35" i="3"/>
  <c r="D36" i="3"/>
  <c r="D33" i="3"/>
  <c r="G25" i="3" s="1"/>
  <c r="C34" i="3"/>
  <c r="J26" i="3" s="1"/>
  <c r="C26" i="3" s="1"/>
  <c r="C35" i="3"/>
  <c r="C33" i="3"/>
  <c r="J25" i="3" s="1"/>
  <c r="C25" i="3" s="1"/>
  <c r="H25" i="4"/>
  <c r="H24" i="4"/>
  <c r="H23" i="4"/>
  <c r="H22" i="4"/>
  <c r="H21" i="4"/>
  <c r="G57" i="3"/>
  <c r="G32" i="3" s="1"/>
  <c r="F57" i="3"/>
  <c r="F32" i="3" s="1"/>
  <c r="L14" i="3" s="1"/>
  <c r="E57" i="3"/>
  <c r="E32" i="3" s="1"/>
  <c r="K14" i="3" s="1"/>
  <c r="C57" i="3"/>
  <c r="D57" i="3"/>
  <c r="D32" i="3" s="1"/>
  <c r="C32" i="3" l="1"/>
  <c r="L21" i="4" l="1"/>
  <c r="K21" i="4"/>
  <c r="M21" i="4" l="1"/>
  <c r="N21" i="4" s="1"/>
  <c r="G24" i="3" l="1"/>
  <c r="L24" i="3"/>
  <c r="F24" i="3" s="1"/>
  <c r="J24" i="3" l="1"/>
  <c r="I32" i="3"/>
  <c r="J32" i="3" s="1"/>
  <c r="K24" i="3"/>
  <c r="E24" i="3" s="1"/>
  <c r="I57" i="3"/>
  <c r="J57" i="3" s="1"/>
  <c r="E14" i="3"/>
  <c r="G14" i="3"/>
  <c r="F14" i="3"/>
  <c r="C24" i="3" l="1"/>
  <c r="J14" i="3"/>
  <c r="C14" i="3" s="1"/>
  <c r="J38" i="3"/>
  <c r="K57" i="3"/>
  <c r="J64" i="3"/>
  <c r="H29" i="4"/>
  <c r="O5" i="3"/>
  <c r="K64" i="3" l="1"/>
  <c r="N5" i="3"/>
  <c r="M5" i="3"/>
  <c r="L5" i="3"/>
  <c r="D50" i="3" l="1"/>
  <c r="D7" i="3"/>
  <c r="E48" i="3"/>
  <c r="E5" i="3"/>
  <c r="E50" i="3"/>
  <c r="E7" i="3"/>
  <c r="E47" i="3"/>
  <c r="E4" i="3"/>
</calcChain>
</file>

<file path=xl/sharedStrings.xml><?xml version="1.0" encoding="utf-8"?>
<sst xmlns="http://schemas.openxmlformats.org/spreadsheetml/2006/main" count="256" uniqueCount="146">
  <si>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</si>
  <si>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</si>
  <si>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</si>
  <si>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</si>
  <si>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</si>
  <si>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</si>
  <si>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</si>
  <si>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</si>
  <si>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</si>
  <si>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</si>
  <si>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</si>
  <si>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</si>
  <si>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</si>
  <si>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</si>
  <si>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</si>
  <si>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</si>
  <si>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</si>
  <si>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</si>
  <si>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</si>
  <si>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</si>
  <si>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</si>
  <si>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</si>
  <si>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</si>
  <si>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</si>
  <si>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</si>
  <si>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</si>
  <si>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</si>
  <si>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</si>
  <si>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</si>
  <si>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</si>
  <si>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</si>
  <si>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</si>
  <si>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</si>
  <si>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</si>
  <si>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</si>
  <si>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</si>
  <si>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</si>
  <si>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</si>
  <si>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</si>
  <si>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</si>
  <si>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</si>
  <si>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</si>
  <si>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</si>
  <si>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</si>
  <si>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</si>
  <si>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</si>
  <si>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</si>
  <si>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</si>
  <si>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</si>
  <si>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</si>
  <si>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</si>
  <si>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</si>
  <si>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</si>
  <si>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</si>
  <si>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</si>
  <si>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</si>
  <si>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</si>
  <si>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</si>
  <si>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</si>
  <si>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</si>
  <si>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</si>
  <si>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</si>
  <si>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</si>
  <si>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</si>
  <si>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</si>
  <si>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</si>
  <si>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</si>
  <si>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</si>
  <si>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</si>
  <si>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</si>
  <si>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</si>
  <si>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</si>
  <si>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</si>
  <si>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</si>
  <si>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</si>
  <si>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</si>
  <si>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</si>
  <si>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</si>
  <si>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</si>
  <si>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</si>
  <si>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</si>
  <si>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</si>
  <si>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</si>
  <si>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</si>
  <si>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</si>
  <si>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</si>
  <si>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</si>
  <si>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</si>
  <si>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</si>
  <si>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</si>
  <si>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</si>
  <si>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</si>
  <si>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</si>
  <si>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</si>
  <si>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</si>
  <si>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</si>
  <si>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</si>
  <si>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</si>
  <si>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</si>
  <si>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</si>
  <si>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</si>
  <si>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</si>
  <si>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</si>
  <si>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</si>
  <si>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</si>
  <si>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</si>
  <si>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</si>
  <si>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</si>
  <si>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</si>
  <si>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</si>
  <si>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</si>
  <si>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</si>
  <si>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</si>
  <si>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</si>
  <si>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</si>
  <si>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</si>
  <si>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</si>
  <si>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</si>
  <si>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</si>
  <si>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</si>
  <si>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</si>
  <si>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</si>
  <si>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</si>
  <si>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</si>
  <si>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</si>
  <si>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</si>
  <si>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</si>
  <si>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</si>
  <si>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</si>
  <si>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</si>
  <si>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</si>
  <si>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</si>
  <si>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</si>
  <si>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</si>
  <si>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</si>
  <si>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</si>
  <si>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</si>
  <si>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</si>
  <si>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MDF18MM</t>
  </si>
  <si>
    <t>MANUEL NUÑEZ</t>
  </si>
  <si>
    <t>+569 7690 3745</t>
  </si>
  <si>
    <t>FLORENTINO NEGRO 0513 BR</t>
  </si>
  <si>
    <t>INSTALACION</t>
  </si>
  <si>
    <t>CUB C/R R8</t>
  </si>
  <si>
    <t>CUB MESA R8 2 LADOS</t>
  </si>
  <si>
    <t>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</si>
</sst>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20" fillId="3" borderId="0" xfId="0" applyFont="1" applyFill="1"/>
    <xf numFmtId="0" fontId="4" fillId="3" borderId="4" xfId="0" applyFont="1" applyFill="1" applyBorder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/>
    <xf numFmtId="165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1" fontId="2" fillId="9" borderId="2" xfId="0" applyNumberFormat="1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0" xfId="0" applyFill="1" applyAlignment="1">
      <alignment horizontal="right"/>
    </xf>
    <xf numFmtId="0" fontId="10" fillId="9" borderId="18" xfId="0" applyFont="1" applyFill="1" applyBorder="1" applyAlignment="1">
      <alignment horizontal="center"/>
    </xf>
    <xf numFmtId="0" fontId="1" fillId="9" borderId="0" xfId="0" applyFont="1" applyFill="1" applyAlignment="1">
      <alignment horizontal="right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$ 200.000.-</a:t>
          </a:r>
          <a:r>
            <a:rPr lang="es-CL" sz="1200" b="1" i="0" baseline="0"/>
            <a:t>  SON PARA INSTALAR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51</xdr:row>
      <xdr:rowOff>190500</xdr:rowOff>
    </xdr:from>
    <xdr:to>
      <xdr:col>7</xdr:col>
      <xdr:colOff>9524</xdr:colOff>
      <xdr:row>53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48</xdr:row>
      <xdr:rowOff>30479</xdr:rowOff>
    </xdr:from>
    <xdr:to>
      <xdr:col>6</xdr:col>
      <xdr:colOff>2912745</xdr:colOff>
      <xdr:row>49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209549</xdr:rowOff>
    </xdr:from>
    <xdr:to>
      <xdr:col>7</xdr:col>
      <xdr:colOff>0</xdr:colOff>
      <xdr:row>48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171450</xdr:rowOff>
    </xdr:from>
    <xdr:to>
      <xdr:col>7</xdr:col>
      <xdr:colOff>19050</xdr:colOff>
      <xdr:row>46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1019175</xdr:colOff>
      <xdr:row>63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447675</xdr:colOff>
      <xdr:row>63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37</xdr:row>
      <xdr:rowOff>15239</xdr:rowOff>
    </xdr:from>
    <xdr:to>
      <xdr:col>6</xdr:col>
      <xdr:colOff>2971800</xdr:colOff>
      <xdr:row>41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INSTALACION LLEVAN CORTE 45° Y TERMINACIONES, RESPALDO LLEVAN LISTON DE AJUSTE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65</xdr:row>
      <xdr:rowOff>32385</xdr:rowOff>
    </xdr:from>
    <xdr:to>
      <xdr:col>7</xdr:col>
      <xdr:colOff>0</xdr:colOff>
      <xdr:row>69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INSTALAR, RESPALDO LLEVAN LISTON DE AJUSTE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45</xdr:row>
      <xdr:rowOff>146685</xdr:rowOff>
    </xdr:from>
    <xdr:to>
      <xdr:col>2</xdr:col>
      <xdr:colOff>786523</xdr:colOff>
      <xdr:row>51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5" zoomScale="98" zoomScaleNormal="98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137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>
        <v>11436</v>
      </c>
      <c r="E8" s="30"/>
      <c r="F8" s="35" t="s">
        <v>24</v>
      </c>
      <c r="G8" s="36">
        <v>4178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117" t="s">
        <v>139</v>
      </c>
      <c r="D10" s="38"/>
      <c r="E10" s="38"/>
      <c r="F10" s="39" t="s">
        <v>25</v>
      </c>
      <c r="G10" s="40">
        <v>45799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2" t="s">
        <v>2</v>
      </c>
      <c r="C11" s="30"/>
      <c r="D11" s="43"/>
      <c r="E11" s="43"/>
      <c r="F11" s="43" t="s">
        <v>119</v>
      </c>
      <c r="G11" s="44">
        <v>45803</v>
      </c>
      <c r="H11" s="45"/>
      <c r="I11" s="30"/>
    </row>
    <row r="12" spans="1:17" ht="18" x14ac:dyDescent="0.35">
      <c r="A12" s="30"/>
      <c r="B12" s="46" t="s">
        <v>125</v>
      </c>
      <c r="C12" s="30"/>
      <c r="D12" s="47"/>
      <c r="E12" s="47"/>
      <c r="F12" s="47" t="s">
        <v>26</v>
      </c>
      <c r="G12" s="48"/>
      <c r="H12" s="49"/>
      <c r="I12" s="30"/>
    </row>
    <row r="13" spans="1:17" ht="18" x14ac:dyDescent="0.35">
      <c r="A13" s="30"/>
      <c r="B13" s="46" t="s">
        <v>126</v>
      </c>
      <c r="C13" s="50"/>
      <c r="D13" s="47"/>
      <c r="E13" s="47"/>
      <c r="F13" s="47" t="s">
        <v>123</v>
      </c>
      <c r="G13" s="48" t="s">
        <v>133</v>
      </c>
      <c r="H13" s="49"/>
      <c r="I13" s="30"/>
    </row>
    <row r="14" spans="1:17" ht="18" x14ac:dyDescent="0.35">
      <c r="A14" s="30"/>
      <c r="B14" s="42" t="s">
        <v>15</v>
      </c>
      <c r="C14" s="132" t="s">
        <v>140</v>
      </c>
      <c r="D14" s="51"/>
      <c r="E14" s="43"/>
      <c r="F14" s="43"/>
      <c r="G14" s="43"/>
      <c r="H14" s="45"/>
      <c r="I14" s="30"/>
    </row>
    <row r="15" spans="1:17" ht="18.600000000000001" x14ac:dyDescent="0.4">
      <c r="A15" s="30"/>
      <c r="B15" s="46" t="s">
        <v>1</v>
      </c>
      <c r="C15" s="116"/>
      <c r="D15" s="47"/>
      <c r="E15" s="47"/>
      <c r="F15" s="52" t="s">
        <v>71</v>
      </c>
      <c r="G15" s="52" t="s">
        <v>128</v>
      </c>
      <c r="H15" s="49"/>
      <c r="I15" s="30"/>
    </row>
    <row r="16" spans="1:17" ht="18.600000000000001" thickBot="1" x14ac:dyDescent="0.4">
      <c r="A16" s="30"/>
      <c r="B16" s="53" t="s">
        <v>3</v>
      </c>
      <c r="C16" s="54" t="s">
        <v>136</v>
      </c>
      <c r="D16" s="55"/>
      <c r="E16" s="56"/>
      <c r="F16" s="118" t="s">
        <v>16</v>
      </c>
      <c r="G16" s="118"/>
      <c r="H16" s="119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0" t="s">
        <v>17</v>
      </c>
      <c r="C19" s="121"/>
      <c r="D19" s="121"/>
      <c r="E19" s="121"/>
      <c r="F19" s="121"/>
      <c r="G19" s="121"/>
      <c r="H19" s="122"/>
      <c r="I19" s="30"/>
    </row>
    <row r="20" spans="1:16" ht="20.100000000000001" customHeight="1" x14ac:dyDescent="0.35">
      <c r="A20" s="30"/>
      <c r="B20" s="57" t="s">
        <v>127</v>
      </c>
      <c r="C20" s="113" t="s">
        <v>18</v>
      </c>
      <c r="D20" s="113" t="s">
        <v>19</v>
      </c>
      <c r="E20" s="113" t="s">
        <v>7</v>
      </c>
      <c r="F20" s="114" t="s">
        <v>20</v>
      </c>
      <c r="G20" s="57" t="s">
        <v>21</v>
      </c>
      <c r="H20" s="114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143</v>
      </c>
      <c r="D21" s="134">
        <v>2600</v>
      </c>
      <c r="E21" s="134">
        <v>600</v>
      </c>
      <c r="F21" s="102" t="s">
        <v>141</v>
      </c>
      <c r="G21" s="112">
        <v>108004</v>
      </c>
      <c r="H21" s="112">
        <f>G21*B21</f>
        <v>108004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144</v>
      </c>
      <c r="D22" s="134">
        <v>1800</v>
      </c>
      <c r="E22" s="134">
        <v>600</v>
      </c>
      <c r="F22" s="102" t="s">
        <v>141</v>
      </c>
      <c r="G22" s="112">
        <v>76660</v>
      </c>
      <c r="H22" s="112">
        <f>G22*B22</f>
        <v>76660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143</v>
      </c>
      <c r="D23" s="134">
        <v>1240</v>
      </c>
      <c r="E23" s="134">
        <v>600</v>
      </c>
      <c r="F23" s="102" t="s">
        <v>141</v>
      </c>
      <c r="G23" s="112">
        <v>54718</v>
      </c>
      <c r="H23" s="112">
        <f t="shared" ref="H23:H25" si="0">G23*B23</f>
        <v>54718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1</v>
      </c>
      <c r="C24" s="102" t="s">
        <v>143</v>
      </c>
      <c r="D24" s="134">
        <v>1020</v>
      </c>
      <c r="E24" s="134">
        <v>600</v>
      </c>
      <c r="F24" s="102" t="s">
        <v>141</v>
      </c>
      <c r="G24" s="112">
        <v>46099</v>
      </c>
      <c r="H24" s="112">
        <f t="shared" si="0"/>
        <v>46099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1</v>
      </c>
      <c r="C25" s="102" t="s">
        <v>142</v>
      </c>
      <c r="D25" s="133"/>
      <c r="E25" s="133"/>
      <c r="F25" s="102"/>
      <c r="G25" s="112">
        <v>115000</v>
      </c>
      <c r="H25" s="112">
        <f t="shared" si="0"/>
        <v>115000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3"/>
      <c r="C26" s="103"/>
      <c r="D26" s="111"/>
      <c r="E26" s="111"/>
      <c r="F26" s="103"/>
      <c r="G26" s="105"/>
      <c r="H26" s="105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3"/>
      <c r="C27" s="103"/>
      <c r="D27" s="111"/>
      <c r="E27" s="111"/>
      <c r="F27" s="103"/>
      <c r="G27" s="60" t="s">
        <v>5</v>
      </c>
      <c r="H27" s="61">
        <v>400000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3"/>
      <c r="C28" s="103"/>
      <c r="D28" s="111"/>
      <c r="E28" s="111"/>
      <c r="F28" s="103"/>
      <c r="G28" s="62" t="s">
        <v>135</v>
      </c>
      <c r="H28" s="63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3"/>
      <c r="C29" s="103"/>
      <c r="D29" s="111"/>
      <c r="E29" s="111"/>
      <c r="F29" s="103"/>
      <c r="G29" s="64" t="s">
        <v>4</v>
      </c>
      <c r="H29" s="65">
        <f>H27+H28</f>
        <v>400000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3"/>
      <c r="C30" s="103"/>
      <c r="D30" s="111"/>
      <c r="E30" s="111"/>
      <c r="F30" s="103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3"/>
      <c r="C31" s="103"/>
      <c r="D31" s="111"/>
      <c r="E31" s="111"/>
      <c r="F31" s="103"/>
      <c r="G31" s="105"/>
      <c r="H31" s="105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3"/>
      <c r="C32" s="103"/>
      <c r="D32" s="111"/>
      <c r="E32" s="111"/>
      <c r="F32" s="103"/>
      <c r="G32" s="105"/>
      <c r="H32" s="105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3"/>
      <c r="C33" s="103"/>
      <c r="D33" s="104"/>
      <c r="E33" s="104"/>
      <c r="F33" s="103"/>
      <c r="G33" s="105"/>
      <c r="H33" s="105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/>
      <c r="C34" s="103"/>
      <c r="D34" s="104"/>
      <c r="E34" s="104"/>
      <c r="F34" s="103"/>
      <c r="G34" s="105"/>
      <c r="H34" s="105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9"/>
      <c r="C35" s="59"/>
      <c r="D35" s="59"/>
      <c r="E35" s="59"/>
      <c r="F35" s="59"/>
      <c r="G35" s="58"/>
      <c r="H35" s="58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6"/>
      <c r="H39" s="67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8" t="s">
        <v>132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68" t="s">
        <v>118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30" t="s">
        <v>22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1" t="s">
        <v>23</v>
      </c>
      <c r="C44" s="71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16" ht="18" x14ac:dyDescent="0.35">
      <c r="A46" s="30"/>
      <c r="B46" s="31" t="s">
        <v>130</v>
      </c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 t="s">
        <v>131</v>
      </c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27</v>
      </c>
      <c r="C2" s="123"/>
      <c r="D2" s="123"/>
      <c r="E2" s="12"/>
      <c r="G2" s="123" t="s">
        <v>66</v>
      </c>
      <c r="H2" s="123"/>
      <c r="I2" s="123"/>
      <c r="P2" s="124" t="s">
        <v>54</v>
      </c>
      <c r="Q2" s="124"/>
      <c r="R2" s="124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4" t="s">
        <v>54</v>
      </c>
      <c r="M8" s="124"/>
      <c r="N8" s="124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3"/>
  <sheetViews>
    <sheetView tabSelected="1" topLeftCell="A34" zoomScaleNormal="100" workbookViewId="0">
      <selection activeCell="A44" sqref="A44:G7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5" t="s">
        <v>57</v>
      </c>
      <c r="M3" s="125"/>
      <c r="N3" s="125" t="s">
        <v>13</v>
      </c>
      <c r="O3" s="125"/>
    </row>
    <row r="4" spans="1:15" ht="15.75" customHeight="1" x14ac:dyDescent="0.35">
      <c r="B4" s="30"/>
      <c r="C4" s="30"/>
      <c r="D4" s="74" t="s">
        <v>24</v>
      </c>
      <c r="E4" s="75">
        <f>'4637'!G8</f>
        <v>4178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63</v>
      </c>
      <c r="E5" s="77" t="str">
        <f>'4637'!C10</f>
        <v>MANUEL NUÑEZ</v>
      </c>
      <c r="F5" s="47"/>
      <c r="G5" s="47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45803</v>
      </c>
      <c r="F7" s="30"/>
      <c r="G7" s="30" t="s">
        <v>134</v>
      </c>
      <c r="H7" s="30"/>
    </row>
    <row r="8" spans="1:15" ht="18" x14ac:dyDescent="0.35">
      <c r="B8" s="30"/>
      <c r="C8" s="30"/>
      <c r="D8" s="90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6" t="s">
        <v>57</v>
      </c>
      <c r="C10" s="126"/>
      <c r="D10" s="126"/>
      <c r="E10" s="126"/>
      <c r="F10" s="126"/>
      <c r="G10" s="126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106</v>
      </c>
      <c r="H13" s="30"/>
      <c r="K13" s="5" t="s">
        <v>6</v>
      </c>
      <c r="L13" s="5" t="s">
        <v>7</v>
      </c>
    </row>
    <row r="14" spans="1:15" ht="18" x14ac:dyDescent="0.35">
      <c r="A14" s="109">
        <v>1</v>
      </c>
      <c r="B14" s="101" t="s">
        <v>138</v>
      </c>
      <c r="C14" s="94">
        <f>J14</f>
        <v>1</v>
      </c>
      <c r="D14" s="94"/>
      <c r="E14" s="94">
        <f>K14+E$13</f>
        <v>2680</v>
      </c>
      <c r="F14" s="94">
        <f>L14+F$13</f>
        <v>570</v>
      </c>
      <c r="G14" s="94" t="str">
        <f>D32</f>
        <v>CUB C/R R8</v>
      </c>
      <c r="H14" s="30"/>
      <c r="J14" s="3">
        <f>J24</f>
        <v>1</v>
      </c>
      <c r="K14" s="4">
        <f t="shared" ref="K14:L14" si="0">E32</f>
        <v>2600</v>
      </c>
      <c r="L14" s="4">
        <f t="shared" si="0"/>
        <v>600</v>
      </c>
    </row>
    <row r="15" spans="1:15" ht="18" x14ac:dyDescent="0.35">
      <c r="A15" s="109"/>
      <c r="B15" s="101"/>
      <c r="C15" s="94">
        <f t="shared" ref="C15:C16" si="1">J15</f>
        <v>1</v>
      </c>
      <c r="D15" s="94"/>
      <c r="E15" s="94">
        <f t="shared" ref="E15:E16" si="2">K15+E$13</f>
        <v>1880</v>
      </c>
      <c r="F15" s="94">
        <f>L15</f>
        <v>600</v>
      </c>
      <c r="G15" s="94" t="str">
        <f t="shared" ref="G15:G16" si="3">D33</f>
        <v>CUB MESA R8 2 LADOS</v>
      </c>
      <c r="H15" s="30"/>
      <c r="J15" s="3">
        <f t="shared" ref="J15:J16" si="4">J25</f>
        <v>1</v>
      </c>
      <c r="K15" s="4">
        <f t="shared" ref="K15:K16" si="5">E33</f>
        <v>1800</v>
      </c>
      <c r="L15" s="4">
        <f t="shared" ref="L15:L16" si="6">F33</f>
        <v>600</v>
      </c>
    </row>
    <row r="16" spans="1:15" ht="18" x14ac:dyDescent="0.35">
      <c r="A16" s="109"/>
      <c r="B16" s="101"/>
      <c r="C16" s="94">
        <f t="shared" si="1"/>
        <v>1</v>
      </c>
      <c r="D16" s="94"/>
      <c r="E16" s="94">
        <f t="shared" si="2"/>
        <v>1320</v>
      </c>
      <c r="F16" s="94">
        <f t="shared" ref="F15:F16" si="7">L16+F$13</f>
        <v>570</v>
      </c>
      <c r="G16" s="94" t="str">
        <f t="shared" si="3"/>
        <v>CUB C/R R8</v>
      </c>
      <c r="H16" s="30"/>
      <c r="J16" s="3">
        <f t="shared" si="4"/>
        <v>1</v>
      </c>
      <c r="K16" s="4">
        <f t="shared" si="5"/>
        <v>1240</v>
      </c>
      <c r="L16" s="4">
        <f t="shared" si="6"/>
        <v>600</v>
      </c>
    </row>
    <row r="17" spans="1:12" ht="18" x14ac:dyDescent="0.35">
      <c r="A17" s="109"/>
      <c r="B17" s="101"/>
      <c r="C17" s="135"/>
      <c r="D17" s="135"/>
      <c r="E17" s="135"/>
      <c r="F17" s="135"/>
      <c r="G17" s="135"/>
      <c r="H17" s="30"/>
      <c r="J17" s="143"/>
      <c r="K17" s="136"/>
      <c r="L17" s="136"/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6" t="s">
        <v>13</v>
      </c>
      <c r="C20" s="126"/>
      <c r="D20" s="126"/>
      <c r="E20" s="126"/>
      <c r="F20" s="126"/>
      <c r="G20" s="126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130</v>
      </c>
      <c r="G23" s="82" t="s">
        <v>106</v>
      </c>
      <c r="H23" s="30"/>
      <c r="K23" s="5" t="s">
        <v>6</v>
      </c>
      <c r="L23" s="5" t="s">
        <v>7</v>
      </c>
    </row>
    <row r="24" spans="1:12" ht="18" x14ac:dyDescent="0.35">
      <c r="A24" s="109">
        <v>1</v>
      </c>
      <c r="B24" s="101"/>
      <c r="C24" s="96">
        <f t="shared" ref="C24" si="8">J24</f>
        <v>1</v>
      </c>
      <c r="D24" s="96"/>
      <c r="E24" s="96">
        <f>K24+E$23</f>
        <v>2640</v>
      </c>
      <c r="F24" s="96">
        <f>L24+F$23</f>
        <v>730</v>
      </c>
      <c r="G24" s="96" t="str">
        <f>D32</f>
        <v>CUB C/R R8</v>
      </c>
      <c r="H24" s="30"/>
      <c r="J24" s="3">
        <f>C32</f>
        <v>1</v>
      </c>
      <c r="K24" s="106">
        <f>E32</f>
        <v>2600</v>
      </c>
      <c r="L24" s="106">
        <f>F32</f>
        <v>600</v>
      </c>
    </row>
    <row r="25" spans="1:12" ht="18" x14ac:dyDescent="0.35">
      <c r="A25" s="109"/>
      <c r="B25" s="101"/>
      <c r="C25" s="96">
        <f t="shared" ref="C25:C26" si="9">J25</f>
        <v>1</v>
      </c>
      <c r="D25" s="96"/>
      <c r="E25" s="96">
        <f t="shared" ref="E25:E26" si="10">K25+E$23</f>
        <v>1840</v>
      </c>
      <c r="F25" s="96">
        <f t="shared" ref="F25:F26" si="11">L25+F$23</f>
        <v>730</v>
      </c>
      <c r="G25" s="96" t="str">
        <f t="shared" ref="G25:G26" si="12">D33</f>
        <v>CUB MESA R8 2 LADOS</v>
      </c>
      <c r="H25" s="30"/>
      <c r="J25" s="3">
        <f t="shared" ref="J25:J26" si="13">C33</f>
        <v>1</v>
      </c>
      <c r="K25" s="106">
        <f t="shared" ref="K25:L25" si="14">E33</f>
        <v>1800</v>
      </c>
      <c r="L25" s="106">
        <f t="shared" si="14"/>
        <v>600</v>
      </c>
    </row>
    <row r="26" spans="1:12" ht="18" x14ac:dyDescent="0.35">
      <c r="A26" s="109"/>
      <c r="B26" s="101"/>
      <c r="C26" s="96">
        <f t="shared" si="9"/>
        <v>1</v>
      </c>
      <c r="D26" s="96"/>
      <c r="E26" s="96">
        <f t="shared" si="10"/>
        <v>1280</v>
      </c>
      <c r="F26" s="96">
        <f t="shared" si="11"/>
        <v>730</v>
      </c>
      <c r="G26" s="96" t="str">
        <f t="shared" si="12"/>
        <v>CUB C/R R8</v>
      </c>
      <c r="H26" s="30"/>
      <c r="J26" s="3">
        <f t="shared" si="13"/>
        <v>1</v>
      </c>
      <c r="K26" s="106">
        <f t="shared" ref="K26:L26" si="15">E34</f>
        <v>1240</v>
      </c>
      <c r="L26" s="106">
        <f t="shared" si="15"/>
        <v>600</v>
      </c>
    </row>
    <row r="27" spans="1:12" ht="18" x14ac:dyDescent="0.35">
      <c r="A27" s="109"/>
      <c r="B27" s="101"/>
      <c r="C27" s="135"/>
      <c r="D27" s="135"/>
      <c r="E27" s="135"/>
      <c r="F27" s="135"/>
      <c r="G27" s="135"/>
      <c r="H27" s="30"/>
      <c r="J27" s="143"/>
      <c r="K27" s="144"/>
      <c r="L27" s="144"/>
    </row>
    <row r="28" spans="1:12" ht="18.600000000000001" thickBot="1" x14ac:dyDescent="0.4">
      <c r="A28" s="2"/>
      <c r="B28" s="83"/>
      <c r="C28" s="73"/>
      <c r="D28" s="73"/>
      <c r="E28" s="73"/>
      <c r="F28" s="73"/>
      <c r="G28" s="73"/>
      <c r="H28" s="30"/>
      <c r="I28" s="107"/>
      <c r="J28" s="108"/>
      <c r="K28" s="108"/>
      <c r="L28" s="108"/>
    </row>
    <row r="29" spans="1:12" ht="18.600000000000001" thickBot="1" x14ac:dyDescent="0.4">
      <c r="A29" s="2"/>
      <c r="B29" s="66"/>
      <c r="C29" s="97" t="s">
        <v>103</v>
      </c>
      <c r="D29" s="33"/>
      <c r="E29" s="33"/>
      <c r="F29" s="33"/>
      <c r="G29" s="98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6" t="s">
        <v>8</v>
      </c>
      <c r="C31" s="99" t="s">
        <v>9</v>
      </c>
      <c r="D31" s="99" t="s">
        <v>106</v>
      </c>
      <c r="E31" s="99" t="s">
        <v>6</v>
      </c>
      <c r="F31" s="99" t="s">
        <v>7</v>
      </c>
      <c r="G31" s="99" t="s">
        <v>20</v>
      </c>
      <c r="H31" s="30"/>
    </row>
    <row r="32" spans="1:12" ht="18" x14ac:dyDescent="0.35">
      <c r="A32" s="109">
        <v>1</v>
      </c>
      <c r="B32" s="101" t="s">
        <v>138</v>
      </c>
      <c r="C32" s="94">
        <f>C57</f>
        <v>1</v>
      </c>
      <c r="D32" s="94" t="str">
        <f>D57</f>
        <v>CUB C/R R8</v>
      </c>
      <c r="E32" s="115">
        <f>E57</f>
        <v>2600</v>
      </c>
      <c r="F32" s="115">
        <f>F57</f>
        <v>600</v>
      </c>
      <c r="G32" s="4" t="str">
        <f>G57</f>
        <v>FLORENTINO NEGRO 0513 BR</v>
      </c>
      <c r="H32" s="30"/>
      <c r="I32" s="28">
        <f>E32*F32/1000000</f>
        <v>1.56</v>
      </c>
      <c r="J32" s="28">
        <f>I32*C32</f>
        <v>1.56</v>
      </c>
    </row>
    <row r="33" spans="1:10" ht="18" x14ac:dyDescent="0.35">
      <c r="A33" s="109"/>
      <c r="B33" s="101"/>
      <c r="C33" s="94">
        <f>'4637'!B22</f>
        <v>1</v>
      </c>
      <c r="D33" s="94" t="str">
        <f>'4637'!C22</f>
        <v>CUB MESA R8 2 LADOS</v>
      </c>
      <c r="E33" s="115">
        <f>'4637'!D22</f>
        <v>1800</v>
      </c>
      <c r="F33" s="115">
        <f>'4637'!E22</f>
        <v>600</v>
      </c>
      <c r="G33" s="4" t="str">
        <f>'4637'!F22</f>
        <v>FLORENTINO NEGRO 0513 BR</v>
      </c>
      <c r="H33" s="30"/>
      <c r="I33" s="28"/>
      <c r="J33" s="28"/>
    </row>
    <row r="34" spans="1:10" ht="18" x14ac:dyDescent="0.35">
      <c r="A34" s="109"/>
      <c r="B34" s="101"/>
      <c r="C34" s="94">
        <f>'4637'!B23</f>
        <v>1</v>
      </c>
      <c r="D34" s="94" t="str">
        <f>'4637'!C23</f>
        <v>CUB C/R R8</v>
      </c>
      <c r="E34" s="115">
        <f>'4637'!D23</f>
        <v>1240</v>
      </c>
      <c r="F34" s="115">
        <f>'4637'!E23</f>
        <v>600</v>
      </c>
      <c r="G34" s="4" t="str">
        <f>'4637'!F23</f>
        <v>FLORENTINO NEGRO 0513 BR</v>
      </c>
      <c r="H34" s="30"/>
      <c r="I34" s="28"/>
      <c r="J34" s="28"/>
    </row>
    <row r="35" spans="1:10" ht="18" x14ac:dyDescent="0.35">
      <c r="A35" s="109"/>
      <c r="B35" s="140" t="s">
        <v>145</v>
      </c>
      <c r="C35" s="137">
        <f>'4637'!B24</f>
        <v>1</v>
      </c>
      <c r="D35" s="137" t="str">
        <f>'4637'!C24</f>
        <v>CUB C/R R8</v>
      </c>
      <c r="E35" s="138">
        <f>'4637'!D24</f>
        <v>1020</v>
      </c>
      <c r="F35" s="138">
        <f>'4637'!E24</f>
        <v>600</v>
      </c>
      <c r="G35" s="139" t="str">
        <f>'4637'!F24</f>
        <v>FLORENTINO NEGRO 0513 BR</v>
      </c>
      <c r="H35" s="30"/>
      <c r="I35" s="28"/>
      <c r="J35" s="28"/>
    </row>
    <row r="36" spans="1:10" ht="18" x14ac:dyDescent="0.35">
      <c r="A36" s="2"/>
      <c r="B36" s="83"/>
      <c r="C36" s="94">
        <f>'4637'!B25</f>
        <v>1</v>
      </c>
      <c r="D36" s="94" t="str">
        <f>'4637'!C25</f>
        <v>INSTALACION</v>
      </c>
      <c r="E36" s="115"/>
      <c r="F36" s="115"/>
      <c r="G36" s="4"/>
      <c r="H36" s="30"/>
      <c r="I36" s="28"/>
      <c r="J36" s="28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  <c r="J38" s="28">
        <f>SUM(J32:J32)*2</f>
        <v>3.12</v>
      </c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30"/>
      <c r="D46" s="30"/>
      <c r="E46" s="30"/>
      <c r="F46" s="30"/>
      <c r="G46" s="30"/>
      <c r="H46" s="30"/>
    </row>
    <row r="47" spans="1:10" ht="18" x14ac:dyDescent="0.35">
      <c r="A47" s="2"/>
      <c r="B47" s="30"/>
      <c r="C47" s="30"/>
      <c r="D47" s="74" t="s">
        <v>24</v>
      </c>
      <c r="E47" s="75">
        <f>'4637'!G8</f>
        <v>4178</v>
      </c>
      <c r="F47" s="30"/>
      <c r="G47" s="30"/>
      <c r="H47" s="30"/>
    </row>
    <row r="48" spans="1:10" ht="17.25" customHeight="1" x14ac:dyDescent="0.35">
      <c r="A48" s="2"/>
      <c r="B48" s="30"/>
      <c r="C48" s="30"/>
      <c r="D48" s="76" t="s">
        <v>63</v>
      </c>
      <c r="E48" s="77" t="str">
        <f>'4637'!C10</f>
        <v>MANUEL NUÑEZ</v>
      </c>
      <c r="F48" s="47"/>
      <c r="G48" s="47"/>
      <c r="H48" s="30"/>
    </row>
    <row r="49" spans="1:13" ht="4.5" customHeight="1" x14ac:dyDescent="0.35">
      <c r="A49" s="2"/>
      <c r="B49" s="30"/>
      <c r="C49" s="30"/>
      <c r="D49" s="78"/>
      <c r="E49" s="79"/>
      <c r="F49" s="30"/>
      <c r="G49" s="30"/>
      <c r="H49" s="30"/>
    </row>
    <row r="50" spans="1:13" ht="18" x14ac:dyDescent="0.35">
      <c r="A50" s="2"/>
      <c r="B50" s="30"/>
      <c r="C50" s="30"/>
      <c r="D50" s="80" t="str">
        <f>'4637'!F11</f>
        <v>FECHA LIMITE :</v>
      </c>
      <c r="E50" s="81">
        <f>'4637'!G11</f>
        <v>45803</v>
      </c>
      <c r="F50" s="30"/>
      <c r="G50" s="30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 t="s">
        <v>134</v>
      </c>
      <c r="H51" s="30"/>
    </row>
    <row r="52" spans="1:13" ht="18" x14ac:dyDescent="0.35">
      <c r="A52" s="2"/>
      <c r="B52" s="30"/>
      <c r="C52" s="30"/>
      <c r="D52" s="30"/>
      <c r="E52" s="30"/>
      <c r="F52" s="30"/>
      <c r="G52" s="30"/>
      <c r="H52" s="30"/>
    </row>
    <row r="53" spans="1:13" ht="18" x14ac:dyDescent="0.35">
      <c r="A53" s="2"/>
      <c r="B53" s="127" t="s">
        <v>64</v>
      </c>
      <c r="C53" s="127"/>
      <c r="D53" s="127"/>
      <c r="E53" s="127"/>
      <c r="F53" s="127"/>
      <c r="G53" s="127"/>
      <c r="H53" s="30"/>
    </row>
    <row r="54" spans="1:13" ht="18" x14ac:dyDescent="0.35">
      <c r="A54" s="2"/>
      <c r="B54" s="30"/>
      <c r="C54" s="30"/>
      <c r="D54" s="30"/>
      <c r="E54" s="30"/>
      <c r="F54" s="30"/>
      <c r="G54" s="30"/>
      <c r="H54" s="30"/>
    </row>
    <row r="55" spans="1:13" ht="20.100000000000001" customHeight="1" x14ac:dyDescent="0.35">
      <c r="A55" s="2"/>
      <c r="B55" s="30"/>
      <c r="C55" s="128" t="s">
        <v>65</v>
      </c>
      <c r="D55" s="129"/>
      <c r="E55" s="130"/>
      <c r="F55" s="130"/>
      <c r="G55" s="131"/>
      <c r="H55" s="30"/>
      <c r="I55" s="25" t="s">
        <v>129</v>
      </c>
    </row>
    <row r="56" spans="1:13" s="10" customFormat="1" ht="20.100000000000001" customHeight="1" x14ac:dyDescent="0.35">
      <c r="A56" s="110"/>
      <c r="B56" s="30"/>
      <c r="C56" s="84" t="s">
        <v>9</v>
      </c>
      <c r="D56" s="85" t="s">
        <v>10</v>
      </c>
      <c r="E56" s="88" t="s">
        <v>6</v>
      </c>
      <c r="F56" s="88" t="s">
        <v>7</v>
      </c>
      <c r="G56" s="86" t="s">
        <v>11</v>
      </c>
      <c r="H56" s="30"/>
      <c r="K56" s="10">
        <v>15000</v>
      </c>
    </row>
    <row r="57" spans="1:13" s="10" customFormat="1" ht="20.100000000000001" customHeight="1" x14ac:dyDescent="0.35">
      <c r="A57" s="109">
        <v>1</v>
      </c>
      <c r="B57" s="100" t="s">
        <v>138</v>
      </c>
      <c r="C57" s="96">
        <f>'4637'!B21</f>
        <v>1</v>
      </c>
      <c r="D57" s="4" t="str">
        <f>'4637'!C21</f>
        <v>CUB C/R R8</v>
      </c>
      <c r="E57" s="115">
        <f>'4637'!D21</f>
        <v>2600</v>
      </c>
      <c r="F57" s="115">
        <f>'4637'!E21</f>
        <v>600</v>
      </c>
      <c r="G57" s="4" t="str">
        <f>'4637'!F21</f>
        <v>FLORENTINO NEGRO 0513 BR</v>
      </c>
      <c r="H57" s="30"/>
      <c r="I57" s="10">
        <f>E57*F57/1000000</f>
        <v>1.56</v>
      </c>
      <c r="J57" s="10">
        <f>I57*C57</f>
        <v>1.56</v>
      </c>
      <c r="K57" s="26">
        <f>J57*K$56</f>
        <v>23400</v>
      </c>
      <c r="M57" s="24">
        <v>12096</v>
      </c>
    </row>
    <row r="58" spans="1:13" s="10" customFormat="1" ht="20.100000000000001" customHeight="1" x14ac:dyDescent="0.35">
      <c r="A58" s="109"/>
      <c r="B58" s="100"/>
      <c r="C58" s="96">
        <f>'4637'!B22</f>
        <v>1</v>
      </c>
      <c r="D58" s="4" t="str">
        <f>'4637'!C22</f>
        <v>CUB MESA R8 2 LADOS</v>
      </c>
      <c r="E58" s="115">
        <f>'4637'!D22</f>
        <v>1800</v>
      </c>
      <c r="F58" s="115">
        <f>'4637'!E22</f>
        <v>600</v>
      </c>
      <c r="G58" s="4" t="str">
        <f>'4637'!F22</f>
        <v>FLORENTINO NEGRO 0513 BR</v>
      </c>
      <c r="H58" s="30"/>
      <c r="K58" s="26"/>
      <c r="M58" s="29"/>
    </row>
    <row r="59" spans="1:13" s="10" customFormat="1" ht="20.100000000000001" customHeight="1" x14ac:dyDescent="0.35">
      <c r="A59" s="109"/>
      <c r="B59" s="100"/>
      <c r="C59" s="96">
        <f>'4637'!B23</f>
        <v>1</v>
      </c>
      <c r="D59" s="4" t="str">
        <f>'4637'!C23</f>
        <v>CUB C/R R8</v>
      </c>
      <c r="E59" s="115">
        <f>'4637'!D23</f>
        <v>1240</v>
      </c>
      <c r="F59" s="115">
        <f>'4637'!E23</f>
        <v>600</v>
      </c>
      <c r="G59" s="4" t="str">
        <f>'4637'!F23</f>
        <v>FLORENTINO NEGRO 0513 BR</v>
      </c>
      <c r="H59" s="30"/>
      <c r="K59" s="26"/>
      <c r="M59" s="29"/>
    </row>
    <row r="60" spans="1:13" s="10" customFormat="1" ht="20.100000000000001" customHeight="1" x14ac:dyDescent="0.35">
      <c r="A60" s="109"/>
      <c r="B60" s="142" t="s">
        <v>145</v>
      </c>
      <c r="C60" s="141">
        <f>'4637'!B24</f>
        <v>1</v>
      </c>
      <c r="D60" s="139" t="str">
        <f>'4637'!C24</f>
        <v>CUB C/R R8</v>
      </c>
      <c r="E60" s="138">
        <f>'4637'!D24</f>
        <v>1020</v>
      </c>
      <c r="F60" s="138">
        <f>'4637'!E24</f>
        <v>600</v>
      </c>
      <c r="G60" s="139" t="str">
        <f>'4637'!F24</f>
        <v>FLORENTINO NEGRO 0513 BR</v>
      </c>
      <c r="H60" s="30"/>
      <c r="K60" s="26"/>
      <c r="M60" s="29"/>
    </row>
    <row r="61" spans="1:13" s="10" customFormat="1" ht="20.100000000000001" customHeight="1" x14ac:dyDescent="0.35">
      <c r="A61" s="109"/>
      <c r="B61" s="100"/>
      <c r="C61" s="96">
        <f>'4637'!B25</f>
        <v>1</v>
      </c>
      <c r="D61" s="4" t="str">
        <f>'4637'!C25</f>
        <v>INSTALACION</v>
      </c>
      <c r="E61" s="115">
        <f>'4637'!D25</f>
        <v>0</v>
      </c>
      <c r="F61" s="115">
        <f>'4637'!E25</f>
        <v>0</v>
      </c>
      <c r="G61" s="4">
        <f>'4637'!F25</f>
        <v>0</v>
      </c>
      <c r="H61" s="30"/>
      <c r="K61" s="26"/>
      <c r="M61" s="29"/>
    </row>
    <row r="62" spans="1:13" s="10" customFormat="1" ht="15" customHeight="1" x14ac:dyDescent="0.35">
      <c r="B62" s="83"/>
      <c r="C62" s="66"/>
      <c r="D62" s="66"/>
      <c r="E62" s="66"/>
      <c r="F62" s="66"/>
      <c r="G62" s="66"/>
      <c r="H62" s="30"/>
    </row>
    <row r="63" spans="1:13" ht="18" x14ac:dyDescent="0.35">
      <c r="B63" s="73"/>
      <c r="C63" s="73"/>
      <c r="D63" s="30"/>
      <c r="E63" s="73"/>
      <c r="F63" s="73"/>
      <c r="G63" s="78"/>
      <c r="H63" s="30"/>
    </row>
    <row r="64" spans="1:13" ht="18" x14ac:dyDescent="0.35">
      <c r="B64" s="73"/>
      <c r="C64" s="73"/>
      <c r="D64" s="30"/>
      <c r="E64" s="73"/>
      <c r="F64" s="73"/>
      <c r="G64" s="73"/>
      <c r="H64" s="30"/>
      <c r="J64" s="10">
        <f>SUM(J57:J57)</f>
        <v>1.56</v>
      </c>
      <c r="K64" s="27">
        <f>SUM(K57:K57)</f>
        <v>23400</v>
      </c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5" customHeight="1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ht="18" x14ac:dyDescent="0.35">
      <c r="B70" s="73"/>
      <c r="C70" s="87"/>
      <c r="D70" s="30"/>
      <c r="E70" s="30"/>
      <c r="F70" s="30"/>
      <c r="G70" s="30"/>
      <c r="H70" s="30"/>
    </row>
    <row r="71" spans="2:8" ht="18" x14ac:dyDescent="0.35">
      <c r="B71" s="30"/>
      <c r="C71" s="30"/>
      <c r="D71" s="30"/>
      <c r="E71" s="30"/>
      <c r="F71" s="30"/>
      <c r="G71" s="30"/>
      <c r="H71" s="30"/>
    </row>
    <row r="72" spans="2:8" x14ac:dyDescent="0.3">
      <c r="C72" s="14"/>
      <c r="D72" s="14"/>
      <c r="F72" s="14"/>
      <c r="G72" s="14"/>
    </row>
    <row r="73" spans="2:8" x14ac:dyDescent="0.3">
      <c r="C73" s="14"/>
      <c r="D73" s="14"/>
      <c r="F73" s="14"/>
      <c r="G73" s="14"/>
    </row>
  </sheetData>
  <mergeCells count="6">
    <mergeCell ref="N3:O3"/>
    <mergeCell ref="B20:G20"/>
    <mergeCell ref="B10:G10"/>
    <mergeCell ref="B53:G53"/>
    <mergeCell ref="C55:G5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2025-05-22T22:03:27Z</cp:lastPrinted>
  <dcterms:created xsi:type="dcterms:W3CDTF">2013-03-19T12:54:14Z</dcterms:created>
  <dcterms:modified xsi:type="dcterms:W3CDTF">2025-05-22T22:04:02Z</dcterms:modified>
</cp:coreProperties>
</file>