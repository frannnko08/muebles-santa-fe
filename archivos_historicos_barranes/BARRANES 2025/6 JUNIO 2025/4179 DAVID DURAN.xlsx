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6 JUNIO 2025\"/>
    </mc:Choice>
  </mc:AlternateContent>
  <xr:revisionPtr revIDLastSave="0" documentId="13_ncr:1_{BA41EEE3-9F62-47F3-B2C7-4C2B263192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5" i="3"/>
  <c r="H27" i="4"/>
  <c r="H25" i="4"/>
  <c r="H23" i="4"/>
  <c r="H22" i="4"/>
  <c r="H21" i="4"/>
  <c r="C56" i="3"/>
  <c r="D56" i="3"/>
  <c r="E56" i="3"/>
  <c r="F56" i="3"/>
  <c r="G56" i="3"/>
  <c r="C57" i="3"/>
  <c r="D57" i="3"/>
  <c r="E57" i="3"/>
  <c r="F57" i="3"/>
  <c r="G57" i="3"/>
  <c r="G34" i="3"/>
  <c r="G33" i="3"/>
  <c r="F34" i="3"/>
  <c r="L26" i="3" s="1"/>
  <c r="F33" i="3"/>
  <c r="L25" i="3" s="1"/>
  <c r="F25" i="3" s="1"/>
  <c r="E34" i="3"/>
  <c r="K26" i="3" s="1"/>
  <c r="E26" i="3" s="1"/>
  <c r="E33" i="3"/>
  <c r="K25" i="3" s="1"/>
  <c r="E25" i="3" s="1"/>
  <c r="D34" i="3"/>
  <c r="G26" i="3" s="1"/>
  <c r="D33" i="3"/>
  <c r="G25" i="3" s="1"/>
  <c r="C34" i="3"/>
  <c r="J26" i="3" s="1"/>
  <c r="C26" i="3" s="1"/>
  <c r="C33" i="3"/>
  <c r="J25" i="3" s="1"/>
  <c r="C25" i="3" s="1"/>
  <c r="G55" i="3"/>
  <c r="G32" i="3" s="1"/>
  <c r="F55" i="3"/>
  <c r="F32" i="3" s="1"/>
  <c r="L14" i="3" s="1"/>
  <c r="E55" i="3"/>
  <c r="E32" i="3" s="1"/>
  <c r="K14" i="3" s="1"/>
  <c r="C55" i="3"/>
  <c r="D55" i="3"/>
  <c r="D32" i="3" s="1"/>
  <c r="L15" i="3" l="1"/>
  <c r="K15" i="3"/>
  <c r="E15" i="3" s="1"/>
  <c r="K16" i="3"/>
  <c r="E16" i="3" s="1"/>
  <c r="J15" i="3"/>
  <c r="C15" i="3" s="1"/>
  <c r="L16" i="3"/>
  <c r="J16" i="3"/>
  <c r="C16" i="3" s="1"/>
  <c r="G16" i="3"/>
  <c r="G15" i="3"/>
  <c r="C32" i="3"/>
  <c r="L21" i="4" l="1"/>
  <c r="K21" i="4"/>
  <c r="M21" i="4" l="1"/>
  <c r="N21" i="4" s="1"/>
  <c r="G24" i="3" l="1"/>
  <c r="L24" i="3"/>
  <c r="F24" i="3" s="1"/>
  <c r="J24" i="3" l="1"/>
  <c r="I32" i="3"/>
  <c r="J32" i="3" s="1"/>
  <c r="K24" i="3"/>
  <c r="E24" i="3" s="1"/>
  <c r="I55" i="3"/>
  <c r="J55" i="3" s="1"/>
  <c r="E14" i="3"/>
  <c r="G14" i="3"/>
  <c r="F14" i="3"/>
  <c r="C24" i="3" l="1"/>
  <c r="J14" i="3"/>
  <c r="C14" i="3" s="1"/>
  <c r="J36" i="3"/>
  <c r="K55" i="3"/>
  <c r="J60" i="3"/>
  <c r="O5" i="3"/>
  <c r="K60" i="3" l="1"/>
  <c r="N5" i="3"/>
  <c r="M5" i="3"/>
  <c r="L5" i="3"/>
  <c r="D48" i="3" l="1"/>
  <c r="D7" i="3"/>
  <c r="E46" i="3"/>
  <c r="E5" i="3"/>
  <c r="E48" i="3"/>
  <c r="E7" i="3"/>
  <c r="E45" i="3"/>
  <c r="E4" i="3"/>
</calcChain>
</file>

<file path=xl/sharedStrings.xml><?xml version="1.0" encoding="utf-8"?>
<sst xmlns="http://schemas.openxmlformats.org/spreadsheetml/2006/main" count="251" uniqueCount="143">
  <si>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</si>
  <si>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</si>
  <si>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</si>
  <si>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</si>
  <si>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</si>
  <si>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</si>
  <si>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</si>
  <si>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</si>
  <si>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</si>
  <si>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</si>
  <si>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</si>
  <si>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</si>
  <si>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</si>
  <si>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</si>
  <si>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</si>
  <si>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</si>
  <si>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</si>
  <si>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</si>
  <si>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</si>
  <si>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</si>
  <si>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</si>
  <si>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</si>
  <si>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</si>
  <si>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</si>
  <si>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</si>
  <si>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</si>
  <si>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</si>
  <si>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</si>
  <si>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</si>
  <si>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</si>
  <si>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</si>
  <si>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</si>
  <si>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</si>
  <si>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</si>
  <si>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</si>
  <si>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</si>
  <si>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</si>
  <si>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</si>
  <si>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</si>
  <si>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</si>
  <si>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</si>
  <si>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</si>
  <si>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</si>
  <si>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</si>
  <si>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</si>
  <si>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</si>
  <si>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</si>
  <si>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</si>
  <si>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</si>
  <si>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</si>
  <si>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</si>
  <si>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</si>
  <si>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</si>
  <si>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</si>
  <si>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</si>
  <si>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</si>
  <si>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</si>
  <si>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</si>
  <si>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</si>
  <si>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</si>
  <si>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</si>
  <si>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</si>
  <si>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</si>
  <si>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</si>
  <si>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</si>
  <si>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</si>
  <si>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</si>
  <si>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</si>
  <si>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</si>
  <si>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</si>
  <si>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</si>
  <si>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</si>
  <si>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</si>
  <si>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</si>
  <si>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</si>
  <si>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</si>
  <si>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</si>
  <si>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</si>
  <si>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</si>
  <si>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</si>
  <si>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</si>
  <si>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</si>
  <si>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</si>
  <si>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</si>
  <si>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</si>
  <si>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</si>
  <si>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</si>
  <si>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</si>
  <si>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</si>
  <si>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</si>
  <si>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</si>
  <si>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</si>
  <si>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</si>
  <si>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</si>
  <si>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</si>
  <si>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</si>
  <si>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</si>
  <si>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</si>
  <si>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</si>
  <si>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</si>
  <si>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</si>
  <si>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</si>
  <si>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</si>
  <si>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</si>
  <si>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</si>
  <si>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</si>
  <si>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</si>
  <si>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</si>
  <si>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</si>
  <si>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</si>
  <si>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</si>
  <si>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</si>
  <si>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</si>
  <si>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</si>
  <si>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</si>
  <si>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</si>
  <si>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</si>
  <si>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</si>
  <si>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</si>
  <si>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</si>
  <si>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</si>
  <si>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</si>
  <si>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</si>
  <si>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</si>
  <si>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</si>
  <si>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</si>
  <si>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</si>
  <si>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</si>
  <si>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</si>
  <si>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</si>
  <si>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</si>
  <si>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</si>
  <si>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</si>
  <si>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</si>
  <si>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</si>
  <si>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</si>
  <si>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</si>
  <si>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</si>
  <si>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MDF18MM</t>
  </si>
  <si>
    <t>CUB C/R R8</t>
  </si>
  <si>
    <t>DAVID DURAN</t>
  </si>
  <si>
    <t>+569 7861 1428</t>
  </si>
  <si>
    <t>HAYA NATURAL 1803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</si>
</sst>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20" fillId="3" borderId="0" xfId="0" applyFont="1" applyFill="1"/>
    <xf numFmtId="0" fontId="4" fillId="3" borderId="4" xfId="0" applyFont="1" applyFill="1" applyBorder="1"/>
    <xf numFmtId="0" fontId="19" fillId="0" borderId="0" xfId="0" quotePrefix="1" applyFont="1"/>
    <xf numFmtId="1" fontId="9" fillId="0" borderId="2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$ 120.000.-</a:t>
          </a:r>
          <a:r>
            <a:rPr lang="es-CL" sz="1200" b="1" i="0" baseline="0"/>
            <a:t> 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49</xdr:row>
      <xdr:rowOff>190500</xdr:rowOff>
    </xdr:from>
    <xdr:to>
      <xdr:col>7</xdr:col>
      <xdr:colOff>9524</xdr:colOff>
      <xdr:row>51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46</xdr:row>
      <xdr:rowOff>30479</xdr:rowOff>
    </xdr:from>
    <xdr:to>
      <xdr:col>6</xdr:col>
      <xdr:colOff>2912745</xdr:colOff>
      <xdr:row>47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44</xdr:row>
      <xdr:rowOff>209549</xdr:rowOff>
    </xdr:from>
    <xdr:to>
      <xdr:col>7</xdr:col>
      <xdr:colOff>0</xdr:colOff>
      <xdr:row>46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171450</xdr:rowOff>
    </xdr:from>
    <xdr:to>
      <xdr:col>7</xdr:col>
      <xdr:colOff>19050</xdr:colOff>
      <xdr:row>44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1019175</xdr:colOff>
      <xdr:row>59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447675</xdr:colOff>
      <xdr:row>59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35</xdr:row>
      <xdr:rowOff>15239</xdr:rowOff>
    </xdr:from>
    <xdr:to>
      <xdr:col>6</xdr:col>
      <xdr:colOff>2971800</xdr:colOff>
      <xdr:row>39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CUBIERTA DE 2200 CORTAR A LA MEDIDA Y ENCHAPAR SIN REGRUESO LADO IZQUIERDO, LAS OTRAS 2 CUBIERTAS CORTAR A LA MEDIDA Y ENCHAPAR AMBAS CARAS SIN REGRUESO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61</xdr:row>
      <xdr:rowOff>32385</xdr:rowOff>
    </xdr:from>
    <xdr:to>
      <xdr:col>7</xdr:col>
      <xdr:colOff>0</xdr:colOff>
      <xdr:row>65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 DE 2200 CORTADA A LA MEDIDA Y ENCHAPAR SIN REGRUESO LADO IZQUIERDO, LAS OTRAS 2 CUBIERTAS CORTAR A LA MEDIDA Y ENCHAPAR CANTOS SIN REGRUESPO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43</xdr:row>
      <xdr:rowOff>146685</xdr:rowOff>
    </xdr:from>
    <xdr:to>
      <xdr:col>2</xdr:col>
      <xdr:colOff>786523</xdr:colOff>
      <xdr:row>49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12" zoomScale="98" zoomScaleNormal="98" workbookViewId="0">
      <selection activeCell="F30" sqref="F3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115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116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117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137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14</v>
      </c>
      <c r="C8" s="33"/>
      <c r="D8" s="34">
        <v>11457</v>
      </c>
      <c r="E8" s="30"/>
      <c r="F8" s="35" t="s">
        <v>24</v>
      </c>
      <c r="G8" s="36">
        <v>4179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117" t="s">
        <v>140</v>
      </c>
      <c r="D10" s="38"/>
      <c r="E10" s="38"/>
      <c r="F10" s="39" t="s">
        <v>25</v>
      </c>
      <c r="G10" s="40">
        <v>45813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2" t="s">
        <v>2</v>
      </c>
      <c r="C11" s="30"/>
      <c r="D11" s="43"/>
      <c r="E11" s="43"/>
      <c r="F11" s="43" t="s">
        <v>119</v>
      </c>
      <c r="G11" s="44">
        <v>45820</v>
      </c>
      <c r="H11" s="45"/>
      <c r="I11" s="30"/>
    </row>
    <row r="12" spans="1:17" ht="18" x14ac:dyDescent="0.35">
      <c r="A12" s="30"/>
      <c r="B12" s="46" t="s">
        <v>125</v>
      </c>
      <c r="C12" s="30"/>
      <c r="D12" s="47"/>
      <c r="E12" s="47"/>
      <c r="F12" s="47" t="s">
        <v>26</v>
      </c>
      <c r="G12" s="48"/>
      <c r="H12" s="49"/>
      <c r="I12" s="30"/>
    </row>
    <row r="13" spans="1:17" ht="18" x14ac:dyDescent="0.35">
      <c r="A13" s="30"/>
      <c r="B13" s="46" t="s">
        <v>126</v>
      </c>
      <c r="C13" s="50"/>
      <c r="D13" s="47"/>
      <c r="E13" s="47"/>
      <c r="F13" s="47" t="s">
        <v>123</v>
      </c>
      <c r="G13" s="48" t="s">
        <v>133</v>
      </c>
      <c r="H13" s="49"/>
      <c r="I13" s="30"/>
    </row>
    <row r="14" spans="1:17" ht="18" x14ac:dyDescent="0.35">
      <c r="A14" s="30"/>
      <c r="B14" s="42" t="s">
        <v>15</v>
      </c>
      <c r="C14" s="118" t="s">
        <v>141</v>
      </c>
      <c r="D14" s="51"/>
      <c r="E14" s="43"/>
      <c r="F14" s="43"/>
      <c r="G14" s="43"/>
      <c r="H14" s="45"/>
      <c r="I14" s="30"/>
    </row>
    <row r="15" spans="1:17" ht="18.600000000000001" x14ac:dyDescent="0.4">
      <c r="A15" s="30"/>
      <c r="B15" s="46" t="s">
        <v>1</v>
      </c>
      <c r="C15" s="116"/>
      <c r="D15" s="47"/>
      <c r="E15" s="47"/>
      <c r="F15" s="52" t="s">
        <v>71</v>
      </c>
      <c r="G15" s="52" t="s">
        <v>128</v>
      </c>
      <c r="H15" s="49"/>
      <c r="I15" s="30"/>
    </row>
    <row r="16" spans="1:17" ht="18.600000000000001" thickBot="1" x14ac:dyDescent="0.4">
      <c r="A16" s="30"/>
      <c r="B16" s="53" t="s">
        <v>3</v>
      </c>
      <c r="C16" s="54" t="s">
        <v>136</v>
      </c>
      <c r="D16" s="55"/>
      <c r="E16" s="56"/>
      <c r="F16" s="121" t="s">
        <v>16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17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7" t="s">
        <v>127</v>
      </c>
      <c r="C20" s="113" t="s">
        <v>18</v>
      </c>
      <c r="D20" s="113" t="s">
        <v>19</v>
      </c>
      <c r="E20" s="113" t="s">
        <v>7</v>
      </c>
      <c r="F20" s="114" t="s">
        <v>20</v>
      </c>
      <c r="G20" s="57" t="s">
        <v>21</v>
      </c>
      <c r="H20" s="114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139</v>
      </c>
      <c r="D21" s="119">
        <v>2200</v>
      </c>
      <c r="E21" s="119">
        <v>600</v>
      </c>
      <c r="F21" s="102" t="s">
        <v>142</v>
      </c>
      <c r="G21" s="112">
        <v>141195</v>
      </c>
      <c r="H21" s="112">
        <f t="shared" ref="H21:H23" si="0">G21*B21</f>
        <v>141195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139</v>
      </c>
      <c r="D22" s="119">
        <v>1740</v>
      </c>
      <c r="E22" s="119">
        <v>300</v>
      </c>
      <c r="F22" s="102" t="s">
        <v>142</v>
      </c>
      <c r="G22" s="112">
        <v>59359</v>
      </c>
      <c r="H22" s="112">
        <f t="shared" si="0"/>
        <v>59359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02" t="s">
        <v>60</v>
      </c>
      <c r="D23" s="119">
        <v>1740</v>
      </c>
      <c r="E23" s="119">
        <v>200</v>
      </c>
      <c r="F23" s="102" t="s">
        <v>142</v>
      </c>
      <c r="G23" s="112">
        <v>41239</v>
      </c>
      <c r="H23" s="112">
        <f t="shared" si="0"/>
        <v>41239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03"/>
      <c r="C24" s="103"/>
      <c r="D24" s="111"/>
      <c r="E24" s="111"/>
      <c r="F24" s="103"/>
      <c r="G24" s="105"/>
      <c r="H24" s="105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/>
      <c r="C25" s="103"/>
      <c r="D25" s="111"/>
      <c r="E25" s="111"/>
      <c r="F25" s="103"/>
      <c r="G25" s="60" t="s">
        <v>5</v>
      </c>
      <c r="H25" s="61">
        <f>SUM(H21:H24)</f>
        <v>241793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/>
      <c r="C26" s="103"/>
      <c r="D26" s="111"/>
      <c r="E26" s="111"/>
      <c r="F26" s="103"/>
      <c r="G26" s="62" t="s">
        <v>135</v>
      </c>
      <c r="H26" s="63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3"/>
      <c r="C27" s="103"/>
      <c r="D27" s="111"/>
      <c r="E27" s="111"/>
      <c r="F27" s="103"/>
      <c r="G27" s="64" t="s">
        <v>4</v>
      </c>
      <c r="H27" s="65">
        <f>H25</f>
        <v>241793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/>
      <c r="C28" s="103"/>
      <c r="D28" s="111"/>
      <c r="E28" s="111"/>
      <c r="F28" s="103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1"/>
      <c r="E29" s="111"/>
      <c r="F29" s="103"/>
      <c r="G29" s="105"/>
      <c r="H29" s="105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11"/>
      <c r="E30" s="111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04"/>
      <c r="E31" s="104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/>
      <c r="C32" s="103"/>
      <c r="D32" s="104"/>
      <c r="E32" s="104"/>
      <c r="F32" s="103"/>
      <c r="G32" s="105"/>
      <c r="H32" s="105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9"/>
      <c r="C33" s="59"/>
      <c r="D33" s="59"/>
      <c r="E33" s="59"/>
      <c r="F33" s="59"/>
      <c r="G33" s="58"/>
      <c r="H33" s="58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6"/>
      <c r="H37" s="67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8" t="s">
        <v>132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68" t="s">
        <v>118</v>
      </c>
      <c r="C40" s="69"/>
      <c r="D40" s="70"/>
      <c r="E40" s="70"/>
      <c r="F40" s="59"/>
      <c r="G40" s="30"/>
      <c r="H40" s="30"/>
      <c r="I40" s="30"/>
    </row>
    <row r="41" spans="1:9" ht="18" x14ac:dyDescent="0.35">
      <c r="A41" s="30"/>
      <c r="B41" s="30" t="s">
        <v>22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71" t="s">
        <v>23</v>
      </c>
      <c r="C42" s="71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71"/>
      <c r="F43" s="30"/>
      <c r="G43" s="30"/>
      <c r="H43" s="30"/>
      <c r="I43" s="30"/>
    </row>
    <row r="44" spans="1:9" ht="18" x14ac:dyDescent="0.35">
      <c r="A44" s="30"/>
      <c r="B44" s="31" t="s">
        <v>130</v>
      </c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72"/>
      <c r="F45" s="30"/>
      <c r="G45" s="30"/>
      <c r="H45" s="30"/>
      <c r="I45" s="30"/>
    </row>
    <row r="46" spans="1:9" ht="18" x14ac:dyDescent="0.35">
      <c r="A46" s="30"/>
      <c r="B46" s="31" t="s">
        <v>131</v>
      </c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71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2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9"/>
  <sheetViews>
    <sheetView tabSelected="1" zoomScaleNormal="100" workbookViewId="0">
      <selection activeCell="B1" sqref="B1:H4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57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4" t="s">
        <v>24</v>
      </c>
      <c r="E4" s="75">
        <f>'4637'!G8</f>
        <v>4179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63</v>
      </c>
      <c r="E5" s="77" t="str">
        <f>'4637'!C10</f>
        <v>DAVID DURAN</v>
      </c>
      <c r="F5" s="47"/>
      <c r="G5" s="47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45820</v>
      </c>
      <c r="F7" s="30"/>
      <c r="G7" s="30" t="s">
        <v>134</v>
      </c>
      <c r="H7" s="30"/>
    </row>
    <row r="8" spans="1:15" ht="18" x14ac:dyDescent="0.35">
      <c r="B8" s="30"/>
      <c r="C8" s="30"/>
      <c r="D8" s="90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57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106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1" t="s">
        <v>138</v>
      </c>
      <c r="C14" s="94">
        <f>J14</f>
        <v>1</v>
      </c>
      <c r="D14" s="94"/>
      <c r="E14" s="94">
        <f>K14+E$13</f>
        <v>2280</v>
      </c>
      <c r="F14" s="94">
        <f>L14+F$13</f>
        <v>570</v>
      </c>
      <c r="G14" s="94" t="str">
        <f>D32</f>
        <v>CUB C/R R8</v>
      </c>
      <c r="H14" s="30"/>
      <c r="J14" s="3">
        <f>J24</f>
        <v>1</v>
      </c>
      <c r="K14" s="4">
        <f t="shared" ref="K14:L14" si="0">E32</f>
        <v>2200</v>
      </c>
      <c r="L14" s="4">
        <f t="shared" si="0"/>
        <v>600</v>
      </c>
    </row>
    <row r="15" spans="1:15" ht="18" x14ac:dyDescent="0.35">
      <c r="A15" s="109"/>
      <c r="B15" s="101"/>
      <c r="C15" s="94">
        <f t="shared" ref="C15:C16" si="1">J15</f>
        <v>1</v>
      </c>
      <c r="D15" s="94"/>
      <c r="E15" s="94">
        <f t="shared" ref="E15:E16" si="2">K15+E$13</f>
        <v>1820</v>
      </c>
      <c r="F15" s="94">
        <f>L15+F$13</f>
        <v>270</v>
      </c>
      <c r="G15" s="94" t="str">
        <f t="shared" ref="G15:G16" si="3">D33</f>
        <v>CUB C/R R8</v>
      </c>
      <c r="H15" s="30"/>
      <c r="J15" s="3">
        <f t="shared" ref="J15:J16" si="4">J25</f>
        <v>1</v>
      </c>
      <c r="K15" s="4">
        <f t="shared" ref="K15:K16" si="5">E33</f>
        <v>1740</v>
      </c>
      <c r="L15" s="4">
        <f t="shared" ref="L15:L16" si="6">F33</f>
        <v>300</v>
      </c>
    </row>
    <row r="16" spans="1:15" ht="18" x14ac:dyDescent="0.35">
      <c r="A16" s="109"/>
      <c r="B16" s="101"/>
      <c r="C16" s="94">
        <f t="shared" si="1"/>
        <v>1</v>
      </c>
      <c r="D16" s="94"/>
      <c r="E16" s="94">
        <f t="shared" si="2"/>
        <v>1820</v>
      </c>
      <c r="F16" s="94">
        <f>L16</f>
        <v>200</v>
      </c>
      <c r="G16" s="94" t="str">
        <f t="shared" si="3"/>
        <v>PR8</v>
      </c>
      <c r="H16" s="30"/>
      <c r="J16" s="3">
        <f t="shared" si="4"/>
        <v>1</v>
      </c>
      <c r="K16" s="4">
        <f t="shared" si="5"/>
        <v>1740</v>
      </c>
      <c r="L16" s="4">
        <f t="shared" si="6"/>
        <v>200</v>
      </c>
    </row>
    <row r="17" spans="1:12" ht="18" x14ac:dyDescent="0.35">
      <c r="A17" s="109"/>
      <c r="B17" s="101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18" x14ac:dyDescent="0.35">
      <c r="A18" s="2"/>
      <c r="B18" s="83"/>
      <c r="C18" s="73"/>
      <c r="D18" s="73"/>
      <c r="E18" s="73"/>
      <c r="F18" s="73"/>
      <c r="G18" s="73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29" t="s">
        <v>13</v>
      </c>
      <c r="C20" s="129"/>
      <c r="D20" s="129"/>
      <c r="E20" s="129"/>
      <c r="F20" s="129"/>
      <c r="G20" s="129"/>
      <c r="H20" s="30"/>
    </row>
    <row r="21" spans="1:12" ht="10.5" customHeight="1" x14ac:dyDescent="0.35">
      <c r="A21" s="2"/>
      <c r="B21" s="30"/>
      <c r="C21" s="30"/>
      <c r="D21" s="91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6" t="s">
        <v>6</v>
      </c>
      <c r="F22" s="66" t="s">
        <v>7</v>
      </c>
      <c r="G22" s="30"/>
      <c r="H22" s="30"/>
    </row>
    <row r="23" spans="1:12" ht="18" x14ac:dyDescent="0.35">
      <c r="A23" s="2"/>
      <c r="B23" s="66" t="s">
        <v>8</v>
      </c>
      <c r="C23" s="82" t="s">
        <v>9</v>
      </c>
      <c r="D23" s="82" t="s">
        <v>10</v>
      </c>
      <c r="E23" s="95">
        <v>40</v>
      </c>
      <c r="F23" s="95">
        <v>130</v>
      </c>
      <c r="G23" s="82" t="s">
        <v>106</v>
      </c>
      <c r="H23" s="30"/>
      <c r="K23" s="5" t="s">
        <v>6</v>
      </c>
      <c r="L23" s="5" t="s">
        <v>7</v>
      </c>
    </row>
    <row r="24" spans="1:12" ht="18" x14ac:dyDescent="0.35">
      <c r="A24" s="109">
        <v>1</v>
      </c>
      <c r="B24" s="101"/>
      <c r="C24" s="96">
        <f t="shared" ref="C24" si="7">J24</f>
        <v>1</v>
      </c>
      <c r="D24" s="96"/>
      <c r="E24" s="96">
        <f>K24+E$23</f>
        <v>2240</v>
      </c>
      <c r="F24" s="96">
        <f>L24+F$23</f>
        <v>730</v>
      </c>
      <c r="G24" s="96" t="str">
        <f>D32</f>
        <v>CUB C/R R8</v>
      </c>
      <c r="H24" s="30"/>
      <c r="J24" s="3">
        <f>C32</f>
        <v>1</v>
      </c>
      <c r="K24" s="106">
        <f>E32</f>
        <v>2200</v>
      </c>
      <c r="L24" s="106">
        <f>F32</f>
        <v>600</v>
      </c>
    </row>
    <row r="25" spans="1:12" ht="18" x14ac:dyDescent="0.35">
      <c r="A25" s="109"/>
      <c r="B25" s="101"/>
      <c r="C25" s="96">
        <f t="shared" ref="C25:C26" si="8">J25</f>
        <v>1</v>
      </c>
      <c r="D25" s="96"/>
      <c r="E25" s="96">
        <f t="shared" ref="E25:E26" si="9">K25+E$23</f>
        <v>1780</v>
      </c>
      <c r="F25" s="96">
        <f t="shared" ref="F25:F26" si="10">L25+F$23</f>
        <v>430</v>
      </c>
      <c r="G25" s="96" t="str">
        <f t="shared" ref="G25:G26" si="11">D33</f>
        <v>CUB C/R R8</v>
      </c>
      <c r="H25" s="30"/>
      <c r="J25" s="3">
        <f t="shared" ref="J25:J26" si="12">C33</f>
        <v>1</v>
      </c>
      <c r="K25" s="106">
        <f t="shared" ref="K25:L25" si="13">E33</f>
        <v>1740</v>
      </c>
      <c r="L25" s="106">
        <f t="shared" si="13"/>
        <v>300</v>
      </c>
    </row>
    <row r="26" spans="1:12" ht="18" x14ac:dyDescent="0.35">
      <c r="A26" s="109"/>
      <c r="B26" s="101"/>
      <c r="C26" s="96">
        <f t="shared" si="8"/>
        <v>1</v>
      </c>
      <c r="D26" s="96"/>
      <c r="E26" s="96">
        <f t="shared" si="9"/>
        <v>1780</v>
      </c>
      <c r="F26" s="96">
        <v>260</v>
      </c>
      <c r="G26" s="96" t="str">
        <f t="shared" si="11"/>
        <v>PR8</v>
      </c>
      <c r="H26" s="30"/>
      <c r="J26" s="3">
        <f t="shared" si="12"/>
        <v>1</v>
      </c>
      <c r="K26" s="106">
        <f t="shared" ref="K26:L26" si="14">E34</f>
        <v>1740</v>
      </c>
      <c r="L26" s="106">
        <f t="shared" si="14"/>
        <v>200</v>
      </c>
    </row>
    <row r="27" spans="1:12" ht="18" x14ac:dyDescent="0.35">
      <c r="A27" s="109"/>
      <c r="B27" s="101"/>
      <c r="C27" s="73"/>
      <c r="D27" s="73"/>
      <c r="E27" s="73"/>
      <c r="F27" s="73"/>
      <c r="G27" s="73"/>
      <c r="H27" s="30"/>
      <c r="J27" s="23"/>
      <c r="K27" s="120"/>
      <c r="L27" s="120"/>
    </row>
    <row r="28" spans="1:12" ht="18.600000000000001" thickBot="1" x14ac:dyDescent="0.4">
      <c r="A28" s="2"/>
      <c r="B28" s="83"/>
      <c r="C28" s="73"/>
      <c r="D28" s="73"/>
      <c r="E28" s="73"/>
      <c r="F28" s="73"/>
      <c r="G28" s="73"/>
      <c r="H28" s="30"/>
      <c r="I28" s="107"/>
      <c r="J28" s="108"/>
      <c r="K28" s="108"/>
      <c r="L28" s="108"/>
    </row>
    <row r="29" spans="1:12" ht="18.600000000000001" thickBot="1" x14ac:dyDescent="0.4">
      <c r="A29" s="2"/>
      <c r="B29" s="66"/>
      <c r="C29" s="97" t="s">
        <v>103</v>
      </c>
      <c r="D29" s="33"/>
      <c r="E29" s="33"/>
      <c r="F29" s="33"/>
      <c r="G29" s="98"/>
      <c r="H29" s="30"/>
      <c r="J29" s="2"/>
      <c r="K29" s="2"/>
      <c r="L29" s="2"/>
    </row>
    <row r="30" spans="1:12" ht="10.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2" ht="18" x14ac:dyDescent="0.35">
      <c r="A31" s="2"/>
      <c r="B31" s="66" t="s">
        <v>8</v>
      </c>
      <c r="C31" s="99" t="s">
        <v>9</v>
      </c>
      <c r="D31" s="99" t="s">
        <v>106</v>
      </c>
      <c r="E31" s="99" t="s">
        <v>6</v>
      </c>
      <c r="F31" s="99" t="s">
        <v>7</v>
      </c>
      <c r="G31" s="99" t="s">
        <v>20</v>
      </c>
      <c r="H31" s="30"/>
    </row>
    <row r="32" spans="1:12" ht="18" x14ac:dyDescent="0.35">
      <c r="A32" s="109">
        <v>1</v>
      </c>
      <c r="B32" s="101" t="s">
        <v>138</v>
      </c>
      <c r="C32" s="94">
        <f>C55</f>
        <v>1</v>
      </c>
      <c r="D32" s="94" t="str">
        <f>D55</f>
        <v>CUB C/R R8</v>
      </c>
      <c r="E32" s="115">
        <f>E55</f>
        <v>2200</v>
      </c>
      <c r="F32" s="115">
        <f>F55</f>
        <v>600</v>
      </c>
      <c r="G32" s="4" t="str">
        <f>G55</f>
        <v>HAYA NATURAL 1803 MT</v>
      </c>
      <c r="H32" s="30"/>
      <c r="I32" s="28">
        <f>E32*F32/1000000</f>
        <v>1.32</v>
      </c>
      <c r="J32" s="28">
        <f>I32*C32</f>
        <v>1.32</v>
      </c>
    </row>
    <row r="33" spans="1:10" ht="18" x14ac:dyDescent="0.35">
      <c r="A33" s="109"/>
      <c r="B33" s="101"/>
      <c r="C33" s="94">
        <f>'4637'!B22</f>
        <v>1</v>
      </c>
      <c r="D33" s="94" t="str">
        <f>'4637'!C22</f>
        <v>CUB C/R R8</v>
      </c>
      <c r="E33" s="115">
        <f>'4637'!D22</f>
        <v>1740</v>
      </c>
      <c r="F33" s="115">
        <f>'4637'!E22</f>
        <v>300</v>
      </c>
      <c r="G33" s="4" t="str">
        <f>'4637'!F22</f>
        <v>HAYA NATURAL 1803 MT</v>
      </c>
      <c r="H33" s="30"/>
      <c r="I33" s="28"/>
      <c r="J33" s="28"/>
    </row>
    <row r="34" spans="1:10" ht="18" x14ac:dyDescent="0.35">
      <c r="A34" s="109"/>
      <c r="B34" s="101"/>
      <c r="C34" s="94">
        <f>'4637'!B23</f>
        <v>1</v>
      </c>
      <c r="D34" s="94" t="str">
        <f>'4637'!C23</f>
        <v>PR8</v>
      </c>
      <c r="E34" s="115">
        <f>'4637'!D23</f>
        <v>1740</v>
      </c>
      <c r="F34" s="115">
        <f>'4637'!E23</f>
        <v>200</v>
      </c>
      <c r="G34" s="4" t="str">
        <f>'4637'!F23</f>
        <v>HAYA NATURAL 1803 MT</v>
      </c>
      <c r="H34" s="30"/>
      <c r="I34" s="28"/>
      <c r="J34" s="28"/>
    </row>
    <row r="35" spans="1:10" ht="18" x14ac:dyDescent="0.35">
      <c r="A35" s="2"/>
      <c r="B35" s="30"/>
      <c r="C35" s="73"/>
      <c r="D35" s="73"/>
      <c r="E35" s="73"/>
      <c r="F35" s="73"/>
      <c r="G35" s="73"/>
      <c r="H35" s="30"/>
    </row>
    <row r="36" spans="1:10" ht="18" x14ac:dyDescent="0.35">
      <c r="A36" s="2"/>
      <c r="B36" s="30"/>
      <c r="C36" s="73"/>
      <c r="D36" s="73"/>
      <c r="E36" s="73"/>
      <c r="F36" s="73"/>
      <c r="G36" s="73"/>
      <c r="H36" s="30"/>
      <c r="J36" s="28">
        <f>SUM(J32:J32)*2</f>
        <v>2.64</v>
      </c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30"/>
      <c r="D44" s="30"/>
      <c r="E44" s="30"/>
      <c r="F44" s="30"/>
      <c r="G44" s="30"/>
      <c r="H44" s="30"/>
    </row>
    <row r="45" spans="1:10" ht="18" x14ac:dyDescent="0.35">
      <c r="A45" s="2"/>
      <c r="B45" s="30"/>
      <c r="C45" s="30"/>
      <c r="D45" s="74" t="s">
        <v>24</v>
      </c>
      <c r="E45" s="75">
        <f>'4637'!G8</f>
        <v>4179</v>
      </c>
      <c r="F45" s="30"/>
      <c r="G45" s="30"/>
      <c r="H45" s="30"/>
    </row>
    <row r="46" spans="1:10" ht="17.25" customHeight="1" x14ac:dyDescent="0.35">
      <c r="A46" s="2"/>
      <c r="B46" s="30"/>
      <c r="C46" s="30"/>
      <c r="D46" s="76" t="s">
        <v>63</v>
      </c>
      <c r="E46" s="77" t="str">
        <f>'4637'!C10</f>
        <v>DAVID DURAN</v>
      </c>
      <c r="F46" s="47"/>
      <c r="G46" s="47"/>
      <c r="H46" s="30"/>
    </row>
    <row r="47" spans="1:10" ht="4.5" customHeight="1" x14ac:dyDescent="0.35">
      <c r="A47" s="2"/>
      <c r="B47" s="30"/>
      <c r="C47" s="30"/>
      <c r="D47" s="78"/>
      <c r="E47" s="79"/>
      <c r="F47" s="30"/>
      <c r="G47" s="30"/>
      <c r="H47" s="30"/>
    </row>
    <row r="48" spans="1:10" ht="18" x14ac:dyDescent="0.35">
      <c r="A48" s="2"/>
      <c r="B48" s="30"/>
      <c r="C48" s="30"/>
      <c r="D48" s="80" t="str">
        <f>'4637'!F11</f>
        <v>FECHA LIMITE :</v>
      </c>
      <c r="E48" s="81">
        <f>'4637'!G11</f>
        <v>45820</v>
      </c>
      <c r="F48" s="30"/>
      <c r="G48" s="30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 t="s">
        <v>134</v>
      </c>
      <c r="H49" s="30"/>
    </row>
    <row r="50" spans="1:13" ht="18" x14ac:dyDescent="0.35">
      <c r="A50" s="2"/>
      <c r="B50" s="30"/>
      <c r="C50" s="30"/>
      <c r="D50" s="30"/>
      <c r="E50" s="30"/>
      <c r="F50" s="30"/>
      <c r="G50" s="30"/>
      <c r="H50" s="30"/>
    </row>
    <row r="51" spans="1:13" ht="18" x14ac:dyDescent="0.35">
      <c r="A51" s="2"/>
      <c r="B51" s="130" t="s">
        <v>64</v>
      </c>
      <c r="C51" s="130"/>
      <c r="D51" s="130"/>
      <c r="E51" s="130"/>
      <c r="F51" s="130"/>
      <c r="G51" s="130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20.100000000000001" customHeight="1" x14ac:dyDescent="0.35">
      <c r="A53" s="2"/>
      <c r="B53" s="30"/>
      <c r="C53" s="131" t="s">
        <v>65</v>
      </c>
      <c r="D53" s="132"/>
      <c r="E53" s="133"/>
      <c r="F53" s="133"/>
      <c r="G53" s="134"/>
      <c r="H53" s="30"/>
      <c r="I53" s="25" t="s">
        <v>129</v>
      </c>
    </row>
    <row r="54" spans="1:13" s="10" customFormat="1" ht="20.100000000000001" customHeight="1" x14ac:dyDescent="0.35">
      <c r="A54" s="110"/>
      <c r="B54" s="30"/>
      <c r="C54" s="84" t="s">
        <v>9</v>
      </c>
      <c r="D54" s="85" t="s">
        <v>10</v>
      </c>
      <c r="E54" s="88" t="s">
        <v>6</v>
      </c>
      <c r="F54" s="88" t="s">
        <v>7</v>
      </c>
      <c r="G54" s="86" t="s">
        <v>11</v>
      </c>
      <c r="H54" s="30"/>
      <c r="K54" s="10">
        <v>15000</v>
      </c>
    </row>
    <row r="55" spans="1:13" s="10" customFormat="1" ht="20.100000000000001" customHeight="1" x14ac:dyDescent="0.35">
      <c r="A55" s="109">
        <v>1</v>
      </c>
      <c r="B55" s="100" t="s">
        <v>138</v>
      </c>
      <c r="C55" s="96">
        <f>'4637'!B21</f>
        <v>1</v>
      </c>
      <c r="D55" s="4" t="str">
        <f>'4637'!C21</f>
        <v>CUB C/R R8</v>
      </c>
      <c r="E55" s="115">
        <f>'4637'!D21</f>
        <v>2200</v>
      </c>
      <c r="F55" s="115">
        <f>'4637'!E21</f>
        <v>600</v>
      </c>
      <c r="G55" s="4" t="str">
        <f>'4637'!F21</f>
        <v>HAYA NATURAL 1803 MT</v>
      </c>
      <c r="H55" s="30"/>
      <c r="I55" s="10">
        <f>E55*F55/1000000</f>
        <v>1.32</v>
      </c>
      <c r="J55" s="10">
        <f>I55*C55</f>
        <v>1.32</v>
      </c>
      <c r="K55" s="26">
        <f>J55*K$54</f>
        <v>19800</v>
      </c>
      <c r="M55" s="24">
        <v>12096</v>
      </c>
    </row>
    <row r="56" spans="1:13" s="10" customFormat="1" ht="20.100000000000001" customHeight="1" x14ac:dyDescent="0.35">
      <c r="A56" s="109"/>
      <c r="B56" s="100"/>
      <c r="C56" s="96">
        <f>'4637'!B22</f>
        <v>1</v>
      </c>
      <c r="D56" s="4" t="str">
        <f>'4637'!C22</f>
        <v>CUB C/R R8</v>
      </c>
      <c r="E56" s="115">
        <f>'4637'!D22</f>
        <v>1740</v>
      </c>
      <c r="F56" s="115">
        <f>'4637'!E22</f>
        <v>300</v>
      </c>
      <c r="G56" s="4" t="str">
        <f>'4637'!F22</f>
        <v>HAYA NATURAL 1803 MT</v>
      </c>
      <c r="H56" s="30"/>
      <c r="K56" s="26"/>
      <c r="M56" s="29"/>
    </row>
    <row r="57" spans="1:13" s="10" customFormat="1" ht="20.100000000000001" customHeight="1" x14ac:dyDescent="0.35">
      <c r="A57" s="109"/>
      <c r="B57" s="100"/>
      <c r="C57" s="96">
        <f>'4637'!B23</f>
        <v>1</v>
      </c>
      <c r="D57" s="4" t="str">
        <f>'4637'!C23</f>
        <v>PR8</v>
      </c>
      <c r="E57" s="115">
        <f>'4637'!D23</f>
        <v>1740</v>
      </c>
      <c r="F57" s="115">
        <f>'4637'!E23</f>
        <v>200</v>
      </c>
      <c r="G57" s="4" t="str">
        <f>'4637'!F23</f>
        <v>HAYA NATURAL 1803 MT</v>
      </c>
      <c r="H57" s="30"/>
      <c r="K57" s="26"/>
      <c r="M57" s="29"/>
    </row>
    <row r="58" spans="1:13" s="10" customFormat="1" ht="15" customHeight="1" x14ac:dyDescent="0.35">
      <c r="B58" s="83"/>
      <c r="C58" s="66"/>
      <c r="D58" s="66"/>
      <c r="E58" s="66"/>
      <c r="F58" s="66"/>
      <c r="G58" s="66"/>
      <c r="H58" s="30"/>
    </row>
    <row r="59" spans="1:13" ht="18" x14ac:dyDescent="0.35">
      <c r="B59" s="73"/>
      <c r="C59" s="73"/>
      <c r="D59" s="30"/>
      <c r="E59" s="73"/>
      <c r="F59" s="73"/>
      <c r="G59" s="78"/>
      <c r="H59" s="30"/>
    </row>
    <row r="60" spans="1:13" ht="18" x14ac:dyDescent="0.35">
      <c r="B60" s="73"/>
      <c r="C60" s="73"/>
      <c r="D60" s="30"/>
      <c r="E60" s="73"/>
      <c r="F60" s="73"/>
      <c r="G60" s="73"/>
      <c r="H60" s="30"/>
      <c r="J60" s="10">
        <f>SUM(J55:J55)</f>
        <v>1.32</v>
      </c>
      <c r="K60" s="27">
        <f>SUM(K55:K55)</f>
        <v>19800</v>
      </c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5" customHeight="1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73"/>
      <c r="C66" s="87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x14ac:dyDescent="0.3">
      <c r="C68" s="14"/>
      <c r="D68" s="14"/>
      <c r="F68" s="14"/>
      <c r="G68" s="14"/>
    </row>
    <row r="69" spans="2:8" x14ac:dyDescent="0.3">
      <c r="C69" s="14"/>
      <c r="D69" s="14"/>
      <c r="F69" s="14"/>
      <c r="G69" s="14"/>
    </row>
  </sheetData>
  <mergeCells count="6">
    <mergeCell ref="N3:O3"/>
    <mergeCell ref="B20:G20"/>
    <mergeCell ref="B10:G10"/>
    <mergeCell ref="B51:G51"/>
    <mergeCell ref="C53:G53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2025-06-05T21:43:09Z</cp:lastPrinted>
  <dcterms:created xsi:type="dcterms:W3CDTF">2013-03-19T12:54:14Z</dcterms:created>
  <dcterms:modified xsi:type="dcterms:W3CDTF">2025-06-05T21:44:59Z</dcterms:modified>
</cp:coreProperties>
</file>