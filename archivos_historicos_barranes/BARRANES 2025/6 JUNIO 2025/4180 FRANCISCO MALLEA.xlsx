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6 JUNIO 2025\"/>
    </mc:Choice>
  </mc:AlternateContent>
  <xr:revisionPtr revIDLastSave="0" documentId="13_ncr:1_{D471B8F8-6CAE-4455-9087-933D3CB993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CUBIERTA!$A$48:$F$76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I16" i="3"/>
  <c r="I17" i="3"/>
  <c r="I18" i="3"/>
  <c r="B18" i="3" s="1"/>
  <c r="F26" i="3"/>
  <c r="I26" i="3"/>
  <c r="B26" i="3" s="1"/>
  <c r="J26" i="3"/>
  <c r="D26" i="3" s="1"/>
  <c r="K26" i="3"/>
  <c r="E26" i="3" s="1"/>
  <c r="F27" i="3"/>
  <c r="I27" i="3"/>
  <c r="B27" i="3" s="1"/>
  <c r="J27" i="3"/>
  <c r="D27" i="3" s="1"/>
  <c r="K27" i="3"/>
  <c r="E27" i="3" s="1"/>
  <c r="F28" i="3"/>
  <c r="I28" i="3"/>
  <c r="B28" i="3" s="1"/>
  <c r="J28" i="3"/>
  <c r="D28" i="3" s="1"/>
  <c r="K28" i="3"/>
  <c r="E28" i="3" s="1"/>
  <c r="F29" i="3"/>
  <c r="I29" i="3"/>
  <c r="B29" i="3" s="1"/>
  <c r="J29" i="3"/>
  <c r="D29" i="3" s="1"/>
  <c r="K29" i="3"/>
  <c r="E29" i="3" s="1"/>
  <c r="B17" i="3"/>
  <c r="B15" i="3"/>
  <c r="B16" i="3"/>
  <c r="J17" i="3"/>
  <c r="D17" i="3" s="1"/>
  <c r="J18" i="3"/>
  <c r="D18" i="3" s="1"/>
  <c r="B36" i="3"/>
  <c r="C36" i="3"/>
  <c r="F15" i="3" s="1"/>
  <c r="D36" i="3"/>
  <c r="J15" i="3" s="1"/>
  <c r="D15" i="3" s="1"/>
  <c r="E36" i="3"/>
  <c r="K15" i="3" s="1"/>
  <c r="E15" i="3" s="1"/>
  <c r="F36" i="3"/>
  <c r="B37" i="3"/>
  <c r="C37" i="3"/>
  <c r="F16" i="3" s="1"/>
  <c r="D37" i="3"/>
  <c r="J16" i="3" s="1"/>
  <c r="D16" i="3" s="1"/>
  <c r="E37" i="3"/>
  <c r="K16" i="3" s="1"/>
  <c r="E16" i="3" s="1"/>
  <c r="F37" i="3"/>
  <c r="B38" i="3"/>
  <c r="C38" i="3"/>
  <c r="F17" i="3" s="1"/>
  <c r="D38" i="3"/>
  <c r="E38" i="3"/>
  <c r="K17" i="3" s="1"/>
  <c r="E17" i="3" s="1"/>
  <c r="F38" i="3"/>
  <c r="B39" i="3"/>
  <c r="C39" i="3"/>
  <c r="F18" i="3" s="1"/>
  <c r="D39" i="3"/>
  <c r="E39" i="3"/>
  <c r="K18" i="3" s="1"/>
  <c r="E18" i="3" s="1"/>
  <c r="F39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H28" i="4"/>
  <c r="H22" i="4"/>
  <c r="H23" i="4"/>
  <c r="H24" i="4"/>
  <c r="H25" i="4"/>
  <c r="B35" i="3"/>
  <c r="I25" i="3" s="1"/>
  <c r="C35" i="3"/>
  <c r="F14" i="3" s="1"/>
  <c r="D35" i="3"/>
  <c r="J14" i="3" s="1"/>
  <c r="D14" i="3" s="1"/>
  <c r="E35" i="3"/>
  <c r="K25" i="3" s="1"/>
  <c r="E25" i="3" s="1"/>
  <c r="F35" i="3"/>
  <c r="B60" i="3"/>
  <c r="C60" i="3"/>
  <c r="D60" i="3"/>
  <c r="E60" i="3"/>
  <c r="F60" i="3"/>
  <c r="H21" i="4"/>
  <c r="J25" i="3" l="1"/>
  <c r="D25" i="3" s="1"/>
  <c r="K14" i="3"/>
  <c r="E14" i="3" s="1"/>
  <c r="B25" i="3"/>
  <c r="I14" i="3"/>
  <c r="B14" i="3" s="1"/>
  <c r="F25" i="3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<sst xmlns="http://schemas.openxmlformats.org/spreadsheetml/2006/main" count="253" uniqueCount="144">
  <si>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</si>
  <si>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</si>
  <si>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</si>
  <si>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</si>
  <si>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</si>
  <si>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</si>
  <si>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</si>
  <si>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</si>
  <si>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</si>
  <si>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</si>
  <si>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</si>
  <si>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</si>
  <si>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</si>
  <si>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</si>
  <si>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</si>
  <si>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</si>
  <si>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</si>
  <si>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</si>
  <si>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</si>
  <si>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</si>
  <si>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</si>
  <si>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</si>
  <si>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</si>
  <si>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</si>
  <si>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</si>
  <si>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</si>
  <si>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</si>
  <si>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</si>
  <si>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</si>
  <si>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</si>
  <si>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</si>
  <si>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</si>
  <si>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</si>
  <si>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</si>
  <si>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</si>
  <si>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</si>
  <si>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</si>
  <si>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</si>
  <si>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</si>
  <si>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</si>
  <si>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</si>
  <si>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</si>
  <si>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</si>
  <si>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</si>
  <si>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</si>
  <si>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</si>
  <si>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</si>
  <si>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</si>
  <si>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</si>
  <si>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</si>
  <si>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</si>
  <si>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</si>
  <si>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</si>
  <si>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</si>
  <si>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</si>
  <si>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</si>
  <si>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</si>
  <si>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</si>
  <si>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</si>
  <si>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</si>
  <si>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</si>
  <si>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</si>
  <si>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</si>
  <si>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</si>
  <si>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</si>
  <si>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</si>
  <si>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</si>
  <si>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</si>
  <si>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</si>
  <si>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</si>
  <si>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</si>
  <si>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</si>
  <si>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</si>
  <si>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</si>
  <si>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</si>
  <si>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</si>
  <si>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</si>
  <si>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</si>
  <si>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</si>
  <si>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</si>
  <si>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</si>
  <si>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</si>
  <si>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</si>
  <si>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</si>
  <si>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</si>
  <si>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</si>
  <si>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</si>
  <si>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</si>
  <si>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</si>
  <si>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</si>
  <si>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</si>
  <si>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</si>
  <si>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</si>
  <si>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</si>
  <si>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</si>
  <si>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</si>
  <si>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</si>
  <si>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</si>
  <si>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</si>
  <si>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</si>
  <si>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</si>
  <si>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</si>
  <si>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</si>
  <si>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</si>
  <si>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</si>
  <si>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</si>
  <si>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</si>
  <si>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</si>
  <si>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</si>
  <si>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</si>
  <si>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</si>
  <si>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</si>
  <si>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</si>
  <si>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</si>
  <si>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</si>
  <si>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</si>
  <si>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</si>
  <si>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</si>
  <si>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</si>
  <si>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</si>
  <si>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</si>
  <si>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</si>
  <si>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</si>
  <si>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</si>
  <si>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</si>
  <si>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</si>
  <si>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</si>
  <si>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</si>
  <si>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</si>
  <si>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</si>
  <si>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</si>
  <si>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</si>
  <si>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</si>
  <si>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</si>
  <si>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</si>
  <si>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</si>
  <si>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18.313.958-4</t>
  </si>
  <si>
    <t>569 8451 4974</t>
  </si>
  <si>
    <t>FRANCISCO MELLA BARRIOS</t>
  </si>
  <si>
    <t>CONTADO</t>
  </si>
  <si>
    <t>BLANCO MERINO OPACO</t>
  </si>
  <si>
    <t>CUB C/R R12</t>
  </si>
  <si>
    <t>PP-5855 BR TOP ROCK</t>
  </si>
  <si>
    <t>N° 11455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</si>
</sst>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quotePrefix="1" applyFont="1"/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$ 300.000.- MAS $ 46.000.- POR CUBIERTA BLANCA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801763</xdr:colOff>
      <xdr:row>54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8" workbookViewId="0">
      <selection activeCell="G14" sqref="G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4180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45826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 t="s">
        <v>137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0"/>
      <c r="D15" s="43"/>
      <c r="E15" s="43"/>
      <c r="F15" s="67" t="s">
        <v>75</v>
      </c>
      <c r="G15" s="67" t="s">
        <v>139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141</v>
      </c>
      <c r="D21" s="107">
        <v>2850</v>
      </c>
      <c r="E21" s="107">
        <v>600</v>
      </c>
      <c r="F21" s="104" t="s">
        <v>142</v>
      </c>
      <c r="G21" s="108">
        <v>154559</v>
      </c>
      <c r="H21" s="105">
        <f t="shared" ref="H21:H25" si="0">G21*B21</f>
        <v>154559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141</v>
      </c>
      <c r="D22" s="107">
        <v>1400</v>
      </c>
      <c r="E22" s="107">
        <v>600</v>
      </c>
      <c r="F22" s="104" t="s">
        <v>142</v>
      </c>
      <c r="G22" s="108">
        <v>78071</v>
      </c>
      <c r="H22" s="105">
        <f t="shared" si="0"/>
        <v>78071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1</v>
      </c>
      <c r="C23" s="104" t="s">
        <v>141</v>
      </c>
      <c r="D23" s="107">
        <v>1620</v>
      </c>
      <c r="E23" s="107">
        <v>600</v>
      </c>
      <c r="F23" s="104" t="s">
        <v>142</v>
      </c>
      <c r="G23" s="108">
        <v>94480</v>
      </c>
      <c r="H23" s="105">
        <f t="shared" si="0"/>
        <v>94480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4">
        <v>1</v>
      </c>
      <c r="C24" s="104" t="s">
        <v>141</v>
      </c>
      <c r="D24" s="107">
        <v>3020</v>
      </c>
      <c r="E24" s="107">
        <v>450</v>
      </c>
      <c r="F24" s="104" t="s">
        <v>142</v>
      </c>
      <c r="G24" s="108">
        <v>122645</v>
      </c>
      <c r="H24" s="105">
        <f t="shared" si="0"/>
        <v>122645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4">
        <v>1</v>
      </c>
      <c r="C25" s="104" t="s">
        <v>141</v>
      </c>
      <c r="D25" s="107">
        <v>1050</v>
      </c>
      <c r="E25" s="107">
        <v>450</v>
      </c>
      <c r="F25" s="104" t="s">
        <v>140</v>
      </c>
      <c r="G25" s="108">
        <v>46000</v>
      </c>
      <c r="H25" s="105">
        <f t="shared" si="0"/>
        <v>46000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6"/>
      <c r="C26" s="96"/>
      <c r="D26" s="96"/>
      <c r="E26" s="96"/>
      <c r="F26" s="97"/>
      <c r="G26" s="98"/>
      <c r="H26" s="98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495755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/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495755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9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abSelected="1" topLeftCell="A36" zoomScaleNormal="100" workbookViewId="0">
      <selection activeCell="A48" sqref="A48:F7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4180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FRANCISCO MELLA BARRIOS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130</v>
      </c>
      <c r="B14" s="25">
        <f t="shared" ref="B14" si="0">I14</f>
        <v>1</v>
      </c>
      <c r="C14" s="25"/>
      <c r="D14" s="25">
        <f t="shared" ref="D14" si="1">J14+D$13</f>
        <v>2930</v>
      </c>
      <c r="E14" s="35">
        <f>K14+E$13</f>
        <v>570</v>
      </c>
      <c r="F14" s="102" t="str">
        <f>C35</f>
        <v>CUB C/R R12</v>
      </c>
      <c r="G14" s="1"/>
      <c r="I14" s="3">
        <f>I25</f>
        <v>1</v>
      </c>
      <c r="J14" s="4">
        <f>D35</f>
        <v>2850</v>
      </c>
      <c r="K14" s="4">
        <f>E35</f>
        <v>600</v>
      </c>
    </row>
    <row r="15" spans="1:14" ht="15.6" x14ac:dyDescent="0.3">
      <c r="A15" s="95"/>
      <c r="B15" s="25">
        <f t="shared" ref="B15:B18" si="2">I15</f>
        <v>1</v>
      </c>
      <c r="C15" s="25"/>
      <c r="D15" s="25">
        <f t="shared" ref="D15:D18" si="3">J15+D$13</f>
        <v>1480</v>
      </c>
      <c r="E15" s="35">
        <f t="shared" ref="E15:E18" si="4">K15+E$13</f>
        <v>570</v>
      </c>
      <c r="F15" s="102" t="str">
        <f t="shared" ref="F15:F18" si="5">C36</f>
        <v>CUB C/R R12</v>
      </c>
      <c r="G15" s="1"/>
      <c r="I15" s="3">
        <f t="shared" ref="I15:I18" si="6">I26</f>
        <v>1</v>
      </c>
      <c r="J15" s="4">
        <f t="shared" ref="J15:K15" si="7">D36</f>
        <v>1400</v>
      </c>
      <c r="K15" s="4">
        <f t="shared" si="7"/>
        <v>600</v>
      </c>
    </row>
    <row r="16" spans="1:14" ht="15.6" x14ac:dyDescent="0.3">
      <c r="A16" s="95"/>
      <c r="B16" s="25">
        <f t="shared" si="2"/>
        <v>1</v>
      </c>
      <c r="C16" s="25"/>
      <c r="D16" s="25">
        <f t="shared" si="3"/>
        <v>1700</v>
      </c>
      <c r="E16" s="35">
        <f t="shared" si="4"/>
        <v>570</v>
      </c>
      <c r="F16" s="102" t="str">
        <f t="shared" si="5"/>
        <v>CUB C/R R12</v>
      </c>
      <c r="G16" s="1"/>
      <c r="I16" s="3">
        <f t="shared" si="6"/>
        <v>1</v>
      </c>
      <c r="J16" s="4">
        <f t="shared" ref="J16:K16" si="8">D37</f>
        <v>1620</v>
      </c>
      <c r="K16" s="4">
        <f t="shared" si="8"/>
        <v>600</v>
      </c>
    </row>
    <row r="17" spans="1:11" ht="15.6" x14ac:dyDescent="0.3">
      <c r="A17" s="95"/>
      <c r="B17" s="25">
        <f t="shared" si="2"/>
        <v>1</v>
      </c>
      <c r="C17" s="25"/>
      <c r="D17" s="25">
        <f t="shared" si="3"/>
        <v>3100</v>
      </c>
      <c r="E17" s="35">
        <f t="shared" si="4"/>
        <v>420</v>
      </c>
      <c r="F17" s="102" t="str">
        <f t="shared" si="5"/>
        <v>CUB C/R R12</v>
      </c>
      <c r="G17" s="1"/>
      <c r="I17" s="3">
        <f t="shared" si="6"/>
        <v>1</v>
      </c>
      <c r="J17" s="4">
        <f t="shared" ref="J17:K17" si="9">D38</f>
        <v>3020</v>
      </c>
      <c r="K17" s="4">
        <f t="shared" si="9"/>
        <v>450</v>
      </c>
    </row>
    <row r="18" spans="1:11" ht="15.6" x14ac:dyDescent="0.3">
      <c r="A18" s="95"/>
      <c r="B18" s="25">
        <f t="shared" si="2"/>
        <v>1</v>
      </c>
      <c r="C18" s="25"/>
      <c r="D18" s="25">
        <f t="shared" si="3"/>
        <v>1130</v>
      </c>
      <c r="E18" s="35">
        <f t="shared" si="4"/>
        <v>420</v>
      </c>
      <c r="F18" s="102" t="str">
        <f t="shared" si="5"/>
        <v>CUB C/R R12</v>
      </c>
      <c r="G18" s="1"/>
      <c r="I18" s="3">
        <f t="shared" si="6"/>
        <v>1</v>
      </c>
      <c r="J18" s="4">
        <f t="shared" ref="J18:K18" si="10">D39</f>
        <v>1050</v>
      </c>
      <c r="K18" s="4">
        <f t="shared" si="10"/>
        <v>450</v>
      </c>
    </row>
    <row r="19" spans="1:11" ht="15.6" x14ac:dyDescent="0.3">
      <c r="A19" s="95"/>
      <c r="B19" s="6"/>
      <c r="C19" s="6"/>
      <c r="D19" s="6"/>
      <c r="E19" s="110"/>
      <c r="F19" s="109"/>
      <c r="G19" s="1"/>
      <c r="I19" s="89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9" t="s">
        <v>14</v>
      </c>
      <c r="B21" s="119"/>
      <c r="C21" s="119"/>
      <c r="D21" s="119"/>
      <c r="E21" s="119"/>
      <c r="F21" s="119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5" t="s">
        <v>130</v>
      </c>
      <c r="B25" s="16">
        <f t="shared" ref="B25" si="11">I25</f>
        <v>1</v>
      </c>
      <c r="C25" s="16"/>
      <c r="D25" s="16">
        <f>J25+D$24</f>
        <v>2890</v>
      </c>
      <c r="E25" s="16">
        <f>K25+E$24</f>
        <v>730</v>
      </c>
      <c r="F25" s="103" t="str">
        <f>C35</f>
        <v>CUB C/R R12</v>
      </c>
      <c r="G25" s="1"/>
      <c r="I25" s="3">
        <f>B35</f>
        <v>1</v>
      </c>
      <c r="J25" s="4">
        <f t="shared" ref="J25:K25" si="12">D35</f>
        <v>2850</v>
      </c>
      <c r="K25" s="4">
        <f t="shared" si="12"/>
        <v>600</v>
      </c>
    </row>
    <row r="26" spans="1:11" ht="15.6" x14ac:dyDescent="0.3">
      <c r="A26" s="95"/>
      <c r="B26" s="16">
        <f t="shared" ref="B26:B29" si="13">I26</f>
        <v>1</v>
      </c>
      <c r="C26" s="16"/>
      <c r="D26" s="16">
        <f t="shared" ref="D26:D29" si="14">J26+D$24</f>
        <v>1440</v>
      </c>
      <c r="E26" s="16">
        <f t="shared" ref="E26:E29" si="15">K26+E$24</f>
        <v>730</v>
      </c>
      <c r="F26" s="103" t="str">
        <f t="shared" ref="F26:F29" si="16">C36</f>
        <v>CUB C/R R12</v>
      </c>
      <c r="G26" s="1"/>
      <c r="I26" s="3">
        <f t="shared" ref="I26:I29" si="17">B36</f>
        <v>1</v>
      </c>
      <c r="J26" s="4">
        <f t="shared" ref="J26:J29" si="18">D36</f>
        <v>1400</v>
      </c>
      <c r="K26" s="4">
        <f t="shared" ref="K26:K29" si="19">E36</f>
        <v>600</v>
      </c>
    </row>
    <row r="27" spans="1:11" ht="15.6" x14ac:dyDescent="0.3">
      <c r="A27" s="95"/>
      <c r="B27" s="16">
        <f t="shared" si="13"/>
        <v>1</v>
      </c>
      <c r="C27" s="16"/>
      <c r="D27" s="16">
        <f t="shared" si="14"/>
        <v>1660</v>
      </c>
      <c r="E27" s="16">
        <f t="shared" si="15"/>
        <v>730</v>
      </c>
      <c r="F27" s="103" t="str">
        <f t="shared" si="16"/>
        <v>CUB C/R R12</v>
      </c>
      <c r="G27" s="1"/>
      <c r="I27" s="3">
        <f t="shared" si="17"/>
        <v>1</v>
      </c>
      <c r="J27" s="4">
        <f t="shared" si="18"/>
        <v>1620</v>
      </c>
      <c r="K27" s="4">
        <f t="shared" si="19"/>
        <v>600</v>
      </c>
    </row>
    <row r="28" spans="1:11" ht="15.6" x14ac:dyDescent="0.3">
      <c r="A28" s="95"/>
      <c r="B28" s="16">
        <f t="shared" si="13"/>
        <v>1</v>
      </c>
      <c r="C28" s="16"/>
      <c r="D28" s="16">
        <f t="shared" si="14"/>
        <v>3060</v>
      </c>
      <c r="E28" s="16">
        <f t="shared" si="15"/>
        <v>580</v>
      </c>
      <c r="F28" s="103" t="str">
        <f t="shared" si="16"/>
        <v>CUB C/R R12</v>
      </c>
      <c r="G28" s="1"/>
      <c r="I28" s="3">
        <f t="shared" si="17"/>
        <v>1</v>
      </c>
      <c r="J28" s="4">
        <f t="shared" si="18"/>
        <v>3020</v>
      </c>
      <c r="K28" s="4">
        <f t="shared" si="19"/>
        <v>450</v>
      </c>
    </row>
    <row r="29" spans="1:11" ht="15.6" x14ac:dyDescent="0.3">
      <c r="A29" s="95"/>
      <c r="B29" s="16">
        <f t="shared" si="13"/>
        <v>1</v>
      </c>
      <c r="C29" s="16"/>
      <c r="D29" s="16">
        <f t="shared" si="14"/>
        <v>1090</v>
      </c>
      <c r="E29" s="16">
        <f t="shared" si="15"/>
        <v>580</v>
      </c>
      <c r="F29" s="103" t="str">
        <f t="shared" si="16"/>
        <v>CUB C/R R12</v>
      </c>
      <c r="G29" s="1"/>
      <c r="I29" s="3">
        <f t="shared" si="17"/>
        <v>1</v>
      </c>
      <c r="J29" s="4">
        <f t="shared" si="18"/>
        <v>1050</v>
      </c>
      <c r="K29" s="4">
        <f t="shared" si="19"/>
        <v>450</v>
      </c>
    </row>
    <row r="30" spans="1:11" ht="15.6" x14ac:dyDescent="0.3">
      <c r="A30" s="95"/>
      <c r="B30" s="6"/>
      <c r="C30" s="6"/>
      <c r="D30" s="6"/>
      <c r="E30" s="6"/>
      <c r="F30" s="6"/>
      <c r="G30" s="1"/>
      <c r="I30" s="89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5" t="s">
        <v>134</v>
      </c>
      <c r="B35" s="25">
        <f>'4637'!B21</f>
        <v>1</v>
      </c>
      <c r="C35" s="102" t="str">
        <f>'4637'!C21</f>
        <v>CUB C/R R12</v>
      </c>
      <c r="D35" s="25">
        <f>'4637'!D21</f>
        <v>2850</v>
      </c>
      <c r="E35" s="25">
        <f>'4637'!E21</f>
        <v>600</v>
      </c>
      <c r="F35" s="25" t="str">
        <f>'4637'!F21</f>
        <v>PP-5855 BR TOP ROCK</v>
      </c>
      <c r="G35" s="1"/>
    </row>
    <row r="36" spans="1:7" ht="15.6" x14ac:dyDescent="0.3">
      <c r="A36" s="95"/>
      <c r="B36" s="25">
        <f>'4637'!B22</f>
        <v>1</v>
      </c>
      <c r="C36" s="102" t="str">
        <f>'4637'!C22</f>
        <v>CUB C/R R12</v>
      </c>
      <c r="D36" s="25">
        <f>'4637'!D22</f>
        <v>1400</v>
      </c>
      <c r="E36" s="25">
        <f>'4637'!E22</f>
        <v>600</v>
      </c>
      <c r="F36" s="25" t="str">
        <f>'4637'!F22</f>
        <v>PP-5855 BR TOP ROCK</v>
      </c>
      <c r="G36" s="1"/>
    </row>
    <row r="37" spans="1:7" ht="15.6" x14ac:dyDescent="0.3">
      <c r="A37" s="95"/>
      <c r="B37" s="25">
        <f>'4637'!B23</f>
        <v>1</v>
      </c>
      <c r="C37" s="102" t="str">
        <f>'4637'!C23</f>
        <v>CUB C/R R12</v>
      </c>
      <c r="D37" s="25">
        <f>'4637'!D23</f>
        <v>1620</v>
      </c>
      <c r="E37" s="25">
        <f>'4637'!E23</f>
        <v>600</v>
      </c>
      <c r="F37" s="25" t="str">
        <f>'4637'!F23</f>
        <v>PP-5855 BR TOP ROCK</v>
      </c>
      <c r="G37" s="1"/>
    </row>
    <row r="38" spans="1:7" ht="15.6" x14ac:dyDescent="0.3">
      <c r="A38" s="95"/>
      <c r="B38" s="25">
        <f>'4637'!B24</f>
        <v>1</v>
      </c>
      <c r="C38" s="102" t="str">
        <f>'4637'!C24</f>
        <v>CUB C/R R12</v>
      </c>
      <c r="D38" s="25">
        <f>'4637'!D24</f>
        <v>3020</v>
      </c>
      <c r="E38" s="25">
        <f>'4637'!E24</f>
        <v>450</v>
      </c>
      <c r="F38" s="25" t="str">
        <f>'4637'!F24</f>
        <v>PP-5855 BR TOP ROCK</v>
      </c>
      <c r="G38" s="1"/>
    </row>
    <row r="39" spans="1:7" ht="15.6" x14ac:dyDescent="0.3">
      <c r="A39" s="95"/>
      <c r="B39" s="25">
        <f>'4637'!B25</f>
        <v>1</v>
      </c>
      <c r="C39" s="102" t="str">
        <f>'4637'!C25</f>
        <v>CUB C/R R12</v>
      </c>
      <c r="D39" s="25">
        <f>'4637'!D25</f>
        <v>1050</v>
      </c>
      <c r="E39" s="25">
        <f>'4637'!E25</f>
        <v>450</v>
      </c>
      <c r="F39" s="25" t="str">
        <f>'4637'!F25</f>
        <v>BLANCO MERINO OPACO</v>
      </c>
      <c r="G39" s="1"/>
    </row>
    <row r="40" spans="1:7" ht="15.6" x14ac:dyDescent="0.3">
      <c r="A40" s="52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4180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>FRANCISCO MELLA BARRIOS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0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19" t="s">
        <v>68</v>
      </c>
      <c r="B56" s="119"/>
      <c r="C56" s="119"/>
      <c r="D56" s="119"/>
      <c r="E56" s="119"/>
      <c r="F56" s="119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20" t="s">
        <v>69</v>
      </c>
      <c r="C58" s="121"/>
      <c r="D58" s="122"/>
      <c r="E58" s="122"/>
      <c r="F58" s="123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5"/>
      <c r="B60" s="38">
        <f>'4637'!B21</f>
        <v>1</v>
      </c>
      <c r="C60" s="101" t="str">
        <f>'4637'!C21</f>
        <v>CUB C/R R12</v>
      </c>
      <c r="D60" s="39">
        <f>'4637'!D21</f>
        <v>2850</v>
      </c>
      <c r="E60" s="39">
        <f>'4637'!E21</f>
        <v>600</v>
      </c>
      <c r="F60" s="38" t="str">
        <f>'4637'!F21</f>
        <v>PP-5855 BR TOP ROCK</v>
      </c>
      <c r="G60" s="1"/>
    </row>
    <row r="61" spans="1:7" s="15" customFormat="1" ht="15" customHeight="1" x14ac:dyDescent="0.3">
      <c r="A61" s="95"/>
      <c r="B61" s="38">
        <f>'4637'!B22</f>
        <v>1</v>
      </c>
      <c r="C61" s="101" t="str">
        <f>'4637'!C22</f>
        <v>CUB C/R R12</v>
      </c>
      <c r="D61" s="39">
        <f>'4637'!D22</f>
        <v>1400</v>
      </c>
      <c r="E61" s="39">
        <f>'4637'!E22</f>
        <v>600</v>
      </c>
      <c r="F61" s="38" t="str">
        <f>'4637'!F22</f>
        <v>PP-5855 BR TOP ROCK</v>
      </c>
      <c r="G61" s="1"/>
    </row>
    <row r="62" spans="1:7" s="15" customFormat="1" ht="15" customHeight="1" x14ac:dyDescent="0.3">
      <c r="A62" s="95"/>
      <c r="B62" s="38">
        <f>'4637'!B23</f>
        <v>1</v>
      </c>
      <c r="C62" s="101" t="str">
        <f>'4637'!C23</f>
        <v>CUB C/R R12</v>
      </c>
      <c r="D62" s="39">
        <f>'4637'!D23</f>
        <v>1620</v>
      </c>
      <c r="E62" s="39">
        <f>'4637'!E23</f>
        <v>600</v>
      </c>
      <c r="F62" s="38" t="str">
        <f>'4637'!F23</f>
        <v>PP-5855 BR TOP ROCK</v>
      </c>
      <c r="G62" s="1"/>
    </row>
    <row r="63" spans="1:7" s="15" customFormat="1" ht="15" customHeight="1" x14ac:dyDescent="0.3">
      <c r="A63" s="95"/>
      <c r="B63" s="38">
        <f>'4637'!B24</f>
        <v>1</v>
      </c>
      <c r="C63" s="101" t="str">
        <f>'4637'!C24</f>
        <v>CUB C/R R12</v>
      </c>
      <c r="D63" s="39">
        <f>'4637'!D24</f>
        <v>3020</v>
      </c>
      <c r="E63" s="39">
        <f>'4637'!E24</f>
        <v>450</v>
      </c>
      <c r="F63" s="38" t="str">
        <f>'4637'!F24</f>
        <v>PP-5855 BR TOP ROCK</v>
      </c>
      <c r="G63" s="1"/>
    </row>
    <row r="64" spans="1:7" s="15" customFormat="1" ht="15" customHeight="1" x14ac:dyDescent="0.3">
      <c r="A64" s="95"/>
      <c r="B64" s="38">
        <f>'4637'!B25</f>
        <v>1</v>
      </c>
      <c r="C64" s="101" t="str">
        <f>'4637'!C25</f>
        <v>CUB C/R R12</v>
      </c>
      <c r="D64" s="39">
        <f>'4637'!D25</f>
        <v>1050</v>
      </c>
      <c r="E64" s="39">
        <f>'4637'!E25</f>
        <v>450</v>
      </c>
      <c r="F64" s="38" t="str">
        <f>'4637'!F25</f>
        <v>BLANCO MERINO OPACO</v>
      </c>
      <c r="G64" s="1"/>
    </row>
    <row r="65" spans="1:7" s="15" customFormat="1" ht="15" customHeight="1" x14ac:dyDescent="0.3">
      <c r="A65" s="50"/>
      <c r="B65" s="52"/>
      <c r="C65" s="52"/>
      <c r="D65" s="52"/>
      <c r="E65" s="52"/>
      <c r="F65" s="52"/>
      <c r="G65" s="1"/>
    </row>
    <row r="66" spans="1:7" ht="15.6" x14ac:dyDescent="0.3">
      <c r="A66" s="6"/>
      <c r="B66" s="6"/>
      <c r="C66" s="1"/>
      <c r="D66" s="6"/>
      <c r="E66" s="6"/>
      <c r="F66" s="44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21:F21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2025-06-19T20:34:17Z</cp:lastPrinted>
  <dcterms:created xsi:type="dcterms:W3CDTF">2013-03-19T12:54:14Z</dcterms:created>
  <dcterms:modified xsi:type="dcterms:W3CDTF">2025-06-19T20:34:31Z</dcterms:modified>
</cp:coreProperties>
</file>