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5\"/>
    </mc:Choice>
  </mc:AlternateContent>
  <xr:revisionPtr revIDLastSave="0" documentId="13_ncr:1_{E7382C40-0795-4656-A302-8B5B463369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J14" i="3"/>
  <c r="C14" i="3" s="1"/>
  <c r="C28" i="3"/>
  <c r="J22" i="3" s="1"/>
  <c r="C22" i="3" s="1"/>
  <c r="D28" i="3"/>
  <c r="G22" i="3" s="1"/>
  <c r="E28" i="3"/>
  <c r="K22" i="3" s="1"/>
  <c r="E22" i="3" s="1"/>
  <c r="F28" i="3"/>
  <c r="L22" i="3" s="1"/>
  <c r="F22" i="3" s="1"/>
  <c r="G28" i="3"/>
  <c r="C49" i="3"/>
  <c r="D49" i="3"/>
  <c r="E49" i="3"/>
  <c r="F49" i="3"/>
  <c r="G49" i="3"/>
  <c r="L14" i="3" l="1"/>
  <c r="F14" i="3" s="1"/>
  <c r="K14" i="3"/>
  <c r="E14" i="3" s="1"/>
  <c r="G14" i="3"/>
  <c r="J30" i="3" l="1"/>
  <c r="J53" i="3"/>
  <c r="H26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<sst xmlns="http://schemas.openxmlformats.org/spreadsheetml/2006/main" count="247" uniqueCount="143">
  <si>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</si>
  <si>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</si>
  <si>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</si>
  <si>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</si>
  <si>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</si>
  <si>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</si>
  <si>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</si>
  <si>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</si>
  <si>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</si>
  <si>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</si>
  <si>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</si>
  <si>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</si>
  <si>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</si>
  <si>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</si>
  <si>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</si>
  <si>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</si>
  <si>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</si>
  <si>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</si>
  <si>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</si>
  <si>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</si>
  <si>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</si>
  <si>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</si>
  <si>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</si>
  <si>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</si>
  <si>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</si>
  <si>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</si>
  <si>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</si>
  <si>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</si>
  <si>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</si>
  <si>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</si>
  <si>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</si>
  <si>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</si>
  <si>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</si>
  <si>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</si>
  <si>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</si>
  <si>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</si>
  <si>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</si>
  <si>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</si>
  <si>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</si>
  <si>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</si>
  <si>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</si>
  <si>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</si>
  <si>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</si>
  <si>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</si>
  <si>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</si>
  <si>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</si>
  <si>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</si>
  <si>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</si>
  <si>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</si>
  <si>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</si>
  <si>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</si>
  <si>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</si>
  <si>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</si>
  <si>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</si>
  <si>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</si>
  <si>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</si>
  <si>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</si>
  <si>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</si>
  <si>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</si>
  <si>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</si>
  <si>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</si>
  <si>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</si>
  <si>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</si>
  <si>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</si>
  <si>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</si>
  <si>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</si>
  <si>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</si>
  <si>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</si>
  <si>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</si>
  <si>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</si>
  <si>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</si>
  <si>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</si>
  <si>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</si>
  <si>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</si>
  <si>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</si>
  <si>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</si>
  <si>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</si>
  <si>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</si>
  <si>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</si>
  <si>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</si>
  <si>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</si>
  <si>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</si>
  <si>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</si>
  <si>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</si>
  <si>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</si>
  <si>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</si>
  <si>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</si>
  <si>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</si>
  <si>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</si>
  <si>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</si>
  <si>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</si>
  <si>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</si>
  <si>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</si>
  <si>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</si>
  <si>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</si>
  <si>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</si>
  <si>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</si>
  <si>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</si>
  <si>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</si>
  <si>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</si>
  <si>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</si>
  <si>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</si>
  <si>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</si>
  <si>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</si>
  <si>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</si>
  <si>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</si>
  <si>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</si>
  <si>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</si>
  <si>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</si>
  <si>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</si>
  <si>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</si>
  <si>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</si>
  <si>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</si>
  <si>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</si>
  <si>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</si>
  <si>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</si>
  <si>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</si>
  <si>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</si>
  <si>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</si>
  <si>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</si>
  <si>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</si>
  <si>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</si>
  <si>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</si>
  <si>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</si>
  <si>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</si>
  <si>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</si>
  <si>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</si>
  <si>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</si>
  <si>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</si>
  <si>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</si>
  <si>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</si>
  <si>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</si>
  <si>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</si>
  <si>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</si>
  <si>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</si>
  <si>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</si>
  <si>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</si>
  <si>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</si>
  <si>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OSCAR ALMARZA</t>
  </si>
  <si>
    <t>PURE OAK 10514 SF</t>
  </si>
  <si>
    <t>569 4577 9682</t>
  </si>
  <si>
    <t>MELAMIL 18MM</t>
  </si>
  <si>
    <t>4149R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</si>
</sst>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23</xdr:row>
      <xdr:rowOff>23327</xdr:rowOff>
    </xdr:from>
    <xdr:to>
      <xdr:col>5</xdr:col>
      <xdr:colOff>1562878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CAMBIO DE MEDIDAS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CORTADAS A LA MEDIDA Y ENCHAPADAS CON TAPACANTO PVC 0,45MM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CORTADAS A LA MEDIDA Y ENCHAPADAS CON TAPACANTO PVC 0,45MM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5" zoomScale="98" zoomScaleNormal="98" workbookViewId="0">
      <selection activeCell="N19" sqref="N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11283</v>
      </c>
      <c r="E8" s="29"/>
      <c r="F8" s="34" t="s">
        <v>25</v>
      </c>
      <c r="G8" s="35" t="s">
        <v>142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12" t="s">
        <v>138</v>
      </c>
      <c r="D10" s="37"/>
      <c r="E10" s="37"/>
      <c r="F10" s="38" t="s">
        <v>26</v>
      </c>
      <c r="G10" s="39">
        <v>45705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29"/>
      <c r="B11" s="41" t="s">
        <v>2</v>
      </c>
      <c r="C11" s="113"/>
      <c r="D11" s="114"/>
      <c r="E11" s="114"/>
      <c r="F11" s="114" t="s">
        <v>120</v>
      </c>
      <c r="G11" s="42"/>
      <c r="H11" s="43"/>
      <c r="I11" s="29"/>
    </row>
    <row r="12" spans="1:17" ht="18.600000000000001" x14ac:dyDescent="0.4">
      <c r="A12" s="29"/>
      <c r="B12" s="44" t="s">
        <v>126</v>
      </c>
      <c r="C12" s="115"/>
      <c r="D12" s="45"/>
      <c r="E12" s="45"/>
      <c r="F12" s="45" t="s">
        <v>27</v>
      </c>
      <c r="G12" s="116"/>
      <c r="H12" s="46"/>
      <c r="I12" s="29"/>
    </row>
    <row r="13" spans="1:17" ht="18" x14ac:dyDescent="0.35">
      <c r="A13" s="29"/>
      <c r="B13" s="44" t="s">
        <v>127</v>
      </c>
      <c r="D13" s="45"/>
      <c r="E13" s="45"/>
      <c r="F13" s="45" t="s">
        <v>124</v>
      </c>
      <c r="G13" s="116" t="s">
        <v>134</v>
      </c>
      <c r="H13" s="46"/>
      <c r="I13" s="29"/>
    </row>
    <row r="14" spans="1:17" ht="18" x14ac:dyDescent="0.35">
      <c r="A14" s="29"/>
      <c r="B14" s="41" t="s">
        <v>16</v>
      </c>
      <c r="C14" s="120" t="s">
        <v>140</v>
      </c>
      <c r="D14" s="117"/>
      <c r="E14" s="114"/>
      <c r="F14" s="114"/>
      <c r="G14" s="114"/>
      <c r="H14" s="43"/>
      <c r="I14" s="29"/>
    </row>
    <row r="15" spans="1:17" ht="18" x14ac:dyDescent="0.35">
      <c r="A15" s="29"/>
      <c r="B15" s="44" t="s">
        <v>1</v>
      </c>
      <c r="D15" s="45"/>
      <c r="E15" s="45"/>
      <c r="F15" s="118" t="s">
        <v>72</v>
      </c>
      <c r="G15" s="118" t="s">
        <v>129</v>
      </c>
      <c r="H15" s="46"/>
      <c r="I15" s="29"/>
    </row>
    <row r="16" spans="1:17" ht="19.2" thickBot="1" x14ac:dyDescent="0.45">
      <c r="A16" s="29"/>
      <c r="B16" s="47" t="s">
        <v>3</v>
      </c>
      <c r="C16" s="119" t="s">
        <v>137</v>
      </c>
      <c r="D16" s="48"/>
      <c r="E16" s="49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0" t="s">
        <v>128</v>
      </c>
      <c r="C20" s="102" t="s">
        <v>19</v>
      </c>
      <c r="D20" s="102" t="s">
        <v>20</v>
      </c>
      <c r="E20" s="102" t="s">
        <v>7</v>
      </c>
      <c r="F20" s="103" t="s">
        <v>21</v>
      </c>
      <c r="G20" s="104" t="s">
        <v>22</v>
      </c>
      <c r="H20" s="103" t="s">
        <v>4</v>
      </c>
      <c r="I20" s="29"/>
      <c r="N20">
        <v>65000</v>
      </c>
    </row>
    <row r="21" spans="1:16" ht="20.100000000000001" customHeight="1" x14ac:dyDescent="0.35">
      <c r="A21" s="29"/>
      <c r="B21" s="96">
        <v>2</v>
      </c>
      <c r="C21" s="96" t="s">
        <v>60</v>
      </c>
      <c r="D21" s="97">
        <v>400</v>
      </c>
      <c r="E21" s="97">
        <v>397</v>
      </c>
      <c r="F21" s="96" t="s">
        <v>139</v>
      </c>
      <c r="G21" s="111">
        <v>13382</v>
      </c>
      <c r="H21" s="111">
        <f t="shared" ref="H21" si="0">G21*B21</f>
        <v>26764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98"/>
      <c r="C22" s="98"/>
      <c r="D22" s="99"/>
      <c r="E22" s="99"/>
      <c r="F22" s="98"/>
      <c r="G22" s="100"/>
      <c r="H22" s="100"/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98"/>
      <c r="C23" s="98"/>
      <c r="D23" s="110"/>
      <c r="E23" s="110"/>
      <c r="F23" s="98"/>
      <c r="G23" s="100"/>
      <c r="H23" s="100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98"/>
      <c r="C24" s="98"/>
      <c r="D24" s="110"/>
      <c r="E24" s="110"/>
      <c r="F24" s="98"/>
      <c r="G24" s="53" t="s">
        <v>5</v>
      </c>
      <c r="H24" s="54">
        <f>SUM(H21:H23)</f>
        <v>26764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98"/>
      <c r="C25" s="98"/>
      <c r="D25" s="110"/>
      <c r="E25" s="110"/>
      <c r="F25" s="98"/>
      <c r="G25" s="55" t="s">
        <v>136</v>
      </c>
      <c r="H25" s="56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98"/>
      <c r="C26" s="98"/>
      <c r="D26" s="110"/>
      <c r="E26" s="110"/>
      <c r="F26" s="98"/>
      <c r="G26" s="57" t="s">
        <v>4</v>
      </c>
      <c r="H26" s="58">
        <f>H24+H25</f>
        <v>26764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8"/>
      <c r="C27" s="98"/>
      <c r="D27" s="110"/>
      <c r="E27" s="110"/>
      <c r="F27" s="98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8"/>
      <c r="C28" s="98"/>
      <c r="D28" s="110"/>
      <c r="E28" s="110"/>
      <c r="F28" s="98"/>
      <c r="G28" s="100"/>
      <c r="H28" s="100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8"/>
      <c r="C29" s="98"/>
      <c r="D29" s="110"/>
      <c r="E29" s="110"/>
      <c r="F29" s="98"/>
      <c r="G29" s="100"/>
      <c r="H29" s="100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8"/>
      <c r="C30" s="98"/>
      <c r="D30" s="99"/>
      <c r="E30" s="99"/>
      <c r="F30" s="98"/>
      <c r="G30" s="100"/>
      <c r="H30" s="100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8"/>
      <c r="C31" s="98"/>
      <c r="D31" s="99"/>
      <c r="E31" s="99"/>
      <c r="F31" s="98"/>
      <c r="G31" s="100"/>
      <c r="H31" s="100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2"/>
      <c r="C32" s="52"/>
      <c r="D32" s="52"/>
      <c r="E32" s="52"/>
      <c r="F32" s="52"/>
      <c r="G32" s="51"/>
      <c r="H32" s="51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59"/>
      <c r="H36" s="60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1" t="s">
        <v>133</v>
      </c>
      <c r="C38" s="62"/>
      <c r="D38" s="63"/>
      <c r="E38" s="63"/>
      <c r="F38" s="52"/>
      <c r="G38" s="29"/>
      <c r="H38" s="29"/>
      <c r="I38" s="29"/>
    </row>
    <row r="39" spans="1:9" ht="18" x14ac:dyDescent="0.35">
      <c r="A39" s="29"/>
      <c r="B39" s="61" t="s">
        <v>119</v>
      </c>
      <c r="C39" s="62"/>
      <c r="D39" s="63"/>
      <c r="E39" s="63"/>
      <c r="F39" s="52"/>
      <c r="G39" s="29"/>
      <c r="H39" s="29"/>
      <c r="I39" s="29"/>
    </row>
    <row r="40" spans="1:9" ht="18" x14ac:dyDescent="0.35">
      <c r="A40" s="29"/>
      <c r="B40" s="29" t="s">
        <v>23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64" t="s">
        <v>24</v>
      </c>
      <c r="C41" s="64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64"/>
      <c r="F42" s="29"/>
      <c r="G42" s="29"/>
      <c r="H42" s="29"/>
      <c r="I42" s="29"/>
    </row>
    <row r="43" spans="1:9" ht="18" x14ac:dyDescent="0.35">
      <c r="A43" s="29"/>
      <c r="B43" s="30" t="s">
        <v>131</v>
      </c>
      <c r="C43" s="30"/>
      <c r="D43" s="30"/>
      <c r="E43" s="65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65"/>
      <c r="F44" s="29"/>
      <c r="G44" s="29"/>
      <c r="H44" s="29"/>
      <c r="I44" s="29"/>
    </row>
    <row r="45" spans="1:9" ht="18" x14ac:dyDescent="0.35">
      <c r="A45" s="29"/>
      <c r="B45" s="30" t="s">
        <v>132</v>
      </c>
      <c r="C45" s="29"/>
      <c r="D45" s="29"/>
      <c r="E45" s="64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64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2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B1" zoomScaleNormal="100" workbookViewId="0">
      <selection activeCell="B1" sqref="B1:G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67" t="s">
        <v>25</v>
      </c>
      <c r="E4" s="68" t="str">
        <f>'4637'!G8</f>
        <v>4149R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69" t="s">
        <v>64</v>
      </c>
      <c r="E5" s="70" t="str">
        <f>'4637'!C10</f>
        <v>OSCAR ALMARZA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1"/>
      <c r="E6" s="72"/>
      <c r="F6" s="29"/>
      <c r="G6" s="29"/>
      <c r="H6" s="29"/>
    </row>
    <row r="7" spans="1:15" ht="18" x14ac:dyDescent="0.35">
      <c r="B7" s="29"/>
      <c r="C7" s="29"/>
      <c r="D7" s="82" t="str">
        <f>'4637'!F11</f>
        <v>FECHA LIMITE :</v>
      </c>
      <c r="E7" s="74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3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84"/>
      <c r="E11" s="29"/>
      <c r="F11" s="29"/>
      <c r="G11" s="29"/>
      <c r="H11" s="29"/>
    </row>
    <row r="12" spans="1:15" ht="18" x14ac:dyDescent="0.35">
      <c r="B12" s="29"/>
      <c r="C12" s="29"/>
      <c r="D12" s="29"/>
      <c r="E12" s="59" t="s">
        <v>6</v>
      </c>
      <c r="F12" s="59" t="s">
        <v>7</v>
      </c>
      <c r="G12" s="29"/>
      <c r="H12" s="29"/>
    </row>
    <row r="13" spans="1:15" ht="18" x14ac:dyDescent="0.35">
      <c r="B13" s="59" t="s">
        <v>8</v>
      </c>
      <c r="C13" s="85" t="s">
        <v>9</v>
      </c>
      <c r="D13" s="85" t="s">
        <v>10</v>
      </c>
      <c r="E13" s="86">
        <v>50</v>
      </c>
      <c r="F13" s="86">
        <v>-2</v>
      </c>
      <c r="G13" s="85" t="s">
        <v>107</v>
      </c>
      <c r="H13" s="29"/>
      <c r="K13" s="5" t="s">
        <v>6</v>
      </c>
      <c r="L13" s="5" t="s">
        <v>7</v>
      </c>
    </row>
    <row r="14" spans="1:15" ht="18" x14ac:dyDescent="0.35">
      <c r="A14" s="107"/>
      <c r="B14" s="95" t="s">
        <v>141</v>
      </c>
      <c r="C14" s="87">
        <f t="shared" ref="C14" si="0">J14</f>
        <v>2</v>
      </c>
      <c r="D14" s="87"/>
      <c r="E14" s="87">
        <f t="shared" ref="E14" si="1">K14+E$13</f>
        <v>450</v>
      </c>
      <c r="F14" s="87">
        <f t="shared" ref="F14" si="2">L14+F$13</f>
        <v>395</v>
      </c>
      <c r="G14" s="87" t="str">
        <f>D28</f>
        <v>PR6</v>
      </c>
      <c r="H14" s="29"/>
      <c r="J14" s="3">
        <f>'4637'!B21</f>
        <v>2</v>
      </c>
      <c r="K14" s="4">
        <f>E28</f>
        <v>400</v>
      </c>
      <c r="L14" s="4">
        <f>F28</f>
        <v>397</v>
      </c>
    </row>
    <row r="15" spans="1:15" ht="18" x14ac:dyDescent="0.35">
      <c r="A15" s="107"/>
      <c r="B15" s="95"/>
      <c r="C15" s="66"/>
      <c r="D15" s="66"/>
      <c r="E15" s="66"/>
      <c r="F15" s="66"/>
      <c r="G15" s="66"/>
      <c r="H15" s="29"/>
      <c r="J15" s="23"/>
      <c r="K15" s="2"/>
      <c r="L15" s="2"/>
    </row>
    <row r="16" spans="1:15" ht="18" x14ac:dyDescent="0.35">
      <c r="A16" s="2"/>
      <c r="B16" s="76"/>
      <c r="C16" s="66"/>
      <c r="D16" s="66"/>
      <c r="E16" s="66"/>
      <c r="F16" s="66"/>
      <c r="G16" s="66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29"/>
    </row>
    <row r="19" spans="1:12" ht="10.5" customHeight="1" x14ac:dyDescent="0.35">
      <c r="A19" s="2"/>
      <c r="B19" s="29"/>
      <c r="C19" s="29"/>
      <c r="D19" s="84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59" t="s">
        <v>6</v>
      </c>
      <c r="F20" s="59" t="s">
        <v>7</v>
      </c>
      <c r="G20" s="29"/>
      <c r="H20" s="29"/>
    </row>
    <row r="21" spans="1:12" ht="18" x14ac:dyDescent="0.35">
      <c r="A21" s="2"/>
      <c r="B21" s="59" t="s">
        <v>8</v>
      </c>
      <c r="C21" s="75" t="s">
        <v>9</v>
      </c>
      <c r="D21" s="75" t="s">
        <v>10</v>
      </c>
      <c r="E21" s="88">
        <v>40</v>
      </c>
      <c r="F21" s="88">
        <v>90</v>
      </c>
      <c r="G21" s="75" t="s">
        <v>107</v>
      </c>
      <c r="H21" s="29"/>
      <c r="K21" s="5" t="s">
        <v>6</v>
      </c>
      <c r="L21" s="5" t="s">
        <v>7</v>
      </c>
    </row>
    <row r="22" spans="1:12" ht="18" x14ac:dyDescent="0.35">
      <c r="A22" s="107"/>
      <c r="B22" s="95"/>
      <c r="C22" s="89">
        <f t="shared" ref="C22" si="3">J22</f>
        <v>2</v>
      </c>
      <c r="D22" s="89"/>
      <c r="E22" s="89">
        <f>K22+E$21</f>
        <v>440</v>
      </c>
      <c r="F22" s="89">
        <f>L22+F$21</f>
        <v>487</v>
      </c>
      <c r="G22" s="89" t="str">
        <f>D28</f>
        <v>PR6</v>
      </c>
      <c r="H22" s="29"/>
      <c r="J22" s="3">
        <f>C28</f>
        <v>2</v>
      </c>
      <c r="K22" s="101">
        <f t="shared" ref="K22:L22" si="4">E28</f>
        <v>400</v>
      </c>
      <c r="L22" s="101">
        <f t="shared" si="4"/>
        <v>397</v>
      </c>
    </row>
    <row r="23" spans="1:12" ht="18" x14ac:dyDescent="0.35">
      <c r="A23" s="107"/>
      <c r="B23" s="95"/>
      <c r="C23" s="66"/>
      <c r="D23" s="66"/>
      <c r="E23" s="66"/>
      <c r="F23" s="66"/>
      <c r="G23" s="66"/>
      <c r="H23" s="29"/>
      <c r="J23" s="23"/>
      <c r="K23" s="109"/>
      <c r="L23" s="109"/>
    </row>
    <row r="24" spans="1:12" ht="18.600000000000001" thickBot="1" x14ac:dyDescent="0.4">
      <c r="A24" s="2"/>
      <c r="B24" s="76"/>
      <c r="C24" s="66"/>
      <c r="D24" s="66"/>
      <c r="E24" s="66"/>
      <c r="F24" s="66"/>
      <c r="G24" s="66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59"/>
      <c r="C25" s="90" t="s">
        <v>104</v>
      </c>
      <c r="D25" s="32"/>
      <c r="E25" s="32"/>
      <c r="F25" s="32"/>
      <c r="G25" s="91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59" t="s">
        <v>8</v>
      </c>
      <c r="C27" s="92" t="s">
        <v>9</v>
      </c>
      <c r="D27" s="92" t="s">
        <v>107</v>
      </c>
      <c r="E27" s="92" t="s">
        <v>6</v>
      </c>
      <c r="F27" s="92" t="s">
        <v>7</v>
      </c>
      <c r="G27" s="92" t="s">
        <v>21</v>
      </c>
      <c r="H27" s="29"/>
    </row>
    <row r="28" spans="1:12" ht="18" x14ac:dyDescent="0.35">
      <c r="A28" s="107"/>
      <c r="B28" s="95"/>
      <c r="C28" s="87">
        <f>'4637'!B21</f>
        <v>2</v>
      </c>
      <c r="D28" s="87" t="str">
        <f>'4637'!C21</f>
        <v>PR6</v>
      </c>
      <c r="E28" s="87">
        <f>'4637'!D21</f>
        <v>400</v>
      </c>
      <c r="F28" s="87">
        <f>'4637'!E21</f>
        <v>397</v>
      </c>
      <c r="G28" s="87" t="str">
        <f>'4637'!F21</f>
        <v>PURE OAK 10514 SF</v>
      </c>
      <c r="H28" s="29"/>
      <c r="I28" s="27"/>
      <c r="J28" s="27"/>
    </row>
    <row r="29" spans="1:12" ht="18" x14ac:dyDescent="0.35">
      <c r="A29" s="2"/>
      <c r="B29" s="29"/>
      <c r="C29" s="66"/>
      <c r="D29" s="66"/>
      <c r="E29" s="66"/>
      <c r="F29" s="66"/>
      <c r="G29" s="66"/>
      <c r="H29" s="29"/>
    </row>
    <row r="30" spans="1:12" ht="18" x14ac:dyDescent="0.35">
      <c r="A30" s="2"/>
      <c r="B30" s="29"/>
      <c r="C30" s="66"/>
      <c r="D30" s="66"/>
      <c r="E30" s="66"/>
      <c r="F30" s="66"/>
      <c r="G30" s="66"/>
      <c r="H30" s="29"/>
      <c r="J30" s="27" t="e">
        <f>SUM(#REF!)*2</f>
        <v>#REF!</v>
      </c>
    </row>
    <row r="31" spans="1:12" ht="18" x14ac:dyDescent="0.35">
      <c r="A31" s="2"/>
      <c r="B31" s="29"/>
      <c r="C31" s="66"/>
      <c r="D31" s="66"/>
      <c r="E31" s="66"/>
      <c r="F31" s="66"/>
      <c r="G31" s="66"/>
      <c r="H31" s="29"/>
    </row>
    <row r="32" spans="1:12" ht="18" x14ac:dyDescent="0.35">
      <c r="A32" s="2"/>
      <c r="B32" s="29"/>
      <c r="C32" s="66"/>
      <c r="D32" s="66"/>
      <c r="E32" s="66"/>
      <c r="F32" s="66"/>
      <c r="G32" s="66"/>
      <c r="H32" s="29"/>
    </row>
    <row r="33" spans="1:11" ht="18" x14ac:dyDescent="0.35">
      <c r="A33" s="2"/>
      <c r="B33" s="29"/>
      <c r="C33" s="66"/>
      <c r="D33" s="66"/>
      <c r="E33" s="66"/>
      <c r="F33" s="66"/>
      <c r="G33" s="66"/>
      <c r="H33" s="29"/>
    </row>
    <row r="34" spans="1:11" ht="18" x14ac:dyDescent="0.35">
      <c r="A34" s="2"/>
      <c r="B34" s="29"/>
      <c r="C34" s="66"/>
      <c r="D34" s="66"/>
      <c r="E34" s="66"/>
      <c r="F34" s="66"/>
      <c r="G34" s="66"/>
      <c r="H34" s="29"/>
    </row>
    <row r="35" spans="1:11" ht="18" x14ac:dyDescent="0.35">
      <c r="A35" s="2"/>
      <c r="B35" s="29"/>
      <c r="C35" s="66"/>
      <c r="D35" s="66"/>
      <c r="E35" s="66"/>
      <c r="F35" s="66"/>
      <c r="G35" s="66"/>
      <c r="H35" s="29"/>
    </row>
    <row r="36" spans="1:11" ht="18" x14ac:dyDescent="0.35">
      <c r="A36" s="2"/>
      <c r="B36" s="29"/>
      <c r="C36" s="66"/>
      <c r="D36" s="66"/>
      <c r="E36" s="66"/>
      <c r="F36" s="66"/>
      <c r="G36" s="66"/>
      <c r="H36" s="29"/>
    </row>
    <row r="37" spans="1:11" ht="18" x14ac:dyDescent="0.35">
      <c r="A37" s="2"/>
      <c r="B37" s="29"/>
      <c r="C37" s="66"/>
      <c r="D37" s="66"/>
      <c r="E37" s="66"/>
      <c r="F37" s="66"/>
      <c r="G37" s="66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67" t="s">
        <v>25</v>
      </c>
      <c r="E39" s="68" t="str">
        <f>'4637'!G8</f>
        <v>4149R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69" t="s">
        <v>64</v>
      </c>
      <c r="E40" s="70" t="str">
        <f>'4637'!C10</f>
        <v>OSCAR ALMARZA</v>
      </c>
      <c r="F40" s="45"/>
      <c r="G40" s="45"/>
      <c r="H40" s="29"/>
    </row>
    <row r="41" spans="1:11" ht="4.5" customHeight="1" x14ac:dyDescent="0.35">
      <c r="A41" s="2"/>
      <c r="B41" s="29"/>
      <c r="C41" s="29"/>
      <c r="D41" s="71"/>
      <c r="E41" s="72"/>
      <c r="F41" s="29"/>
      <c r="G41" s="29"/>
      <c r="H41" s="29"/>
    </row>
    <row r="42" spans="1:11" ht="18" x14ac:dyDescent="0.35">
      <c r="A42" s="2"/>
      <c r="B42" s="29"/>
      <c r="C42" s="29"/>
      <c r="D42" s="73" t="str">
        <f>'4637'!F11</f>
        <v>FECHA LIMITE :</v>
      </c>
      <c r="E42" s="74">
        <f>'4637'!G11</f>
        <v>0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135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30" t="s">
        <v>65</v>
      </c>
      <c r="C45" s="130"/>
      <c r="D45" s="130"/>
      <c r="E45" s="130"/>
      <c r="F45" s="130"/>
      <c r="G45" s="130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1" t="s">
        <v>66</v>
      </c>
      <c r="D47" s="132"/>
      <c r="E47" s="133"/>
      <c r="F47" s="133"/>
      <c r="G47" s="134"/>
      <c r="H47" s="29"/>
      <c r="I47" s="24" t="s">
        <v>130</v>
      </c>
    </row>
    <row r="48" spans="1:11" s="10" customFormat="1" ht="20.100000000000001" customHeight="1" x14ac:dyDescent="0.35">
      <c r="A48" s="108"/>
      <c r="B48" s="29"/>
      <c r="C48" s="77" t="s">
        <v>9</v>
      </c>
      <c r="D48" s="78" t="s">
        <v>10</v>
      </c>
      <c r="E48" s="81" t="s">
        <v>6</v>
      </c>
      <c r="F48" s="81" t="s">
        <v>7</v>
      </c>
      <c r="G48" s="79" t="s">
        <v>11</v>
      </c>
      <c r="H48" s="29"/>
      <c r="K48" s="10">
        <v>15000</v>
      </c>
    </row>
    <row r="49" spans="1:13" s="10" customFormat="1" ht="20.100000000000001" customHeight="1" x14ac:dyDescent="0.35">
      <c r="A49" s="107"/>
      <c r="B49" s="94" t="s">
        <v>141</v>
      </c>
      <c r="C49" s="89">
        <f>'4637'!B21</f>
        <v>2</v>
      </c>
      <c r="D49" s="89" t="str">
        <f>'4637'!C21</f>
        <v>PR6</v>
      </c>
      <c r="E49" s="93">
        <f>'4637'!D21</f>
        <v>400</v>
      </c>
      <c r="F49" s="93">
        <f>'4637'!E21</f>
        <v>397</v>
      </c>
      <c r="G49" s="89" t="str">
        <f>'4637'!F21</f>
        <v>PURE OAK 10514 SF</v>
      </c>
      <c r="H49" s="29"/>
      <c r="K49" s="25"/>
      <c r="M49" s="28"/>
    </row>
    <row r="50" spans="1:13" s="10" customFormat="1" ht="20.100000000000001" customHeight="1" x14ac:dyDescent="0.35">
      <c r="A50" s="107"/>
      <c r="C50" s="66"/>
      <c r="D50" s="66"/>
      <c r="E50" s="66"/>
      <c r="F50" s="66"/>
      <c r="G50" s="66"/>
      <c r="H50" s="29"/>
      <c r="K50" s="25"/>
      <c r="M50" s="28"/>
    </row>
    <row r="51" spans="1:13" s="10" customFormat="1" ht="15" customHeight="1" x14ac:dyDescent="0.35">
      <c r="B51" s="76"/>
      <c r="C51" s="59"/>
      <c r="D51" s="59"/>
      <c r="E51" s="59"/>
      <c r="F51" s="59"/>
      <c r="G51" s="59"/>
      <c r="H51" s="29"/>
    </row>
    <row r="52" spans="1:13" ht="18" x14ac:dyDescent="0.35">
      <c r="B52" s="66"/>
      <c r="C52" s="66"/>
      <c r="D52" s="29"/>
      <c r="E52" s="66"/>
      <c r="F52" s="66"/>
      <c r="G52" s="71"/>
      <c r="H52" s="29"/>
    </row>
    <row r="53" spans="1:13" ht="18" x14ac:dyDescent="0.35">
      <c r="B53" s="66"/>
      <c r="C53" s="66"/>
      <c r="D53" s="29"/>
      <c r="E53" s="66"/>
      <c r="F53" s="66"/>
      <c r="G53" s="66"/>
      <c r="H53" s="29"/>
      <c r="J53" s="10" t="e">
        <f>SUM(#REF!)</f>
        <v>#REF!</v>
      </c>
      <c r="K53" s="26" t="e">
        <f>SUM(#REF!)</f>
        <v>#REF!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66"/>
      <c r="C59" s="80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8:G18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2025-02-26T17:50:12Z</cp:lastPrinted>
  <dcterms:created xsi:type="dcterms:W3CDTF">2013-03-19T12:54:14Z</dcterms:created>
  <dcterms:modified xsi:type="dcterms:W3CDTF">2025-02-26T17:51:51Z</dcterms:modified>
</cp:coreProperties>
</file>