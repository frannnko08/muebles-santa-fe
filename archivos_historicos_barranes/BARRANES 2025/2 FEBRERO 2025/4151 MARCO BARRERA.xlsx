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5\"/>
    </mc:Choice>
  </mc:AlternateContent>
  <xr:revisionPtr revIDLastSave="0" documentId="13_ncr:1_{14741E29-80EB-4B5B-B7A6-43FA083C5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CUBIERTA!$B$1:$G$40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J15" i="3"/>
  <c r="C15" i="3" s="1"/>
  <c r="C32" i="3"/>
  <c r="J24" i="3" s="1"/>
  <c r="C24" i="3" s="1"/>
  <c r="D32" i="3"/>
  <c r="G24" i="3" s="1"/>
  <c r="E32" i="3"/>
  <c r="K24" i="3" s="1"/>
  <c r="F32" i="3"/>
  <c r="L24" i="3" s="1"/>
  <c r="F24" i="3" s="1"/>
  <c r="G32" i="3"/>
  <c r="C55" i="3"/>
  <c r="D55" i="3"/>
  <c r="E55" i="3"/>
  <c r="F55" i="3"/>
  <c r="G55" i="3"/>
  <c r="L15" i="3" l="1"/>
  <c r="F15" i="3" s="1"/>
  <c r="K15" i="3"/>
  <c r="E15" i="3" s="1"/>
  <c r="G15" i="3"/>
  <c r="H25" i="4"/>
  <c r="B24" i="4"/>
  <c r="J14" i="3" l="1"/>
  <c r="C14" i="3" s="1"/>
  <c r="D54" i="3" l="1"/>
  <c r="L21" i="4" l="1"/>
  <c r="K21" i="4"/>
  <c r="M21" i="4" l="1"/>
  <c r="N21" i="4" s="1"/>
  <c r="C31" i="3" l="1"/>
  <c r="J23" i="3" s="1"/>
  <c r="C23" i="3" s="1"/>
  <c r="D31" i="3"/>
  <c r="G23" i="3" s="1"/>
  <c r="E31" i="3"/>
  <c r="F31" i="3"/>
  <c r="L23" i="3" s="1"/>
  <c r="F23" i="3" s="1"/>
  <c r="G31" i="3"/>
  <c r="C54" i="3"/>
  <c r="E54" i="3"/>
  <c r="F54" i="3"/>
  <c r="G54" i="3"/>
  <c r="I31" i="3" l="1"/>
  <c r="J31" i="3" s="1"/>
  <c r="K23" i="3"/>
  <c r="I54" i="3"/>
  <c r="J54" i="3" s="1"/>
  <c r="K14" i="3"/>
  <c r="E14" i="3" s="1"/>
  <c r="G14" i="3"/>
  <c r="L14" i="3"/>
  <c r="F14" i="3" s="1"/>
  <c r="J35" i="3" l="1"/>
  <c r="K54" i="3"/>
  <c r="J59" i="3"/>
  <c r="H27" i="4"/>
  <c r="O5" i="3"/>
  <c r="K59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<sst xmlns="http://schemas.openxmlformats.org/spreadsheetml/2006/main" count="249" uniqueCount="143">
  <si>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</si>
  <si>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</si>
  <si>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</si>
  <si>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</si>
  <si>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</si>
  <si>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</si>
  <si>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</si>
  <si>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</si>
  <si>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</si>
  <si>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</si>
  <si>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</si>
  <si>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</si>
  <si>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</si>
  <si>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</si>
  <si>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</si>
  <si>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</si>
  <si>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</si>
  <si>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</si>
  <si>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</si>
  <si>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</si>
  <si>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</si>
  <si>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</si>
  <si>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</si>
  <si>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</si>
  <si>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</si>
  <si>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</si>
  <si>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</si>
  <si>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</si>
  <si>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</si>
  <si>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</si>
  <si>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</si>
  <si>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</si>
  <si>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</si>
  <si>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</si>
  <si>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</si>
  <si>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</si>
  <si>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</si>
  <si>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</si>
  <si>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</si>
  <si>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</si>
  <si>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</si>
  <si>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</si>
  <si>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</si>
  <si>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</si>
  <si>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</si>
  <si>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</si>
  <si>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</si>
  <si>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</si>
  <si>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</si>
  <si>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</si>
  <si>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</si>
  <si>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</si>
  <si>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</si>
  <si>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</si>
  <si>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</si>
  <si>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</si>
  <si>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</si>
  <si>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</si>
  <si>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</si>
  <si>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</si>
  <si>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</si>
  <si>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</si>
  <si>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</si>
  <si>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</si>
  <si>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</si>
  <si>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</si>
  <si>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</si>
  <si>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</si>
  <si>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</si>
  <si>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</si>
  <si>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</si>
  <si>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</si>
  <si>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</si>
  <si>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</si>
  <si>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</si>
  <si>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</si>
  <si>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</si>
  <si>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</si>
  <si>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</si>
  <si>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</si>
  <si>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</si>
  <si>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</si>
  <si>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</si>
  <si>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</si>
  <si>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</si>
  <si>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</si>
  <si>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</si>
  <si>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</si>
  <si>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</si>
  <si>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</si>
  <si>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</si>
  <si>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</si>
  <si>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</si>
  <si>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</si>
  <si>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</si>
  <si>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</si>
  <si>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</si>
  <si>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</si>
  <si>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</si>
  <si>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</si>
  <si>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</si>
  <si>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</si>
  <si>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</si>
  <si>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</si>
  <si>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</si>
  <si>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</si>
  <si>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</si>
  <si>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</si>
  <si>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</si>
  <si>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</si>
  <si>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</si>
  <si>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</si>
  <si>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</si>
  <si>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</si>
  <si>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</si>
  <si>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</si>
  <si>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</si>
  <si>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</si>
  <si>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</si>
  <si>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</si>
  <si>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</si>
  <si>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</si>
  <si>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</si>
  <si>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</si>
  <si>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</si>
  <si>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</si>
  <si>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</si>
  <si>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</si>
  <si>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</si>
  <si>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</si>
  <si>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</si>
  <si>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</si>
  <si>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</si>
  <si>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</si>
  <si>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</si>
  <si>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</si>
  <si>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</si>
  <si>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</si>
  <si>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</si>
  <si>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CUB C/R R8</t>
  </si>
  <si>
    <t>MARCO BARRERA</t>
  </si>
  <si>
    <t>569 9324 1138</t>
  </si>
  <si>
    <t>CLASSIC 3111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</si>
</sst>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24</xdr:row>
      <xdr:rowOff>23327</xdr:rowOff>
    </xdr:from>
    <xdr:to>
      <xdr:col>5</xdr:col>
      <xdr:colOff>1562878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61.054.-</a:t>
          </a:r>
          <a:endParaRPr lang="es-CL" sz="1200" b="1" i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1019175</xdr:colOff>
      <xdr:row>58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447675</xdr:colOff>
      <xdr:row>58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60</xdr:row>
      <xdr:rowOff>32385</xdr:rowOff>
    </xdr:from>
    <xdr:to>
      <xdr:col>7</xdr:col>
      <xdr:colOff>0</xdr:colOff>
      <xdr:row>64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786523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5" zoomScale="98" zoomScaleNormal="98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5.5546875" customWidth="1"/>
    <col min="4" max="5" width="11.109375" customWidth="1"/>
    <col min="6" max="6" width="29.441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11305</v>
      </c>
      <c r="E8" s="30"/>
      <c r="F8" s="35" t="s">
        <v>25</v>
      </c>
      <c r="G8" s="36">
        <v>4151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140</v>
      </c>
      <c r="D10" s="38"/>
      <c r="E10" s="38"/>
      <c r="F10" s="39" t="s">
        <v>26</v>
      </c>
      <c r="G10" s="40">
        <v>45715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45721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C13" s="6"/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141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138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139</v>
      </c>
      <c r="D21" s="98">
        <v>1200</v>
      </c>
      <c r="E21" s="98">
        <v>600</v>
      </c>
      <c r="F21" s="97" t="s">
        <v>142</v>
      </c>
      <c r="G21" s="112">
        <v>50031</v>
      </c>
      <c r="H21" s="112">
        <f>G21*B21</f>
        <v>50031</v>
      </c>
      <c r="I21" s="30"/>
      <c r="K21" s="11">
        <f>D21/1000</f>
        <v>1.2</v>
      </c>
      <c r="L21" s="15">
        <f>E21/1000</f>
        <v>0.6</v>
      </c>
      <c r="M21" s="11">
        <f>K21*L21</f>
        <v>0.72</v>
      </c>
      <c r="N21" s="11">
        <f>M21*N$20</f>
        <v>46800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139</v>
      </c>
      <c r="D22" s="98">
        <v>1800</v>
      </c>
      <c r="E22" s="98">
        <v>600</v>
      </c>
      <c r="F22" s="97" t="s">
        <v>142</v>
      </c>
      <c r="G22" s="112">
        <v>72077</v>
      </c>
      <c r="H22" s="112">
        <f>G22*B22</f>
        <v>72077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9"/>
      <c r="C23" s="99"/>
      <c r="D23" s="100"/>
      <c r="E23" s="100"/>
      <c r="F23" s="99"/>
      <c r="G23" s="101"/>
      <c r="H23" s="101"/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99">
        <f>SUM(B21:B21)</f>
        <v>1</v>
      </c>
      <c r="C24" s="99"/>
      <c r="D24" s="111"/>
      <c r="E24" s="111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1"/>
      <c r="E25" s="111"/>
      <c r="F25" s="99"/>
      <c r="G25" s="54" t="s">
        <v>5</v>
      </c>
      <c r="H25" s="55">
        <f>SUM(H21:H24)</f>
        <v>122108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1"/>
      <c r="E26" s="111"/>
      <c r="F26" s="99"/>
      <c r="G26" s="56" t="s">
        <v>136</v>
      </c>
      <c r="H26" s="57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/>
      <c r="C27" s="99"/>
      <c r="D27" s="111"/>
      <c r="E27" s="111"/>
      <c r="F27" s="99"/>
      <c r="G27" s="58" t="s">
        <v>4</v>
      </c>
      <c r="H27" s="59">
        <f>H25+H26</f>
        <v>122108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3"/>
      <c r="C33" s="53"/>
      <c r="D33" s="53"/>
      <c r="E33" s="53"/>
      <c r="F33" s="53"/>
      <c r="G33" s="52"/>
      <c r="H33" s="52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0"/>
      <c r="H37" s="61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2" t="s">
        <v>133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62" t="s">
        <v>119</v>
      </c>
      <c r="C40" s="63"/>
      <c r="D40" s="64"/>
      <c r="E40" s="64"/>
      <c r="F40" s="53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65" t="s">
        <v>24</v>
      </c>
      <c r="C42" s="65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65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66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8"/>
  <sheetViews>
    <sheetView topLeftCell="B1" zoomScaleNormal="100" workbookViewId="0">
      <selection activeCell="B1" sqref="B1:G4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4151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MARCO BARRERA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45721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50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1250</v>
      </c>
      <c r="F14" s="88">
        <f>L14+F$13</f>
        <v>570</v>
      </c>
      <c r="G14" s="88" t="str">
        <f>D31</f>
        <v>CUB C/R R8</v>
      </c>
      <c r="H14" s="30"/>
      <c r="J14" s="3">
        <f>'4637'!B21</f>
        <v>1</v>
      </c>
      <c r="K14" s="4">
        <f t="shared" ref="K14:L14" si="0">E31</f>
        <v>1200</v>
      </c>
      <c r="L14" s="4">
        <f t="shared" si="0"/>
        <v>600</v>
      </c>
    </row>
    <row r="15" spans="1:15" ht="18" x14ac:dyDescent="0.35">
      <c r="A15" s="108"/>
      <c r="B15" s="96"/>
      <c r="C15" s="88">
        <f t="shared" ref="C15" si="1">J15</f>
        <v>1</v>
      </c>
      <c r="D15" s="88"/>
      <c r="E15" s="88">
        <f t="shared" ref="E15" si="2">K15+E$13</f>
        <v>1850</v>
      </c>
      <c r="F15" s="88">
        <f t="shared" ref="F15" si="3">L15+F$13</f>
        <v>570</v>
      </c>
      <c r="G15" s="88" t="str">
        <f t="shared" ref="G15" si="4">D32</f>
        <v>CUB C/R R8</v>
      </c>
      <c r="H15" s="30"/>
      <c r="J15" s="3">
        <f>'4637'!B22</f>
        <v>1</v>
      </c>
      <c r="K15" s="4">
        <f t="shared" ref="K15" si="5">E32</f>
        <v>1800</v>
      </c>
      <c r="L15" s="4">
        <f t="shared" ref="L15" si="6">F32</f>
        <v>600</v>
      </c>
    </row>
    <row r="16" spans="1:15" ht="18" x14ac:dyDescent="0.35">
      <c r="A16" s="108"/>
      <c r="B16" s="96"/>
      <c r="C16" s="67"/>
      <c r="D16" s="67"/>
      <c r="E16" s="67"/>
      <c r="F16" s="67"/>
      <c r="G16" s="67"/>
      <c r="H16" s="30"/>
      <c r="J16" s="23"/>
      <c r="K16" s="2"/>
      <c r="L16" s="2"/>
    </row>
    <row r="17" spans="1:12" ht="18" x14ac:dyDescent="0.35">
      <c r="A17" s="2"/>
      <c r="B17" s="77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85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0" t="s">
        <v>6</v>
      </c>
      <c r="F21" s="60" t="s">
        <v>7</v>
      </c>
      <c r="G21" s="30"/>
      <c r="H21" s="30"/>
    </row>
    <row r="22" spans="1:12" ht="18" x14ac:dyDescent="0.35">
      <c r="A22" s="2"/>
      <c r="B22" s="60" t="s">
        <v>8</v>
      </c>
      <c r="C22" s="76" t="s">
        <v>9</v>
      </c>
      <c r="D22" s="76" t="s">
        <v>10</v>
      </c>
      <c r="E22" s="89">
        <v>40</v>
      </c>
      <c r="F22" s="89">
        <v>130</v>
      </c>
      <c r="G22" s="76" t="s">
        <v>107</v>
      </c>
      <c r="H22" s="30"/>
      <c r="K22" s="5" t="s">
        <v>6</v>
      </c>
      <c r="L22" s="5" t="s">
        <v>7</v>
      </c>
    </row>
    <row r="23" spans="1:12" ht="18" x14ac:dyDescent="0.35">
      <c r="A23" s="108">
        <v>1</v>
      </c>
      <c r="B23" s="96"/>
      <c r="C23" s="90">
        <f t="shared" ref="C23" si="7">J23</f>
        <v>1</v>
      </c>
      <c r="D23" s="90"/>
      <c r="E23" s="90">
        <v>1220</v>
      </c>
      <c r="F23" s="90">
        <f>L23+F$22</f>
        <v>730</v>
      </c>
      <c r="G23" s="90" t="str">
        <f>D31</f>
        <v>CUB C/R R8</v>
      </c>
      <c r="H23" s="30"/>
      <c r="J23" s="3">
        <f>C31</f>
        <v>1</v>
      </c>
      <c r="K23" s="102">
        <f>E31</f>
        <v>1200</v>
      </c>
      <c r="L23" s="102">
        <f>F31</f>
        <v>600</v>
      </c>
    </row>
    <row r="24" spans="1:12" ht="18" x14ac:dyDescent="0.35">
      <c r="A24" s="108"/>
      <c r="B24" s="96"/>
      <c r="C24" s="90">
        <f t="shared" ref="C24" si="8">J24</f>
        <v>1</v>
      </c>
      <c r="D24" s="90"/>
      <c r="E24" s="90">
        <v>1820</v>
      </c>
      <c r="F24" s="90">
        <f>L24+F$22</f>
        <v>730</v>
      </c>
      <c r="G24" s="90" t="str">
        <f t="shared" ref="G24" si="9">D32</f>
        <v>CUB C/R R8</v>
      </c>
      <c r="H24" s="30"/>
      <c r="J24" s="3">
        <f t="shared" ref="J24" si="10">C32</f>
        <v>1</v>
      </c>
      <c r="K24" s="102">
        <f t="shared" ref="K24:L24" si="11">E32</f>
        <v>1800</v>
      </c>
      <c r="L24" s="102">
        <f t="shared" si="11"/>
        <v>600</v>
      </c>
    </row>
    <row r="25" spans="1:12" ht="18" x14ac:dyDescent="0.35">
      <c r="A25" s="108"/>
      <c r="B25" s="96"/>
      <c r="C25" s="67"/>
      <c r="D25" s="67"/>
      <c r="E25" s="67"/>
      <c r="F25" s="67"/>
      <c r="G25" s="67"/>
      <c r="H25" s="30"/>
      <c r="J25" s="23"/>
      <c r="K25" s="110"/>
      <c r="L25" s="110"/>
    </row>
    <row r="26" spans="1:12" ht="18" x14ac:dyDescent="0.35">
      <c r="A26" s="108"/>
      <c r="B26" s="96"/>
      <c r="C26" s="67"/>
      <c r="D26" s="67"/>
      <c r="E26" s="67"/>
      <c r="F26" s="67"/>
      <c r="G26" s="67"/>
      <c r="H26" s="30"/>
      <c r="J26" s="23"/>
      <c r="K26" s="110"/>
      <c r="L26" s="110"/>
    </row>
    <row r="27" spans="1:12" ht="18.600000000000001" thickBot="1" x14ac:dyDescent="0.4">
      <c r="A27" s="2"/>
      <c r="B27" s="77"/>
      <c r="C27" s="67"/>
      <c r="D27" s="67"/>
      <c r="E27" s="67"/>
      <c r="F27" s="67"/>
      <c r="G27" s="67"/>
      <c r="H27" s="30"/>
      <c r="I27" s="106"/>
      <c r="J27" s="107"/>
      <c r="K27" s="107"/>
      <c r="L27" s="107"/>
    </row>
    <row r="28" spans="1:12" ht="18.600000000000001" thickBot="1" x14ac:dyDescent="0.4">
      <c r="A28" s="2"/>
      <c r="B28" s="60"/>
      <c r="C28" s="91" t="s">
        <v>104</v>
      </c>
      <c r="D28" s="33"/>
      <c r="E28" s="33"/>
      <c r="F28" s="33"/>
      <c r="G28" s="92"/>
      <c r="H28" s="30"/>
      <c r="J28" s="2"/>
      <c r="K28" s="2"/>
      <c r="L28" s="2"/>
    </row>
    <row r="29" spans="1:12" ht="10.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60" t="s">
        <v>8</v>
      </c>
      <c r="C30" s="93" t="s">
        <v>9</v>
      </c>
      <c r="D30" s="93" t="s">
        <v>107</v>
      </c>
      <c r="E30" s="93" t="s">
        <v>6</v>
      </c>
      <c r="F30" s="93" t="s">
        <v>7</v>
      </c>
      <c r="G30" s="93" t="s">
        <v>21</v>
      </c>
      <c r="H30" s="30"/>
    </row>
    <row r="31" spans="1:12" ht="18" x14ac:dyDescent="0.35">
      <c r="A31" s="108">
        <v>1</v>
      </c>
      <c r="B31" s="96" t="s">
        <v>137</v>
      </c>
      <c r="C31" s="88">
        <f>'4637'!B21</f>
        <v>1</v>
      </c>
      <c r="D31" s="88" t="str">
        <f>'4637'!C21</f>
        <v>CUB C/R R8</v>
      </c>
      <c r="E31" s="88">
        <f>'4637'!D21</f>
        <v>1200</v>
      </c>
      <c r="F31" s="88">
        <f>'4637'!E21</f>
        <v>600</v>
      </c>
      <c r="G31" s="88" t="str">
        <f>'4637'!F21</f>
        <v>CLASSIC 3111 BR</v>
      </c>
      <c r="H31" s="30"/>
      <c r="I31" s="28">
        <f>E31*F31/1000000</f>
        <v>0.72</v>
      </c>
      <c r="J31" s="28">
        <f>I31*C31</f>
        <v>0.72</v>
      </c>
    </row>
    <row r="32" spans="1:12" ht="18" x14ac:dyDescent="0.35">
      <c r="A32" s="108"/>
      <c r="B32" s="96"/>
      <c r="C32" s="88">
        <f>'4637'!B22</f>
        <v>1</v>
      </c>
      <c r="D32" s="88" t="str">
        <f>'4637'!C22</f>
        <v>CUB C/R R8</v>
      </c>
      <c r="E32" s="88">
        <f>'4637'!D22</f>
        <v>1800</v>
      </c>
      <c r="F32" s="88">
        <f>'4637'!E22</f>
        <v>600</v>
      </c>
      <c r="G32" s="88" t="str">
        <f>'4637'!F22</f>
        <v>CLASSIC 3111 BR</v>
      </c>
      <c r="H32" s="30"/>
      <c r="I32" s="28"/>
      <c r="J32" s="28"/>
    </row>
    <row r="33" spans="1:10" ht="18" x14ac:dyDescent="0.35">
      <c r="A33" s="2"/>
      <c r="B33" s="77"/>
      <c r="C33" s="67"/>
      <c r="D33" s="67"/>
      <c r="E33" s="67"/>
      <c r="F33" s="67"/>
      <c r="G33" s="67"/>
      <c r="H33" s="30"/>
      <c r="I33" s="28"/>
      <c r="J33" s="28"/>
    </row>
    <row r="34" spans="1:10" ht="18" x14ac:dyDescent="0.35">
      <c r="A34" s="2"/>
      <c r="B34" s="30"/>
      <c r="C34" s="67"/>
      <c r="D34" s="67"/>
      <c r="E34" s="67"/>
      <c r="F34" s="67"/>
      <c r="G34" s="67"/>
      <c r="H34" s="30"/>
    </row>
    <row r="35" spans="1:10" ht="18" x14ac:dyDescent="0.35">
      <c r="A35" s="2"/>
      <c r="B35" s="30"/>
      <c r="C35" s="67"/>
      <c r="D35" s="67"/>
      <c r="E35" s="67"/>
      <c r="F35" s="67"/>
      <c r="G35" s="67"/>
      <c r="H35" s="30"/>
      <c r="J35" s="28">
        <f>SUM(J31:J31)*2</f>
        <v>1.44</v>
      </c>
    </row>
    <row r="36" spans="1:10" ht="18" x14ac:dyDescent="0.35">
      <c r="A36" s="2"/>
      <c r="B36" s="30"/>
      <c r="C36" s="67"/>
      <c r="D36" s="67"/>
      <c r="E36" s="67"/>
      <c r="F36" s="67"/>
      <c r="G36" s="67"/>
      <c r="H36" s="30"/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30"/>
      <c r="D43" s="30"/>
      <c r="E43" s="30"/>
      <c r="F43" s="30"/>
      <c r="G43" s="30"/>
      <c r="H43" s="30"/>
    </row>
    <row r="44" spans="1:10" ht="18" x14ac:dyDescent="0.35">
      <c r="A44" s="2"/>
      <c r="B44" s="30"/>
      <c r="C44" s="30"/>
      <c r="D44" s="68" t="s">
        <v>25</v>
      </c>
      <c r="E44" s="69">
        <f>'4637'!G8</f>
        <v>4151</v>
      </c>
      <c r="F44" s="30"/>
      <c r="G44" s="30"/>
      <c r="H44" s="30"/>
    </row>
    <row r="45" spans="1:10" ht="17.25" customHeight="1" x14ac:dyDescent="0.35">
      <c r="A45" s="2"/>
      <c r="B45" s="30"/>
      <c r="C45" s="30"/>
      <c r="D45" s="70" t="s">
        <v>64</v>
      </c>
      <c r="E45" s="71" t="str">
        <f>'4637'!C10</f>
        <v>MARCO BARRERA</v>
      </c>
      <c r="F45" s="46"/>
      <c r="G45" s="46"/>
      <c r="H45" s="30"/>
    </row>
    <row r="46" spans="1:10" ht="4.5" customHeight="1" x14ac:dyDescent="0.35">
      <c r="A46" s="2"/>
      <c r="B46" s="30"/>
      <c r="C46" s="30"/>
      <c r="D46" s="72"/>
      <c r="E46" s="73"/>
      <c r="F46" s="30"/>
      <c r="G46" s="30"/>
      <c r="H46" s="30"/>
    </row>
    <row r="47" spans="1:10" ht="18" x14ac:dyDescent="0.35">
      <c r="A47" s="2"/>
      <c r="B47" s="30"/>
      <c r="C47" s="30"/>
      <c r="D47" s="74" t="str">
        <f>'4637'!F11</f>
        <v>FECHA LIMITE :</v>
      </c>
      <c r="E47" s="75">
        <f>'4637'!G11</f>
        <v>45721</v>
      </c>
      <c r="F47" s="30"/>
      <c r="G47" s="30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 t="s">
        <v>135</v>
      </c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131" t="s">
        <v>65</v>
      </c>
      <c r="C50" s="131"/>
      <c r="D50" s="131"/>
      <c r="E50" s="131"/>
      <c r="F50" s="131"/>
      <c r="G50" s="131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20.100000000000001" customHeight="1" x14ac:dyDescent="0.35">
      <c r="A52" s="2"/>
      <c r="B52" s="30"/>
      <c r="C52" s="132" t="s">
        <v>66</v>
      </c>
      <c r="D52" s="133"/>
      <c r="E52" s="134"/>
      <c r="F52" s="134"/>
      <c r="G52" s="135"/>
      <c r="H52" s="30"/>
      <c r="I52" s="25" t="s">
        <v>130</v>
      </c>
    </row>
    <row r="53" spans="1:13" s="10" customFormat="1" ht="20.100000000000001" customHeight="1" x14ac:dyDescent="0.35">
      <c r="A53" s="109"/>
      <c r="B53" s="30"/>
      <c r="C53" s="78" t="s">
        <v>9</v>
      </c>
      <c r="D53" s="79" t="s">
        <v>10</v>
      </c>
      <c r="E53" s="82" t="s">
        <v>6</v>
      </c>
      <c r="F53" s="82" t="s">
        <v>7</v>
      </c>
      <c r="G53" s="80" t="s">
        <v>11</v>
      </c>
      <c r="H53" s="30"/>
      <c r="K53" s="10">
        <v>15000</v>
      </c>
    </row>
    <row r="54" spans="1:13" s="10" customFormat="1" ht="20.100000000000001" customHeight="1" x14ac:dyDescent="0.35">
      <c r="A54" s="108">
        <v>1</v>
      </c>
      <c r="B54" s="95" t="s">
        <v>137</v>
      </c>
      <c r="C54" s="90">
        <f>'4637'!B21</f>
        <v>1</v>
      </c>
      <c r="D54" s="90" t="str">
        <f>'4637'!C21</f>
        <v>CUB C/R R8</v>
      </c>
      <c r="E54" s="94">
        <f>'4637'!D21</f>
        <v>1200</v>
      </c>
      <c r="F54" s="94">
        <f>'4637'!E21</f>
        <v>600</v>
      </c>
      <c r="G54" s="90" t="str">
        <f>'4637'!F21</f>
        <v>CLASSIC 3111 BR</v>
      </c>
      <c r="H54" s="30"/>
      <c r="I54" s="10">
        <f>E54*F54/1000000</f>
        <v>0.72</v>
      </c>
      <c r="J54" s="10">
        <f>I54*C54</f>
        <v>0.72</v>
      </c>
      <c r="K54" s="26">
        <f>J54*K$53</f>
        <v>10800</v>
      </c>
      <c r="M54" s="24">
        <v>12096</v>
      </c>
    </row>
    <row r="55" spans="1:13" s="10" customFormat="1" ht="20.100000000000001" customHeight="1" x14ac:dyDescent="0.35">
      <c r="A55" s="108"/>
      <c r="B55" s="95"/>
      <c r="C55" s="90">
        <f>'4637'!B22</f>
        <v>1</v>
      </c>
      <c r="D55" s="90" t="str">
        <f>'4637'!C22</f>
        <v>CUB C/R R8</v>
      </c>
      <c r="E55" s="94">
        <f>'4637'!D22</f>
        <v>1800</v>
      </c>
      <c r="F55" s="94">
        <f>'4637'!E22</f>
        <v>600</v>
      </c>
      <c r="G55" s="90" t="str">
        <f>'4637'!F22</f>
        <v>CLASSIC 3111 BR</v>
      </c>
      <c r="H55" s="30"/>
      <c r="K55" s="26"/>
      <c r="M55" s="29"/>
    </row>
    <row r="56" spans="1:13" s="10" customFormat="1" ht="20.100000000000001" customHeight="1" x14ac:dyDescent="0.35">
      <c r="A56" s="108"/>
      <c r="C56" s="67"/>
      <c r="D56" s="67"/>
      <c r="E56" s="67"/>
      <c r="F56" s="67"/>
      <c r="G56" s="67"/>
      <c r="H56" s="30"/>
      <c r="K56" s="26"/>
      <c r="M56" s="29"/>
    </row>
    <row r="57" spans="1:13" s="10" customFormat="1" ht="15" customHeight="1" x14ac:dyDescent="0.35">
      <c r="B57" s="77"/>
      <c r="C57" s="60"/>
      <c r="D57" s="60"/>
      <c r="E57" s="60"/>
      <c r="F57" s="60"/>
      <c r="G57" s="60"/>
      <c r="H57" s="30"/>
    </row>
    <row r="58" spans="1:13" ht="18" x14ac:dyDescent="0.35">
      <c r="B58" s="67"/>
      <c r="C58" s="67"/>
      <c r="D58" s="30"/>
      <c r="E58" s="67"/>
      <c r="F58" s="67"/>
      <c r="G58" s="72"/>
      <c r="H58" s="30"/>
    </row>
    <row r="59" spans="1:13" ht="18" x14ac:dyDescent="0.35">
      <c r="B59" s="67"/>
      <c r="C59" s="67"/>
      <c r="D59" s="30"/>
      <c r="E59" s="67"/>
      <c r="F59" s="67"/>
      <c r="G59" s="67"/>
      <c r="H59" s="30"/>
      <c r="J59" s="10">
        <f>SUM(J54:J54)</f>
        <v>0.72</v>
      </c>
      <c r="K59" s="27">
        <f>SUM(K54:K54)</f>
        <v>10800</v>
      </c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5" customHeight="1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67"/>
      <c r="C65" s="81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x14ac:dyDescent="0.3">
      <c r="C67" s="14"/>
      <c r="D67" s="14"/>
      <c r="F67" s="14"/>
      <c r="G67" s="14"/>
    </row>
    <row r="68" spans="2:8" x14ac:dyDescent="0.3">
      <c r="C68" s="14"/>
      <c r="D68" s="14"/>
      <c r="F68" s="14"/>
      <c r="G68" s="14"/>
    </row>
  </sheetData>
  <mergeCells count="6">
    <mergeCell ref="N3:O3"/>
    <mergeCell ref="B19:G19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2025-03-06T21:49:06Z</cp:lastPrinted>
  <dcterms:created xsi:type="dcterms:W3CDTF">2013-03-19T12:54:14Z</dcterms:created>
  <dcterms:modified xsi:type="dcterms:W3CDTF">2025-03-06T21:49:34Z</dcterms:modified>
</cp:coreProperties>
</file>