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2 FEBRERO 2025\"/>
    </mc:Choice>
  </mc:AlternateContent>
  <xr:revisionPtr revIDLastSave="0" documentId="13_ncr:1_{2BFADF9E-03E7-4569-B854-D690DCA325C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CUBIERTA!$B$1:$G$44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2" i="4"/>
  <c r="H21" i="4"/>
  <c r="J15" i="3"/>
  <c r="C15" i="3" s="1"/>
  <c r="J16" i="3"/>
  <c r="C16" i="3" s="1"/>
  <c r="C34" i="3"/>
  <c r="J25" i="3" s="1"/>
  <c r="C25" i="3" s="1"/>
  <c r="D34" i="3"/>
  <c r="G25" i="3" s="1"/>
  <c r="E34" i="3"/>
  <c r="K25" i="3" s="1"/>
  <c r="E25" i="3" s="1"/>
  <c r="F34" i="3"/>
  <c r="L25" i="3" s="1"/>
  <c r="F25" i="3" s="1"/>
  <c r="G34" i="3"/>
  <c r="C35" i="3"/>
  <c r="J26" i="3" s="1"/>
  <c r="C26" i="3" s="1"/>
  <c r="D35" i="3"/>
  <c r="G26" i="3" s="1"/>
  <c r="E35" i="3"/>
  <c r="K26" i="3" s="1"/>
  <c r="E26" i="3" s="1"/>
  <c r="F35" i="3"/>
  <c r="L26" i="3" s="1"/>
  <c r="F26" i="3" s="1"/>
  <c r="G35" i="3"/>
  <c r="C58" i="3"/>
  <c r="D58" i="3"/>
  <c r="E58" i="3"/>
  <c r="F58" i="3"/>
  <c r="G58" i="3"/>
  <c r="C59" i="3"/>
  <c r="D59" i="3"/>
  <c r="E59" i="3"/>
  <c r="F59" i="3"/>
  <c r="G59" i="3"/>
  <c r="L16" i="3" l="1"/>
  <c r="F16" i="3" s="1"/>
  <c r="L15" i="3"/>
  <c r="F15" i="3" s="1"/>
  <c r="K16" i="3"/>
  <c r="E16" i="3" s="1"/>
  <c r="K15" i="3"/>
  <c r="E15" i="3" s="1"/>
  <c r="G16" i="3"/>
  <c r="G15" i="3"/>
  <c r="H25" i="4"/>
  <c r="B24" i="4"/>
  <c r="J14" i="3" l="1"/>
  <c r="C14" i="3" s="1"/>
  <c r="D57" i="3" l="1"/>
  <c r="L21" i="4" l="1"/>
  <c r="K21" i="4"/>
  <c r="M21" i="4" l="1"/>
  <c r="N21" i="4" s="1"/>
  <c r="C33" i="3" l="1"/>
  <c r="J24" i="3" s="1"/>
  <c r="C24" i="3" s="1"/>
  <c r="D33" i="3"/>
  <c r="G24" i="3" s="1"/>
  <c r="E33" i="3"/>
  <c r="F33" i="3"/>
  <c r="L24" i="3" s="1"/>
  <c r="F24" i="3" s="1"/>
  <c r="G33" i="3"/>
  <c r="C57" i="3"/>
  <c r="E57" i="3"/>
  <c r="F57" i="3"/>
  <c r="G57" i="3"/>
  <c r="I33" i="3" l="1"/>
  <c r="J33" i="3" s="1"/>
  <c r="K24" i="3"/>
  <c r="E24" i="3" s="1"/>
  <c r="I57" i="3"/>
  <c r="J57" i="3" s="1"/>
  <c r="K14" i="3"/>
  <c r="E14" i="3" s="1"/>
  <c r="G14" i="3"/>
  <c r="L14" i="3"/>
  <c r="F14" i="3" s="1"/>
  <c r="J38" i="3" l="1"/>
  <c r="K57" i="3"/>
  <c r="J63" i="3"/>
  <c r="H27" i="4"/>
  <c r="O5" i="3"/>
  <c r="K63" i="3" l="1"/>
  <c r="N5" i="3"/>
  <c r="M5" i="3"/>
  <c r="L5" i="3"/>
  <c r="D50" i="3" l="1"/>
  <c r="D7" i="3"/>
  <c r="E48" i="3"/>
  <c r="E5" i="3"/>
  <c r="E50" i="3"/>
  <c r="E7" i="3"/>
  <c r="E47" i="3"/>
  <c r="E4" i="3"/>
</calcChain>
</file>

<file path=xl/sharedStrings.xml><?xml version="1.0" encoding="utf-8"?>
<sst xmlns="http://schemas.openxmlformats.org/spreadsheetml/2006/main" count="252" uniqueCount="144">
  <si>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</si>
  <si>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</si>
  <si>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</si>
  <si>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</si>
  <si>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</si>
  <si>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</si>
  <si>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</si>
  <si>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</si>
  <si>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</si>
  <si>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</si>
  <si>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</si>
  <si>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</si>
  <si>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</si>
  <si>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</si>
  <si>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</si>
  <si>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</si>
  <si>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</si>
  <si>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</si>
  <si>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</si>
  <si>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</si>
  <si>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</si>
  <si>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</si>
  <si>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</si>
  <si>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</si>
  <si>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</si>
  <si>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</si>
  <si>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</si>
  <si>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</si>
  <si>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</si>
  <si>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</si>
  <si>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</si>
  <si>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</si>
  <si>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</si>
  <si>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</si>
  <si>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</si>
  <si>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</si>
  <si>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</si>
  <si>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</si>
  <si>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</si>
  <si>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</si>
  <si>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</si>
  <si>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</si>
  <si>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</si>
  <si>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</si>
  <si>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</si>
  <si>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</si>
  <si>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</si>
  <si>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</si>
  <si>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</si>
  <si>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</si>
  <si>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</si>
  <si>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</si>
  <si>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</si>
  <si>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</si>
  <si>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</si>
  <si>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</si>
  <si>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</si>
  <si>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</si>
  <si>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</si>
  <si>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</si>
  <si>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</si>
  <si>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</si>
  <si>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</si>
  <si>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</si>
  <si>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</si>
  <si>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</si>
  <si>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</si>
  <si>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</si>
  <si>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</si>
  <si>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</si>
  <si>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</si>
  <si>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</si>
  <si>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</si>
  <si>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</si>
  <si>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</si>
  <si>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</si>
  <si>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</si>
  <si>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</si>
  <si>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</si>
  <si>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</si>
  <si>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</si>
  <si>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</si>
  <si>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</si>
  <si>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</si>
  <si>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</si>
  <si>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</si>
  <si>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</si>
  <si>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</si>
  <si>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</si>
  <si>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</si>
  <si>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</si>
  <si>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</si>
  <si>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</si>
  <si>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</si>
  <si>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</si>
  <si>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</si>
  <si>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</si>
  <si>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</si>
  <si>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</si>
  <si>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</si>
  <si>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</si>
  <si>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</si>
  <si>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</si>
  <si>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</si>
  <si>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</si>
  <si>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</si>
  <si>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</si>
  <si>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</si>
  <si>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</si>
  <si>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</si>
  <si>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</si>
  <si>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</si>
  <si>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</si>
  <si>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</si>
  <si>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</si>
  <si>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</si>
  <si>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</si>
  <si>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</si>
  <si>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</si>
  <si>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</si>
  <si>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</si>
  <si>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</si>
  <si>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</si>
  <si>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</si>
  <si>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</si>
  <si>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</si>
  <si>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</si>
  <si>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</si>
  <si>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</si>
  <si>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</si>
  <si>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</si>
  <si>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</si>
  <si>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</si>
  <si>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</si>
  <si>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</si>
  <si>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</si>
  <si>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</si>
  <si>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</si>
  <si>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SANTIAGO</t>
  </si>
  <si>
    <t>JOSE RAMIREZ</t>
  </si>
  <si>
    <t>+569 9311 5585</t>
  </si>
  <si>
    <t>CYPRUS CHERRY 10225 SF</t>
  </si>
  <si>
    <t>RESPALDO</t>
  </si>
  <si>
    <t>4147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</si>
</sst>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9" fillId="0" borderId="0" xfId="0" quotePrefix="1" applyFont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24</xdr:row>
      <xdr:rowOff>23327</xdr:rowOff>
    </xdr:from>
    <xdr:to>
      <xdr:col>5</xdr:col>
      <xdr:colOff>1562878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FALTO ESTE MATERIAL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51</xdr:row>
      <xdr:rowOff>190500</xdr:rowOff>
    </xdr:from>
    <xdr:to>
      <xdr:col>7</xdr:col>
      <xdr:colOff>9524</xdr:colOff>
      <xdr:row>53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48</xdr:row>
      <xdr:rowOff>30479</xdr:rowOff>
    </xdr:from>
    <xdr:to>
      <xdr:col>6</xdr:col>
      <xdr:colOff>2912745</xdr:colOff>
      <xdr:row>49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209549</xdr:rowOff>
    </xdr:from>
    <xdr:to>
      <xdr:col>7</xdr:col>
      <xdr:colOff>0</xdr:colOff>
      <xdr:row>48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45</xdr:row>
      <xdr:rowOff>171450</xdr:rowOff>
    </xdr:from>
    <xdr:to>
      <xdr:col>7</xdr:col>
      <xdr:colOff>19050</xdr:colOff>
      <xdr:row>46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3</xdr:col>
      <xdr:colOff>38100</xdr:colOff>
      <xdr:row>62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61</xdr:row>
      <xdr:rowOff>0</xdr:rowOff>
    </xdr:from>
    <xdr:to>
      <xdr:col>3</xdr:col>
      <xdr:colOff>1019175</xdr:colOff>
      <xdr:row>62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61</xdr:row>
      <xdr:rowOff>0</xdr:rowOff>
    </xdr:from>
    <xdr:to>
      <xdr:col>4</xdr:col>
      <xdr:colOff>352425</xdr:colOff>
      <xdr:row>62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61</xdr:row>
      <xdr:rowOff>0</xdr:rowOff>
    </xdr:from>
    <xdr:to>
      <xdr:col>5</xdr:col>
      <xdr:colOff>257175</xdr:colOff>
      <xdr:row>62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61</xdr:row>
      <xdr:rowOff>0</xdr:rowOff>
    </xdr:from>
    <xdr:to>
      <xdr:col>6</xdr:col>
      <xdr:colOff>447675</xdr:colOff>
      <xdr:row>62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61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304800</xdr:colOff>
      <xdr:row>63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62</xdr:row>
      <xdr:rowOff>0</xdr:rowOff>
    </xdr:from>
    <xdr:to>
      <xdr:col>3</xdr:col>
      <xdr:colOff>1276350</xdr:colOff>
      <xdr:row>63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62</xdr:row>
      <xdr:rowOff>0</xdr:rowOff>
    </xdr:from>
    <xdr:to>
      <xdr:col>4</xdr:col>
      <xdr:colOff>619125</xdr:colOff>
      <xdr:row>63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62</xdr:row>
      <xdr:rowOff>0</xdr:rowOff>
    </xdr:from>
    <xdr:to>
      <xdr:col>5</xdr:col>
      <xdr:colOff>523875</xdr:colOff>
      <xdr:row>63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62</xdr:row>
      <xdr:rowOff>0</xdr:rowOff>
    </xdr:from>
    <xdr:to>
      <xdr:col>6</xdr:col>
      <xdr:colOff>723900</xdr:colOff>
      <xdr:row>63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62</xdr:row>
      <xdr:rowOff>0</xdr:rowOff>
    </xdr:from>
    <xdr:to>
      <xdr:col>7</xdr:col>
      <xdr:colOff>0</xdr:colOff>
      <xdr:row>63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37</xdr:row>
      <xdr:rowOff>15239</xdr:rowOff>
    </xdr:from>
    <xdr:to>
      <xdr:col>7</xdr:col>
      <xdr:colOff>0</xdr:colOff>
      <xdr:row>41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Y ENCHAPE SEGUN DIBUJO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29</xdr:row>
      <xdr:rowOff>1</xdr:rowOff>
    </xdr:from>
    <xdr:to>
      <xdr:col>7</xdr:col>
      <xdr:colOff>19048</xdr:colOff>
      <xdr:row>30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64</xdr:row>
      <xdr:rowOff>32385</xdr:rowOff>
    </xdr:from>
    <xdr:to>
      <xdr:col>7</xdr:col>
      <xdr:colOff>0</xdr:colOff>
      <xdr:row>68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Y ENCHAPE SEGUN DIBUJO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45</xdr:row>
      <xdr:rowOff>146685</xdr:rowOff>
    </xdr:from>
    <xdr:to>
      <xdr:col>2</xdr:col>
      <xdr:colOff>786523</xdr:colOff>
      <xdr:row>51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304800</xdr:colOff>
      <xdr:row>71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zoomScale="98" zoomScaleNormal="98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11264</v>
      </c>
      <c r="E8" s="30"/>
      <c r="F8" s="35" t="s">
        <v>25</v>
      </c>
      <c r="G8" s="36" t="s">
        <v>143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139</v>
      </c>
      <c r="D10" s="38"/>
      <c r="E10" s="38"/>
      <c r="F10" s="39" t="s">
        <v>26</v>
      </c>
      <c r="G10" s="40">
        <v>45680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>
        <v>45686</v>
      </c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18" t="s">
        <v>140</v>
      </c>
      <c r="D14" s="119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20" t="s">
        <v>72</v>
      </c>
      <c r="G15" s="120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1" t="s">
        <v>138</v>
      </c>
      <c r="D16" s="49"/>
      <c r="E16" s="50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97" t="s">
        <v>142</v>
      </c>
      <c r="D21" s="98">
        <v>700</v>
      </c>
      <c r="E21" s="98">
        <v>50</v>
      </c>
      <c r="F21" s="97" t="s">
        <v>141</v>
      </c>
      <c r="G21" s="112"/>
      <c r="H21" s="112">
        <f>G21*B21</f>
        <v>0</v>
      </c>
      <c r="I21" s="30"/>
      <c r="K21" s="11">
        <f>D21/1000</f>
        <v>0.7</v>
      </c>
      <c r="L21" s="15">
        <f>E21/1000</f>
        <v>0.05</v>
      </c>
      <c r="M21" s="11">
        <f>K21*L21</f>
        <v>3.4999999999999996E-2</v>
      </c>
      <c r="N21" s="11">
        <f>M21*N$20</f>
        <v>2274.9999999999995</v>
      </c>
      <c r="O21" s="15"/>
      <c r="P21" s="21"/>
    </row>
    <row r="22" spans="1:16" ht="20.100000000000001" customHeight="1" x14ac:dyDescent="0.35">
      <c r="A22" s="30"/>
      <c r="B22" s="97">
        <v>1</v>
      </c>
      <c r="C22" s="97" t="s">
        <v>142</v>
      </c>
      <c r="D22" s="98">
        <v>570</v>
      </c>
      <c r="E22" s="98">
        <v>50</v>
      </c>
      <c r="F22" s="97" t="s">
        <v>141</v>
      </c>
      <c r="G22" s="112"/>
      <c r="H22" s="112">
        <f>G22*B22</f>
        <v>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97" t="s">
        <v>142</v>
      </c>
      <c r="D23" s="98">
        <v>520</v>
      </c>
      <c r="E23" s="98">
        <v>50</v>
      </c>
      <c r="F23" s="97" t="s">
        <v>141</v>
      </c>
      <c r="G23" s="112"/>
      <c r="H23" s="112">
        <f t="shared" ref="H23" si="0">G23*B23</f>
        <v>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99">
        <f>SUM(B21:B21)</f>
        <v>1</v>
      </c>
      <c r="C24" s="99"/>
      <c r="D24" s="111"/>
      <c r="E24" s="111"/>
      <c r="F24" s="99"/>
      <c r="G24" s="101"/>
      <c r="H24" s="101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9"/>
      <c r="C25" s="99"/>
      <c r="D25" s="111"/>
      <c r="E25" s="111"/>
      <c r="F25" s="99"/>
      <c r="G25" s="54" t="s">
        <v>5</v>
      </c>
      <c r="H25" s="55">
        <f>SUM(H21:H24)</f>
        <v>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9"/>
      <c r="C26" s="99"/>
      <c r="D26" s="111"/>
      <c r="E26" s="111"/>
      <c r="F26" s="99"/>
      <c r="G26" s="56" t="s">
        <v>136</v>
      </c>
      <c r="H26" s="57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99"/>
      <c r="C27" s="99"/>
      <c r="D27" s="111"/>
      <c r="E27" s="111"/>
      <c r="F27" s="99"/>
      <c r="G27" s="58" t="s">
        <v>4</v>
      </c>
      <c r="H27" s="59">
        <f>H25+H26</f>
        <v>0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1"/>
      <c r="E28" s="111"/>
      <c r="F28" s="99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1"/>
      <c r="E29" s="111"/>
      <c r="F29" s="99"/>
      <c r="G29" s="101"/>
      <c r="H29" s="101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11"/>
      <c r="E30" s="111"/>
      <c r="F30" s="99"/>
      <c r="G30" s="101"/>
      <c r="H30" s="101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00"/>
      <c r="E31" s="100"/>
      <c r="F31" s="99"/>
      <c r="G31" s="101"/>
      <c r="H31" s="101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00"/>
      <c r="E32" s="100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53"/>
      <c r="C33" s="53"/>
      <c r="D33" s="53"/>
      <c r="E33" s="53"/>
      <c r="F33" s="53"/>
      <c r="G33" s="52"/>
      <c r="H33" s="52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9" ht="20.100000000000001" customHeight="1" x14ac:dyDescent="0.35">
      <c r="A37" s="30"/>
      <c r="B37" s="30"/>
      <c r="C37" s="30"/>
      <c r="D37" s="30"/>
      <c r="E37" s="30"/>
      <c r="F37" s="30"/>
      <c r="G37" s="60"/>
      <c r="H37" s="61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62" t="s">
        <v>133</v>
      </c>
      <c r="C39" s="63"/>
      <c r="D39" s="64"/>
      <c r="E39" s="64"/>
      <c r="F39" s="53"/>
      <c r="G39" s="30"/>
      <c r="H39" s="30"/>
      <c r="I39" s="30"/>
    </row>
    <row r="40" spans="1:9" ht="18" x14ac:dyDescent="0.35">
      <c r="A40" s="30"/>
      <c r="B40" s="62" t="s">
        <v>119</v>
      </c>
      <c r="C40" s="63"/>
      <c r="D40" s="64"/>
      <c r="E40" s="64"/>
      <c r="F40" s="53"/>
      <c r="G40" s="30"/>
      <c r="H40" s="30"/>
      <c r="I40" s="30"/>
    </row>
    <row r="41" spans="1:9" ht="18" x14ac:dyDescent="0.35">
      <c r="A41" s="30"/>
      <c r="B41" s="30" t="s">
        <v>23</v>
      </c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65" t="s">
        <v>24</v>
      </c>
      <c r="C42" s="65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65"/>
      <c r="F43" s="30"/>
      <c r="G43" s="30"/>
      <c r="H43" s="30"/>
      <c r="I43" s="30"/>
    </row>
    <row r="44" spans="1:9" ht="18" x14ac:dyDescent="0.35">
      <c r="A44" s="30"/>
      <c r="B44" s="31" t="s">
        <v>131</v>
      </c>
      <c r="C44" s="31"/>
      <c r="D44" s="31"/>
      <c r="E44" s="66"/>
      <c r="F44" s="30"/>
      <c r="G44" s="30"/>
      <c r="H44" s="30"/>
      <c r="I44" s="30"/>
    </row>
    <row r="45" spans="1:9" ht="18" x14ac:dyDescent="0.35">
      <c r="A45" s="30"/>
      <c r="B45" s="31"/>
      <c r="C45" s="31"/>
      <c r="D45" s="31"/>
      <c r="E45" s="66"/>
      <c r="F45" s="30"/>
      <c r="G45" s="30"/>
      <c r="H45" s="30"/>
      <c r="I45" s="30"/>
    </row>
    <row r="46" spans="1:9" ht="18" x14ac:dyDescent="0.35">
      <c r="A46" s="30"/>
      <c r="B46" s="31" t="s">
        <v>132</v>
      </c>
      <c r="C46" s="30"/>
      <c r="D46" s="30"/>
      <c r="E46" s="65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65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1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2"/>
  <sheetViews>
    <sheetView tabSelected="1" topLeftCell="B1" zoomScaleNormal="100" workbookViewId="0">
      <selection activeCell="B1" sqref="B1:G44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68" t="s">
        <v>25</v>
      </c>
      <c r="E4" s="69" t="str">
        <f>'4637'!G8</f>
        <v>4147 A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JOSE RAMIREZ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45686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20</v>
      </c>
      <c r="F13" s="87">
        <v>20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720</v>
      </c>
      <c r="F14" s="88">
        <f>L14+F$13</f>
        <v>70</v>
      </c>
      <c r="G14" s="88" t="str">
        <f>D33</f>
        <v>RESPALDO</v>
      </c>
      <c r="H14" s="30"/>
      <c r="J14" s="3">
        <f>'4637'!B21</f>
        <v>1</v>
      </c>
      <c r="K14" s="4">
        <f t="shared" ref="K14:L14" si="0">E33</f>
        <v>700</v>
      </c>
      <c r="L14" s="4">
        <f t="shared" si="0"/>
        <v>50</v>
      </c>
    </row>
    <row r="15" spans="1:15" ht="18" x14ac:dyDescent="0.35">
      <c r="A15" s="108"/>
      <c r="B15" s="96"/>
      <c r="C15" s="88">
        <f t="shared" ref="C15:C16" si="1">J15</f>
        <v>1</v>
      </c>
      <c r="D15" s="88"/>
      <c r="E15" s="88">
        <f t="shared" ref="E15:E16" si="2">K15+E$13</f>
        <v>590</v>
      </c>
      <c r="F15" s="88">
        <f t="shared" ref="F15:F16" si="3">L15+F$13</f>
        <v>70</v>
      </c>
      <c r="G15" s="88" t="str">
        <f t="shared" ref="G15:G16" si="4">D34</f>
        <v>RESPALDO</v>
      </c>
      <c r="H15" s="30"/>
      <c r="J15" s="3">
        <f>'4637'!B22</f>
        <v>1</v>
      </c>
      <c r="K15" s="4">
        <f t="shared" ref="K15:K16" si="5">E34</f>
        <v>570</v>
      </c>
      <c r="L15" s="4">
        <f t="shared" ref="L15:L16" si="6">F34</f>
        <v>50</v>
      </c>
    </row>
    <row r="16" spans="1:15" ht="18" x14ac:dyDescent="0.35">
      <c r="A16" s="108"/>
      <c r="B16" s="96"/>
      <c r="C16" s="88">
        <f t="shared" si="1"/>
        <v>1</v>
      </c>
      <c r="D16" s="88"/>
      <c r="E16" s="88">
        <f t="shared" si="2"/>
        <v>540</v>
      </c>
      <c r="F16" s="88">
        <f t="shared" si="3"/>
        <v>70</v>
      </c>
      <c r="G16" s="88" t="str">
        <f t="shared" si="4"/>
        <v>RESPALDO</v>
      </c>
      <c r="H16" s="30"/>
      <c r="J16" s="3">
        <f>'4637'!B23</f>
        <v>1</v>
      </c>
      <c r="K16" s="4">
        <f t="shared" si="5"/>
        <v>520</v>
      </c>
      <c r="L16" s="4">
        <f t="shared" si="6"/>
        <v>50</v>
      </c>
    </row>
    <row r="17" spans="1:12" ht="18" x14ac:dyDescent="0.35">
      <c r="A17" s="108"/>
      <c r="B17" s="96"/>
      <c r="C17" s="67"/>
      <c r="D17" s="67"/>
      <c r="E17" s="67"/>
      <c r="F17" s="67"/>
      <c r="G17" s="67"/>
      <c r="H17" s="30"/>
      <c r="J17" s="23"/>
      <c r="K17" s="2"/>
      <c r="L17" s="2"/>
    </row>
    <row r="18" spans="1:12" ht="18" x14ac:dyDescent="0.35">
      <c r="A18" s="2"/>
      <c r="B18" s="77"/>
      <c r="C18" s="67"/>
      <c r="D18" s="67"/>
      <c r="E18" s="67"/>
      <c r="F18" s="67"/>
      <c r="G18" s="67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30" t="s">
        <v>13</v>
      </c>
      <c r="C20" s="130"/>
      <c r="D20" s="130"/>
      <c r="E20" s="130"/>
      <c r="F20" s="130"/>
      <c r="G20" s="130"/>
      <c r="H20" s="30"/>
    </row>
    <row r="21" spans="1:12" ht="10.5" customHeight="1" x14ac:dyDescent="0.35">
      <c r="A21" s="2"/>
      <c r="B21" s="30"/>
      <c r="C21" s="30"/>
      <c r="D21" s="85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0" t="s">
        <v>6</v>
      </c>
      <c r="F22" s="60" t="s">
        <v>7</v>
      </c>
      <c r="G22" s="30"/>
      <c r="H22" s="30"/>
    </row>
    <row r="23" spans="1:12" ht="18" x14ac:dyDescent="0.35">
      <c r="A23" s="2"/>
      <c r="B23" s="60" t="s">
        <v>8</v>
      </c>
      <c r="C23" s="76" t="s">
        <v>9</v>
      </c>
      <c r="D23" s="76" t="s">
        <v>10</v>
      </c>
      <c r="E23" s="89">
        <v>20</v>
      </c>
      <c r="F23" s="89">
        <v>20</v>
      </c>
      <c r="G23" s="76" t="s">
        <v>107</v>
      </c>
      <c r="H23" s="30"/>
      <c r="K23" s="5" t="s">
        <v>6</v>
      </c>
      <c r="L23" s="5" t="s">
        <v>7</v>
      </c>
    </row>
    <row r="24" spans="1:12" ht="18" x14ac:dyDescent="0.35">
      <c r="A24" s="108">
        <v>1</v>
      </c>
      <c r="B24" s="96"/>
      <c r="C24" s="90">
        <f t="shared" ref="C24" si="7">J24</f>
        <v>1</v>
      </c>
      <c r="D24" s="90"/>
      <c r="E24" s="90">
        <f>K24+E$23</f>
        <v>720</v>
      </c>
      <c r="F24" s="90">
        <f>L24+F$23</f>
        <v>70</v>
      </c>
      <c r="G24" s="90" t="str">
        <f>D33</f>
        <v>RESPALDO</v>
      </c>
      <c r="H24" s="30"/>
      <c r="J24" s="3">
        <f>C33</f>
        <v>1</v>
      </c>
      <c r="K24" s="102">
        <f>E33</f>
        <v>700</v>
      </c>
      <c r="L24" s="102">
        <f>F33</f>
        <v>50</v>
      </c>
    </row>
    <row r="25" spans="1:12" ht="18" x14ac:dyDescent="0.35">
      <c r="A25" s="108"/>
      <c r="B25" s="96"/>
      <c r="C25" s="90">
        <f t="shared" ref="C25:C26" si="8">J25</f>
        <v>1</v>
      </c>
      <c r="D25" s="90"/>
      <c r="E25" s="90">
        <f t="shared" ref="E25:E26" si="9">K25+E$23</f>
        <v>590</v>
      </c>
      <c r="F25" s="90">
        <f t="shared" ref="F25:F26" si="10">L25+F$23</f>
        <v>70</v>
      </c>
      <c r="G25" s="90" t="str">
        <f t="shared" ref="G25:G26" si="11">D34</f>
        <v>RESPALDO</v>
      </c>
      <c r="H25" s="30"/>
      <c r="J25" s="3">
        <f t="shared" ref="J25:J26" si="12">C34</f>
        <v>1</v>
      </c>
      <c r="K25" s="102">
        <f t="shared" ref="K25:L25" si="13">E34</f>
        <v>570</v>
      </c>
      <c r="L25" s="102">
        <f t="shared" si="13"/>
        <v>50</v>
      </c>
    </row>
    <row r="26" spans="1:12" ht="18" x14ac:dyDescent="0.35">
      <c r="A26" s="108"/>
      <c r="B26" s="96"/>
      <c r="C26" s="90">
        <f t="shared" si="8"/>
        <v>1</v>
      </c>
      <c r="D26" s="90"/>
      <c r="E26" s="90">
        <f t="shared" si="9"/>
        <v>540</v>
      </c>
      <c r="F26" s="90">
        <f t="shared" si="10"/>
        <v>70</v>
      </c>
      <c r="G26" s="90" t="str">
        <f t="shared" si="11"/>
        <v>RESPALDO</v>
      </c>
      <c r="H26" s="30"/>
      <c r="J26" s="3">
        <f t="shared" si="12"/>
        <v>1</v>
      </c>
      <c r="K26" s="102">
        <f t="shared" ref="K26:L26" si="14">E35</f>
        <v>520</v>
      </c>
      <c r="L26" s="102">
        <f t="shared" si="14"/>
        <v>50</v>
      </c>
    </row>
    <row r="27" spans="1:12" ht="18" x14ac:dyDescent="0.35">
      <c r="A27" s="108"/>
      <c r="B27" s="96"/>
      <c r="C27" s="67"/>
      <c r="D27" s="67"/>
      <c r="E27" s="67"/>
      <c r="F27" s="67"/>
      <c r="G27" s="67"/>
      <c r="H27" s="30"/>
      <c r="J27" s="23"/>
      <c r="K27" s="110"/>
      <c r="L27" s="110"/>
    </row>
    <row r="28" spans="1:12" ht="18" x14ac:dyDescent="0.35">
      <c r="A28" s="108"/>
      <c r="B28" s="96"/>
      <c r="C28" s="67"/>
      <c r="D28" s="67"/>
      <c r="E28" s="67"/>
      <c r="F28" s="67"/>
      <c r="G28" s="67"/>
      <c r="H28" s="30"/>
      <c r="J28" s="23"/>
      <c r="K28" s="110"/>
      <c r="L28" s="110"/>
    </row>
    <row r="29" spans="1:12" ht="18.600000000000001" thickBot="1" x14ac:dyDescent="0.4">
      <c r="A29" s="2"/>
      <c r="B29" s="77"/>
      <c r="C29" s="67"/>
      <c r="D29" s="67"/>
      <c r="E29" s="67"/>
      <c r="F29" s="67"/>
      <c r="G29" s="67"/>
      <c r="H29" s="30"/>
      <c r="I29" s="106"/>
      <c r="J29" s="107"/>
      <c r="K29" s="107"/>
      <c r="L29" s="107"/>
    </row>
    <row r="30" spans="1:12" ht="18.600000000000001" thickBot="1" x14ac:dyDescent="0.4">
      <c r="A30" s="2"/>
      <c r="B30" s="60"/>
      <c r="C30" s="91" t="s">
        <v>104</v>
      </c>
      <c r="D30" s="33"/>
      <c r="E30" s="33"/>
      <c r="F30" s="33"/>
      <c r="G30" s="92"/>
      <c r="H30" s="30"/>
      <c r="J30" s="2"/>
      <c r="K30" s="2"/>
      <c r="L30" s="2"/>
    </row>
    <row r="31" spans="1:12" ht="10.5" customHeight="1" x14ac:dyDescent="0.35">
      <c r="A31" s="2"/>
      <c r="B31" s="30"/>
      <c r="C31" s="30"/>
      <c r="D31" s="30"/>
      <c r="E31" s="30"/>
      <c r="F31" s="30"/>
      <c r="G31" s="30"/>
      <c r="H31" s="30"/>
    </row>
    <row r="32" spans="1:12" ht="18" x14ac:dyDescent="0.35">
      <c r="A32" s="2"/>
      <c r="B32" s="60" t="s">
        <v>8</v>
      </c>
      <c r="C32" s="93" t="s">
        <v>9</v>
      </c>
      <c r="D32" s="93" t="s">
        <v>107</v>
      </c>
      <c r="E32" s="93" t="s">
        <v>6</v>
      </c>
      <c r="F32" s="93" t="s">
        <v>7</v>
      </c>
      <c r="G32" s="93" t="s">
        <v>21</v>
      </c>
      <c r="H32" s="30"/>
    </row>
    <row r="33" spans="1:10" ht="18" x14ac:dyDescent="0.35">
      <c r="A33" s="108">
        <v>1</v>
      </c>
      <c r="B33" s="96" t="s">
        <v>137</v>
      </c>
      <c r="C33" s="88">
        <f>'4637'!B21</f>
        <v>1</v>
      </c>
      <c r="D33" s="88" t="str">
        <f>'4637'!C21</f>
        <v>RESPALDO</v>
      </c>
      <c r="E33" s="88">
        <f>'4637'!D21</f>
        <v>700</v>
      </c>
      <c r="F33" s="88">
        <f>'4637'!E21</f>
        <v>50</v>
      </c>
      <c r="G33" s="88" t="str">
        <f>'4637'!F21</f>
        <v>CYPRUS CHERRY 10225 SF</v>
      </c>
      <c r="H33" s="30"/>
      <c r="I33" s="28">
        <f>E33*F33/1000000</f>
        <v>3.5000000000000003E-2</v>
      </c>
      <c r="J33" s="28">
        <f>I33*C33</f>
        <v>3.5000000000000003E-2</v>
      </c>
    </row>
    <row r="34" spans="1:10" ht="18" x14ac:dyDescent="0.35">
      <c r="A34" s="108"/>
      <c r="B34" s="96"/>
      <c r="C34" s="88">
        <f>'4637'!B22</f>
        <v>1</v>
      </c>
      <c r="D34" s="88" t="str">
        <f>'4637'!C22</f>
        <v>RESPALDO</v>
      </c>
      <c r="E34" s="88">
        <f>'4637'!D22</f>
        <v>570</v>
      </c>
      <c r="F34" s="88">
        <f>'4637'!E22</f>
        <v>50</v>
      </c>
      <c r="G34" s="88" t="str">
        <f>'4637'!F22</f>
        <v>CYPRUS CHERRY 10225 SF</v>
      </c>
      <c r="H34" s="30"/>
      <c r="I34" s="28"/>
      <c r="J34" s="28"/>
    </row>
    <row r="35" spans="1:10" ht="18" x14ac:dyDescent="0.35">
      <c r="A35" s="108"/>
      <c r="B35" s="96"/>
      <c r="C35" s="88">
        <f>'4637'!B23</f>
        <v>1</v>
      </c>
      <c r="D35" s="88" t="str">
        <f>'4637'!C23</f>
        <v>RESPALDO</v>
      </c>
      <c r="E35" s="88">
        <f>'4637'!D23</f>
        <v>520</v>
      </c>
      <c r="F35" s="88">
        <f>'4637'!E23</f>
        <v>50</v>
      </c>
      <c r="G35" s="88" t="str">
        <f>'4637'!F23</f>
        <v>CYPRUS CHERRY 10225 SF</v>
      </c>
      <c r="H35" s="30"/>
      <c r="I35" s="28"/>
      <c r="J35" s="28"/>
    </row>
    <row r="36" spans="1:10" ht="18" x14ac:dyDescent="0.35">
      <c r="A36" s="2"/>
      <c r="B36" s="77"/>
      <c r="C36" s="67"/>
      <c r="D36" s="67"/>
      <c r="E36" s="67"/>
      <c r="F36" s="67"/>
      <c r="G36" s="67"/>
      <c r="H36" s="30"/>
      <c r="I36" s="28"/>
      <c r="J36" s="28"/>
    </row>
    <row r="37" spans="1:10" ht="18" x14ac:dyDescent="0.35">
      <c r="A37" s="2"/>
      <c r="B37" s="30"/>
      <c r="C37" s="67"/>
      <c r="D37" s="67"/>
      <c r="E37" s="67"/>
      <c r="F37" s="67"/>
      <c r="G37" s="67"/>
      <c r="H37" s="30"/>
    </row>
    <row r="38" spans="1:10" ht="18" x14ac:dyDescent="0.35">
      <c r="A38" s="2"/>
      <c r="B38" s="30"/>
      <c r="C38" s="67"/>
      <c r="D38" s="67"/>
      <c r="E38" s="67"/>
      <c r="F38" s="67"/>
      <c r="G38" s="67"/>
      <c r="H38" s="30"/>
      <c r="J38" s="28">
        <f>SUM(J33:J33)*2</f>
        <v>7.0000000000000007E-2</v>
      </c>
    </row>
    <row r="39" spans="1:10" ht="18" x14ac:dyDescent="0.35">
      <c r="A39" s="2"/>
      <c r="B39" s="30"/>
      <c r="C39" s="67"/>
      <c r="D39" s="67"/>
      <c r="E39" s="67"/>
      <c r="F39" s="67"/>
      <c r="G39" s="67"/>
      <c r="H39" s="30"/>
    </row>
    <row r="40" spans="1:10" ht="18" x14ac:dyDescent="0.35">
      <c r="A40" s="2"/>
      <c r="B40" s="30"/>
      <c r="C40" s="67"/>
      <c r="D40" s="67"/>
      <c r="E40" s="67"/>
      <c r="F40" s="67"/>
      <c r="G40" s="67"/>
      <c r="H40" s="30"/>
    </row>
    <row r="41" spans="1:10" ht="18" x14ac:dyDescent="0.35">
      <c r="A41" s="2"/>
      <c r="B41" s="30"/>
      <c r="C41" s="67"/>
      <c r="D41" s="67"/>
      <c r="E41" s="67"/>
      <c r="F41" s="67"/>
      <c r="G41" s="67"/>
      <c r="H41" s="30"/>
    </row>
    <row r="42" spans="1:10" ht="18" x14ac:dyDescent="0.35">
      <c r="A42" s="2"/>
      <c r="B42" s="30"/>
      <c r="C42" s="67"/>
      <c r="D42" s="67"/>
      <c r="E42" s="67"/>
      <c r="F42" s="67"/>
      <c r="G42" s="67"/>
      <c r="H42" s="30"/>
    </row>
    <row r="43" spans="1:10" ht="18" x14ac:dyDescent="0.35">
      <c r="A43" s="2"/>
      <c r="B43" s="30"/>
      <c r="C43" s="67"/>
      <c r="D43" s="67"/>
      <c r="E43" s="67"/>
      <c r="F43" s="67"/>
      <c r="G43" s="67"/>
      <c r="H43" s="30"/>
    </row>
    <row r="44" spans="1:10" ht="18" x14ac:dyDescent="0.35">
      <c r="A44" s="2"/>
      <c r="B44" s="30"/>
      <c r="C44" s="67"/>
      <c r="D44" s="67"/>
      <c r="E44" s="67"/>
      <c r="F44" s="67"/>
      <c r="G44" s="67"/>
      <c r="H44" s="30"/>
    </row>
    <row r="45" spans="1:10" ht="18" x14ac:dyDescent="0.35">
      <c r="A45" s="2"/>
      <c r="B45" s="30"/>
      <c r="C45" s="67"/>
      <c r="D45" s="67"/>
      <c r="E45" s="67"/>
      <c r="F45" s="67"/>
      <c r="G45" s="67"/>
      <c r="H45" s="30"/>
    </row>
    <row r="46" spans="1:10" ht="18" x14ac:dyDescent="0.35">
      <c r="A46" s="2"/>
      <c r="B46" s="30"/>
      <c r="C46" s="30"/>
      <c r="D46" s="30"/>
      <c r="E46" s="30"/>
      <c r="F46" s="30"/>
      <c r="G46" s="30"/>
      <c r="H46" s="30"/>
    </row>
    <row r="47" spans="1:10" ht="18" x14ac:dyDescent="0.35">
      <c r="A47" s="2"/>
      <c r="B47" s="30"/>
      <c r="C47" s="30"/>
      <c r="D47" s="68" t="s">
        <v>25</v>
      </c>
      <c r="E47" s="69" t="str">
        <f>'4637'!G8</f>
        <v>4147 A</v>
      </c>
      <c r="F47" s="30"/>
      <c r="G47" s="30"/>
      <c r="H47" s="30"/>
    </row>
    <row r="48" spans="1:10" ht="17.25" customHeight="1" x14ac:dyDescent="0.35">
      <c r="A48" s="2"/>
      <c r="B48" s="30"/>
      <c r="C48" s="30"/>
      <c r="D48" s="70" t="s">
        <v>64</v>
      </c>
      <c r="E48" s="71" t="str">
        <f>'4637'!C10</f>
        <v>JOSE RAMIREZ</v>
      </c>
      <c r="F48" s="46"/>
      <c r="G48" s="46"/>
      <c r="H48" s="30"/>
    </row>
    <row r="49" spans="1:13" ht="4.5" customHeight="1" x14ac:dyDescent="0.35">
      <c r="A49" s="2"/>
      <c r="B49" s="30"/>
      <c r="C49" s="30"/>
      <c r="D49" s="72"/>
      <c r="E49" s="73"/>
      <c r="F49" s="30"/>
      <c r="G49" s="30"/>
      <c r="H49" s="30"/>
    </row>
    <row r="50" spans="1:13" ht="18" x14ac:dyDescent="0.35">
      <c r="A50" s="2"/>
      <c r="B50" s="30"/>
      <c r="C50" s="30"/>
      <c r="D50" s="74" t="str">
        <f>'4637'!F11</f>
        <v>FECHA LIMITE :</v>
      </c>
      <c r="E50" s="75">
        <f>'4637'!G11</f>
        <v>45686</v>
      </c>
      <c r="F50" s="30"/>
      <c r="G50" s="30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 t="s">
        <v>135</v>
      </c>
      <c r="H51" s="30"/>
    </row>
    <row r="52" spans="1:13" ht="18" x14ac:dyDescent="0.35">
      <c r="A52" s="2"/>
      <c r="B52" s="30"/>
      <c r="C52" s="30"/>
      <c r="D52" s="30"/>
      <c r="E52" s="30"/>
      <c r="F52" s="30"/>
      <c r="G52" s="30"/>
      <c r="H52" s="30"/>
    </row>
    <row r="53" spans="1:13" ht="18" x14ac:dyDescent="0.35">
      <c r="A53" s="2"/>
      <c r="B53" s="131" t="s">
        <v>65</v>
      </c>
      <c r="C53" s="131"/>
      <c r="D53" s="131"/>
      <c r="E53" s="131"/>
      <c r="F53" s="131"/>
      <c r="G53" s="131"/>
      <c r="H53" s="30"/>
    </row>
    <row r="54" spans="1:13" ht="18" x14ac:dyDescent="0.35">
      <c r="A54" s="2"/>
      <c r="B54" s="30"/>
      <c r="C54" s="30"/>
      <c r="D54" s="30"/>
      <c r="E54" s="30"/>
      <c r="F54" s="30"/>
      <c r="G54" s="30"/>
      <c r="H54" s="30"/>
    </row>
    <row r="55" spans="1:13" ht="20.100000000000001" customHeight="1" x14ac:dyDescent="0.35">
      <c r="A55" s="2"/>
      <c r="B55" s="30"/>
      <c r="C55" s="132" t="s">
        <v>66</v>
      </c>
      <c r="D55" s="133"/>
      <c r="E55" s="134"/>
      <c r="F55" s="134"/>
      <c r="G55" s="135"/>
      <c r="H55" s="30"/>
      <c r="I55" s="25" t="s">
        <v>130</v>
      </c>
    </row>
    <row r="56" spans="1:13" s="10" customFormat="1" ht="20.100000000000001" customHeight="1" x14ac:dyDescent="0.35">
      <c r="A56" s="109"/>
      <c r="B56" s="30"/>
      <c r="C56" s="78" t="s">
        <v>9</v>
      </c>
      <c r="D56" s="79" t="s">
        <v>10</v>
      </c>
      <c r="E56" s="82" t="s">
        <v>6</v>
      </c>
      <c r="F56" s="82" t="s">
        <v>7</v>
      </c>
      <c r="G56" s="80" t="s">
        <v>11</v>
      </c>
      <c r="H56" s="30"/>
      <c r="K56" s="10">
        <v>15000</v>
      </c>
    </row>
    <row r="57" spans="1:13" s="10" customFormat="1" ht="20.100000000000001" customHeight="1" x14ac:dyDescent="0.35">
      <c r="A57" s="108">
        <v>1</v>
      </c>
      <c r="B57" s="95" t="s">
        <v>137</v>
      </c>
      <c r="C57" s="90">
        <f>'4637'!B21</f>
        <v>1</v>
      </c>
      <c r="D57" s="90" t="str">
        <f>'4637'!C21</f>
        <v>RESPALDO</v>
      </c>
      <c r="E57" s="94">
        <f>'4637'!D21</f>
        <v>700</v>
      </c>
      <c r="F57" s="94">
        <f>'4637'!E21</f>
        <v>50</v>
      </c>
      <c r="G57" s="90" t="str">
        <f>'4637'!F21</f>
        <v>CYPRUS CHERRY 10225 SF</v>
      </c>
      <c r="H57" s="30"/>
      <c r="I57" s="10">
        <f>E57*F57/1000000</f>
        <v>3.5000000000000003E-2</v>
      </c>
      <c r="J57" s="10">
        <f>I57*C57</f>
        <v>3.5000000000000003E-2</v>
      </c>
      <c r="K57" s="26">
        <f>J57*K$56</f>
        <v>525</v>
      </c>
      <c r="M57" s="24">
        <v>12096</v>
      </c>
    </row>
    <row r="58" spans="1:13" s="10" customFormat="1" ht="20.100000000000001" customHeight="1" x14ac:dyDescent="0.35">
      <c r="A58" s="108"/>
      <c r="B58" s="95"/>
      <c r="C58" s="90">
        <f>'4637'!B22</f>
        <v>1</v>
      </c>
      <c r="D58" s="90" t="str">
        <f>'4637'!C22</f>
        <v>RESPALDO</v>
      </c>
      <c r="E58" s="94">
        <f>'4637'!D22</f>
        <v>570</v>
      </c>
      <c r="F58" s="94">
        <f>'4637'!E22</f>
        <v>50</v>
      </c>
      <c r="G58" s="90" t="str">
        <f>'4637'!F22</f>
        <v>CYPRUS CHERRY 10225 SF</v>
      </c>
      <c r="H58" s="30"/>
      <c r="K58" s="26"/>
      <c r="M58" s="29"/>
    </row>
    <row r="59" spans="1:13" s="10" customFormat="1" ht="20.100000000000001" customHeight="1" x14ac:dyDescent="0.35">
      <c r="A59" s="108"/>
      <c r="B59" s="95"/>
      <c r="C59" s="90">
        <f>'4637'!B23</f>
        <v>1</v>
      </c>
      <c r="D59" s="90" t="str">
        <f>'4637'!C23</f>
        <v>RESPALDO</v>
      </c>
      <c r="E59" s="94">
        <f>'4637'!D23</f>
        <v>520</v>
      </c>
      <c r="F59" s="94">
        <f>'4637'!E23</f>
        <v>50</v>
      </c>
      <c r="G59" s="90" t="str">
        <f>'4637'!F23</f>
        <v>CYPRUS CHERRY 10225 SF</v>
      </c>
      <c r="H59" s="30"/>
      <c r="K59" s="26"/>
      <c r="M59" s="29"/>
    </row>
    <row r="60" spans="1:13" s="10" customFormat="1" ht="20.100000000000001" customHeight="1" x14ac:dyDescent="0.35">
      <c r="A60" s="108"/>
      <c r="C60" s="67"/>
      <c r="D60" s="67"/>
      <c r="E60" s="67"/>
      <c r="F60" s="67"/>
      <c r="G60" s="67"/>
      <c r="H60" s="30"/>
      <c r="K60" s="26"/>
      <c r="M60" s="29"/>
    </row>
    <row r="61" spans="1:13" s="10" customFormat="1" ht="15" customHeight="1" x14ac:dyDescent="0.35">
      <c r="B61" s="77"/>
      <c r="C61" s="60"/>
      <c r="D61" s="60"/>
      <c r="E61" s="60"/>
      <c r="F61" s="60"/>
      <c r="G61" s="60"/>
      <c r="H61" s="30"/>
    </row>
    <row r="62" spans="1:13" ht="18" x14ac:dyDescent="0.35">
      <c r="B62" s="67"/>
      <c r="C62" s="67"/>
      <c r="D62" s="30"/>
      <c r="E62" s="67"/>
      <c r="F62" s="67"/>
      <c r="G62" s="72"/>
      <c r="H62" s="30"/>
    </row>
    <row r="63" spans="1:13" ht="18" x14ac:dyDescent="0.35">
      <c r="B63" s="67"/>
      <c r="C63" s="67"/>
      <c r="D63" s="30"/>
      <c r="E63" s="67"/>
      <c r="F63" s="67"/>
      <c r="G63" s="67"/>
      <c r="H63" s="30"/>
      <c r="J63" s="10">
        <f>SUM(J57:J57)</f>
        <v>3.5000000000000003E-2</v>
      </c>
      <c r="K63" s="27">
        <f>SUM(K57:K57)</f>
        <v>525</v>
      </c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ht="15" customHeight="1" x14ac:dyDescent="0.35">
      <c r="B67" s="30"/>
      <c r="C67" s="30"/>
      <c r="D67" s="30"/>
      <c r="E67" s="30"/>
      <c r="F67" s="30"/>
      <c r="G67" s="30"/>
      <c r="H67" s="30"/>
    </row>
    <row r="68" spans="2:8" ht="18" x14ac:dyDescent="0.35">
      <c r="B68" s="30"/>
      <c r="C68" s="30"/>
      <c r="D68" s="30"/>
      <c r="E68" s="30"/>
      <c r="F68" s="30"/>
      <c r="G68" s="30"/>
      <c r="H68" s="30"/>
    </row>
    <row r="69" spans="2:8" ht="18" x14ac:dyDescent="0.35">
      <c r="B69" s="67"/>
      <c r="C69" s="81"/>
      <c r="D69" s="30"/>
      <c r="E69" s="30"/>
      <c r="F69" s="30"/>
      <c r="G69" s="30"/>
      <c r="H69" s="30"/>
    </row>
    <row r="70" spans="2:8" ht="18" x14ac:dyDescent="0.35">
      <c r="B70" s="30"/>
      <c r="C70" s="30"/>
      <c r="D70" s="30"/>
      <c r="E70" s="30"/>
      <c r="F70" s="30"/>
      <c r="G70" s="30"/>
      <c r="H70" s="30"/>
    </row>
    <row r="71" spans="2:8" x14ac:dyDescent="0.3">
      <c r="C71" s="14"/>
      <c r="D71" s="14"/>
      <c r="F71" s="14"/>
      <c r="G71" s="14"/>
    </row>
    <row r="72" spans="2:8" x14ac:dyDescent="0.3">
      <c r="C72" s="14"/>
      <c r="D72" s="14"/>
      <c r="F72" s="14"/>
      <c r="G72" s="14"/>
    </row>
  </sheetData>
  <mergeCells count="6">
    <mergeCell ref="N3:O3"/>
    <mergeCell ref="B20:G20"/>
    <mergeCell ref="B10:G10"/>
    <mergeCell ref="B53:G53"/>
    <mergeCell ref="C55:G5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2025-02-17T19:20:10Z</cp:lastPrinted>
  <dcterms:created xsi:type="dcterms:W3CDTF">2013-03-19T12:54:14Z</dcterms:created>
  <dcterms:modified xsi:type="dcterms:W3CDTF">2025-02-17T19:20:31Z</dcterms:modified>
</cp:coreProperties>
</file>