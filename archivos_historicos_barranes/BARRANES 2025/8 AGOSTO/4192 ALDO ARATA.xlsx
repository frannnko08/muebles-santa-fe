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8 AGOSTO\"/>
    </mc:Choice>
  </mc:AlternateContent>
  <xr:revisionPtr revIDLastSave="0" documentId="13_ncr:1_{87F84412-A1DA-49FD-BBA0-1FFC01943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'4637'!$B$1:$H$72</definedName>
    <definedName name="_xlnm.Print_Area" localSheetId="2">CUBIERTA!$A$73:$G$110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4" l="1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F29" i="3"/>
  <c r="F30" i="3"/>
  <c r="F31" i="3"/>
  <c r="F32" i="3"/>
  <c r="F33" i="3"/>
  <c r="F34" i="3"/>
  <c r="F35" i="3"/>
  <c r="F36" i="3"/>
  <c r="G34" i="3"/>
  <c r="J34" i="3"/>
  <c r="C34" i="3" s="1"/>
  <c r="K34" i="3"/>
  <c r="L34" i="3"/>
  <c r="C35" i="3"/>
  <c r="G35" i="3"/>
  <c r="J35" i="3"/>
  <c r="K35" i="3"/>
  <c r="L35" i="3"/>
  <c r="G36" i="3"/>
  <c r="J36" i="3"/>
  <c r="C36" i="3" s="1"/>
  <c r="K36" i="3"/>
  <c r="L36" i="3"/>
  <c r="C37" i="3"/>
  <c r="G37" i="3"/>
  <c r="J37" i="3"/>
  <c r="K37" i="3"/>
  <c r="L37" i="3"/>
  <c r="G38" i="3"/>
  <c r="J38" i="3"/>
  <c r="C38" i="3" s="1"/>
  <c r="K38" i="3"/>
  <c r="L38" i="3"/>
  <c r="C98" i="3"/>
  <c r="J68" i="3" s="1"/>
  <c r="C68" i="3" s="1"/>
  <c r="E98" i="3"/>
  <c r="K68" i="3" s="1"/>
  <c r="E68" i="3" s="1"/>
  <c r="F98" i="3"/>
  <c r="L68" i="3" s="1"/>
  <c r="F68" i="3" s="1"/>
  <c r="G98" i="3"/>
  <c r="C99" i="3"/>
  <c r="J69" i="3" s="1"/>
  <c r="C69" i="3" s="1"/>
  <c r="E99" i="3"/>
  <c r="K69" i="3" s="1"/>
  <c r="E69" i="3" s="1"/>
  <c r="F99" i="3"/>
  <c r="L69" i="3" s="1"/>
  <c r="F69" i="3" s="1"/>
  <c r="G99" i="3"/>
  <c r="C100" i="3"/>
  <c r="J70" i="3" s="1"/>
  <c r="C70" i="3" s="1"/>
  <c r="E100" i="3"/>
  <c r="K70" i="3" s="1"/>
  <c r="E70" i="3" s="1"/>
  <c r="F100" i="3"/>
  <c r="L70" i="3" s="1"/>
  <c r="G100" i="3"/>
  <c r="C101" i="3"/>
  <c r="J71" i="3" s="1"/>
  <c r="C71" i="3" s="1"/>
  <c r="E101" i="3"/>
  <c r="K71" i="3" s="1"/>
  <c r="E71" i="3" s="1"/>
  <c r="F101" i="3"/>
  <c r="L71" i="3" s="1"/>
  <c r="G101" i="3"/>
  <c r="C147" i="3"/>
  <c r="D147" i="3"/>
  <c r="D101" i="3" s="1"/>
  <c r="G71" i="3" s="1"/>
  <c r="E147" i="3"/>
  <c r="F147" i="3"/>
  <c r="G147" i="3"/>
  <c r="C144" i="3"/>
  <c r="D144" i="3"/>
  <c r="D98" i="3" s="1"/>
  <c r="G68" i="3" s="1"/>
  <c r="E144" i="3"/>
  <c r="F144" i="3"/>
  <c r="G144" i="3"/>
  <c r="C145" i="3"/>
  <c r="D145" i="3"/>
  <c r="D99" i="3" s="1"/>
  <c r="G69" i="3" s="1"/>
  <c r="E145" i="3"/>
  <c r="F145" i="3"/>
  <c r="G145" i="3"/>
  <c r="C146" i="3"/>
  <c r="D146" i="3"/>
  <c r="D100" i="3" s="1"/>
  <c r="G70" i="3" s="1"/>
  <c r="E146" i="3"/>
  <c r="F146" i="3"/>
  <c r="G146" i="3"/>
  <c r="G78" i="3" l="1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77" i="3"/>
  <c r="F78" i="3"/>
  <c r="L15" i="3" s="1"/>
  <c r="F15" i="3" s="1"/>
  <c r="F79" i="3"/>
  <c r="L16" i="3" s="1"/>
  <c r="F16" i="3" s="1"/>
  <c r="F80" i="3"/>
  <c r="L17" i="3" s="1"/>
  <c r="F17" i="3" s="1"/>
  <c r="F81" i="3"/>
  <c r="L18" i="3" s="1"/>
  <c r="F18" i="3" s="1"/>
  <c r="F82" i="3"/>
  <c r="L19" i="3" s="1"/>
  <c r="F19" i="3" s="1"/>
  <c r="F83" i="3"/>
  <c r="L20" i="3" s="1"/>
  <c r="F20" i="3" s="1"/>
  <c r="F84" i="3"/>
  <c r="L54" i="3" s="1"/>
  <c r="F54" i="3" s="1"/>
  <c r="F85" i="3"/>
  <c r="L22" i="3" s="1"/>
  <c r="F22" i="3" s="1"/>
  <c r="F86" i="3"/>
  <c r="L23" i="3" s="1"/>
  <c r="F23" i="3" s="1"/>
  <c r="F87" i="3"/>
  <c r="L24" i="3" s="1"/>
  <c r="F24" i="3" s="1"/>
  <c r="F88" i="3"/>
  <c r="L25" i="3" s="1"/>
  <c r="F25" i="3" s="1"/>
  <c r="F89" i="3"/>
  <c r="L26" i="3" s="1"/>
  <c r="F26" i="3" s="1"/>
  <c r="F90" i="3"/>
  <c r="L27" i="3" s="1"/>
  <c r="F27" i="3" s="1"/>
  <c r="F91" i="3"/>
  <c r="L61" i="3" s="1"/>
  <c r="F61" i="3" s="1"/>
  <c r="F92" i="3"/>
  <c r="L62" i="3" s="1"/>
  <c r="F62" i="3" s="1"/>
  <c r="F93" i="3"/>
  <c r="L63" i="3" s="1"/>
  <c r="F63" i="3" s="1"/>
  <c r="F94" i="3"/>
  <c r="L31" i="3" s="1"/>
  <c r="F95" i="3"/>
  <c r="L65" i="3" s="1"/>
  <c r="F65" i="3" s="1"/>
  <c r="F96" i="3"/>
  <c r="L66" i="3" s="1"/>
  <c r="F66" i="3" s="1"/>
  <c r="F97" i="3"/>
  <c r="L67" i="3" s="1"/>
  <c r="F67" i="3" s="1"/>
  <c r="F77" i="3"/>
  <c r="L14" i="3" s="1"/>
  <c r="E78" i="3"/>
  <c r="K15" i="3" s="1"/>
  <c r="E79" i="3"/>
  <c r="K16" i="3" s="1"/>
  <c r="E80" i="3"/>
  <c r="K17" i="3" s="1"/>
  <c r="E81" i="3"/>
  <c r="K18" i="3" s="1"/>
  <c r="E82" i="3"/>
  <c r="K19" i="3" s="1"/>
  <c r="E83" i="3"/>
  <c r="K20" i="3" s="1"/>
  <c r="E84" i="3"/>
  <c r="K21" i="3" s="1"/>
  <c r="E85" i="3"/>
  <c r="K55" i="3" s="1"/>
  <c r="E55" i="3" s="1"/>
  <c r="E86" i="3"/>
  <c r="K56" i="3" s="1"/>
  <c r="E56" i="3" s="1"/>
  <c r="E87" i="3"/>
  <c r="K57" i="3" s="1"/>
  <c r="E57" i="3" s="1"/>
  <c r="E88" i="3"/>
  <c r="K25" i="3" s="1"/>
  <c r="E89" i="3"/>
  <c r="K26" i="3" s="1"/>
  <c r="E90" i="3"/>
  <c r="K27" i="3" s="1"/>
  <c r="E91" i="3"/>
  <c r="K28" i="3" s="1"/>
  <c r="E92" i="3"/>
  <c r="K62" i="3" s="1"/>
  <c r="E62" i="3" s="1"/>
  <c r="E93" i="3"/>
  <c r="K63" i="3" s="1"/>
  <c r="E63" i="3" s="1"/>
  <c r="E94" i="3"/>
  <c r="K64" i="3" s="1"/>
  <c r="E64" i="3" s="1"/>
  <c r="E95" i="3"/>
  <c r="K65" i="3" s="1"/>
  <c r="E65" i="3" s="1"/>
  <c r="E96" i="3"/>
  <c r="K66" i="3" s="1"/>
  <c r="E66" i="3" s="1"/>
  <c r="E97" i="3"/>
  <c r="K67" i="3" s="1"/>
  <c r="E67" i="3" s="1"/>
  <c r="E77" i="3"/>
  <c r="K14" i="3" s="1"/>
  <c r="C78" i="3"/>
  <c r="C79" i="3"/>
  <c r="C80" i="3"/>
  <c r="C81" i="3"/>
  <c r="C82" i="3"/>
  <c r="C83" i="3"/>
  <c r="J53" i="3" s="1"/>
  <c r="C53" i="3" s="1"/>
  <c r="C84" i="3"/>
  <c r="J54" i="3" s="1"/>
  <c r="C54" i="3" s="1"/>
  <c r="C85" i="3"/>
  <c r="J55" i="3" s="1"/>
  <c r="C55" i="3" s="1"/>
  <c r="C86" i="3"/>
  <c r="J56" i="3" s="1"/>
  <c r="C56" i="3" s="1"/>
  <c r="C87" i="3"/>
  <c r="J57" i="3" s="1"/>
  <c r="C57" i="3" s="1"/>
  <c r="C88" i="3"/>
  <c r="J58" i="3" s="1"/>
  <c r="C58" i="3" s="1"/>
  <c r="C89" i="3"/>
  <c r="J59" i="3" s="1"/>
  <c r="C59" i="3" s="1"/>
  <c r="C90" i="3"/>
  <c r="J60" i="3" s="1"/>
  <c r="C60" i="3" s="1"/>
  <c r="C91" i="3"/>
  <c r="J61" i="3" s="1"/>
  <c r="C61" i="3" s="1"/>
  <c r="C92" i="3"/>
  <c r="J62" i="3" s="1"/>
  <c r="C62" i="3" s="1"/>
  <c r="C93" i="3"/>
  <c r="J63" i="3" s="1"/>
  <c r="C63" i="3" s="1"/>
  <c r="C94" i="3"/>
  <c r="J64" i="3" s="1"/>
  <c r="C64" i="3" s="1"/>
  <c r="C95" i="3"/>
  <c r="J65" i="3" s="1"/>
  <c r="C65" i="3" s="1"/>
  <c r="C96" i="3"/>
  <c r="J66" i="3" s="1"/>
  <c r="C66" i="3" s="1"/>
  <c r="C97" i="3"/>
  <c r="J67" i="3" s="1"/>
  <c r="C67" i="3" s="1"/>
  <c r="C77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23" i="3"/>
  <c r="E124" i="3"/>
  <c r="E125" i="3"/>
  <c r="E126" i="3"/>
  <c r="E127" i="3"/>
  <c r="E128" i="3"/>
  <c r="E129" i="3"/>
  <c r="E130" i="3"/>
  <c r="E131" i="3"/>
  <c r="E132" i="3"/>
  <c r="E134" i="3"/>
  <c r="E135" i="3"/>
  <c r="E136" i="3"/>
  <c r="E137" i="3"/>
  <c r="E138" i="3"/>
  <c r="E139" i="3"/>
  <c r="E140" i="3"/>
  <c r="E141" i="3"/>
  <c r="E142" i="3"/>
  <c r="E143" i="3"/>
  <c r="E123" i="3"/>
  <c r="D124" i="3"/>
  <c r="D78" i="3" s="1"/>
  <c r="D125" i="3"/>
  <c r="D79" i="3" s="1"/>
  <c r="D126" i="3"/>
  <c r="D80" i="3" s="1"/>
  <c r="D127" i="3"/>
  <c r="D81" i="3" s="1"/>
  <c r="D128" i="3"/>
  <c r="D82" i="3" s="1"/>
  <c r="G19" i="3" s="1"/>
  <c r="D129" i="3"/>
  <c r="D83" i="3" s="1"/>
  <c r="D130" i="3"/>
  <c r="D84" i="3" s="1"/>
  <c r="D131" i="3"/>
  <c r="D85" i="3" s="1"/>
  <c r="D132" i="3"/>
  <c r="D86" i="3" s="1"/>
  <c r="G56" i="3" s="1"/>
  <c r="D133" i="3"/>
  <c r="D87" i="3" s="1"/>
  <c r="D134" i="3"/>
  <c r="D88" i="3" s="1"/>
  <c r="D135" i="3"/>
  <c r="D89" i="3" s="1"/>
  <c r="D136" i="3"/>
  <c r="D90" i="3" s="1"/>
  <c r="G27" i="3" s="1"/>
  <c r="D137" i="3"/>
  <c r="D91" i="3" s="1"/>
  <c r="D138" i="3"/>
  <c r="D92" i="3" s="1"/>
  <c r="G62" i="3" s="1"/>
  <c r="D139" i="3"/>
  <c r="D93" i="3" s="1"/>
  <c r="G63" i="3" s="1"/>
  <c r="D140" i="3"/>
  <c r="D94" i="3" s="1"/>
  <c r="G64" i="3" s="1"/>
  <c r="D141" i="3"/>
  <c r="D95" i="3" s="1"/>
  <c r="G65" i="3" s="1"/>
  <c r="D142" i="3"/>
  <c r="D96" i="3" s="1"/>
  <c r="G66" i="3" s="1"/>
  <c r="D143" i="3"/>
  <c r="D97" i="3" s="1"/>
  <c r="G67" i="3" s="1"/>
  <c r="D123" i="3"/>
  <c r="D77" i="3" s="1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23" i="3"/>
  <c r="K33" i="3" l="1"/>
  <c r="G33" i="3"/>
  <c r="L33" i="3"/>
  <c r="K22" i="3"/>
  <c r="J33" i="3"/>
  <c r="C33" i="3" s="1"/>
  <c r="J31" i="3"/>
  <c r="C31" i="3" s="1"/>
  <c r="L29" i="3"/>
  <c r="G31" i="3"/>
  <c r="L60" i="3"/>
  <c r="F60" i="3" s="1"/>
  <c r="K32" i="3"/>
  <c r="G32" i="3"/>
  <c r="L32" i="3"/>
  <c r="J30" i="3"/>
  <c r="C30" i="3" s="1"/>
  <c r="J32" i="3"/>
  <c r="C32" i="3" s="1"/>
  <c r="L30" i="3"/>
  <c r="K29" i="3"/>
  <c r="G29" i="3"/>
  <c r="K31" i="3"/>
  <c r="L64" i="3"/>
  <c r="F64" i="3" s="1"/>
  <c r="K30" i="3"/>
  <c r="J29" i="3"/>
  <c r="C29" i="3" s="1"/>
  <c r="G30" i="3"/>
  <c r="K59" i="3"/>
  <c r="E59" i="3" s="1"/>
  <c r="L56" i="3"/>
  <c r="F56" i="3" s="1"/>
  <c r="K54" i="3"/>
  <c r="E54" i="3" s="1"/>
  <c r="K58" i="3"/>
  <c r="E58" i="3" s="1"/>
  <c r="K60" i="3"/>
  <c r="E60" i="3" s="1"/>
  <c r="K61" i="3"/>
  <c r="E61" i="3" s="1"/>
  <c r="L21" i="3"/>
  <c r="F21" i="3" s="1"/>
  <c r="L28" i="3"/>
  <c r="F28" i="3" s="1"/>
  <c r="K24" i="3"/>
  <c r="L53" i="3"/>
  <c r="F53" i="3" s="1"/>
  <c r="G21" i="3"/>
  <c r="G54" i="3"/>
  <c r="G28" i="3"/>
  <c r="G61" i="3"/>
  <c r="G53" i="3"/>
  <c r="G20" i="3"/>
  <c r="G58" i="3"/>
  <c r="G25" i="3"/>
  <c r="G57" i="3"/>
  <c r="G24" i="3"/>
  <c r="G26" i="3"/>
  <c r="G59" i="3"/>
  <c r="G22" i="3"/>
  <c r="G55" i="3"/>
  <c r="G60" i="3"/>
  <c r="L58" i="3"/>
  <c r="F58" i="3" s="1"/>
  <c r="L57" i="3"/>
  <c r="F57" i="3" s="1"/>
  <c r="K23" i="3"/>
  <c r="G23" i="3"/>
  <c r="K53" i="3"/>
  <c r="E53" i="3" s="1"/>
  <c r="L59" i="3"/>
  <c r="F59" i="3" s="1"/>
  <c r="L55" i="3"/>
  <c r="F55" i="3" s="1"/>
  <c r="J25" i="3"/>
  <c r="C25" i="3" s="1"/>
  <c r="J28" i="3"/>
  <c r="C28" i="3" s="1"/>
  <c r="J20" i="3"/>
  <c r="C20" i="3" s="1"/>
  <c r="J21" i="3"/>
  <c r="C21" i="3" s="1"/>
  <c r="J24" i="3"/>
  <c r="C24" i="3" s="1"/>
  <c r="J26" i="3"/>
  <c r="C26" i="3" s="1"/>
  <c r="J22" i="3"/>
  <c r="C22" i="3" s="1"/>
  <c r="J27" i="3"/>
  <c r="C27" i="3" s="1"/>
  <c r="J23" i="3"/>
  <c r="C23" i="3" s="1"/>
  <c r="J49" i="3" l="1"/>
  <c r="G49" i="3"/>
  <c r="K49" i="3"/>
  <c r="E49" i="3" s="1"/>
  <c r="L49" i="3"/>
  <c r="F49" i="3" s="1"/>
  <c r="J50" i="3"/>
  <c r="G50" i="3"/>
  <c r="K50" i="3"/>
  <c r="E50" i="3" s="1"/>
  <c r="L50" i="3"/>
  <c r="F50" i="3" s="1"/>
  <c r="J51" i="3"/>
  <c r="G51" i="3"/>
  <c r="K51" i="3"/>
  <c r="E51" i="3" s="1"/>
  <c r="L51" i="3"/>
  <c r="F51" i="3" s="1"/>
  <c r="J52" i="3"/>
  <c r="G52" i="3"/>
  <c r="K52" i="3"/>
  <c r="E52" i="3" s="1"/>
  <c r="L52" i="3"/>
  <c r="F52" i="3" s="1"/>
  <c r="C52" i="3" l="1"/>
  <c r="J19" i="3"/>
  <c r="C19" i="3" s="1"/>
  <c r="C51" i="3"/>
  <c r="J18" i="3"/>
  <c r="C18" i="3" s="1"/>
  <c r="C50" i="3"/>
  <c r="J17" i="3"/>
  <c r="C17" i="3" s="1"/>
  <c r="C49" i="3"/>
  <c r="J16" i="3"/>
  <c r="C16" i="3" s="1"/>
  <c r="G18" i="3"/>
  <c r="G17" i="3"/>
  <c r="G16" i="3"/>
  <c r="J48" i="3"/>
  <c r="C48" i="3" l="1"/>
  <c r="J15" i="3"/>
  <c r="C15" i="3" s="1"/>
  <c r="G48" i="3"/>
  <c r="G15" i="3"/>
  <c r="L48" i="3"/>
  <c r="F48" i="3" s="1"/>
  <c r="K48" i="3"/>
  <c r="E48" i="3" s="1"/>
  <c r="L21" i="4" l="1"/>
  <c r="K21" i="4"/>
  <c r="M21" i="4" l="1"/>
  <c r="N21" i="4" s="1"/>
  <c r="G47" i="3" l="1"/>
  <c r="L47" i="3"/>
  <c r="F47" i="3" s="1"/>
  <c r="J47" i="3" l="1"/>
  <c r="I77" i="3"/>
  <c r="J77" i="3" s="1"/>
  <c r="K47" i="3"/>
  <c r="E47" i="3" s="1"/>
  <c r="I123" i="3"/>
  <c r="J123" i="3" s="1"/>
  <c r="E14" i="3"/>
  <c r="G14" i="3"/>
  <c r="F14" i="3"/>
  <c r="C47" i="3" l="1"/>
  <c r="J14" i="3"/>
  <c r="C14" i="3" s="1"/>
  <c r="J104" i="3"/>
  <c r="K123" i="3"/>
  <c r="J152" i="3"/>
  <c r="H50" i="4"/>
  <c r="O5" i="3"/>
  <c r="K152" i="3" l="1"/>
  <c r="N5" i="3"/>
  <c r="M5" i="3"/>
  <c r="L5" i="3"/>
  <c r="D116" i="3" l="1"/>
  <c r="D7" i="3"/>
  <c r="E114" i="3"/>
  <c r="E5" i="3"/>
  <c r="E116" i="3"/>
  <c r="E7" i="3"/>
  <c r="E113" i="3"/>
  <c r="E4" i="3"/>
</calcChain>
</file>

<file path=xl/sharedStrings.xml><?xml version="1.0" encoding="utf-8"?>
<sst xmlns="http://schemas.openxmlformats.org/spreadsheetml/2006/main" count="297" uniqueCount="145">
  <si>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</si>
  <si>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</si>
  <si>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</si>
  <si>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</si>
  <si>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</si>
  <si>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</si>
  <si>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</si>
  <si>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</si>
  <si>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</si>
  <si>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</si>
  <si>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</si>
  <si>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</si>
  <si>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</si>
  <si>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</si>
  <si>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</si>
  <si>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</si>
  <si>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</si>
  <si>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</si>
  <si>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</si>
  <si>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</si>
  <si>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</si>
  <si>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</si>
  <si>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</si>
  <si>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</si>
  <si>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</si>
  <si>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</si>
  <si>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</si>
  <si>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</si>
  <si>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</si>
  <si>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</si>
  <si>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</si>
  <si>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</si>
  <si>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</si>
  <si>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</si>
  <si>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</si>
  <si>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</si>
  <si>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</si>
  <si>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</si>
  <si>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</si>
  <si>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</si>
  <si>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</si>
  <si>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</si>
  <si>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</si>
  <si>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</si>
  <si>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</si>
  <si>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</si>
  <si>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</si>
  <si>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</si>
  <si>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</si>
  <si>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</si>
  <si>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</si>
  <si>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</si>
  <si>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</si>
  <si>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</si>
  <si>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</si>
  <si>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</si>
  <si>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</si>
  <si>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</si>
  <si>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</si>
  <si>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</si>
  <si>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</si>
  <si>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</si>
  <si>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</si>
  <si>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</si>
  <si>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</si>
  <si>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</si>
  <si>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</si>
  <si>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</si>
  <si>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</si>
  <si>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</si>
  <si>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</si>
  <si>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</si>
  <si>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</si>
  <si>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</si>
  <si>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</si>
  <si>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</si>
  <si>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</si>
  <si>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</si>
  <si>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</si>
  <si>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</si>
  <si>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</si>
  <si>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</si>
  <si>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</si>
  <si>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</si>
  <si>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</si>
  <si>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</si>
  <si>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</si>
  <si>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</si>
  <si>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</si>
  <si>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</si>
  <si>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</si>
  <si>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</si>
  <si>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</si>
  <si>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</si>
  <si>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</si>
  <si>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</si>
  <si>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</si>
  <si>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</si>
  <si>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</si>
  <si>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</si>
  <si>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</si>
  <si>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</si>
  <si>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</si>
  <si>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</si>
  <si>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</si>
  <si>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</si>
  <si>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</si>
  <si>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</si>
  <si>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</si>
  <si>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</si>
  <si>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</si>
  <si>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</si>
  <si>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</si>
  <si>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</si>
  <si>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</si>
  <si>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</si>
  <si>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</si>
  <si>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</si>
  <si>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</si>
  <si>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</si>
  <si>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</si>
  <si>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</si>
  <si>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</si>
  <si>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</si>
  <si>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</si>
  <si>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</si>
  <si>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</si>
  <si>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</si>
  <si>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</si>
  <si>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</si>
  <si>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</si>
  <si>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</si>
  <si>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</si>
  <si>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</si>
  <si>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</si>
  <si>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</si>
  <si>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</si>
  <si>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</si>
  <si>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</si>
  <si>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</si>
  <si>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</si>
  <si>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BRITISH BUSH 22107 SF</t>
  </si>
  <si>
    <t>ALDO ARATA</t>
  </si>
  <si>
    <t>AAG0254@GMAIL.COM</t>
  </si>
  <si>
    <t>+569 7793 9434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</si>
</sst>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47</xdr:row>
      <xdr:rowOff>23327</xdr:rowOff>
    </xdr:from>
    <xdr:to>
      <xdr:col>5</xdr:col>
      <xdr:colOff>1539552</xdr:colOff>
      <xdr:row>50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:DEPOSITO</a:t>
          </a:r>
          <a:r>
            <a:rPr lang="es-CL" sz="1200" b="1" i="0" baseline="0"/>
            <a:t>   $ 250.000.-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67</xdr:row>
      <xdr:rowOff>0</xdr:rowOff>
    </xdr:from>
    <xdr:to>
      <xdr:col>4</xdr:col>
      <xdr:colOff>369336</xdr:colOff>
      <xdr:row>67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69</xdr:row>
      <xdr:rowOff>1</xdr:rowOff>
    </xdr:from>
    <xdr:to>
      <xdr:col>4</xdr:col>
      <xdr:colOff>349897</xdr:colOff>
      <xdr:row>69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66674</xdr:rowOff>
    </xdr:from>
    <xdr:to>
      <xdr:col>6</xdr:col>
      <xdr:colOff>2914649</xdr:colOff>
      <xdr:row>43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117</xdr:row>
      <xdr:rowOff>190500</xdr:rowOff>
    </xdr:from>
    <xdr:to>
      <xdr:col>7</xdr:col>
      <xdr:colOff>9524</xdr:colOff>
      <xdr:row>119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114</xdr:row>
      <xdr:rowOff>30479</xdr:rowOff>
    </xdr:from>
    <xdr:to>
      <xdr:col>6</xdr:col>
      <xdr:colOff>2912745</xdr:colOff>
      <xdr:row>115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112</xdr:row>
      <xdr:rowOff>209549</xdr:rowOff>
    </xdr:from>
    <xdr:to>
      <xdr:col>7</xdr:col>
      <xdr:colOff>0</xdr:colOff>
      <xdr:row>114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111</xdr:row>
      <xdr:rowOff>171450</xdr:rowOff>
    </xdr:from>
    <xdr:to>
      <xdr:col>7</xdr:col>
      <xdr:colOff>19050</xdr:colOff>
      <xdr:row>112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150</xdr:row>
      <xdr:rowOff>0</xdr:rowOff>
    </xdr:from>
    <xdr:to>
      <xdr:col>3</xdr:col>
      <xdr:colOff>38100</xdr:colOff>
      <xdr:row>151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150</xdr:row>
      <xdr:rowOff>0</xdr:rowOff>
    </xdr:from>
    <xdr:to>
      <xdr:col>3</xdr:col>
      <xdr:colOff>1019175</xdr:colOff>
      <xdr:row>151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150</xdr:row>
      <xdr:rowOff>0</xdr:rowOff>
    </xdr:from>
    <xdr:to>
      <xdr:col>4</xdr:col>
      <xdr:colOff>352425</xdr:colOff>
      <xdr:row>151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150</xdr:row>
      <xdr:rowOff>0</xdr:rowOff>
    </xdr:from>
    <xdr:to>
      <xdr:col>5</xdr:col>
      <xdr:colOff>257175</xdr:colOff>
      <xdr:row>151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150</xdr:row>
      <xdr:rowOff>0</xdr:rowOff>
    </xdr:from>
    <xdr:to>
      <xdr:col>6</xdr:col>
      <xdr:colOff>447675</xdr:colOff>
      <xdr:row>151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150</xdr:row>
      <xdr:rowOff>0</xdr:rowOff>
    </xdr:from>
    <xdr:to>
      <xdr:col>7</xdr:col>
      <xdr:colOff>0</xdr:colOff>
      <xdr:row>151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151</xdr:row>
      <xdr:rowOff>0</xdr:rowOff>
    </xdr:from>
    <xdr:to>
      <xdr:col>3</xdr:col>
      <xdr:colOff>304800</xdr:colOff>
      <xdr:row>152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151</xdr:row>
      <xdr:rowOff>0</xdr:rowOff>
    </xdr:from>
    <xdr:to>
      <xdr:col>3</xdr:col>
      <xdr:colOff>1276350</xdr:colOff>
      <xdr:row>152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151</xdr:row>
      <xdr:rowOff>0</xdr:rowOff>
    </xdr:from>
    <xdr:to>
      <xdr:col>4</xdr:col>
      <xdr:colOff>619125</xdr:colOff>
      <xdr:row>152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151</xdr:row>
      <xdr:rowOff>0</xdr:rowOff>
    </xdr:from>
    <xdr:to>
      <xdr:col>5</xdr:col>
      <xdr:colOff>523875</xdr:colOff>
      <xdr:row>152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151</xdr:row>
      <xdr:rowOff>0</xdr:rowOff>
    </xdr:from>
    <xdr:to>
      <xdr:col>6</xdr:col>
      <xdr:colOff>723900</xdr:colOff>
      <xdr:row>152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151</xdr:row>
      <xdr:rowOff>0</xdr:rowOff>
    </xdr:from>
    <xdr:to>
      <xdr:col>7</xdr:col>
      <xdr:colOff>0</xdr:colOff>
      <xdr:row>152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103</xdr:row>
      <xdr:rowOff>15239</xdr:rowOff>
    </xdr:from>
    <xdr:to>
      <xdr:col>7</xdr:col>
      <xdr:colOff>0</xdr:colOff>
      <xdr:row>107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VA A CONSULTAR AL CLIENTE SI SE CORTAN A LA MEDIDA, SON SIN ENCHAPE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73</xdr:row>
      <xdr:rowOff>1</xdr:rowOff>
    </xdr:from>
    <xdr:to>
      <xdr:col>7</xdr:col>
      <xdr:colOff>19048</xdr:colOff>
      <xdr:row>74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153</xdr:row>
      <xdr:rowOff>32385</xdr:rowOff>
    </xdr:from>
    <xdr:to>
      <xdr:col>7</xdr:col>
      <xdr:colOff>0</xdr:colOff>
      <xdr:row>157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VA A PREGUNTAR AL CLIENTE SI LAS QUIERE CORTADAS A LA MEDIDA, SON SIN ENCHAPE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111</xdr:row>
      <xdr:rowOff>146685</xdr:rowOff>
    </xdr:from>
    <xdr:to>
      <xdr:col>2</xdr:col>
      <xdr:colOff>786523</xdr:colOff>
      <xdr:row>117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159</xdr:row>
      <xdr:rowOff>0</xdr:rowOff>
    </xdr:from>
    <xdr:to>
      <xdr:col>4</xdr:col>
      <xdr:colOff>304800</xdr:colOff>
      <xdr:row>160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AG0254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3"/>
  <sheetViews>
    <sheetView tabSelected="1" topLeftCell="B32" zoomScale="98" zoomScaleNormal="98" workbookViewId="0">
      <selection activeCell="B21" sqref="B21:B4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11565</v>
      </c>
      <c r="E8" s="30">
        <v>0</v>
      </c>
      <c r="F8" s="35" t="s">
        <v>25</v>
      </c>
      <c r="G8" s="36">
        <v>4192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142</v>
      </c>
      <c r="D10" s="39"/>
      <c r="E10" s="39"/>
      <c r="F10" s="40" t="s">
        <v>26</v>
      </c>
      <c r="G10" s="41">
        <v>45880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45889</v>
      </c>
      <c r="H11" s="46"/>
      <c r="I11" s="30"/>
    </row>
    <row r="12" spans="1:17" ht="18" x14ac:dyDescent="0.35">
      <c r="A12" s="30"/>
      <c r="B12" s="47" t="s">
        <v>126</v>
      </c>
      <c r="C12" s="127" t="s">
        <v>142</v>
      </c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28" t="s">
        <v>143</v>
      </c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29" t="s">
        <v>144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140</v>
      </c>
      <c r="D16" s="55"/>
      <c r="E16" s="56"/>
      <c r="F16" s="132" t="s">
        <v>17</v>
      </c>
      <c r="G16" s="132"/>
      <c r="H16" s="13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34" t="s">
        <v>18</v>
      </c>
      <c r="C19" s="135"/>
      <c r="D19" s="135"/>
      <c r="E19" s="135"/>
      <c r="F19" s="135"/>
      <c r="G19" s="135"/>
      <c r="H19" s="136"/>
      <c r="I19" s="30"/>
    </row>
    <row r="20" spans="1:16" ht="20.100000000000001" customHeight="1" thickBot="1" x14ac:dyDescent="0.4">
      <c r="A20" s="30"/>
      <c r="B20" s="57" t="s">
        <v>128</v>
      </c>
      <c r="C20" s="117" t="s">
        <v>19</v>
      </c>
      <c r="D20" s="117" t="s">
        <v>20</v>
      </c>
      <c r="E20" s="117" t="s">
        <v>7</v>
      </c>
      <c r="F20" s="118" t="s">
        <v>21</v>
      </c>
      <c r="G20" s="57" t="s">
        <v>22</v>
      </c>
      <c r="H20" s="118" t="s">
        <v>4</v>
      </c>
      <c r="I20" s="30"/>
      <c r="N20">
        <v>65000</v>
      </c>
    </row>
    <row r="21" spans="1:16" ht="20.100000000000001" customHeight="1" thickBot="1" x14ac:dyDescent="0.4">
      <c r="A21" s="30"/>
      <c r="B21" s="120">
        <v>1</v>
      </c>
      <c r="C21" s="121" t="s">
        <v>60</v>
      </c>
      <c r="D21" s="125">
        <v>2302</v>
      </c>
      <c r="E21" s="125">
        <v>275</v>
      </c>
      <c r="F21" s="121" t="s">
        <v>141</v>
      </c>
      <c r="G21" s="116"/>
      <c r="H21" s="116"/>
      <c r="I21" s="30"/>
      <c r="K21" s="11">
        <f>D25/1000</f>
        <v>0.67700000000000005</v>
      </c>
      <c r="L21" s="15">
        <f>E25/1000</f>
        <v>0.19700000000000001</v>
      </c>
      <c r="M21" s="11">
        <f>K21*L21</f>
        <v>0.13336900000000002</v>
      </c>
      <c r="N21" s="11">
        <f>M21*N$20</f>
        <v>8668.9850000000006</v>
      </c>
      <c r="O21" s="15"/>
      <c r="P21" s="21"/>
    </row>
    <row r="22" spans="1:16" ht="20.100000000000001" customHeight="1" thickBot="1" x14ac:dyDescent="0.4">
      <c r="A22" s="30"/>
      <c r="B22" s="122">
        <v>1</v>
      </c>
      <c r="C22" s="102" t="s">
        <v>60</v>
      </c>
      <c r="D22" s="103">
        <v>2302</v>
      </c>
      <c r="E22" s="103">
        <v>527</v>
      </c>
      <c r="F22" s="121" t="s">
        <v>141</v>
      </c>
      <c r="G22" s="116"/>
      <c r="H22" s="116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22">
        <v>1</v>
      </c>
      <c r="C23" s="102" t="s">
        <v>60</v>
      </c>
      <c r="D23" s="103">
        <v>1134</v>
      </c>
      <c r="E23" s="103">
        <v>597</v>
      </c>
      <c r="F23" s="121" t="s">
        <v>141</v>
      </c>
      <c r="G23" s="116"/>
      <c r="H23" s="116"/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22">
        <v>1</v>
      </c>
      <c r="C24" s="102" t="s">
        <v>60</v>
      </c>
      <c r="D24" s="103">
        <v>2302</v>
      </c>
      <c r="E24" s="103">
        <v>887</v>
      </c>
      <c r="F24" s="121" t="s">
        <v>141</v>
      </c>
      <c r="G24" s="116"/>
      <c r="H24" s="116"/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22">
        <v>1</v>
      </c>
      <c r="C25" s="102" t="s">
        <v>60</v>
      </c>
      <c r="D25" s="103">
        <v>677</v>
      </c>
      <c r="E25" s="103">
        <v>197</v>
      </c>
      <c r="F25" s="121" t="s">
        <v>141</v>
      </c>
      <c r="G25" s="116"/>
      <c r="H25" s="116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22">
        <v>1</v>
      </c>
      <c r="C26" s="102" t="s">
        <v>60</v>
      </c>
      <c r="D26" s="103">
        <v>677</v>
      </c>
      <c r="E26" s="103">
        <v>736</v>
      </c>
      <c r="F26" s="121" t="s">
        <v>141</v>
      </c>
      <c r="G26" s="116"/>
      <c r="H26" s="116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22">
        <v>2</v>
      </c>
      <c r="C27" s="102" t="s">
        <v>60</v>
      </c>
      <c r="D27" s="103">
        <v>677</v>
      </c>
      <c r="E27" s="103">
        <v>447</v>
      </c>
      <c r="F27" s="121" t="s">
        <v>141</v>
      </c>
      <c r="G27" s="116"/>
      <c r="H27" s="116"/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122">
        <v>1</v>
      </c>
      <c r="C28" s="102" t="s">
        <v>60</v>
      </c>
      <c r="D28" s="103">
        <v>700</v>
      </c>
      <c r="E28" s="103">
        <v>447</v>
      </c>
      <c r="F28" s="121" t="s">
        <v>141</v>
      </c>
      <c r="G28" s="116"/>
      <c r="H28" s="116"/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122">
        <v>1</v>
      </c>
      <c r="C29" s="102" t="s">
        <v>60</v>
      </c>
      <c r="D29" s="103">
        <v>700</v>
      </c>
      <c r="E29" s="103">
        <v>797</v>
      </c>
      <c r="F29" s="121" t="s">
        <v>141</v>
      </c>
      <c r="G29" s="116"/>
      <c r="H29" s="116"/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122">
        <v>1</v>
      </c>
      <c r="C30" s="102" t="s">
        <v>60</v>
      </c>
      <c r="D30" s="103">
        <v>677</v>
      </c>
      <c r="E30" s="103">
        <v>397</v>
      </c>
      <c r="F30" s="121" t="s">
        <v>141</v>
      </c>
      <c r="G30" s="116"/>
      <c r="H30" s="116"/>
      <c r="I30" s="30"/>
      <c r="K30" s="11"/>
      <c r="L30" s="15"/>
      <c r="M30" s="11"/>
      <c r="N30" s="11"/>
      <c r="O30" s="15"/>
      <c r="P30" s="21"/>
    </row>
    <row r="31" spans="1:16" ht="20.100000000000001" customHeight="1" thickBot="1" x14ac:dyDescent="0.4">
      <c r="A31" s="30"/>
      <c r="B31" s="122">
        <v>1</v>
      </c>
      <c r="C31" s="102" t="s">
        <v>60</v>
      </c>
      <c r="D31" s="103">
        <v>677</v>
      </c>
      <c r="E31" s="103">
        <v>730</v>
      </c>
      <c r="F31" s="121" t="s">
        <v>141</v>
      </c>
      <c r="G31" s="116"/>
      <c r="H31" s="116"/>
      <c r="I31" s="30"/>
      <c r="K31" s="11"/>
      <c r="L31" s="15"/>
      <c r="M31" s="11"/>
      <c r="N31" s="11"/>
      <c r="O31" s="15"/>
      <c r="P31" s="21"/>
    </row>
    <row r="32" spans="1:16" ht="20.100000000000001" customHeight="1" thickBot="1" x14ac:dyDescent="0.4">
      <c r="A32" s="30"/>
      <c r="B32" s="122">
        <v>1</v>
      </c>
      <c r="C32" s="102" t="s">
        <v>60</v>
      </c>
      <c r="D32" s="103">
        <v>700</v>
      </c>
      <c r="E32" s="103">
        <v>897</v>
      </c>
      <c r="F32" s="121" t="s">
        <v>141</v>
      </c>
      <c r="G32" s="116"/>
      <c r="H32" s="116"/>
      <c r="I32" s="30"/>
      <c r="K32" s="11"/>
      <c r="L32" s="15"/>
      <c r="M32" s="11"/>
      <c r="N32" s="11"/>
      <c r="O32" s="15"/>
      <c r="P32" s="21"/>
    </row>
    <row r="33" spans="1:16" ht="20.100000000000001" customHeight="1" thickBot="1" x14ac:dyDescent="0.4">
      <c r="A33" s="30"/>
      <c r="B33" s="122">
        <v>1</v>
      </c>
      <c r="C33" s="102" t="s">
        <v>60</v>
      </c>
      <c r="D33" s="103">
        <v>672</v>
      </c>
      <c r="E33" s="103">
        <v>497</v>
      </c>
      <c r="F33" s="121" t="s">
        <v>141</v>
      </c>
      <c r="G33" s="116"/>
      <c r="H33" s="116"/>
      <c r="I33" s="30"/>
      <c r="K33" s="11"/>
      <c r="L33" s="15"/>
      <c r="M33" s="11"/>
      <c r="N33" s="11"/>
      <c r="O33" s="15"/>
      <c r="P33" s="21"/>
    </row>
    <row r="34" spans="1:16" ht="20.100000000000001" customHeight="1" thickBot="1" x14ac:dyDescent="0.4">
      <c r="A34" s="30"/>
      <c r="B34" s="122">
        <v>2</v>
      </c>
      <c r="C34" s="102" t="s">
        <v>60</v>
      </c>
      <c r="D34" s="103">
        <v>697</v>
      </c>
      <c r="E34" s="103">
        <v>590</v>
      </c>
      <c r="F34" s="121" t="s">
        <v>141</v>
      </c>
      <c r="G34" s="116"/>
      <c r="H34" s="116"/>
      <c r="I34" s="30"/>
      <c r="K34" s="11"/>
      <c r="L34" s="15"/>
      <c r="M34" s="11"/>
      <c r="N34" s="11"/>
      <c r="O34" s="15"/>
      <c r="P34" s="21"/>
    </row>
    <row r="35" spans="1:16" ht="20.100000000000001" customHeight="1" thickBot="1" x14ac:dyDescent="0.4">
      <c r="A35" s="30"/>
      <c r="B35" s="122">
        <v>1</v>
      </c>
      <c r="C35" s="102" t="s">
        <v>60</v>
      </c>
      <c r="D35" s="103">
        <v>700</v>
      </c>
      <c r="E35" s="103">
        <v>1397</v>
      </c>
      <c r="F35" s="121" t="s">
        <v>141</v>
      </c>
      <c r="G35" s="116"/>
      <c r="H35" s="116"/>
      <c r="I35" s="30"/>
      <c r="K35" s="11"/>
      <c r="L35" s="15"/>
      <c r="M35" s="11"/>
      <c r="N35" s="11"/>
      <c r="O35" s="15"/>
      <c r="P35" s="21"/>
    </row>
    <row r="36" spans="1:16" ht="20.100000000000001" customHeight="1" thickBot="1" x14ac:dyDescent="0.4">
      <c r="A36" s="30"/>
      <c r="B36" s="122">
        <v>1</v>
      </c>
      <c r="C36" s="102" t="s">
        <v>60</v>
      </c>
      <c r="D36" s="103">
        <v>2302</v>
      </c>
      <c r="E36" s="103">
        <v>440</v>
      </c>
      <c r="F36" s="121" t="s">
        <v>141</v>
      </c>
      <c r="G36" s="116"/>
      <c r="H36" s="116"/>
      <c r="I36" s="30"/>
      <c r="K36" s="11"/>
      <c r="L36" s="15"/>
      <c r="M36" s="11"/>
      <c r="N36" s="11"/>
      <c r="O36" s="15"/>
      <c r="P36" s="21"/>
    </row>
    <row r="37" spans="1:16" ht="20.100000000000001" customHeight="1" thickBot="1" x14ac:dyDescent="0.4">
      <c r="A37" s="30"/>
      <c r="B37" s="122">
        <v>2</v>
      </c>
      <c r="C37" s="102" t="s">
        <v>60</v>
      </c>
      <c r="D37" s="103">
        <v>700</v>
      </c>
      <c r="E37" s="103">
        <v>762</v>
      </c>
      <c r="F37" s="121" t="s">
        <v>141</v>
      </c>
      <c r="G37" s="116"/>
      <c r="H37" s="116"/>
      <c r="I37" s="30"/>
      <c r="K37" s="11"/>
      <c r="L37" s="15"/>
      <c r="M37" s="11"/>
      <c r="N37" s="11"/>
      <c r="O37" s="15"/>
      <c r="P37" s="21"/>
    </row>
    <row r="38" spans="1:16" ht="20.100000000000001" customHeight="1" thickBot="1" x14ac:dyDescent="0.4">
      <c r="A38" s="30"/>
      <c r="B38" s="122">
        <v>2</v>
      </c>
      <c r="C38" s="102" t="s">
        <v>60</v>
      </c>
      <c r="D38" s="103">
        <v>535</v>
      </c>
      <c r="E38" s="103">
        <v>472</v>
      </c>
      <c r="F38" s="121" t="s">
        <v>141</v>
      </c>
      <c r="G38" s="116"/>
      <c r="H38" s="116"/>
      <c r="I38" s="30"/>
      <c r="K38" s="11"/>
      <c r="L38" s="15"/>
      <c r="M38" s="11"/>
      <c r="N38" s="11"/>
      <c r="O38" s="15"/>
      <c r="P38" s="21"/>
    </row>
    <row r="39" spans="1:16" ht="20.100000000000001" customHeight="1" thickBot="1" x14ac:dyDescent="0.4">
      <c r="A39" s="30"/>
      <c r="B39" s="122">
        <v>2</v>
      </c>
      <c r="C39" s="102" t="s">
        <v>60</v>
      </c>
      <c r="D39" s="103">
        <v>715</v>
      </c>
      <c r="E39" s="103">
        <v>368</v>
      </c>
      <c r="F39" s="121" t="s">
        <v>141</v>
      </c>
      <c r="G39" s="116"/>
      <c r="H39" s="116"/>
      <c r="I39" s="30"/>
      <c r="K39" s="11"/>
      <c r="L39" s="15"/>
      <c r="M39" s="11"/>
      <c r="N39" s="11"/>
      <c r="O39" s="15"/>
      <c r="P39" s="21"/>
    </row>
    <row r="40" spans="1:16" ht="20.100000000000001" customHeight="1" thickBot="1" x14ac:dyDescent="0.4">
      <c r="A40" s="30"/>
      <c r="B40" s="122">
        <v>1</v>
      </c>
      <c r="C40" s="102" t="s">
        <v>60</v>
      </c>
      <c r="D40" s="103">
        <v>1137</v>
      </c>
      <c r="E40" s="103">
        <v>369</v>
      </c>
      <c r="F40" s="121" t="s">
        <v>141</v>
      </c>
      <c r="G40" s="116"/>
      <c r="H40" s="116"/>
      <c r="I40" s="30"/>
      <c r="K40" s="11"/>
      <c r="L40" s="15"/>
      <c r="M40" s="11"/>
      <c r="N40" s="11"/>
      <c r="O40" s="15"/>
      <c r="P40" s="21"/>
    </row>
    <row r="41" spans="1:16" ht="20.100000000000001" customHeight="1" thickBot="1" x14ac:dyDescent="0.4">
      <c r="A41" s="30"/>
      <c r="B41" s="122">
        <v>2</v>
      </c>
      <c r="C41" s="102" t="s">
        <v>60</v>
      </c>
      <c r="D41" s="103">
        <v>487</v>
      </c>
      <c r="E41" s="103">
        <v>367</v>
      </c>
      <c r="F41" s="121" t="s">
        <v>141</v>
      </c>
      <c r="G41" s="116"/>
      <c r="H41" s="116"/>
      <c r="I41" s="30"/>
      <c r="K41" s="11"/>
      <c r="L41" s="15"/>
      <c r="M41" s="11"/>
      <c r="N41" s="11"/>
      <c r="O41" s="15"/>
      <c r="P41" s="21"/>
    </row>
    <row r="42" spans="1:16" ht="20.100000000000001" customHeight="1" thickBot="1" x14ac:dyDescent="0.4">
      <c r="A42" s="30"/>
      <c r="B42" s="122">
        <v>1</v>
      </c>
      <c r="C42" s="102" t="s">
        <v>60</v>
      </c>
      <c r="D42" s="103">
        <v>862</v>
      </c>
      <c r="E42" s="103">
        <v>367</v>
      </c>
      <c r="F42" s="121" t="s">
        <v>141</v>
      </c>
      <c r="G42" s="116"/>
      <c r="H42" s="116"/>
      <c r="I42" s="30"/>
      <c r="K42" s="11"/>
      <c r="L42" s="15"/>
      <c r="M42" s="11"/>
      <c r="N42" s="11"/>
      <c r="O42" s="15"/>
      <c r="P42" s="21"/>
    </row>
    <row r="43" spans="1:16" ht="20.100000000000001" customHeight="1" thickBot="1" x14ac:dyDescent="0.4">
      <c r="A43" s="30"/>
      <c r="B43" s="122">
        <v>1</v>
      </c>
      <c r="C43" s="102" t="s">
        <v>60</v>
      </c>
      <c r="D43" s="103">
        <v>862</v>
      </c>
      <c r="E43" s="103">
        <v>360</v>
      </c>
      <c r="F43" s="121" t="s">
        <v>141</v>
      </c>
      <c r="G43" s="116"/>
      <c r="H43" s="116"/>
      <c r="I43" s="30"/>
      <c r="K43" s="11"/>
      <c r="L43" s="15"/>
      <c r="M43" s="11"/>
      <c r="N43" s="11"/>
      <c r="O43" s="15"/>
      <c r="P43" s="21"/>
    </row>
    <row r="44" spans="1:16" ht="20.100000000000001" customHeight="1" thickBot="1" x14ac:dyDescent="0.4">
      <c r="A44" s="30"/>
      <c r="B44" s="122">
        <v>1</v>
      </c>
      <c r="C44" s="102" t="s">
        <v>60</v>
      </c>
      <c r="D44" s="103">
        <v>2302</v>
      </c>
      <c r="E44" s="103">
        <v>100</v>
      </c>
      <c r="F44" s="121" t="s">
        <v>141</v>
      </c>
      <c r="G44" s="116"/>
      <c r="H44" s="116"/>
      <c r="I44" s="30"/>
      <c r="K44" s="11"/>
      <c r="L44" s="15"/>
      <c r="M44" s="11"/>
      <c r="N44" s="11"/>
      <c r="O44" s="15"/>
      <c r="P44" s="21"/>
    </row>
    <row r="45" spans="1:16" ht="20.100000000000001" customHeight="1" thickBot="1" x14ac:dyDescent="0.4">
      <c r="A45" s="30"/>
      <c r="B45" s="123">
        <v>1</v>
      </c>
      <c r="C45" s="124" t="s">
        <v>60</v>
      </c>
      <c r="D45" s="126">
        <v>1450</v>
      </c>
      <c r="E45" s="126">
        <v>100</v>
      </c>
      <c r="F45" s="121" t="s">
        <v>141</v>
      </c>
      <c r="G45" s="116"/>
      <c r="H45" s="116"/>
      <c r="I45" s="30"/>
      <c r="K45" s="11"/>
      <c r="L45" s="15"/>
      <c r="M45" s="11"/>
      <c r="N45" s="11"/>
      <c r="O45" s="15"/>
      <c r="P45" s="21"/>
    </row>
    <row r="46" spans="1:16" ht="20.100000000000001" customHeight="1" x14ac:dyDescent="0.35">
      <c r="A46" s="30"/>
      <c r="B46" s="104">
        <f>SUM(B21:B45)</f>
        <v>31</v>
      </c>
      <c r="C46" s="104"/>
      <c r="D46" s="115"/>
      <c r="E46" s="115"/>
      <c r="F46" s="104"/>
      <c r="G46" s="106"/>
      <c r="H46" s="106"/>
      <c r="I46" s="30"/>
      <c r="K46" s="11"/>
      <c r="L46" s="15"/>
      <c r="M46" s="11"/>
      <c r="N46" s="11"/>
      <c r="O46" s="15"/>
      <c r="P46" s="21"/>
    </row>
    <row r="47" spans="1:16" ht="20.100000000000001" customHeight="1" thickBot="1" x14ac:dyDescent="0.4">
      <c r="A47" s="30"/>
      <c r="B47" s="104"/>
      <c r="C47" s="104"/>
      <c r="D47" s="115"/>
      <c r="E47" s="115"/>
      <c r="F47" s="104"/>
      <c r="G47" s="106"/>
      <c r="H47" s="106"/>
      <c r="I47" s="30"/>
      <c r="K47" s="11"/>
      <c r="L47" s="15"/>
      <c r="M47" s="11"/>
      <c r="N47" s="11"/>
      <c r="O47" s="15"/>
      <c r="P47" s="21"/>
    </row>
    <row r="48" spans="1:16" ht="20.100000000000001" customHeight="1" x14ac:dyDescent="0.35">
      <c r="A48" s="30"/>
      <c r="B48" s="104"/>
      <c r="C48" s="104"/>
      <c r="D48" s="115"/>
      <c r="E48" s="115"/>
      <c r="F48" s="104"/>
      <c r="G48" s="60" t="s">
        <v>5</v>
      </c>
      <c r="H48" s="61">
        <v>892000</v>
      </c>
      <c r="I48" s="30"/>
      <c r="K48" s="11"/>
      <c r="L48" s="15"/>
      <c r="M48" s="11"/>
      <c r="N48" s="11"/>
      <c r="O48" s="15"/>
      <c r="P48" s="21"/>
    </row>
    <row r="49" spans="1:16" ht="20.100000000000001" customHeight="1" x14ac:dyDescent="0.35">
      <c r="A49" s="30"/>
      <c r="B49" s="104"/>
      <c r="C49" s="104"/>
      <c r="D49" s="115"/>
      <c r="E49" s="115"/>
      <c r="F49" s="104"/>
      <c r="G49" s="62" t="s">
        <v>139</v>
      </c>
      <c r="H49" s="63"/>
      <c r="I49" s="30"/>
      <c r="K49" s="11"/>
      <c r="L49" s="15"/>
      <c r="M49" s="11"/>
      <c r="N49" s="11"/>
      <c r="O49" s="15"/>
      <c r="P49" s="21"/>
    </row>
    <row r="50" spans="1:16" ht="20.100000000000001" customHeight="1" thickBot="1" x14ac:dyDescent="0.4">
      <c r="A50" s="30"/>
      <c r="B50" s="104"/>
      <c r="C50" s="104"/>
      <c r="D50" s="115"/>
      <c r="E50" s="115"/>
      <c r="F50" s="104"/>
      <c r="G50" s="64" t="s">
        <v>4</v>
      </c>
      <c r="H50" s="65">
        <f>H48+H49</f>
        <v>892000</v>
      </c>
      <c r="I50" s="30"/>
      <c r="K50" s="11"/>
      <c r="L50" s="15"/>
      <c r="M50" s="11"/>
      <c r="N50" s="11"/>
      <c r="O50" s="15"/>
      <c r="P50" s="21"/>
    </row>
    <row r="51" spans="1:16" ht="20.100000000000001" customHeight="1" x14ac:dyDescent="0.35">
      <c r="A51" s="30"/>
      <c r="B51" s="104"/>
      <c r="C51" s="104"/>
      <c r="D51" s="115"/>
      <c r="E51" s="115"/>
      <c r="F51" s="104"/>
      <c r="I51" s="30"/>
      <c r="K51" s="11"/>
      <c r="L51" s="15"/>
      <c r="M51" s="11"/>
      <c r="N51" s="11"/>
      <c r="O51" s="15"/>
      <c r="P51" s="21"/>
    </row>
    <row r="52" spans="1:16" ht="20.100000000000001" customHeight="1" x14ac:dyDescent="0.35">
      <c r="A52" s="30"/>
      <c r="B52" s="104"/>
      <c r="C52" s="104"/>
      <c r="D52" s="115"/>
      <c r="E52" s="115"/>
      <c r="F52" s="104"/>
      <c r="G52" s="106"/>
      <c r="H52" s="106"/>
      <c r="I52" s="30"/>
      <c r="K52" s="11"/>
      <c r="L52" s="15"/>
      <c r="M52" s="11"/>
      <c r="N52" s="11"/>
      <c r="O52" s="15"/>
      <c r="P52" s="21"/>
    </row>
    <row r="53" spans="1:16" ht="20.100000000000001" customHeight="1" x14ac:dyDescent="0.35">
      <c r="A53" s="30"/>
      <c r="B53" s="104"/>
      <c r="C53" s="104"/>
      <c r="D53" s="115"/>
      <c r="E53" s="115"/>
      <c r="F53" s="104"/>
      <c r="G53" s="106"/>
      <c r="H53" s="106"/>
      <c r="I53" s="30"/>
      <c r="K53" s="11"/>
      <c r="L53" s="15"/>
      <c r="M53" s="11"/>
      <c r="N53" s="11"/>
      <c r="O53" s="15"/>
      <c r="P53" s="21"/>
    </row>
    <row r="54" spans="1:16" ht="20.100000000000001" customHeight="1" x14ac:dyDescent="0.35">
      <c r="A54" s="30"/>
      <c r="B54" s="104"/>
      <c r="C54" s="104"/>
      <c r="D54" s="105"/>
      <c r="E54" s="105"/>
      <c r="F54" s="104"/>
      <c r="G54" s="106"/>
      <c r="H54" s="106"/>
      <c r="I54" s="30"/>
      <c r="K54" s="11"/>
      <c r="L54" s="15"/>
      <c r="M54" s="11"/>
      <c r="N54" s="11"/>
      <c r="O54" s="15"/>
      <c r="P54" s="21"/>
    </row>
    <row r="55" spans="1:16" ht="20.100000000000001" customHeight="1" x14ac:dyDescent="0.35">
      <c r="A55" s="30"/>
      <c r="B55" s="104"/>
      <c r="C55" s="104"/>
      <c r="D55" s="105"/>
      <c r="E55" s="105"/>
      <c r="F55" s="104"/>
      <c r="G55" s="106"/>
      <c r="H55" s="106"/>
      <c r="I55" s="30"/>
      <c r="K55" s="11"/>
      <c r="L55" s="15"/>
      <c r="M55" s="11"/>
      <c r="N55" s="11"/>
      <c r="O55" s="15"/>
      <c r="P55" s="21"/>
    </row>
    <row r="56" spans="1:16" ht="13.2" customHeight="1" x14ac:dyDescent="0.35">
      <c r="A56" s="30"/>
      <c r="B56" s="59"/>
      <c r="C56" s="59"/>
      <c r="D56" s="59"/>
      <c r="E56" s="59"/>
      <c r="F56" s="59"/>
      <c r="G56" s="58"/>
      <c r="H56" s="58"/>
      <c r="I56" s="30"/>
    </row>
    <row r="57" spans="1:16" ht="20.100000000000001" customHeight="1" x14ac:dyDescent="0.35">
      <c r="A57" s="30"/>
      <c r="B57" s="30"/>
      <c r="C57" s="30"/>
      <c r="D57" s="30"/>
      <c r="E57" s="30"/>
      <c r="F57" s="30"/>
      <c r="I57" s="30"/>
    </row>
    <row r="58" spans="1:16" ht="20.100000000000001" customHeight="1" x14ac:dyDescent="0.35">
      <c r="A58" s="30"/>
      <c r="B58" s="30"/>
      <c r="C58" s="30"/>
      <c r="D58" s="30"/>
      <c r="E58" s="30"/>
      <c r="F58" s="30"/>
      <c r="I58" s="30"/>
    </row>
    <row r="59" spans="1:16" ht="20.100000000000001" customHeight="1" x14ac:dyDescent="0.35">
      <c r="A59" s="30"/>
      <c r="B59" s="30"/>
      <c r="C59" s="30"/>
      <c r="D59" s="30"/>
      <c r="E59" s="30"/>
      <c r="F59" s="30"/>
      <c r="I59" s="30"/>
    </row>
    <row r="60" spans="1:16" ht="20.100000000000001" customHeight="1" x14ac:dyDescent="0.35">
      <c r="A60" s="30"/>
      <c r="B60" s="30"/>
      <c r="C60" s="30"/>
      <c r="D60" s="30"/>
      <c r="E60" s="30"/>
      <c r="F60" s="30"/>
      <c r="G60" s="66"/>
      <c r="H60" s="67"/>
      <c r="I60" s="30"/>
    </row>
    <row r="61" spans="1:16" ht="18" x14ac:dyDescent="0.35">
      <c r="A61" s="30"/>
      <c r="B61" s="30"/>
      <c r="C61" s="30"/>
      <c r="D61" s="30"/>
      <c r="E61" s="30"/>
      <c r="F61" s="30"/>
      <c r="G61" s="30"/>
      <c r="H61" s="30"/>
      <c r="I61" s="30"/>
    </row>
    <row r="62" spans="1:16" ht="18" x14ac:dyDescent="0.35">
      <c r="A62" s="30"/>
      <c r="B62" s="68" t="s">
        <v>133</v>
      </c>
      <c r="C62" s="69"/>
      <c r="D62" s="70"/>
      <c r="E62" s="70"/>
      <c r="F62" s="59"/>
      <c r="G62" s="30"/>
      <c r="H62" s="30"/>
      <c r="I62" s="30"/>
    </row>
    <row r="63" spans="1:16" ht="18" x14ac:dyDescent="0.35">
      <c r="A63" s="30"/>
      <c r="B63" s="68" t="s">
        <v>119</v>
      </c>
      <c r="C63" s="69"/>
      <c r="D63" s="70"/>
      <c r="E63" s="70"/>
      <c r="F63" s="59"/>
      <c r="G63" s="30"/>
      <c r="H63" s="30"/>
      <c r="I63" s="30"/>
    </row>
    <row r="64" spans="1:16" ht="18" x14ac:dyDescent="0.35">
      <c r="A64" s="30"/>
      <c r="B64" s="30" t="s">
        <v>23</v>
      </c>
      <c r="C64" s="30"/>
      <c r="D64" s="30"/>
      <c r="E64" s="30"/>
      <c r="F64" s="30"/>
      <c r="G64" s="30"/>
      <c r="H64" s="30"/>
      <c r="I64" s="30"/>
    </row>
    <row r="65" spans="1:9" ht="18" x14ac:dyDescent="0.35">
      <c r="A65" s="30"/>
      <c r="B65" s="71" t="s">
        <v>24</v>
      </c>
      <c r="C65" s="71"/>
      <c r="D65" s="30"/>
      <c r="E65" s="30"/>
      <c r="F65" s="30"/>
      <c r="G65" s="30"/>
      <c r="H65" s="30"/>
      <c r="I65" s="30"/>
    </row>
    <row r="66" spans="1:9" ht="18" x14ac:dyDescent="0.35">
      <c r="A66" s="30"/>
      <c r="B66" s="30"/>
      <c r="C66" s="30"/>
      <c r="D66" s="30"/>
      <c r="E66" s="71"/>
      <c r="F66" s="30"/>
      <c r="G66" s="30"/>
      <c r="H66" s="30"/>
      <c r="I66" s="30"/>
    </row>
    <row r="67" spans="1:9" ht="18" x14ac:dyDescent="0.35">
      <c r="A67" s="30"/>
      <c r="B67" s="31" t="s">
        <v>131</v>
      </c>
      <c r="C67" s="31"/>
      <c r="D67" s="31"/>
      <c r="E67" s="72"/>
      <c r="F67" s="30"/>
      <c r="G67" s="30"/>
      <c r="H67" s="30"/>
      <c r="I67" s="30"/>
    </row>
    <row r="68" spans="1:9" ht="18" x14ac:dyDescent="0.35">
      <c r="A68" s="30"/>
      <c r="B68" s="31"/>
      <c r="C68" s="31"/>
      <c r="D68" s="31"/>
      <c r="E68" s="72"/>
      <c r="F68" s="30"/>
      <c r="G68" s="30"/>
      <c r="H68" s="30"/>
      <c r="I68" s="30"/>
    </row>
    <row r="69" spans="1:9" ht="18" x14ac:dyDescent="0.35">
      <c r="A69" s="30"/>
      <c r="B69" s="31" t="s">
        <v>132</v>
      </c>
      <c r="C69" s="30"/>
      <c r="D69" s="30"/>
      <c r="E69" s="71"/>
      <c r="F69" s="30"/>
      <c r="G69" s="30"/>
      <c r="H69" s="30"/>
      <c r="I69" s="30"/>
    </row>
    <row r="70" spans="1:9" ht="18" x14ac:dyDescent="0.35">
      <c r="A70" s="30"/>
      <c r="B70" s="30"/>
      <c r="C70" s="30"/>
      <c r="D70" s="30"/>
      <c r="E70" s="71"/>
      <c r="F70" s="30"/>
      <c r="G70" s="30"/>
      <c r="H70" s="30"/>
      <c r="I70" s="30"/>
    </row>
    <row r="71" spans="1:9" ht="18" x14ac:dyDescent="0.35">
      <c r="A71" s="30"/>
      <c r="B71" s="30"/>
      <c r="C71" s="30"/>
      <c r="D71" s="30"/>
      <c r="E71" s="30"/>
      <c r="F71" s="30"/>
      <c r="G71" s="30"/>
      <c r="H71" s="30"/>
      <c r="I71" s="30"/>
    </row>
    <row r="72" spans="1:9" ht="18" x14ac:dyDescent="0.35">
      <c r="A72" s="30"/>
      <c r="B72" s="30"/>
      <c r="C72" s="30"/>
      <c r="D72" s="30"/>
      <c r="E72" s="30"/>
      <c r="F72" s="30"/>
      <c r="G72" s="30"/>
      <c r="H72" s="30"/>
      <c r="I72" s="30"/>
    </row>
    <row r="73" spans="1:9" ht="15.6" x14ac:dyDescent="0.3">
      <c r="C73" s="1"/>
    </row>
  </sheetData>
  <sortState xmlns:xlrd2="http://schemas.microsoft.com/office/spreadsheetml/2017/richdata2" ref="B74">
    <sortCondition sortBy="fontColor" ref="B74" dxfId="0"/>
  </sortState>
  <mergeCells count="2">
    <mergeCell ref="F16:H16"/>
    <mergeCell ref="B19:H19"/>
  </mergeCells>
  <phoneticPr fontId="8" type="noConversion"/>
  <hyperlinks>
    <hyperlink ref="B65" r:id="rId1" xr:uid="{00000000-0004-0000-0000-000000000000}"/>
    <hyperlink ref="C13" r:id="rId2" xr:uid="{D00A616D-5B3E-4C6D-B7E2-21476D18AFDB}"/>
  </hyperlinks>
  <pageMargins left="0.70866141732283472" right="0.70866141732283472" top="0.74803149606299213" bottom="0.74803149606299213" header="0.31496062992125984" footer="0.31496062992125984"/>
  <pageSetup paperSize="9" scale="53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7" t="s">
        <v>28</v>
      </c>
      <c r="C2" s="137"/>
      <c r="D2" s="137"/>
      <c r="E2" s="12"/>
      <c r="G2" s="137" t="s">
        <v>67</v>
      </c>
      <c r="H2" s="137"/>
      <c r="I2" s="137"/>
      <c r="P2" s="138" t="s">
        <v>55</v>
      </c>
      <c r="Q2" s="138"/>
      <c r="R2" s="13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8" t="s">
        <v>55</v>
      </c>
      <c r="M8" s="138"/>
      <c r="N8" s="13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61"/>
  <sheetViews>
    <sheetView topLeftCell="A23" zoomScaleNormal="100" workbookViewId="0">
      <selection activeCell="E14" sqref="E14:E3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9" t="s">
        <v>58</v>
      </c>
      <c r="M3" s="139"/>
      <c r="N3" s="139" t="s">
        <v>13</v>
      </c>
      <c r="O3" s="139"/>
    </row>
    <row r="4" spans="1:15" ht="15.75" customHeight="1" x14ac:dyDescent="0.35">
      <c r="B4" s="30"/>
      <c r="C4" s="30"/>
      <c r="D4" s="74" t="s">
        <v>25</v>
      </c>
      <c r="E4" s="75">
        <f>'4637'!G8</f>
        <v>4192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ALDO ARATA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45889</v>
      </c>
      <c r="F7" s="30"/>
      <c r="G7" s="30" t="s">
        <v>137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40" t="s">
        <v>58</v>
      </c>
      <c r="C10" s="140"/>
      <c r="D10" s="140"/>
      <c r="E10" s="140"/>
      <c r="F10" s="140"/>
      <c r="G10" s="14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3">
        <v>1</v>
      </c>
      <c r="B14" s="101" t="s">
        <v>138</v>
      </c>
      <c r="C14" s="94">
        <f>J14</f>
        <v>1</v>
      </c>
      <c r="D14" s="94"/>
      <c r="E14" s="94">
        <f>K14+E$13</f>
        <v>2352</v>
      </c>
      <c r="F14" s="94">
        <f>L14+F$13</f>
        <v>273</v>
      </c>
      <c r="G14" s="94" t="str">
        <f>D77</f>
        <v>PR6</v>
      </c>
      <c r="H14" s="30"/>
      <c r="J14" s="3">
        <f>J47</f>
        <v>1</v>
      </c>
      <c r="K14" s="4">
        <f t="shared" ref="K14:L14" si="0">E77</f>
        <v>2302</v>
      </c>
      <c r="L14" s="4">
        <f t="shared" si="0"/>
        <v>275</v>
      </c>
    </row>
    <row r="15" spans="1:15" ht="18" x14ac:dyDescent="0.35">
      <c r="A15" s="113">
        <v>2</v>
      </c>
      <c r="B15" s="101"/>
      <c r="C15" s="94">
        <f t="shared" ref="C15:C18" si="1">J15</f>
        <v>1</v>
      </c>
      <c r="D15" s="94"/>
      <c r="E15" s="94">
        <f t="shared" ref="E15:E38" si="2">K15+E$13</f>
        <v>2352</v>
      </c>
      <c r="F15" s="94">
        <f t="shared" ref="F15:F36" si="3">L15+F$13</f>
        <v>525</v>
      </c>
      <c r="G15" s="94" t="str">
        <f>D78</f>
        <v>PR6</v>
      </c>
      <c r="H15" s="30"/>
      <c r="J15" s="3">
        <f t="shared" ref="J15:J17" si="4">J48</f>
        <v>1</v>
      </c>
      <c r="K15" s="4">
        <f t="shared" ref="K15:L17" si="5">E78</f>
        <v>2302</v>
      </c>
      <c r="L15" s="4">
        <f t="shared" si="5"/>
        <v>527</v>
      </c>
    </row>
    <row r="16" spans="1:15" ht="18" x14ac:dyDescent="0.35">
      <c r="A16" s="113">
        <v>3</v>
      </c>
      <c r="C16" s="94">
        <f t="shared" si="1"/>
        <v>1</v>
      </c>
      <c r="D16" s="94"/>
      <c r="E16" s="94">
        <f t="shared" si="2"/>
        <v>1184</v>
      </c>
      <c r="F16" s="94">
        <f t="shared" si="3"/>
        <v>595</v>
      </c>
      <c r="G16" s="94" t="str">
        <f>D79</f>
        <v>PR6</v>
      </c>
      <c r="H16" s="30"/>
      <c r="J16" s="3">
        <f t="shared" si="4"/>
        <v>1</v>
      </c>
      <c r="K16" s="4">
        <f t="shared" si="5"/>
        <v>1134</v>
      </c>
      <c r="L16" s="4">
        <f t="shared" si="5"/>
        <v>597</v>
      </c>
    </row>
    <row r="17" spans="1:12" ht="18" x14ac:dyDescent="0.35">
      <c r="A17" s="113">
        <v>4</v>
      </c>
      <c r="B17" s="101"/>
      <c r="C17" s="94">
        <f t="shared" si="1"/>
        <v>1</v>
      </c>
      <c r="D17" s="94"/>
      <c r="E17" s="94">
        <f t="shared" si="2"/>
        <v>2352</v>
      </c>
      <c r="F17" s="94">
        <f t="shared" si="3"/>
        <v>885</v>
      </c>
      <c r="G17" s="94" t="str">
        <f>D80</f>
        <v>PR6</v>
      </c>
      <c r="H17" s="30"/>
      <c r="J17" s="3">
        <f t="shared" si="4"/>
        <v>1</v>
      </c>
      <c r="K17" s="4">
        <f t="shared" si="5"/>
        <v>2302</v>
      </c>
      <c r="L17" s="4">
        <f t="shared" si="5"/>
        <v>887</v>
      </c>
    </row>
    <row r="18" spans="1:12" ht="18" x14ac:dyDescent="0.35">
      <c r="A18" s="113">
        <v>5</v>
      </c>
      <c r="C18" s="94">
        <f t="shared" si="1"/>
        <v>1</v>
      </c>
      <c r="D18" s="94"/>
      <c r="E18" s="94">
        <f t="shared" si="2"/>
        <v>727</v>
      </c>
      <c r="F18" s="94">
        <f t="shared" si="3"/>
        <v>195</v>
      </c>
      <c r="G18" s="94" t="str">
        <f>D81</f>
        <v>PR6</v>
      </c>
      <c r="H18" s="30"/>
      <c r="J18" s="3">
        <f t="shared" ref="J18:J38" si="6">J51</f>
        <v>1</v>
      </c>
      <c r="K18" s="4">
        <f t="shared" ref="K18:L18" si="7">E81</f>
        <v>677</v>
      </c>
      <c r="L18" s="4">
        <f t="shared" si="7"/>
        <v>197</v>
      </c>
    </row>
    <row r="19" spans="1:12" ht="18" x14ac:dyDescent="0.35">
      <c r="A19" s="113">
        <v>6</v>
      </c>
      <c r="B19" s="101"/>
      <c r="C19" s="94">
        <f t="shared" ref="C19:C28" si="8">J19</f>
        <v>1</v>
      </c>
      <c r="D19" s="94"/>
      <c r="E19" s="94">
        <f t="shared" si="2"/>
        <v>727</v>
      </c>
      <c r="F19" s="94">
        <f t="shared" si="3"/>
        <v>734</v>
      </c>
      <c r="G19" s="94" t="str">
        <f t="shared" ref="G19:G28" si="9">D82</f>
        <v>PR6</v>
      </c>
      <c r="H19" s="30"/>
      <c r="J19" s="3">
        <f t="shared" si="6"/>
        <v>1</v>
      </c>
      <c r="K19" s="4">
        <f t="shared" ref="K19:K28" si="10">E82</f>
        <v>677</v>
      </c>
      <c r="L19" s="4">
        <f t="shared" ref="L19:L28" si="11">F82</f>
        <v>736</v>
      </c>
    </row>
    <row r="20" spans="1:12" ht="18" x14ac:dyDescent="0.35">
      <c r="A20" s="113">
        <v>7</v>
      </c>
      <c r="B20" s="101"/>
      <c r="C20" s="94">
        <f t="shared" si="8"/>
        <v>2</v>
      </c>
      <c r="D20" s="94"/>
      <c r="E20" s="94">
        <f t="shared" si="2"/>
        <v>727</v>
      </c>
      <c r="F20" s="94">
        <f t="shared" si="3"/>
        <v>445</v>
      </c>
      <c r="G20" s="94" t="str">
        <f t="shared" si="9"/>
        <v>PR6</v>
      </c>
      <c r="H20" s="30"/>
      <c r="J20" s="3">
        <f t="shared" si="6"/>
        <v>2</v>
      </c>
      <c r="K20" s="4">
        <f t="shared" si="10"/>
        <v>677</v>
      </c>
      <c r="L20" s="4">
        <f t="shared" si="11"/>
        <v>447</v>
      </c>
    </row>
    <row r="21" spans="1:12" ht="18" x14ac:dyDescent="0.35">
      <c r="A21" s="113">
        <v>8</v>
      </c>
      <c r="B21" s="101"/>
      <c r="C21" s="94">
        <f t="shared" si="8"/>
        <v>1</v>
      </c>
      <c r="D21" s="94"/>
      <c r="E21" s="94">
        <f t="shared" si="2"/>
        <v>750</v>
      </c>
      <c r="F21" s="94">
        <f t="shared" si="3"/>
        <v>445</v>
      </c>
      <c r="G21" s="94" t="str">
        <f t="shared" si="9"/>
        <v>PR6</v>
      </c>
      <c r="H21" s="30"/>
      <c r="J21" s="3">
        <f t="shared" si="6"/>
        <v>1</v>
      </c>
      <c r="K21" s="4">
        <f t="shared" si="10"/>
        <v>700</v>
      </c>
      <c r="L21" s="4">
        <f t="shared" si="11"/>
        <v>447</v>
      </c>
    </row>
    <row r="22" spans="1:12" ht="18" x14ac:dyDescent="0.35">
      <c r="A22" s="113">
        <v>9</v>
      </c>
      <c r="B22" s="101"/>
      <c r="C22" s="94">
        <f t="shared" si="8"/>
        <v>1</v>
      </c>
      <c r="D22" s="94"/>
      <c r="E22" s="94">
        <f t="shared" si="2"/>
        <v>750</v>
      </c>
      <c r="F22" s="94">
        <f t="shared" si="3"/>
        <v>795</v>
      </c>
      <c r="G22" s="94" t="str">
        <f t="shared" si="9"/>
        <v>PR6</v>
      </c>
      <c r="H22" s="30"/>
      <c r="J22" s="3">
        <f t="shared" si="6"/>
        <v>1</v>
      </c>
      <c r="K22" s="4">
        <f t="shared" si="10"/>
        <v>700</v>
      </c>
      <c r="L22" s="4">
        <f t="shared" si="11"/>
        <v>797</v>
      </c>
    </row>
    <row r="23" spans="1:12" ht="18" x14ac:dyDescent="0.35">
      <c r="A23" s="113">
        <v>10</v>
      </c>
      <c r="B23" s="101"/>
      <c r="C23" s="94">
        <f t="shared" si="8"/>
        <v>1</v>
      </c>
      <c r="D23" s="94"/>
      <c r="E23" s="94">
        <f t="shared" si="2"/>
        <v>727</v>
      </c>
      <c r="F23" s="94">
        <f t="shared" si="3"/>
        <v>395</v>
      </c>
      <c r="G23" s="94" t="str">
        <f t="shared" si="9"/>
        <v>PR6</v>
      </c>
      <c r="H23" s="30"/>
      <c r="J23" s="3">
        <f t="shared" si="6"/>
        <v>1</v>
      </c>
      <c r="K23" s="4">
        <f t="shared" si="10"/>
        <v>677</v>
      </c>
      <c r="L23" s="4">
        <f t="shared" si="11"/>
        <v>397</v>
      </c>
    </row>
    <row r="24" spans="1:12" ht="18" x14ac:dyDescent="0.35">
      <c r="A24" s="113">
        <v>11</v>
      </c>
      <c r="B24" s="101"/>
      <c r="C24" s="94">
        <f t="shared" si="8"/>
        <v>1</v>
      </c>
      <c r="D24" s="94"/>
      <c r="E24" s="94">
        <f t="shared" si="2"/>
        <v>727</v>
      </c>
      <c r="F24" s="94">
        <f t="shared" si="3"/>
        <v>728</v>
      </c>
      <c r="G24" s="94" t="str">
        <f t="shared" si="9"/>
        <v>PR6</v>
      </c>
      <c r="H24" s="30"/>
      <c r="J24" s="3">
        <f t="shared" si="6"/>
        <v>1</v>
      </c>
      <c r="K24" s="4">
        <f t="shared" si="10"/>
        <v>677</v>
      </c>
      <c r="L24" s="4">
        <f t="shared" si="11"/>
        <v>730</v>
      </c>
    </row>
    <row r="25" spans="1:12" ht="18" x14ac:dyDescent="0.35">
      <c r="A25" s="113">
        <v>12</v>
      </c>
      <c r="B25" s="101"/>
      <c r="C25" s="94">
        <f t="shared" si="8"/>
        <v>1</v>
      </c>
      <c r="D25" s="94"/>
      <c r="E25" s="94">
        <f t="shared" si="2"/>
        <v>750</v>
      </c>
      <c r="F25" s="94">
        <f t="shared" si="3"/>
        <v>895</v>
      </c>
      <c r="G25" s="94" t="str">
        <f t="shared" si="9"/>
        <v>PR6</v>
      </c>
      <c r="H25" s="30"/>
      <c r="J25" s="3">
        <f t="shared" si="6"/>
        <v>1</v>
      </c>
      <c r="K25" s="4">
        <f t="shared" si="10"/>
        <v>700</v>
      </c>
      <c r="L25" s="4">
        <f t="shared" si="11"/>
        <v>897</v>
      </c>
    </row>
    <row r="26" spans="1:12" ht="18" x14ac:dyDescent="0.35">
      <c r="A26" s="113">
        <v>13</v>
      </c>
      <c r="B26" s="101"/>
      <c r="C26" s="94">
        <f t="shared" si="8"/>
        <v>1</v>
      </c>
      <c r="D26" s="94"/>
      <c r="E26" s="94">
        <f t="shared" si="2"/>
        <v>722</v>
      </c>
      <c r="F26" s="94">
        <f t="shared" si="3"/>
        <v>495</v>
      </c>
      <c r="G26" s="94" t="str">
        <f t="shared" si="9"/>
        <v>PR6</v>
      </c>
      <c r="H26" s="30"/>
      <c r="J26" s="3">
        <f t="shared" si="6"/>
        <v>1</v>
      </c>
      <c r="K26" s="4">
        <f t="shared" si="10"/>
        <v>672</v>
      </c>
      <c r="L26" s="4">
        <f t="shared" si="11"/>
        <v>497</v>
      </c>
    </row>
    <row r="27" spans="1:12" ht="18" x14ac:dyDescent="0.35">
      <c r="A27" s="113">
        <v>14</v>
      </c>
      <c r="B27" s="101"/>
      <c r="C27" s="94">
        <f t="shared" si="8"/>
        <v>2</v>
      </c>
      <c r="D27" s="94"/>
      <c r="E27" s="94">
        <f t="shared" si="2"/>
        <v>747</v>
      </c>
      <c r="F27" s="94">
        <f t="shared" si="3"/>
        <v>588</v>
      </c>
      <c r="G27" s="94" t="str">
        <f t="shared" si="9"/>
        <v>PR6</v>
      </c>
      <c r="H27" s="30"/>
      <c r="J27" s="3">
        <f t="shared" si="6"/>
        <v>2</v>
      </c>
      <c r="K27" s="4">
        <f t="shared" si="10"/>
        <v>697</v>
      </c>
      <c r="L27" s="4">
        <f t="shared" si="11"/>
        <v>590</v>
      </c>
    </row>
    <row r="28" spans="1:12" ht="18" x14ac:dyDescent="0.35">
      <c r="A28" s="113">
        <v>15</v>
      </c>
      <c r="B28" s="101"/>
      <c r="C28" s="94">
        <f t="shared" si="8"/>
        <v>1</v>
      </c>
      <c r="D28" s="94"/>
      <c r="E28" s="94">
        <f t="shared" si="2"/>
        <v>750</v>
      </c>
      <c r="F28" s="94">
        <f t="shared" si="3"/>
        <v>1395</v>
      </c>
      <c r="G28" s="94" t="str">
        <f t="shared" si="9"/>
        <v>PR6</v>
      </c>
      <c r="H28" s="30"/>
      <c r="J28" s="3">
        <f t="shared" si="6"/>
        <v>1</v>
      </c>
      <c r="K28" s="4">
        <f t="shared" si="10"/>
        <v>700</v>
      </c>
      <c r="L28" s="4">
        <f t="shared" si="11"/>
        <v>1397</v>
      </c>
    </row>
    <row r="29" spans="1:12" ht="18" x14ac:dyDescent="0.35">
      <c r="A29" s="113">
        <v>16</v>
      </c>
      <c r="B29" s="101"/>
      <c r="C29" s="94">
        <f t="shared" ref="C29:C31" si="12">J29</f>
        <v>1</v>
      </c>
      <c r="D29" s="94"/>
      <c r="E29" s="94">
        <f t="shared" si="2"/>
        <v>2352</v>
      </c>
      <c r="F29" s="94">
        <f t="shared" si="3"/>
        <v>438</v>
      </c>
      <c r="G29" s="94" t="str">
        <f t="shared" ref="G29:G31" si="13">D92</f>
        <v>PR6</v>
      </c>
      <c r="H29" s="30"/>
      <c r="J29" s="3">
        <f t="shared" si="6"/>
        <v>1</v>
      </c>
      <c r="K29" s="4">
        <f t="shared" ref="K29:K32" si="14">E92</f>
        <v>2302</v>
      </c>
      <c r="L29" s="4">
        <f t="shared" ref="L29:L32" si="15">F92</f>
        <v>440</v>
      </c>
    </row>
    <row r="30" spans="1:12" ht="18" x14ac:dyDescent="0.35">
      <c r="A30" s="113">
        <v>17</v>
      </c>
      <c r="B30" s="101"/>
      <c r="C30" s="94">
        <f t="shared" si="12"/>
        <v>2</v>
      </c>
      <c r="D30" s="94"/>
      <c r="E30" s="94">
        <f t="shared" si="2"/>
        <v>750</v>
      </c>
      <c r="F30" s="94">
        <f t="shared" si="3"/>
        <v>760</v>
      </c>
      <c r="G30" s="94" t="str">
        <f t="shared" si="13"/>
        <v>PR6</v>
      </c>
      <c r="H30" s="30"/>
      <c r="J30" s="3">
        <f t="shared" si="6"/>
        <v>2</v>
      </c>
      <c r="K30" s="4">
        <f t="shared" si="14"/>
        <v>700</v>
      </c>
      <c r="L30" s="4">
        <f t="shared" si="15"/>
        <v>762</v>
      </c>
    </row>
    <row r="31" spans="1:12" ht="18" x14ac:dyDescent="0.35">
      <c r="A31" s="113">
        <v>18</v>
      </c>
      <c r="B31" s="101"/>
      <c r="C31" s="94">
        <f t="shared" si="12"/>
        <v>2</v>
      </c>
      <c r="D31" s="94"/>
      <c r="E31" s="94">
        <f t="shared" si="2"/>
        <v>585</v>
      </c>
      <c r="F31" s="94">
        <f t="shared" si="3"/>
        <v>470</v>
      </c>
      <c r="G31" s="94" t="str">
        <f t="shared" si="13"/>
        <v>PR6</v>
      </c>
      <c r="H31" s="30"/>
      <c r="J31" s="3">
        <f t="shared" si="6"/>
        <v>2</v>
      </c>
      <c r="K31" s="4">
        <f t="shared" si="14"/>
        <v>535</v>
      </c>
      <c r="L31" s="4">
        <f t="shared" si="15"/>
        <v>472</v>
      </c>
    </row>
    <row r="32" spans="1:12" ht="18" x14ac:dyDescent="0.35">
      <c r="A32" s="113">
        <v>19</v>
      </c>
      <c r="B32" s="101"/>
      <c r="C32" s="94">
        <f t="shared" ref="C32" si="16">J32</f>
        <v>2</v>
      </c>
      <c r="D32" s="94"/>
      <c r="E32" s="94">
        <f t="shared" si="2"/>
        <v>765</v>
      </c>
      <c r="F32" s="94">
        <f t="shared" si="3"/>
        <v>366</v>
      </c>
      <c r="G32" s="94" t="str">
        <f t="shared" ref="G32" si="17">D95</f>
        <v>PR6</v>
      </c>
      <c r="H32" s="30"/>
      <c r="J32" s="3">
        <f t="shared" si="6"/>
        <v>2</v>
      </c>
      <c r="K32" s="4">
        <f t="shared" si="14"/>
        <v>715</v>
      </c>
      <c r="L32" s="4">
        <f t="shared" si="15"/>
        <v>368</v>
      </c>
    </row>
    <row r="33" spans="1:12" ht="18" x14ac:dyDescent="0.35">
      <c r="A33" s="113">
        <v>20</v>
      </c>
      <c r="B33" s="101"/>
      <c r="C33" s="94">
        <f t="shared" ref="C33" si="18">J33</f>
        <v>1</v>
      </c>
      <c r="D33" s="94"/>
      <c r="E33" s="94">
        <f t="shared" si="2"/>
        <v>1187</v>
      </c>
      <c r="F33" s="94">
        <f t="shared" si="3"/>
        <v>367</v>
      </c>
      <c r="G33" s="94" t="str">
        <f t="shared" ref="G33" si="19">D96</f>
        <v>PR6</v>
      </c>
      <c r="H33" s="30"/>
      <c r="J33" s="3">
        <f t="shared" si="6"/>
        <v>1</v>
      </c>
      <c r="K33" s="4">
        <f t="shared" ref="K33" si="20">E96</f>
        <v>1137</v>
      </c>
      <c r="L33" s="4">
        <f t="shared" ref="L33" si="21">F96</f>
        <v>369</v>
      </c>
    </row>
    <row r="34" spans="1:12" ht="18" x14ac:dyDescent="0.35">
      <c r="A34" s="113">
        <v>21</v>
      </c>
      <c r="B34" s="101"/>
      <c r="C34" s="94">
        <f t="shared" ref="C34:C38" si="22">J34</f>
        <v>2</v>
      </c>
      <c r="D34" s="94"/>
      <c r="E34" s="94">
        <f t="shared" si="2"/>
        <v>537</v>
      </c>
      <c r="F34" s="94">
        <f t="shared" si="3"/>
        <v>365</v>
      </c>
      <c r="G34" s="94" t="str">
        <f t="shared" ref="G34:G38" si="23">D97</f>
        <v>PR6</v>
      </c>
      <c r="H34" s="30"/>
      <c r="J34" s="3">
        <f t="shared" si="6"/>
        <v>2</v>
      </c>
      <c r="K34" s="4">
        <f t="shared" ref="K34:K38" si="24">E97</f>
        <v>487</v>
      </c>
      <c r="L34" s="4">
        <f t="shared" ref="L34:L38" si="25">F97</f>
        <v>367</v>
      </c>
    </row>
    <row r="35" spans="1:12" ht="18" x14ac:dyDescent="0.35">
      <c r="A35" s="113">
        <v>22</v>
      </c>
      <c r="B35" s="101"/>
      <c r="C35" s="94">
        <f t="shared" si="22"/>
        <v>1</v>
      </c>
      <c r="D35" s="94"/>
      <c r="E35" s="94">
        <f t="shared" si="2"/>
        <v>912</v>
      </c>
      <c r="F35" s="94">
        <f t="shared" si="3"/>
        <v>365</v>
      </c>
      <c r="G35" s="94" t="str">
        <f t="shared" si="23"/>
        <v>PR6</v>
      </c>
      <c r="H35" s="30"/>
      <c r="J35" s="3">
        <f t="shared" si="6"/>
        <v>1</v>
      </c>
      <c r="K35" s="4">
        <f t="shared" si="24"/>
        <v>862</v>
      </c>
      <c r="L35" s="4">
        <f t="shared" si="25"/>
        <v>367</v>
      </c>
    </row>
    <row r="36" spans="1:12" ht="18" x14ac:dyDescent="0.35">
      <c r="A36" s="113">
        <v>23</v>
      </c>
      <c r="B36" s="101"/>
      <c r="C36" s="94">
        <f t="shared" si="22"/>
        <v>1</v>
      </c>
      <c r="D36" s="94"/>
      <c r="E36" s="94">
        <f t="shared" si="2"/>
        <v>912</v>
      </c>
      <c r="F36" s="94">
        <f t="shared" si="3"/>
        <v>358</v>
      </c>
      <c r="G36" s="94" t="str">
        <f t="shared" si="23"/>
        <v>PR6</v>
      </c>
      <c r="H36" s="30"/>
      <c r="J36" s="3">
        <f t="shared" si="6"/>
        <v>1</v>
      </c>
      <c r="K36" s="4">
        <f t="shared" si="24"/>
        <v>862</v>
      </c>
      <c r="L36" s="4">
        <f t="shared" si="25"/>
        <v>360</v>
      </c>
    </row>
    <row r="37" spans="1:12" ht="18" x14ac:dyDescent="0.35">
      <c r="A37" s="113">
        <v>24</v>
      </c>
      <c r="B37" s="101"/>
      <c r="C37" s="94">
        <f t="shared" si="22"/>
        <v>1</v>
      </c>
      <c r="D37" s="94"/>
      <c r="E37" s="94">
        <f t="shared" si="2"/>
        <v>2352</v>
      </c>
      <c r="F37" s="94">
        <v>100</v>
      </c>
      <c r="G37" s="94" t="str">
        <f t="shared" si="23"/>
        <v>PR6</v>
      </c>
      <c r="H37" s="30"/>
      <c r="J37" s="3">
        <f t="shared" si="6"/>
        <v>1</v>
      </c>
      <c r="K37" s="4">
        <f t="shared" si="24"/>
        <v>2302</v>
      </c>
      <c r="L37" s="4">
        <f t="shared" si="25"/>
        <v>100</v>
      </c>
    </row>
    <row r="38" spans="1:12" ht="18" x14ac:dyDescent="0.35">
      <c r="A38" s="113">
        <v>25</v>
      </c>
      <c r="B38" s="101"/>
      <c r="C38" s="94">
        <f t="shared" si="22"/>
        <v>1</v>
      </c>
      <c r="D38" s="94"/>
      <c r="E38" s="94">
        <f t="shared" si="2"/>
        <v>1500</v>
      </c>
      <c r="F38" s="94">
        <v>100</v>
      </c>
      <c r="G38" s="94" t="str">
        <f t="shared" si="23"/>
        <v>PR6</v>
      </c>
      <c r="H38" s="30"/>
      <c r="J38" s="3">
        <f t="shared" si="6"/>
        <v>1</v>
      </c>
      <c r="K38" s="4">
        <f t="shared" si="24"/>
        <v>1450</v>
      </c>
      <c r="L38" s="4">
        <f t="shared" si="25"/>
        <v>100</v>
      </c>
    </row>
    <row r="39" spans="1:12" ht="18" x14ac:dyDescent="0.35">
      <c r="A39" s="113"/>
      <c r="B39" s="101"/>
      <c r="C39" s="73"/>
      <c r="D39" s="73"/>
      <c r="E39" s="73"/>
      <c r="F39" s="73"/>
      <c r="G39" s="73"/>
      <c r="H39" s="30"/>
      <c r="J39" s="23"/>
      <c r="K39" s="2"/>
      <c r="L39" s="2"/>
    </row>
    <row r="40" spans="1:12" ht="18" x14ac:dyDescent="0.35">
      <c r="A40" s="113"/>
      <c r="B40" s="101"/>
      <c r="C40" s="73"/>
      <c r="D40" s="73"/>
      <c r="E40" s="73"/>
      <c r="F40" s="73"/>
      <c r="G40" s="73"/>
      <c r="H40" s="30"/>
      <c r="J40" s="23"/>
      <c r="K40" s="2"/>
      <c r="L40" s="2"/>
    </row>
    <row r="41" spans="1:12" ht="18" x14ac:dyDescent="0.35">
      <c r="A41" s="2"/>
      <c r="B41" s="83"/>
      <c r="C41" s="73"/>
      <c r="D41" s="73"/>
      <c r="E41" s="73"/>
      <c r="F41" s="73"/>
      <c r="G41" s="73"/>
      <c r="H41" s="30"/>
      <c r="J41" s="23"/>
      <c r="K41" s="2"/>
      <c r="L41" s="2"/>
    </row>
    <row r="42" spans="1:12" ht="6.75" customHeight="1" x14ac:dyDescent="0.35">
      <c r="A42" s="2"/>
      <c r="B42" s="30"/>
      <c r="C42" s="30"/>
      <c r="D42" s="30"/>
      <c r="E42" s="30"/>
      <c r="F42" s="30"/>
      <c r="G42" s="30"/>
      <c r="H42" s="30"/>
    </row>
    <row r="43" spans="1:12" ht="18" x14ac:dyDescent="0.35">
      <c r="A43" s="2"/>
      <c r="B43" s="140" t="s">
        <v>13</v>
      </c>
      <c r="C43" s="140"/>
      <c r="D43" s="140"/>
      <c r="E43" s="140"/>
      <c r="F43" s="140"/>
      <c r="G43" s="140"/>
      <c r="H43" s="30"/>
    </row>
    <row r="44" spans="1:12" ht="10.5" customHeight="1" x14ac:dyDescent="0.35">
      <c r="A44" s="2"/>
      <c r="B44" s="30"/>
      <c r="C44" s="30"/>
      <c r="D44" s="91"/>
      <c r="E44" s="30"/>
      <c r="F44" s="30"/>
      <c r="G44" s="30"/>
      <c r="H44" s="30"/>
    </row>
    <row r="45" spans="1:12" ht="18" x14ac:dyDescent="0.35">
      <c r="A45" s="2"/>
      <c r="B45" s="30"/>
      <c r="C45" s="30"/>
      <c r="D45" s="30"/>
      <c r="E45" s="66" t="s">
        <v>6</v>
      </c>
      <c r="F45" s="66" t="s">
        <v>7</v>
      </c>
      <c r="G45" s="30"/>
      <c r="H45" s="30"/>
    </row>
    <row r="46" spans="1:12" ht="18" x14ac:dyDescent="0.35">
      <c r="A46" s="2"/>
      <c r="B46" s="66" t="s">
        <v>8</v>
      </c>
      <c r="C46" s="82" t="s">
        <v>9</v>
      </c>
      <c r="D46" s="82" t="s">
        <v>10</v>
      </c>
      <c r="E46" s="95">
        <v>40</v>
      </c>
      <c r="F46" s="95">
        <v>90</v>
      </c>
      <c r="G46" s="82" t="s">
        <v>107</v>
      </c>
      <c r="H46" s="30"/>
      <c r="K46" s="5" t="s">
        <v>6</v>
      </c>
      <c r="L46" s="5" t="s">
        <v>7</v>
      </c>
    </row>
    <row r="47" spans="1:12" ht="18" x14ac:dyDescent="0.35">
      <c r="A47" s="113">
        <v>1</v>
      </c>
      <c r="B47" s="101"/>
      <c r="C47" s="96">
        <f t="shared" ref="C47" si="26">J47</f>
        <v>1</v>
      </c>
      <c r="D47" s="96"/>
      <c r="E47" s="96">
        <f t="shared" ref="E47:E69" si="27">K47+E$46</f>
        <v>2342</v>
      </c>
      <c r="F47" s="96">
        <f t="shared" ref="F47:F69" si="28">L47+F$46</f>
        <v>365</v>
      </c>
      <c r="G47" s="96" t="str">
        <f>D77</f>
        <v>PR6</v>
      </c>
      <c r="H47" s="30"/>
      <c r="J47" s="3">
        <f>C77</f>
        <v>1</v>
      </c>
      <c r="K47" s="110">
        <f>E77</f>
        <v>2302</v>
      </c>
      <c r="L47" s="110">
        <f>F77</f>
        <v>275</v>
      </c>
    </row>
    <row r="48" spans="1:12" ht="18" x14ac:dyDescent="0.35">
      <c r="A48" s="113">
        <v>2</v>
      </c>
      <c r="B48" s="101"/>
      <c r="C48" s="96">
        <f t="shared" ref="C48:C52" si="29">J48</f>
        <v>1</v>
      </c>
      <c r="D48" s="96"/>
      <c r="E48" s="96">
        <f t="shared" si="27"/>
        <v>2342</v>
      </c>
      <c r="F48" s="96">
        <f t="shared" si="28"/>
        <v>617</v>
      </c>
      <c r="G48" s="96" t="str">
        <f t="shared" ref="G48:G52" si="30">D78</f>
        <v>PR6</v>
      </c>
      <c r="H48" s="30"/>
      <c r="J48" s="3">
        <f t="shared" ref="J48:J52" si="31">C78</f>
        <v>1</v>
      </c>
      <c r="K48" s="107">
        <f t="shared" ref="K48:L48" si="32">E78</f>
        <v>2302</v>
      </c>
      <c r="L48" s="107">
        <f t="shared" si="32"/>
        <v>527</v>
      </c>
    </row>
    <row r="49" spans="1:13" ht="18" x14ac:dyDescent="0.35">
      <c r="A49" s="113">
        <v>3</v>
      </c>
      <c r="B49" s="101"/>
      <c r="C49" s="96">
        <f t="shared" si="29"/>
        <v>1</v>
      </c>
      <c r="D49" s="96"/>
      <c r="E49" s="96">
        <f t="shared" si="27"/>
        <v>1174</v>
      </c>
      <c r="F49" s="96">
        <f t="shared" si="28"/>
        <v>687</v>
      </c>
      <c r="G49" s="96" t="str">
        <f t="shared" si="30"/>
        <v>PR6</v>
      </c>
      <c r="H49" s="30"/>
      <c r="J49" s="3">
        <f t="shared" si="31"/>
        <v>1</v>
      </c>
      <c r="K49" s="109">
        <f t="shared" ref="K49:L49" si="33">E79</f>
        <v>1134</v>
      </c>
      <c r="L49" s="109">
        <f t="shared" si="33"/>
        <v>597</v>
      </c>
    </row>
    <row r="50" spans="1:13" ht="18" x14ac:dyDescent="0.35">
      <c r="A50" s="113">
        <v>4</v>
      </c>
      <c r="B50" s="101"/>
      <c r="C50" s="96">
        <f t="shared" si="29"/>
        <v>1</v>
      </c>
      <c r="D50" s="96"/>
      <c r="E50" s="96">
        <f t="shared" si="27"/>
        <v>2342</v>
      </c>
      <c r="F50" s="96">
        <f t="shared" si="28"/>
        <v>977</v>
      </c>
      <c r="G50" s="96" t="str">
        <f t="shared" si="30"/>
        <v>PR6</v>
      </c>
      <c r="H50" s="30"/>
      <c r="J50" s="3">
        <f t="shared" si="31"/>
        <v>1</v>
      </c>
      <c r="K50" s="107">
        <f t="shared" ref="K50:L50" si="34">E80</f>
        <v>2302</v>
      </c>
      <c r="L50" s="107">
        <f t="shared" si="34"/>
        <v>887</v>
      </c>
      <c r="M50" s="108">
        <v>2</v>
      </c>
    </row>
    <row r="51" spans="1:13" ht="18" x14ac:dyDescent="0.35">
      <c r="A51" s="113">
        <v>5</v>
      </c>
      <c r="B51" s="101"/>
      <c r="C51" s="96">
        <f t="shared" si="29"/>
        <v>1</v>
      </c>
      <c r="D51" s="96"/>
      <c r="E51" s="96">
        <f t="shared" si="27"/>
        <v>717</v>
      </c>
      <c r="F51" s="96">
        <f t="shared" si="28"/>
        <v>287</v>
      </c>
      <c r="G51" s="96" t="str">
        <f t="shared" si="30"/>
        <v>PR6</v>
      </c>
      <c r="H51" s="30"/>
      <c r="J51" s="3">
        <f t="shared" si="31"/>
        <v>1</v>
      </c>
      <c r="K51" s="110">
        <f t="shared" ref="K51:L51" si="35">E81</f>
        <v>677</v>
      </c>
      <c r="L51" s="110">
        <f t="shared" si="35"/>
        <v>197</v>
      </c>
    </row>
    <row r="52" spans="1:13" ht="18" x14ac:dyDescent="0.35">
      <c r="A52" s="113">
        <v>6</v>
      </c>
      <c r="B52" s="101"/>
      <c r="C52" s="96">
        <f t="shared" si="29"/>
        <v>1</v>
      </c>
      <c r="D52" s="96"/>
      <c r="E52" s="96">
        <f t="shared" si="27"/>
        <v>717</v>
      </c>
      <c r="F52" s="96">
        <f t="shared" si="28"/>
        <v>826</v>
      </c>
      <c r="G52" s="96" t="str">
        <f t="shared" si="30"/>
        <v>PR6</v>
      </c>
      <c r="H52" s="30"/>
      <c r="J52" s="3">
        <f t="shared" si="31"/>
        <v>1</v>
      </c>
      <c r="K52" s="107">
        <f t="shared" ref="K52:L52" si="36">E82</f>
        <v>677</v>
      </c>
      <c r="L52" s="107">
        <f t="shared" si="36"/>
        <v>736</v>
      </c>
      <c r="M52" s="108">
        <v>2</v>
      </c>
    </row>
    <row r="53" spans="1:13" ht="18" x14ac:dyDescent="0.35">
      <c r="A53" s="113">
        <v>7</v>
      </c>
      <c r="B53" s="101"/>
      <c r="C53" s="96">
        <f t="shared" ref="C53:C61" si="37">J53</f>
        <v>2</v>
      </c>
      <c r="D53" s="96"/>
      <c r="E53" s="96">
        <f t="shared" si="27"/>
        <v>717</v>
      </c>
      <c r="F53" s="96">
        <f t="shared" si="28"/>
        <v>537</v>
      </c>
      <c r="G53" s="96" t="str">
        <f t="shared" ref="G53:G61" si="38">D83</f>
        <v>PR6</v>
      </c>
      <c r="H53" s="30"/>
      <c r="J53" s="3">
        <f t="shared" ref="J53:J61" si="39">C83</f>
        <v>2</v>
      </c>
      <c r="K53" s="107">
        <f t="shared" ref="K53:K61" si="40">E83</f>
        <v>677</v>
      </c>
      <c r="L53" s="107">
        <f t="shared" ref="L53:L61" si="41">F83</f>
        <v>447</v>
      </c>
      <c r="M53" s="108"/>
    </row>
    <row r="54" spans="1:13" ht="18" x14ac:dyDescent="0.35">
      <c r="A54" s="113">
        <v>8</v>
      </c>
      <c r="B54" s="101"/>
      <c r="C54" s="96">
        <f t="shared" si="37"/>
        <v>1</v>
      </c>
      <c r="D54" s="96"/>
      <c r="E54" s="96">
        <f t="shared" si="27"/>
        <v>740</v>
      </c>
      <c r="F54" s="96">
        <f t="shared" si="28"/>
        <v>537</v>
      </c>
      <c r="G54" s="96" t="str">
        <f t="shared" si="38"/>
        <v>PR6</v>
      </c>
      <c r="H54" s="30"/>
      <c r="J54" s="3">
        <f t="shared" si="39"/>
        <v>1</v>
      </c>
      <c r="K54" s="107">
        <f t="shared" si="40"/>
        <v>700</v>
      </c>
      <c r="L54" s="107">
        <f t="shared" si="41"/>
        <v>447</v>
      </c>
      <c r="M54" s="108"/>
    </row>
    <row r="55" spans="1:13" ht="18" x14ac:dyDescent="0.35">
      <c r="A55" s="113">
        <v>9</v>
      </c>
      <c r="B55" s="101"/>
      <c r="C55" s="96">
        <f t="shared" si="37"/>
        <v>1</v>
      </c>
      <c r="D55" s="96"/>
      <c r="E55" s="96">
        <f t="shared" si="27"/>
        <v>740</v>
      </c>
      <c r="F55" s="96">
        <f t="shared" si="28"/>
        <v>887</v>
      </c>
      <c r="G55" s="96" t="str">
        <f t="shared" si="38"/>
        <v>PR6</v>
      </c>
      <c r="H55" s="30"/>
      <c r="J55" s="3">
        <f t="shared" si="39"/>
        <v>1</v>
      </c>
      <c r="K55" s="107">
        <f t="shared" si="40"/>
        <v>700</v>
      </c>
      <c r="L55" s="107">
        <f t="shared" si="41"/>
        <v>797</v>
      </c>
      <c r="M55" s="108"/>
    </row>
    <row r="56" spans="1:13" ht="18" x14ac:dyDescent="0.35">
      <c r="A56" s="113">
        <v>10</v>
      </c>
      <c r="B56" s="101"/>
      <c r="C56" s="96">
        <f t="shared" si="37"/>
        <v>1</v>
      </c>
      <c r="D56" s="96"/>
      <c r="E56" s="96">
        <f t="shared" si="27"/>
        <v>717</v>
      </c>
      <c r="F56" s="96">
        <f t="shared" si="28"/>
        <v>487</v>
      </c>
      <c r="G56" s="96" t="str">
        <f t="shared" si="38"/>
        <v>PR6</v>
      </c>
      <c r="H56" s="30"/>
      <c r="J56" s="3">
        <f t="shared" si="39"/>
        <v>1</v>
      </c>
      <c r="K56" s="107">
        <f t="shared" si="40"/>
        <v>677</v>
      </c>
      <c r="L56" s="107">
        <f t="shared" si="41"/>
        <v>397</v>
      </c>
      <c r="M56" s="108"/>
    </row>
    <row r="57" spans="1:13" ht="18" x14ac:dyDescent="0.35">
      <c r="A57" s="113">
        <v>11</v>
      </c>
      <c r="B57" s="101"/>
      <c r="C57" s="96">
        <f t="shared" si="37"/>
        <v>1</v>
      </c>
      <c r="D57" s="96"/>
      <c r="E57" s="96">
        <f t="shared" si="27"/>
        <v>717</v>
      </c>
      <c r="F57" s="96">
        <f t="shared" si="28"/>
        <v>820</v>
      </c>
      <c r="G57" s="96" t="str">
        <f t="shared" si="38"/>
        <v>PR6</v>
      </c>
      <c r="H57" s="30"/>
      <c r="J57" s="3">
        <f t="shared" si="39"/>
        <v>1</v>
      </c>
      <c r="K57" s="107">
        <f t="shared" si="40"/>
        <v>677</v>
      </c>
      <c r="L57" s="107">
        <f t="shared" si="41"/>
        <v>730</v>
      </c>
      <c r="M57" s="108"/>
    </row>
    <row r="58" spans="1:13" ht="18" x14ac:dyDescent="0.35">
      <c r="A58" s="113">
        <v>12</v>
      </c>
      <c r="B58" s="101"/>
      <c r="C58" s="96">
        <f t="shared" si="37"/>
        <v>1</v>
      </c>
      <c r="D58" s="96"/>
      <c r="E58" s="96">
        <f t="shared" si="27"/>
        <v>740</v>
      </c>
      <c r="F58" s="96">
        <f t="shared" si="28"/>
        <v>987</v>
      </c>
      <c r="G58" s="96" t="str">
        <f t="shared" si="38"/>
        <v>PR6</v>
      </c>
      <c r="H58" s="30"/>
      <c r="J58" s="3">
        <f t="shared" si="39"/>
        <v>1</v>
      </c>
      <c r="K58" s="107">
        <f t="shared" si="40"/>
        <v>700</v>
      </c>
      <c r="L58" s="107">
        <f t="shared" si="41"/>
        <v>897</v>
      </c>
      <c r="M58" s="108"/>
    </row>
    <row r="59" spans="1:13" ht="18" x14ac:dyDescent="0.35">
      <c r="A59" s="113">
        <v>13</v>
      </c>
      <c r="B59" s="101"/>
      <c r="C59" s="96">
        <f t="shared" si="37"/>
        <v>1</v>
      </c>
      <c r="D59" s="96"/>
      <c r="E59" s="96">
        <f t="shared" si="27"/>
        <v>712</v>
      </c>
      <c r="F59" s="96">
        <f t="shared" si="28"/>
        <v>587</v>
      </c>
      <c r="G59" s="96" t="str">
        <f t="shared" si="38"/>
        <v>PR6</v>
      </c>
      <c r="H59" s="30"/>
      <c r="J59" s="3">
        <f t="shared" si="39"/>
        <v>1</v>
      </c>
      <c r="K59" s="107">
        <f t="shared" si="40"/>
        <v>672</v>
      </c>
      <c r="L59" s="107">
        <f t="shared" si="41"/>
        <v>497</v>
      </c>
      <c r="M59" s="108"/>
    </row>
    <row r="60" spans="1:13" ht="18" x14ac:dyDescent="0.35">
      <c r="A60" s="113">
        <v>14</v>
      </c>
      <c r="B60" s="101"/>
      <c r="C60" s="96">
        <f t="shared" si="37"/>
        <v>2</v>
      </c>
      <c r="D60" s="96"/>
      <c r="E60" s="96">
        <f t="shared" si="27"/>
        <v>737</v>
      </c>
      <c r="F60" s="96">
        <f t="shared" si="28"/>
        <v>680</v>
      </c>
      <c r="G60" s="96" t="str">
        <f t="shared" si="38"/>
        <v>PR6</v>
      </c>
      <c r="H60" s="30"/>
      <c r="J60" s="3">
        <f t="shared" si="39"/>
        <v>2</v>
      </c>
      <c r="K60" s="107">
        <f t="shared" si="40"/>
        <v>697</v>
      </c>
      <c r="L60" s="107">
        <f t="shared" si="41"/>
        <v>590</v>
      </c>
      <c r="M60" s="108"/>
    </row>
    <row r="61" spans="1:13" ht="18" x14ac:dyDescent="0.35">
      <c r="A61" s="113">
        <v>15</v>
      </c>
      <c r="B61" s="101"/>
      <c r="C61" s="96">
        <f t="shared" si="37"/>
        <v>1</v>
      </c>
      <c r="D61" s="96"/>
      <c r="E61" s="96">
        <f t="shared" si="27"/>
        <v>740</v>
      </c>
      <c r="F61" s="96">
        <f t="shared" si="28"/>
        <v>1487</v>
      </c>
      <c r="G61" s="96" t="str">
        <f t="shared" si="38"/>
        <v>PR6</v>
      </c>
      <c r="H61" s="30"/>
      <c r="J61" s="3">
        <f t="shared" si="39"/>
        <v>1</v>
      </c>
      <c r="K61" s="107">
        <f t="shared" si="40"/>
        <v>700</v>
      </c>
      <c r="L61" s="107">
        <f t="shared" si="41"/>
        <v>1397</v>
      </c>
      <c r="M61" s="108"/>
    </row>
    <row r="62" spans="1:13" ht="18" x14ac:dyDescent="0.35">
      <c r="A62" s="113">
        <v>16</v>
      </c>
      <c r="B62" s="101"/>
      <c r="C62" s="96">
        <f t="shared" ref="C62" si="42">J62</f>
        <v>1</v>
      </c>
      <c r="D62" s="96"/>
      <c r="E62" s="96">
        <f t="shared" si="27"/>
        <v>2342</v>
      </c>
      <c r="F62" s="96">
        <f t="shared" si="28"/>
        <v>530</v>
      </c>
      <c r="G62" s="96" t="str">
        <f t="shared" ref="G62" si="43">D92</f>
        <v>PR6</v>
      </c>
      <c r="H62" s="30"/>
      <c r="J62" s="3">
        <f t="shared" ref="J62" si="44">C92</f>
        <v>1</v>
      </c>
      <c r="K62" s="107">
        <f t="shared" ref="K62" si="45">E92</f>
        <v>2302</v>
      </c>
      <c r="L62" s="107">
        <f t="shared" ref="L62" si="46">F92</f>
        <v>440</v>
      </c>
      <c r="M62" s="108"/>
    </row>
    <row r="63" spans="1:13" ht="18" x14ac:dyDescent="0.35">
      <c r="A63" s="113">
        <v>17</v>
      </c>
      <c r="B63" s="101"/>
      <c r="C63" s="96">
        <f t="shared" ref="C63" si="47">J63</f>
        <v>2</v>
      </c>
      <c r="D63" s="96"/>
      <c r="E63" s="96">
        <f t="shared" si="27"/>
        <v>740</v>
      </c>
      <c r="F63" s="96">
        <f t="shared" si="28"/>
        <v>852</v>
      </c>
      <c r="G63" s="96" t="str">
        <f t="shared" ref="G63" si="48">D93</f>
        <v>PR6</v>
      </c>
      <c r="H63" s="30"/>
      <c r="J63" s="3">
        <f t="shared" ref="J63" si="49">C93</f>
        <v>2</v>
      </c>
      <c r="K63" s="107">
        <f t="shared" ref="K63" si="50">E93</f>
        <v>700</v>
      </c>
      <c r="L63" s="107">
        <f t="shared" ref="L63" si="51">F93</f>
        <v>762</v>
      </c>
      <c r="M63" s="108"/>
    </row>
    <row r="64" spans="1:13" ht="18" x14ac:dyDescent="0.35">
      <c r="A64" s="113">
        <v>18</v>
      </c>
      <c r="B64" s="101"/>
      <c r="C64" s="96">
        <f t="shared" ref="C64:C66" si="52">J64</f>
        <v>2</v>
      </c>
      <c r="D64" s="96"/>
      <c r="E64" s="96">
        <f t="shared" si="27"/>
        <v>575</v>
      </c>
      <c r="F64" s="96">
        <f t="shared" si="28"/>
        <v>562</v>
      </c>
      <c r="G64" s="96" t="str">
        <f t="shared" ref="G64:G66" si="53">D94</f>
        <v>PR6</v>
      </c>
      <c r="H64" s="30"/>
      <c r="J64" s="3">
        <f t="shared" ref="J64:J65" si="54">C94</f>
        <v>2</v>
      </c>
      <c r="K64" s="107">
        <f t="shared" ref="K64:K65" si="55">E94</f>
        <v>535</v>
      </c>
      <c r="L64" s="107">
        <f t="shared" ref="L64:L65" si="56">F94</f>
        <v>472</v>
      </c>
      <c r="M64" s="108"/>
    </row>
    <row r="65" spans="1:13" ht="18" x14ac:dyDescent="0.35">
      <c r="A65" s="113">
        <v>19</v>
      </c>
      <c r="B65" s="101"/>
      <c r="C65" s="96">
        <f t="shared" si="52"/>
        <v>2</v>
      </c>
      <c r="D65" s="96"/>
      <c r="E65" s="96">
        <f t="shared" si="27"/>
        <v>755</v>
      </c>
      <c r="F65" s="96">
        <f t="shared" si="28"/>
        <v>458</v>
      </c>
      <c r="G65" s="96" t="str">
        <f t="shared" si="53"/>
        <v>PR6</v>
      </c>
      <c r="H65" s="30"/>
      <c r="J65" s="3">
        <f t="shared" si="54"/>
        <v>2</v>
      </c>
      <c r="K65" s="107">
        <f t="shared" si="55"/>
        <v>715</v>
      </c>
      <c r="L65" s="107">
        <f t="shared" si="56"/>
        <v>368</v>
      </c>
      <c r="M65" s="108"/>
    </row>
    <row r="66" spans="1:13" ht="18" x14ac:dyDescent="0.35">
      <c r="A66" s="113">
        <v>20</v>
      </c>
      <c r="B66" s="101"/>
      <c r="C66" s="96">
        <f t="shared" si="52"/>
        <v>1</v>
      </c>
      <c r="D66" s="96"/>
      <c r="E66" s="96">
        <f t="shared" si="27"/>
        <v>1177</v>
      </c>
      <c r="F66" s="96">
        <f t="shared" si="28"/>
        <v>459</v>
      </c>
      <c r="G66" s="96" t="str">
        <f t="shared" si="53"/>
        <v>PR6</v>
      </c>
      <c r="H66" s="30"/>
      <c r="J66" s="3">
        <f t="shared" ref="J66" si="57">C96</f>
        <v>1</v>
      </c>
      <c r="K66" s="107">
        <f t="shared" ref="K66" si="58">E96</f>
        <v>1137</v>
      </c>
      <c r="L66" s="107">
        <f t="shared" ref="L66" si="59">F96</f>
        <v>369</v>
      </c>
      <c r="M66" s="108"/>
    </row>
    <row r="67" spans="1:13" ht="18" x14ac:dyDescent="0.35">
      <c r="A67" s="113">
        <v>21</v>
      </c>
      <c r="B67" s="101"/>
      <c r="C67" s="96">
        <f t="shared" ref="C67" si="60">J67</f>
        <v>2</v>
      </c>
      <c r="D67" s="96"/>
      <c r="E67" s="96">
        <f t="shared" si="27"/>
        <v>527</v>
      </c>
      <c r="F67" s="96">
        <f t="shared" si="28"/>
        <v>457</v>
      </c>
      <c r="G67" s="96" t="str">
        <f t="shared" ref="G67" si="61">D97</f>
        <v>PR6</v>
      </c>
      <c r="H67" s="30"/>
      <c r="J67" s="3">
        <f t="shared" ref="J67" si="62">C97</f>
        <v>2</v>
      </c>
      <c r="K67" s="107">
        <f t="shared" ref="K67" si="63">E97</f>
        <v>487</v>
      </c>
      <c r="L67" s="107">
        <f t="shared" ref="L67" si="64">F97</f>
        <v>367</v>
      </c>
    </row>
    <row r="68" spans="1:13" ht="18" x14ac:dyDescent="0.35">
      <c r="A68" s="113">
        <v>22</v>
      </c>
      <c r="B68" s="101"/>
      <c r="C68" s="96">
        <f t="shared" ref="C68:C71" si="65">J68</f>
        <v>1</v>
      </c>
      <c r="D68" s="96"/>
      <c r="E68" s="96">
        <f t="shared" si="27"/>
        <v>902</v>
      </c>
      <c r="F68" s="96">
        <f t="shared" si="28"/>
        <v>457</v>
      </c>
      <c r="G68" s="96" t="str">
        <f t="shared" ref="G68:G71" si="66">D98</f>
        <v>PR6</v>
      </c>
      <c r="H68" s="30"/>
      <c r="J68" s="3">
        <f t="shared" ref="J68:J71" si="67">C98</f>
        <v>1</v>
      </c>
      <c r="K68" s="107">
        <f t="shared" ref="K68:K71" si="68">E98</f>
        <v>862</v>
      </c>
      <c r="L68" s="107">
        <f t="shared" ref="L68:L71" si="69">F98</f>
        <v>367</v>
      </c>
    </row>
    <row r="69" spans="1:13" ht="18" x14ac:dyDescent="0.35">
      <c r="A69" s="113">
        <v>23</v>
      </c>
      <c r="B69" s="101"/>
      <c r="C69" s="96">
        <f t="shared" si="65"/>
        <v>1</v>
      </c>
      <c r="D69" s="96"/>
      <c r="E69" s="96">
        <f t="shared" si="27"/>
        <v>902</v>
      </c>
      <c r="F69" s="96">
        <f t="shared" si="28"/>
        <v>450</v>
      </c>
      <c r="G69" s="96" t="str">
        <f t="shared" si="66"/>
        <v>PR6</v>
      </c>
      <c r="H69" s="30"/>
      <c r="J69" s="3">
        <f t="shared" si="67"/>
        <v>1</v>
      </c>
      <c r="K69" s="107">
        <f t="shared" si="68"/>
        <v>862</v>
      </c>
      <c r="L69" s="107">
        <f t="shared" si="69"/>
        <v>360</v>
      </c>
    </row>
    <row r="70" spans="1:13" ht="18" x14ac:dyDescent="0.35">
      <c r="A70" s="113">
        <v>24</v>
      </c>
      <c r="B70" s="101"/>
      <c r="C70" s="96">
        <f t="shared" si="65"/>
        <v>1</v>
      </c>
      <c r="D70" s="96"/>
      <c r="E70" s="96">
        <f>K70+E$46</f>
        <v>2342</v>
      </c>
      <c r="F70" s="96">
        <v>160</v>
      </c>
      <c r="G70" s="96" t="str">
        <f t="shared" si="66"/>
        <v>PR6</v>
      </c>
      <c r="H70" s="30"/>
      <c r="J70" s="3">
        <f t="shared" si="67"/>
        <v>1</v>
      </c>
      <c r="K70" s="107">
        <f t="shared" si="68"/>
        <v>2302</v>
      </c>
      <c r="L70" s="107">
        <f t="shared" si="69"/>
        <v>100</v>
      </c>
    </row>
    <row r="71" spans="1:13" ht="18" x14ac:dyDescent="0.35">
      <c r="A71" s="113">
        <v>25</v>
      </c>
      <c r="B71" s="101"/>
      <c r="C71" s="96">
        <f t="shared" si="65"/>
        <v>1</v>
      </c>
      <c r="D71" s="96"/>
      <c r="E71" s="96">
        <f>K71+E$46</f>
        <v>1490</v>
      </c>
      <c r="F71" s="96">
        <v>160</v>
      </c>
      <c r="G71" s="96" t="str">
        <f t="shared" si="66"/>
        <v>PR6</v>
      </c>
      <c r="H71" s="30"/>
      <c r="J71" s="3">
        <f t="shared" si="67"/>
        <v>1</v>
      </c>
      <c r="K71" s="107">
        <f t="shared" si="68"/>
        <v>1450</v>
      </c>
      <c r="L71" s="107">
        <f t="shared" si="69"/>
        <v>100</v>
      </c>
    </row>
    <row r="72" spans="1:13" ht="18" x14ac:dyDescent="0.35">
      <c r="A72" s="113"/>
      <c r="B72" s="101"/>
      <c r="C72" s="73"/>
      <c r="D72" s="73"/>
      <c r="E72" s="73"/>
      <c r="F72" s="73"/>
      <c r="G72" s="73"/>
      <c r="H72" s="30"/>
      <c r="J72" s="23"/>
      <c r="K72" s="131"/>
      <c r="L72" s="131"/>
    </row>
    <row r="73" spans="1:13" ht="18.600000000000001" thickBot="1" x14ac:dyDescent="0.4">
      <c r="A73" s="2"/>
      <c r="B73" s="83"/>
      <c r="C73" s="73"/>
      <c r="D73" s="73"/>
      <c r="E73" s="73"/>
      <c r="F73" s="73"/>
      <c r="G73" s="73"/>
      <c r="H73" s="30"/>
      <c r="I73" s="111"/>
      <c r="J73" s="112"/>
      <c r="K73" s="112"/>
      <c r="L73" s="112"/>
    </row>
    <row r="74" spans="1:13" ht="18.600000000000001" thickBot="1" x14ac:dyDescent="0.4">
      <c r="A74" s="2"/>
      <c r="B74" s="66"/>
      <c r="C74" s="97" t="s">
        <v>104</v>
      </c>
      <c r="D74" s="33"/>
      <c r="E74" s="33"/>
      <c r="F74" s="33"/>
      <c r="G74" s="98"/>
      <c r="H74" s="30"/>
      <c r="J74" s="2"/>
      <c r="K74" s="2"/>
      <c r="L74" s="2"/>
    </row>
    <row r="75" spans="1:13" ht="10.5" customHeight="1" x14ac:dyDescent="0.35">
      <c r="A75" s="2"/>
      <c r="B75" s="30"/>
      <c r="C75" s="30"/>
      <c r="D75" s="30"/>
      <c r="E75" s="30"/>
      <c r="F75" s="30"/>
      <c r="G75" s="30"/>
      <c r="H75" s="30"/>
    </row>
    <row r="76" spans="1:13" ht="18" x14ac:dyDescent="0.35">
      <c r="A76" s="2"/>
      <c r="B76" s="66" t="s">
        <v>8</v>
      </c>
      <c r="C76" s="99" t="s">
        <v>9</v>
      </c>
      <c r="D76" s="99" t="s">
        <v>107</v>
      </c>
      <c r="E76" s="99" t="s">
        <v>6</v>
      </c>
      <c r="F76" s="99" t="s">
        <v>7</v>
      </c>
      <c r="G76" s="99" t="s">
        <v>21</v>
      </c>
      <c r="H76" s="30"/>
    </row>
    <row r="77" spans="1:13" ht="18" x14ac:dyDescent="0.35">
      <c r="A77" s="113">
        <v>1</v>
      </c>
      <c r="B77" s="101" t="s">
        <v>135</v>
      </c>
      <c r="C77" s="94">
        <f>'4637'!B21</f>
        <v>1</v>
      </c>
      <c r="D77" s="94" t="str">
        <f>D123</f>
        <v>PR6</v>
      </c>
      <c r="E77" s="119">
        <f>'4637'!D21</f>
        <v>2302</v>
      </c>
      <c r="F77" s="119">
        <f>'4637'!E21</f>
        <v>275</v>
      </c>
      <c r="G77" s="4" t="str">
        <f>'4637'!F21</f>
        <v>BRITISH BUSH 22107 SF</v>
      </c>
      <c r="H77" s="30"/>
      <c r="I77" s="28">
        <f>E77*F77/1000000</f>
        <v>0.63305</v>
      </c>
      <c r="J77" s="28">
        <f>I77*C77</f>
        <v>0.63305</v>
      </c>
    </row>
    <row r="78" spans="1:13" ht="18" x14ac:dyDescent="0.35">
      <c r="A78" s="113">
        <v>2</v>
      </c>
      <c r="B78" s="101"/>
      <c r="C78" s="94">
        <f>'4637'!B22</f>
        <v>1</v>
      </c>
      <c r="D78" s="94" t="str">
        <f t="shared" ref="D78:D101" si="70">D124</f>
        <v>PR6</v>
      </c>
      <c r="E78" s="119">
        <f>'4637'!D22</f>
        <v>2302</v>
      </c>
      <c r="F78" s="119">
        <f>'4637'!E22</f>
        <v>527</v>
      </c>
      <c r="G78" s="4" t="str">
        <f>'4637'!F22</f>
        <v>BRITISH BUSH 22107 SF</v>
      </c>
      <c r="H78" s="30"/>
      <c r="I78" s="28"/>
      <c r="J78" s="28"/>
    </row>
    <row r="79" spans="1:13" ht="18" x14ac:dyDescent="0.35">
      <c r="A79" s="113">
        <v>3</v>
      </c>
      <c r="C79" s="94">
        <f>'4637'!B23</f>
        <v>1</v>
      </c>
      <c r="D79" s="94" t="str">
        <f t="shared" si="70"/>
        <v>PR6</v>
      </c>
      <c r="E79" s="119">
        <f>'4637'!D23</f>
        <v>1134</v>
      </c>
      <c r="F79" s="119">
        <f>'4637'!E23</f>
        <v>597</v>
      </c>
      <c r="G79" s="4" t="str">
        <f>'4637'!F23</f>
        <v>BRITISH BUSH 22107 SF</v>
      </c>
      <c r="H79" s="30"/>
      <c r="I79" s="28"/>
      <c r="J79" s="28"/>
    </row>
    <row r="80" spans="1:13" ht="18" x14ac:dyDescent="0.35">
      <c r="A80" s="113">
        <v>4</v>
      </c>
      <c r="B80" s="101"/>
      <c r="C80" s="94">
        <f>'4637'!B24</f>
        <v>1</v>
      </c>
      <c r="D80" s="94" t="str">
        <f t="shared" si="70"/>
        <v>PR6</v>
      </c>
      <c r="E80" s="119">
        <f>'4637'!D24</f>
        <v>2302</v>
      </c>
      <c r="F80" s="119">
        <f>'4637'!E24</f>
        <v>887</v>
      </c>
      <c r="G80" s="4" t="str">
        <f>'4637'!F24</f>
        <v>BRITISH BUSH 22107 SF</v>
      </c>
      <c r="H80" s="30"/>
      <c r="I80" s="28"/>
      <c r="J80" s="28"/>
    </row>
    <row r="81" spans="1:10" ht="18" x14ac:dyDescent="0.35">
      <c r="A81" s="113">
        <v>5</v>
      </c>
      <c r="C81" s="94">
        <f>'4637'!B25</f>
        <v>1</v>
      </c>
      <c r="D81" s="94" t="str">
        <f t="shared" si="70"/>
        <v>PR6</v>
      </c>
      <c r="E81" s="119">
        <f>'4637'!D25</f>
        <v>677</v>
      </c>
      <c r="F81" s="119">
        <f>'4637'!E25</f>
        <v>197</v>
      </c>
      <c r="G81" s="4" t="str">
        <f>'4637'!F25</f>
        <v>BRITISH BUSH 22107 SF</v>
      </c>
      <c r="H81" s="30"/>
      <c r="I81" s="28"/>
      <c r="J81" s="28"/>
    </row>
    <row r="82" spans="1:10" ht="18" x14ac:dyDescent="0.35">
      <c r="A82" s="113">
        <v>6</v>
      </c>
      <c r="B82" s="101"/>
      <c r="C82" s="94">
        <f>'4637'!B26</f>
        <v>1</v>
      </c>
      <c r="D82" s="94" t="str">
        <f t="shared" si="70"/>
        <v>PR6</v>
      </c>
      <c r="E82" s="119">
        <f>'4637'!D26</f>
        <v>677</v>
      </c>
      <c r="F82" s="119">
        <f>'4637'!E26</f>
        <v>736</v>
      </c>
      <c r="G82" s="4" t="str">
        <f>'4637'!F26</f>
        <v>BRITISH BUSH 22107 SF</v>
      </c>
      <c r="H82" s="30"/>
      <c r="I82" s="28"/>
      <c r="J82" s="28"/>
    </row>
    <row r="83" spans="1:10" ht="18" x14ac:dyDescent="0.35">
      <c r="A83" s="113">
        <v>7</v>
      </c>
      <c r="B83" s="101"/>
      <c r="C83" s="94">
        <f>'4637'!B27</f>
        <v>2</v>
      </c>
      <c r="D83" s="94" t="str">
        <f t="shared" si="70"/>
        <v>PR6</v>
      </c>
      <c r="E83" s="119">
        <f>'4637'!D27</f>
        <v>677</v>
      </c>
      <c r="F83" s="119">
        <f>'4637'!E27</f>
        <v>447</v>
      </c>
      <c r="G83" s="4" t="str">
        <f>'4637'!F27</f>
        <v>BRITISH BUSH 22107 SF</v>
      </c>
      <c r="H83" s="30"/>
      <c r="I83" s="28"/>
      <c r="J83" s="28"/>
    </row>
    <row r="84" spans="1:10" ht="18" x14ac:dyDescent="0.35">
      <c r="A84" s="113">
        <v>8</v>
      </c>
      <c r="B84" s="101"/>
      <c r="C84" s="94">
        <f>'4637'!B28</f>
        <v>1</v>
      </c>
      <c r="D84" s="94" t="str">
        <f t="shared" si="70"/>
        <v>PR6</v>
      </c>
      <c r="E84" s="119">
        <f>'4637'!D28</f>
        <v>700</v>
      </c>
      <c r="F84" s="119">
        <f>'4637'!E28</f>
        <v>447</v>
      </c>
      <c r="G84" s="4" t="str">
        <f>'4637'!F28</f>
        <v>BRITISH BUSH 22107 SF</v>
      </c>
      <c r="H84" s="30"/>
      <c r="I84" s="28"/>
      <c r="J84" s="28"/>
    </row>
    <row r="85" spans="1:10" ht="18" x14ac:dyDescent="0.35">
      <c r="A85" s="113">
        <v>9</v>
      </c>
      <c r="B85" s="101"/>
      <c r="C85" s="94">
        <f>'4637'!B29</f>
        <v>1</v>
      </c>
      <c r="D85" s="94" t="str">
        <f t="shared" si="70"/>
        <v>PR6</v>
      </c>
      <c r="E85" s="119">
        <f>'4637'!D29</f>
        <v>700</v>
      </c>
      <c r="F85" s="119">
        <f>'4637'!E29</f>
        <v>797</v>
      </c>
      <c r="G85" s="4" t="str">
        <f>'4637'!F29</f>
        <v>BRITISH BUSH 22107 SF</v>
      </c>
      <c r="H85" s="30"/>
      <c r="I85" s="28"/>
      <c r="J85" s="28"/>
    </row>
    <row r="86" spans="1:10" ht="18" x14ac:dyDescent="0.35">
      <c r="A86" s="113">
        <v>10</v>
      </c>
      <c r="B86" s="101"/>
      <c r="C86" s="94">
        <f>'4637'!B30</f>
        <v>1</v>
      </c>
      <c r="D86" s="94" t="str">
        <f t="shared" si="70"/>
        <v>PR6</v>
      </c>
      <c r="E86" s="119">
        <f>'4637'!D30</f>
        <v>677</v>
      </c>
      <c r="F86" s="119">
        <f>'4637'!E30</f>
        <v>397</v>
      </c>
      <c r="G86" s="4" t="str">
        <f>'4637'!F30</f>
        <v>BRITISH BUSH 22107 SF</v>
      </c>
      <c r="H86" s="30"/>
      <c r="I86" s="28"/>
      <c r="J86" s="28"/>
    </row>
    <row r="87" spans="1:10" ht="18" x14ac:dyDescent="0.35">
      <c r="A87" s="113">
        <v>11</v>
      </c>
      <c r="B87" s="101"/>
      <c r="C87" s="94">
        <f>'4637'!B31</f>
        <v>1</v>
      </c>
      <c r="D87" s="94" t="str">
        <f t="shared" si="70"/>
        <v>PR6</v>
      </c>
      <c r="E87" s="119">
        <f>'4637'!D31</f>
        <v>677</v>
      </c>
      <c r="F87" s="119">
        <f>'4637'!E31</f>
        <v>730</v>
      </c>
      <c r="G87" s="4" t="str">
        <f>'4637'!F31</f>
        <v>BRITISH BUSH 22107 SF</v>
      </c>
      <c r="H87" s="30"/>
      <c r="I87" s="28"/>
      <c r="J87" s="28"/>
    </row>
    <row r="88" spans="1:10" ht="18" x14ac:dyDescent="0.35">
      <c r="A88" s="113">
        <v>12</v>
      </c>
      <c r="B88" s="101"/>
      <c r="C88" s="94">
        <f>'4637'!B32</f>
        <v>1</v>
      </c>
      <c r="D88" s="94" t="str">
        <f t="shared" si="70"/>
        <v>PR6</v>
      </c>
      <c r="E88" s="119">
        <f>'4637'!D32</f>
        <v>700</v>
      </c>
      <c r="F88" s="119">
        <f>'4637'!E32</f>
        <v>897</v>
      </c>
      <c r="G88" s="4" t="str">
        <f>'4637'!F32</f>
        <v>BRITISH BUSH 22107 SF</v>
      </c>
      <c r="H88" s="30"/>
      <c r="I88" s="28"/>
      <c r="J88" s="28"/>
    </row>
    <row r="89" spans="1:10" ht="18" x14ac:dyDescent="0.35">
      <c r="A89" s="113">
        <v>13</v>
      </c>
      <c r="B89" s="101"/>
      <c r="C89" s="94">
        <f>'4637'!B33</f>
        <v>1</v>
      </c>
      <c r="D89" s="94" t="str">
        <f t="shared" si="70"/>
        <v>PR6</v>
      </c>
      <c r="E89" s="119">
        <f>'4637'!D33</f>
        <v>672</v>
      </c>
      <c r="F89" s="119">
        <f>'4637'!E33</f>
        <v>497</v>
      </c>
      <c r="G89" s="4" t="str">
        <f>'4637'!F33</f>
        <v>BRITISH BUSH 22107 SF</v>
      </c>
      <c r="H89" s="30"/>
      <c r="I89" s="28"/>
      <c r="J89" s="28"/>
    </row>
    <row r="90" spans="1:10" ht="18" x14ac:dyDescent="0.35">
      <c r="A90" s="113">
        <v>14</v>
      </c>
      <c r="B90" s="101"/>
      <c r="C90" s="94">
        <f>'4637'!B34</f>
        <v>2</v>
      </c>
      <c r="D90" s="94" t="str">
        <f t="shared" si="70"/>
        <v>PR6</v>
      </c>
      <c r="E90" s="119">
        <f>'4637'!D34</f>
        <v>697</v>
      </c>
      <c r="F90" s="119">
        <f>'4637'!E34</f>
        <v>590</v>
      </c>
      <c r="G90" s="4" t="str">
        <f>'4637'!F34</f>
        <v>BRITISH BUSH 22107 SF</v>
      </c>
      <c r="H90" s="30"/>
      <c r="I90" s="28"/>
      <c r="J90" s="28"/>
    </row>
    <row r="91" spans="1:10" ht="18" x14ac:dyDescent="0.35">
      <c r="A91" s="113">
        <v>15</v>
      </c>
      <c r="B91" s="101"/>
      <c r="C91" s="94">
        <f>'4637'!B35</f>
        <v>1</v>
      </c>
      <c r="D91" s="94" t="str">
        <f t="shared" si="70"/>
        <v>PR6</v>
      </c>
      <c r="E91" s="119">
        <f>'4637'!D35</f>
        <v>700</v>
      </c>
      <c r="F91" s="119">
        <f>'4637'!E35</f>
        <v>1397</v>
      </c>
      <c r="G91" s="4" t="str">
        <f>'4637'!F35</f>
        <v>BRITISH BUSH 22107 SF</v>
      </c>
      <c r="H91" s="30"/>
      <c r="I91" s="28"/>
      <c r="J91" s="28"/>
    </row>
    <row r="92" spans="1:10" ht="18" x14ac:dyDescent="0.35">
      <c r="A92" s="113">
        <v>16</v>
      </c>
      <c r="B92" s="101"/>
      <c r="C92" s="94">
        <f>'4637'!B36</f>
        <v>1</v>
      </c>
      <c r="D92" s="94" t="str">
        <f t="shared" si="70"/>
        <v>PR6</v>
      </c>
      <c r="E92" s="119">
        <f>'4637'!D36</f>
        <v>2302</v>
      </c>
      <c r="F92" s="119">
        <f>'4637'!E36</f>
        <v>440</v>
      </c>
      <c r="G92" s="4" t="str">
        <f>'4637'!F36</f>
        <v>BRITISH BUSH 22107 SF</v>
      </c>
      <c r="H92" s="30"/>
      <c r="I92" s="28"/>
      <c r="J92" s="28"/>
    </row>
    <row r="93" spans="1:10" ht="18" x14ac:dyDescent="0.35">
      <c r="A93" s="113">
        <v>17</v>
      </c>
      <c r="B93" s="101"/>
      <c r="C93" s="94">
        <f>'4637'!B37</f>
        <v>2</v>
      </c>
      <c r="D93" s="94" t="str">
        <f t="shared" si="70"/>
        <v>PR6</v>
      </c>
      <c r="E93" s="119">
        <f>'4637'!D37</f>
        <v>700</v>
      </c>
      <c r="F93" s="119">
        <f>'4637'!E37</f>
        <v>762</v>
      </c>
      <c r="G93" s="4" t="str">
        <f>'4637'!F37</f>
        <v>BRITISH BUSH 22107 SF</v>
      </c>
      <c r="H93" s="30"/>
      <c r="I93" s="28"/>
      <c r="J93" s="28"/>
    </row>
    <row r="94" spans="1:10" ht="18" x14ac:dyDescent="0.35">
      <c r="A94" s="113">
        <v>18</v>
      </c>
      <c r="B94" s="101"/>
      <c r="C94" s="94">
        <f>'4637'!B38</f>
        <v>2</v>
      </c>
      <c r="D94" s="94" t="str">
        <f t="shared" si="70"/>
        <v>PR6</v>
      </c>
      <c r="E94" s="119">
        <f>'4637'!D38</f>
        <v>535</v>
      </c>
      <c r="F94" s="119">
        <f>'4637'!E38</f>
        <v>472</v>
      </c>
      <c r="G94" s="4" t="str">
        <f>'4637'!F38</f>
        <v>BRITISH BUSH 22107 SF</v>
      </c>
      <c r="H94" s="30"/>
      <c r="I94" s="28"/>
      <c r="J94" s="28"/>
    </row>
    <row r="95" spans="1:10" ht="18" x14ac:dyDescent="0.35">
      <c r="A95" s="113">
        <v>19</v>
      </c>
      <c r="B95" s="2"/>
      <c r="C95" s="94">
        <f>'4637'!B39</f>
        <v>2</v>
      </c>
      <c r="D95" s="94" t="str">
        <f t="shared" si="70"/>
        <v>PR6</v>
      </c>
      <c r="E95" s="119">
        <f>'4637'!D39</f>
        <v>715</v>
      </c>
      <c r="F95" s="119">
        <f>'4637'!E39</f>
        <v>368</v>
      </c>
      <c r="G95" s="4" t="str">
        <f>'4637'!F39</f>
        <v>BRITISH BUSH 22107 SF</v>
      </c>
      <c r="H95" s="30"/>
      <c r="I95" s="28"/>
      <c r="J95" s="28"/>
    </row>
    <row r="96" spans="1:10" ht="18" x14ac:dyDescent="0.35">
      <c r="A96" s="113">
        <v>20</v>
      </c>
      <c r="B96" s="101"/>
      <c r="C96" s="94">
        <f>'4637'!B40</f>
        <v>1</v>
      </c>
      <c r="D96" s="94" t="str">
        <f t="shared" si="70"/>
        <v>PR6</v>
      </c>
      <c r="E96" s="119">
        <f>'4637'!D40</f>
        <v>1137</v>
      </c>
      <c r="F96" s="119">
        <f>'4637'!E40</f>
        <v>369</v>
      </c>
      <c r="G96" s="4" t="str">
        <f>'4637'!F40</f>
        <v>BRITISH BUSH 22107 SF</v>
      </c>
      <c r="H96" s="30"/>
      <c r="I96" s="28"/>
      <c r="J96" s="28"/>
    </row>
    <row r="97" spans="1:10" ht="18" x14ac:dyDescent="0.35">
      <c r="A97" s="113">
        <v>21</v>
      </c>
      <c r="B97" s="101"/>
      <c r="C97" s="94">
        <f>'4637'!B41</f>
        <v>2</v>
      </c>
      <c r="D97" s="94" t="str">
        <f t="shared" si="70"/>
        <v>PR6</v>
      </c>
      <c r="E97" s="119">
        <f>'4637'!D41</f>
        <v>487</v>
      </c>
      <c r="F97" s="119">
        <f>'4637'!E41</f>
        <v>367</v>
      </c>
      <c r="G97" s="4" t="str">
        <f>'4637'!F41</f>
        <v>BRITISH BUSH 22107 SF</v>
      </c>
      <c r="H97" s="30"/>
      <c r="I97" s="28"/>
      <c r="J97" s="28"/>
    </row>
    <row r="98" spans="1:10" ht="18" x14ac:dyDescent="0.35">
      <c r="A98" s="113">
        <v>22</v>
      </c>
      <c r="B98" s="101"/>
      <c r="C98" s="94">
        <f>'4637'!B42</f>
        <v>1</v>
      </c>
      <c r="D98" s="94" t="str">
        <f t="shared" si="70"/>
        <v>PR6</v>
      </c>
      <c r="E98" s="119">
        <f>'4637'!D42</f>
        <v>862</v>
      </c>
      <c r="F98" s="119">
        <f>'4637'!E42</f>
        <v>367</v>
      </c>
      <c r="G98" s="4" t="str">
        <f>'4637'!F42</f>
        <v>BRITISH BUSH 22107 SF</v>
      </c>
      <c r="H98" s="30"/>
      <c r="I98" s="28"/>
      <c r="J98" s="28"/>
    </row>
    <row r="99" spans="1:10" ht="18" x14ac:dyDescent="0.35">
      <c r="A99" s="113">
        <v>23</v>
      </c>
      <c r="B99" s="101"/>
      <c r="C99" s="94">
        <f>'4637'!B43</f>
        <v>1</v>
      </c>
      <c r="D99" s="94" t="str">
        <f t="shared" si="70"/>
        <v>PR6</v>
      </c>
      <c r="E99" s="119">
        <f>'4637'!D43</f>
        <v>862</v>
      </c>
      <c r="F99" s="119">
        <f>'4637'!E43</f>
        <v>360</v>
      </c>
      <c r="G99" s="4" t="str">
        <f>'4637'!F43</f>
        <v>BRITISH BUSH 22107 SF</v>
      </c>
      <c r="H99" s="30"/>
      <c r="I99" s="28"/>
      <c r="J99" s="28"/>
    </row>
    <row r="100" spans="1:10" ht="18" x14ac:dyDescent="0.35">
      <c r="A100" s="113">
        <v>24</v>
      </c>
      <c r="B100" s="101"/>
      <c r="C100" s="94">
        <f>'4637'!B44</f>
        <v>1</v>
      </c>
      <c r="D100" s="94" t="str">
        <f t="shared" si="70"/>
        <v>PR6</v>
      </c>
      <c r="E100" s="119">
        <f>'4637'!D44</f>
        <v>2302</v>
      </c>
      <c r="F100" s="119">
        <f>'4637'!E44</f>
        <v>100</v>
      </c>
      <c r="G100" s="4" t="str">
        <f>'4637'!F44</f>
        <v>BRITISH BUSH 22107 SF</v>
      </c>
      <c r="H100" s="30"/>
      <c r="I100" s="28"/>
      <c r="J100" s="28"/>
    </row>
    <row r="101" spans="1:10" ht="18" x14ac:dyDescent="0.35">
      <c r="A101" s="113">
        <v>25</v>
      </c>
      <c r="B101" s="101"/>
      <c r="C101" s="94">
        <f>'4637'!B45</f>
        <v>1</v>
      </c>
      <c r="D101" s="94" t="str">
        <f t="shared" si="70"/>
        <v>PR6</v>
      </c>
      <c r="E101" s="119">
        <f>'4637'!D45</f>
        <v>1450</v>
      </c>
      <c r="F101" s="119">
        <f>'4637'!E45</f>
        <v>100</v>
      </c>
      <c r="G101" s="4" t="str">
        <f>'4637'!F45</f>
        <v>BRITISH BUSH 22107 SF</v>
      </c>
      <c r="H101" s="30"/>
      <c r="I101" s="28"/>
      <c r="J101" s="28"/>
    </row>
    <row r="102" spans="1:10" ht="18" x14ac:dyDescent="0.35">
      <c r="A102" s="113"/>
      <c r="B102" s="101"/>
      <c r="C102" s="104"/>
      <c r="D102" s="104"/>
      <c r="E102" s="105"/>
      <c r="F102" s="105"/>
      <c r="G102" s="104"/>
      <c r="H102" s="30"/>
      <c r="I102" s="28"/>
      <c r="J102" s="28"/>
    </row>
    <row r="103" spans="1:10" ht="18" x14ac:dyDescent="0.35">
      <c r="A103" s="2"/>
      <c r="B103" s="30"/>
      <c r="C103" s="73"/>
      <c r="D103" s="73"/>
      <c r="E103" s="73"/>
      <c r="F103" s="73"/>
      <c r="G103" s="73"/>
      <c r="H103" s="30"/>
    </row>
    <row r="104" spans="1:10" ht="18" x14ac:dyDescent="0.35">
      <c r="A104" s="2"/>
      <c r="B104" s="30"/>
      <c r="C104" s="73"/>
      <c r="D104" s="73"/>
      <c r="E104" s="73"/>
      <c r="F104" s="73"/>
      <c r="G104" s="73"/>
      <c r="H104" s="30"/>
      <c r="J104" s="28">
        <f>SUM(J77:J77)*2</f>
        <v>1.2661</v>
      </c>
    </row>
    <row r="105" spans="1:10" ht="18" x14ac:dyDescent="0.35">
      <c r="A105" s="2"/>
      <c r="B105" s="30"/>
      <c r="C105" s="73"/>
      <c r="D105" s="73"/>
      <c r="E105" s="73"/>
      <c r="F105" s="73"/>
      <c r="G105" s="73"/>
      <c r="H105" s="30"/>
    </row>
    <row r="106" spans="1:10" ht="18" x14ac:dyDescent="0.35">
      <c r="A106" s="2"/>
      <c r="B106" s="30"/>
      <c r="C106" s="73"/>
      <c r="D106" s="73"/>
      <c r="E106" s="73"/>
      <c r="F106" s="73"/>
      <c r="G106" s="73"/>
      <c r="H106" s="30"/>
    </row>
    <row r="107" spans="1:10" ht="18" x14ac:dyDescent="0.35">
      <c r="A107" s="2"/>
      <c r="B107" s="30"/>
      <c r="C107" s="73"/>
      <c r="D107" s="73"/>
      <c r="E107" s="73"/>
      <c r="F107" s="73"/>
      <c r="G107" s="73"/>
      <c r="H107" s="30"/>
    </row>
    <row r="108" spans="1:10" ht="18" x14ac:dyDescent="0.35">
      <c r="A108" s="2"/>
      <c r="B108" s="30"/>
      <c r="C108" s="73"/>
      <c r="D108" s="73"/>
      <c r="E108" s="73"/>
      <c r="F108" s="73"/>
      <c r="G108" s="73"/>
      <c r="H108" s="30"/>
    </row>
    <row r="109" spans="1:10" ht="18" x14ac:dyDescent="0.35">
      <c r="A109" s="2"/>
      <c r="B109" s="30"/>
      <c r="C109" s="73"/>
      <c r="D109" s="73"/>
      <c r="E109" s="73"/>
      <c r="F109" s="73"/>
      <c r="G109" s="73"/>
      <c r="H109" s="30"/>
    </row>
    <row r="110" spans="1:10" ht="18" x14ac:dyDescent="0.35">
      <c r="A110" s="2"/>
      <c r="B110" s="30"/>
      <c r="C110" s="73"/>
      <c r="D110" s="73"/>
      <c r="E110" s="73"/>
      <c r="F110" s="73"/>
      <c r="G110" s="73"/>
      <c r="H110" s="30"/>
    </row>
    <row r="111" spans="1:10" ht="18" x14ac:dyDescent="0.35">
      <c r="A111" s="2"/>
      <c r="B111" s="30"/>
      <c r="C111" s="73"/>
      <c r="D111" s="73"/>
      <c r="E111" s="73"/>
      <c r="F111" s="73"/>
      <c r="G111" s="73"/>
      <c r="H111" s="30"/>
    </row>
    <row r="112" spans="1:10" ht="18" x14ac:dyDescent="0.35">
      <c r="A112" s="2"/>
      <c r="B112" s="30"/>
      <c r="C112" s="30"/>
      <c r="D112" s="30"/>
      <c r="E112" s="30"/>
      <c r="F112" s="30"/>
      <c r="G112" s="30"/>
      <c r="H112" s="30"/>
    </row>
    <row r="113" spans="1:13" ht="18" x14ac:dyDescent="0.35">
      <c r="A113" s="2"/>
      <c r="B113" s="30"/>
      <c r="C113" s="30"/>
      <c r="D113" s="74" t="s">
        <v>25</v>
      </c>
      <c r="E113" s="75">
        <f>'4637'!G8</f>
        <v>4192</v>
      </c>
      <c r="F113" s="30"/>
      <c r="G113" s="30"/>
      <c r="H113" s="30"/>
    </row>
    <row r="114" spans="1:13" ht="17.25" customHeight="1" x14ac:dyDescent="0.35">
      <c r="A114" s="2"/>
      <c r="B114" s="30"/>
      <c r="C114" s="30"/>
      <c r="D114" s="76" t="s">
        <v>64</v>
      </c>
      <c r="E114" s="77" t="str">
        <f>'4637'!C10</f>
        <v>ALDO ARATA</v>
      </c>
      <c r="F114" s="48"/>
      <c r="G114" s="48"/>
      <c r="H114" s="30"/>
    </row>
    <row r="115" spans="1:13" ht="4.5" customHeight="1" x14ac:dyDescent="0.35">
      <c r="A115" s="2"/>
      <c r="B115" s="30"/>
      <c r="C115" s="30"/>
      <c r="D115" s="78"/>
      <c r="E115" s="79"/>
      <c r="F115" s="30"/>
      <c r="G115" s="30"/>
      <c r="H115" s="30"/>
    </row>
    <row r="116" spans="1:13" ht="18" x14ac:dyDescent="0.35">
      <c r="A116" s="2"/>
      <c r="B116" s="30"/>
      <c r="C116" s="30"/>
      <c r="D116" s="80" t="str">
        <f>'4637'!F11</f>
        <v>FECHA LIMITE :</v>
      </c>
      <c r="E116" s="81">
        <f>'4637'!G11</f>
        <v>45889</v>
      </c>
      <c r="F116" s="30"/>
      <c r="G116" s="30"/>
      <c r="H116" s="30"/>
    </row>
    <row r="117" spans="1:13" ht="18" x14ac:dyDescent="0.35">
      <c r="A117" s="2"/>
      <c r="B117" s="30"/>
      <c r="C117" s="30"/>
      <c r="D117" s="30"/>
      <c r="E117" s="30"/>
      <c r="F117" s="30"/>
      <c r="G117" s="30" t="s">
        <v>137</v>
      </c>
      <c r="H117" s="30"/>
    </row>
    <row r="118" spans="1:13" ht="18" x14ac:dyDescent="0.35">
      <c r="A118" s="2"/>
      <c r="B118" s="30"/>
      <c r="C118" s="30"/>
      <c r="D118" s="30"/>
      <c r="E118" s="30"/>
      <c r="F118" s="30"/>
      <c r="G118" s="30"/>
      <c r="H118" s="30"/>
    </row>
    <row r="119" spans="1:13" ht="18" x14ac:dyDescent="0.35">
      <c r="A119" s="2"/>
      <c r="B119" s="141" t="s">
        <v>65</v>
      </c>
      <c r="C119" s="141"/>
      <c r="D119" s="141"/>
      <c r="E119" s="141"/>
      <c r="F119" s="141"/>
      <c r="G119" s="141"/>
      <c r="H119" s="30"/>
    </row>
    <row r="120" spans="1:13" ht="18" x14ac:dyDescent="0.35">
      <c r="A120" s="2"/>
      <c r="B120" s="30"/>
      <c r="C120" s="30"/>
      <c r="D120" s="30"/>
      <c r="E120" s="30"/>
      <c r="F120" s="30"/>
      <c r="G120" s="30"/>
      <c r="H120" s="30"/>
    </row>
    <row r="121" spans="1:13" ht="20.100000000000001" customHeight="1" x14ac:dyDescent="0.35">
      <c r="A121" s="2"/>
      <c r="B121" s="30"/>
      <c r="C121" s="142" t="s">
        <v>66</v>
      </c>
      <c r="D121" s="143"/>
      <c r="E121" s="144"/>
      <c r="F121" s="144"/>
      <c r="G121" s="145"/>
      <c r="H121" s="30"/>
      <c r="I121" s="25" t="s">
        <v>130</v>
      </c>
    </row>
    <row r="122" spans="1:13" s="10" customFormat="1" ht="20.100000000000001" customHeight="1" x14ac:dyDescent="0.35">
      <c r="A122" s="114"/>
      <c r="B122" s="30"/>
      <c r="C122" s="84" t="s">
        <v>9</v>
      </c>
      <c r="D122" s="85" t="s">
        <v>10</v>
      </c>
      <c r="E122" s="88" t="s">
        <v>6</v>
      </c>
      <c r="F122" s="88" t="s">
        <v>7</v>
      </c>
      <c r="G122" s="86" t="s">
        <v>11</v>
      </c>
      <c r="H122" s="30"/>
      <c r="K122" s="10">
        <v>15000</v>
      </c>
    </row>
    <row r="123" spans="1:13" s="10" customFormat="1" ht="20.100000000000001" customHeight="1" x14ac:dyDescent="0.35">
      <c r="A123" s="113">
        <v>1</v>
      </c>
      <c r="B123" s="100" t="s">
        <v>134</v>
      </c>
      <c r="C123" s="96">
        <f>'4637'!B21</f>
        <v>1</v>
      </c>
      <c r="D123" s="4" t="str">
        <f>'4637'!C21</f>
        <v>PR6</v>
      </c>
      <c r="E123" s="119">
        <f>'4637'!D21</f>
        <v>2302</v>
      </c>
      <c r="F123" s="103">
        <f>'4637'!E21</f>
        <v>275</v>
      </c>
      <c r="G123" s="4" t="str">
        <f>'4637'!F21</f>
        <v>BRITISH BUSH 22107 SF</v>
      </c>
      <c r="H123" s="30"/>
      <c r="I123" s="10">
        <f>E123*F123/1000000</f>
        <v>0.63305</v>
      </c>
      <c r="J123" s="10">
        <f>I123*C123</f>
        <v>0.63305</v>
      </c>
      <c r="K123" s="26">
        <f>J123*K$122</f>
        <v>9495.75</v>
      </c>
      <c r="M123" s="24">
        <v>12096</v>
      </c>
    </row>
    <row r="124" spans="1:13" s="10" customFormat="1" ht="20.100000000000001" customHeight="1" x14ac:dyDescent="0.35">
      <c r="A124" s="113">
        <v>2</v>
      </c>
      <c r="B124" s="100"/>
      <c r="C124" s="96">
        <f>'4637'!B22</f>
        <v>1</v>
      </c>
      <c r="D124" s="4" t="str">
        <f>'4637'!C22</f>
        <v>PR6</v>
      </c>
      <c r="E124" s="119">
        <f>'4637'!D22</f>
        <v>2302</v>
      </c>
      <c r="F124" s="103">
        <f>'4637'!E22</f>
        <v>527</v>
      </c>
      <c r="G124" s="4" t="str">
        <f>'4637'!F22</f>
        <v>BRITISH BUSH 22107 SF</v>
      </c>
      <c r="H124" s="30"/>
      <c r="K124" s="26"/>
      <c r="M124" s="29"/>
    </row>
    <row r="125" spans="1:13" s="10" customFormat="1" ht="20.100000000000001" customHeight="1" x14ac:dyDescent="0.35">
      <c r="A125" s="113">
        <v>3</v>
      </c>
      <c r="C125" s="96">
        <f>'4637'!B23</f>
        <v>1</v>
      </c>
      <c r="D125" s="4" t="str">
        <f>'4637'!C23</f>
        <v>PR6</v>
      </c>
      <c r="E125" s="119">
        <f>'4637'!D23</f>
        <v>1134</v>
      </c>
      <c r="F125" s="103">
        <f>'4637'!E23</f>
        <v>597</v>
      </c>
      <c r="G125" s="4" t="str">
        <f>'4637'!F23</f>
        <v>BRITISH BUSH 22107 SF</v>
      </c>
      <c r="H125" s="30"/>
      <c r="K125" s="26"/>
      <c r="M125" s="29"/>
    </row>
    <row r="126" spans="1:13" s="10" customFormat="1" ht="20.100000000000001" customHeight="1" x14ac:dyDescent="0.35">
      <c r="A126" s="113">
        <v>4</v>
      </c>
      <c r="B126" s="100"/>
      <c r="C126" s="96">
        <f>'4637'!B24</f>
        <v>1</v>
      </c>
      <c r="D126" s="4" t="str">
        <f>'4637'!C24</f>
        <v>PR6</v>
      </c>
      <c r="E126" s="119">
        <f>'4637'!D24</f>
        <v>2302</v>
      </c>
      <c r="F126" s="103">
        <f>'4637'!E24</f>
        <v>887</v>
      </c>
      <c r="G126" s="4" t="str">
        <f>'4637'!F24</f>
        <v>BRITISH BUSH 22107 SF</v>
      </c>
      <c r="H126" s="30"/>
      <c r="K126" s="26"/>
      <c r="M126" s="29"/>
    </row>
    <row r="127" spans="1:13" s="10" customFormat="1" ht="20.100000000000001" customHeight="1" x14ac:dyDescent="0.35">
      <c r="A127" s="113">
        <v>5</v>
      </c>
      <c r="C127" s="96">
        <f>'4637'!B25</f>
        <v>1</v>
      </c>
      <c r="D127" s="4" t="str">
        <f>'4637'!C25</f>
        <v>PR6</v>
      </c>
      <c r="E127" s="119">
        <f>'4637'!D25</f>
        <v>677</v>
      </c>
      <c r="F127" s="103">
        <f>'4637'!E25</f>
        <v>197</v>
      </c>
      <c r="G127" s="4" t="str">
        <f>'4637'!F25</f>
        <v>BRITISH BUSH 22107 SF</v>
      </c>
      <c r="H127" s="30"/>
      <c r="K127" s="26"/>
      <c r="M127" s="29"/>
    </row>
    <row r="128" spans="1:13" s="10" customFormat="1" ht="20.100000000000001" customHeight="1" x14ac:dyDescent="0.35">
      <c r="A128" s="113">
        <v>6</v>
      </c>
      <c r="B128" s="100"/>
      <c r="C128" s="96">
        <f>'4637'!B26</f>
        <v>1</v>
      </c>
      <c r="D128" s="4" t="str">
        <f>'4637'!C26</f>
        <v>PR6</v>
      </c>
      <c r="E128" s="119">
        <f>'4637'!D26</f>
        <v>677</v>
      </c>
      <c r="F128" s="103">
        <f>'4637'!E26</f>
        <v>736</v>
      </c>
      <c r="G128" s="4" t="str">
        <f>'4637'!F26</f>
        <v>BRITISH BUSH 22107 SF</v>
      </c>
      <c r="H128" s="30"/>
      <c r="K128" s="26"/>
      <c r="M128" s="29"/>
    </row>
    <row r="129" spans="1:13" s="10" customFormat="1" ht="20.100000000000001" customHeight="1" x14ac:dyDescent="0.35">
      <c r="A129" s="113">
        <v>7</v>
      </c>
      <c r="B129" s="100"/>
      <c r="C129" s="96">
        <f>'4637'!B27</f>
        <v>2</v>
      </c>
      <c r="D129" s="4" t="str">
        <f>'4637'!C27</f>
        <v>PR6</v>
      </c>
      <c r="E129" s="119">
        <f>'4637'!D27</f>
        <v>677</v>
      </c>
      <c r="F129" s="103">
        <f>'4637'!E27</f>
        <v>447</v>
      </c>
      <c r="G129" s="4" t="str">
        <f>'4637'!F27</f>
        <v>BRITISH BUSH 22107 SF</v>
      </c>
      <c r="H129" s="30"/>
      <c r="K129" s="26"/>
      <c r="M129" s="29"/>
    </row>
    <row r="130" spans="1:13" s="10" customFormat="1" ht="20.100000000000001" customHeight="1" x14ac:dyDescent="0.35">
      <c r="A130" s="113">
        <v>8</v>
      </c>
      <c r="B130" s="100"/>
      <c r="C130" s="96">
        <f>'4637'!B28</f>
        <v>1</v>
      </c>
      <c r="D130" s="4" t="str">
        <f>'4637'!C28</f>
        <v>PR6</v>
      </c>
      <c r="E130" s="119">
        <f>'4637'!D28</f>
        <v>700</v>
      </c>
      <c r="F130" s="103">
        <f>'4637'!E28</f>
        <v>447</v>
      </c>
      <c r="G130" s="4" t="str">
        <f>'4637'!F28</f>
        <v>BRITISH BUSH 22107 SF</v>
      </c>
      <c r="H130" s="30"/>
      <c r="K130" s="26"/>
      <c r="M130" s="29"/>
    </row>
    <row r="131" spans="1:13" s="10" customFormat="1" ht="20.100000000000001" customHeight="1" x14ac:dyDescent="0.35">
      <c r="A131" s="113">
        <v>9</v>
      </c>
      <c r="B131" s="100"/>
      <c r="C131" s="96">
        <f>'4637'!B29</f>
        <v>1</v>
      </c>
      <c r="D131" s="4" t="str">
        <f>'4637'!C29</f>
        <v>PR6</v>
      </c>
      <c r="E131" s="119">
        <f>'4637'!D29</f>
        <v>700</v>
      </c>
      <c r="F131" s="103">
        <f>'4637'!E29</f>
        <v>797</v>
      </c>
      <c r="G131" s="4" t="str">
        <f>'4637'!F29</f>
        <v>BRITISH BUSH 22107 SF</v>
      </c>
      <c r="H131" s="30"/>
      <c r="K131" s="26"/>
      <c r="M131" s="29"/>
    </row>
    <row r="132" spans="1:13" s="10" customFormat="1" ht="20.100000000000001" customHeight="1" x14ac:dyDescent="0.35">
      <c r="A132" s="113">
        <v>10</v>
      </c>
      <c r="B132" s="100"/>
      <c r="C132" s="96">
        <f>'4637'!B30</f>
        <v>1</v>
      </c>
      <c r="D132" s="4" t="str">
        <f>'4637'!C30</f>
        <v>PR6</v>
      </c>
      <c r="E132" s="119">
        <f>'4637'!D30</f>
        <v>677</v>
      </c>
      <c r="F132" s="103">
        <f>'4637'!E30</f>
        <v>397</v>
      </c>
      <c r="G132" s="4" t="str">
        <f>'4637'!F30</f>
        <v>BRITISH BUSH 22107 SF</v>
      </c>
      <c r="H132" s="30"/>
      <c r="K132" s="26"/>
      <c r="M132" s="29"/>
    </row>
    <row r="133" spans="1:13" s="10" customFormat="1" ht="20.100000000000001" customHeight="1" x14ac:dyDescent="0.35">
      <c r="A133" s="113">
        <v>11</v>
      </c>
      <c r="B133" s="100"/>
      <c r="C133" s="96">
        <f>'4637'!B31</f>
        <v>1</v>
      </c>
      <c r="D133" s="4" t="str">
        <f>'4637'!C31</f>
        <v>PR6</v>
      </c>
      <c r="E133" s="119">
        <v>707</v>
      </c>
      <c r="F133" s="103">
        <f>'4637'!E31</f>
        <v>730</v>
      </c>
      <c r="G133" s="4" t="str">
        <f>'4637'!F31</f>
        <v>BRITISH BUSH 22107 SF</v>
      </c>
      <c r="H133" s="30"/>
      <c r="K133" s="26"/>
      <c r="M133" s="29"/>
    </row>
    <row r="134" spans="1:13" s="10" customFormat="1" ht="20.100000000000001" customHeight="1" x14ac:dyDescent="0.35">
      <c r="A134" s="113">
        <v>12</v>
      </c>
      <c r="B134" s="100"/>
      <c r="C134" s="96">
        <f>'4637'!B32</f>
        <v>1</v>
      </c>
      <c r="D134" s="4" t="str">
        <f>'4637'!C32</f>
        <v>PR6</v>
      </c>
      <c r="E134" s="119">
        <f>'4637'!D32</f>
        <v>700</v>
      </c>
      <c r="F134" s="103">
        <f>'4637'!E32</f>
        <v>897</v>
      </c>
      <c r="G134" s="4" t="str">
        <f>'4637'!F32</f>
        <v>BRITISH BUSH 22107 SF</v>
      </c>
      <c r="H134" s="30"/>
      <c r="K134" s="26"/>
      <c r="M134" s="29"/>
    </row>
    <row r="135" spans="1:13" s="10" customFormat="1" ht="20.100000000000001" customHeight="1" x14ac:dyDescent="0.35">
      <c r="A135" s="113">
        <v>13</v>
      </c>
      <c r="B135" s="100"/>
      <c r="C135" s="96">
        <f>'4637'!B33</f>
        <v>1</v>
      </c>
      <c r="D135" s="4" t="str">
        <f>'4637'!C33</f>
        <v>PR6</v>
      </c>
      <c r="E135" s="119">
        <f>'4637'!D33</f>
        <v>672</v>
      </c>
      <c r="F135" s="103">
        <f>'4637'!E33</f>
        <v>497</v>
      </c>
      <c r="G135" s="4" t="str">
        <f>'4637'!F33</f>
        <v>BRITISH BUSH 22107 SF</v>
      </c>
      <c r="H135" s="30"/>
      <c r="K135" s="26"/>
      <c r="M135" s="29"/>
    </row>
    <row r="136" spans="1:13" s="10" customFormat="1" ht="20.100000000000001" customHeight="1" x14ac:dyDescent="0.35">
      <c r="A136" s="113">
        <v>14</v>
      </c>
      <c r="B136" s="100"/>
      <c r="C136" s="96">
        <f>'4637'!B34</f>
        <v>2</v>
      </c>
      <c r="D136" s="4" t="str">
        <f>'4637'!C34</f>
        <v>PR6</v>
      </c>
      <c r="E136" s="119">
        <f>'4637'!D34</f>
        <v>697</v>
      </c>
      <c r="F136" s="103">
        <f>'4637'!E34</f>
        <v>590</v>
      </c>
      <c r="G136" s="4" t="str">
        <f>'4637'!F34</f>
        <v>BRITISH BUSH 22107 SF</v>
      </c>
      <c r="H136" s="30"/>
      <c r="K136" s="26"/>
      <c r="M136" s="29"/>
    </row>
    <row r="137" spans="1:13" s="10" customFormat="1" ht="20.100000000000001" customHeight="1" x14ac:dyDescent="0.35">
      <c r="A137" s="113">
        <v>15</v>
      </c>
      <c r="B137" s="100"/>
      <c r="C137" s="96">
        <f>'4637'!B35</f>
        <v>1</v>
      </c>
      <c r="D137" s="4" t="str">
        <f>'4637'!C35</f>
        <v>PR6</v>
      </c>
      <c r="E137" s="119">
        <f>'4637'!D35</f>
        <v>700</v>
      </c>
      <c r="F137" s="103">
        <f>'4637'!E35</f>
        <v>1397</v>
      </c>
      <c r="G137" s="4" t="str">
        <f>'4637'!F35</f>
        <v>BRITISH BUSH 22107 SF</v>
      </c>
      <c r="H137" s="30"/>
      <c r="K137" s="26"/>
      <c r="M137" s="29"/>
    </row>
    <row r="138" spans="1:13" s="10" customFormat="1" ht="20.100000000000001" customHeight="1" x14ac:dyDescent="0.35">
      <c r="A138" s="113">
        <v>16</v>
      </c>
      <c r="B138" s="100"/>
      <c r="C138" s="96">
        <f>'4637'!B36</f>
        <v>1</v>
      </c>
      <c r="D138" s="4" t="str">
        <f>'4637'!C36</f>
        <v>PR6</v>
      </c>
      <c r="E138" s="119">
        <f>'4637'!D36</f>
        <v>2302</v>
      </c>
      <c r="F138" s="103">
        <f>'4637'!E36</f>
        <v>440</v>
      </c>
      <c r="G138" s="4" t="str">
        <f>'4637'!F36</f>
        <v>BRITISH BUSH 22107 SF</v>
      </c>
      <c r="H138" s="30"/>
      <c r="K138" s="26"/>
      <c r="M138" s="29"/>
    </row>
    <row r="139" spans="1:13" s="10" customFormat="1" ht="20.100000000000001" customHeight="1" x14ac:dyDescent="0.35">
      <c r="A139" s="113">
        <v>17</v>
      </c>
      <c r="B139" s="100"/>
      <c r="C139" s="96">
        <f>'4637'!B37</f>
        <v>2</v>
      </c>
      <c r="D139" s="4" t="str">
        <f>'4637'!C37</f>
        <v>PR6</v>
      </c>
      <c r="E139" s="119">
        <f>'4637'!D37</f>
        <v>700</v>
      </c>
      <c r="F139" s="103">
        <f>'4637'!E37</f>
        <v>762</v>
      </c>
      <c r="G139" s="4" t="str">
        <f>'4637'!F37</f>
        <v>BRITISH BUSH 22107 SF</v>
      </c>
      <c r="H139" s="30"/>
      <c r="K139" s="26"/>
      <c r="M139" s="29"/>
    </row>
    <row r="140" spans="1:13" s="10" customFormat="1" ht="20.100000000000001" customHeight="1" x14ac:dyDescent="0.35">
      <c r="A140" s="113">
        <v>18</v>
      </c>
      <c r="B140" s="100"/>
      <c r="C140" s="96">
        <f>'4637'!B38</f>
        <v>2</v>
      </c>
      <c r="D140" s="4" t="str">
        <f>'4637'!C38</f>
        <v>PR6</v>
      </c>
      <c r="E140" s="119">
        <f>'4637'!D38</f>
        <v>535</v>
      </c>
      <c r="F140" s="103">
        <f>'4637'!E38</f>
        <v>472</v>
      </c>
      <c r="G140" s="4" t="str">
        <f>'4637'!F38</f>
        <v>BRITISH BUSH 22107 SF</v>
      </c>
      <c r="H140" s="30"/>
      <c r="K140" s="26"/>
      <c r="M140" s="29"/>
    </row>
    <row r="141" spans="1:13" s="10" customFormat="1" ht="20.100000000000001" customHeight="1" x14ac:dyDescent="0.35">
      <c r="A141" s="113">
        <v>19</v>
      </c>
      <c r="B141" s="100"/>
      <c r="C141" s="96">
        <f>'4637'!B39</f>
        <v>2</v>
      </c>
      <c r="D141" s="4" t="str">
        <f>'4637'!C39</f>
        <v>PR6</v>
      </c>
      <c r="E141" s="119">
        <f>'4637'!D39</f>
        <v>715</v>
      </c>
      <c r="F141" s="103">
        <f>'4637'!E39</f>
        <v>368</v>
      </c>
      <c r="G141" s="4" t="str">
        <f>'4637'!F39</f>
        <v>BRITISH BUSH 22107 SF</v>
      </c>
      <c r="H141" s="30"/>
      <c r="K141" s="26"/>
      <c r="M141" s="29"/>
    </row>
    <row r="142" spans="1:13" s="10" customFormat="1" ht="20.100000000000001" customHeight="1" x14ac:dyDescent="0.35">
      <c r="A142" s="113"/>
      <c r="B142" s="100"/>
      <c r="C142" s="96">
        <f>'4637'!B40</f>
        <v>1</v>
      </c>
      <c r="D142" s="4" t="str">
        <f>'4637'!C40</f>
        <v>PR6</v>
      </c>
      <c r="E142" s="119">
        <f>'4637'!D40</f>
        <v>1137</v>
      </c>
      <c r="F142" s="103">
        <f>'4637'!E40</f>
        <v>369</v>
      </c>
      <c r="G142" s="4" t="str">
        <f>'4637'!F40</f>
        <v>BRITISH BUSH 22107 SF</v>
      </c>
      <c r="H142" s="30"/>
      <c r="K142" s="26"/>
      <c r="M142" s="29"/>
    </row>
    <row r="143" spans="1:13" s="10" customFormat="1" ht="20.100000000000001" customHeight="1" x14ac:dyDescent="0.35">
      <c r="A143" s="113"/>
      <c r="B143" s="100"/>
      <c r="C143" s="96">
        <f>'4637'!B41</f>
        <v>2</v>
      </c>
      <c r="D143" s="4" t="str">
        <f>'4637'!C41</f>
        <v>PR6</v>
      </c>
      <c r="E143" s="119">
        <f>'4637'!D41</f>
        <v>487</v>
      </c>
      <c r="F143" s="103">
        <f>'4637'!E41</f>
        <v>367</v>
      </c>
      <c r="G143" s="4" t="str">
        <f>'4637'!F41</f>
        <v>BRITISH BUSH 22107 SF</v>
      </c>
      <c r="H143" s="30"/>
      <c r="K143" s="26"/>
      <c r="M143" s="29"/>
    </row>
    <row r="144" spans="1:13" s="10" customFormat="1" ht="20.100000000000001" customHeight="1" x14ac:dyDescent="0.35">
      <c r="A144" s="113"/>
      <c r="B144" s="100"/>
      <c r="C144" s="96">
        <f>'4637'!B42</f>
        <v>1</v>
      </c>
      <c r="D144" s="4" t="str">
        <f>'4637'!C42</f>
        <v>PR6</v>
      </c>
      <c r="E144" s="119">
        <f>'4637'!D42</f>
        <v>862</v>
      </c>
      <c r="F144" s="103">
        <f>'4637'!E42</f>
        <v>367</v>
      </c>
      <c r="G144" s="4" t="str">
        <f>'4637'!F42</f>
        <v>BRITISH BUSH 22107 SF</v>
      </c>
      <c r="H144" s="30"/>
      <c r="K144" s="26"/>
      <c r="M144" s="29"/>
    </row>
    <row r="145" spans="1:13" s="10" customFormat="1" ht="20.100000000000001" customHeight="1" x14ac:dyDescent="0.35">
      <c r="A145" s="113"/>
      <c r="B145" s="100"/>
      <c r="C145" s="96">
        <f>'4637'!B43</f>
        <v>1</v>
      </c>
      <c r="D145" s="4" t="str">
        <f>'4637'!C43</f>
        <v>PR6</v>
      </c>
      <c r="E145" s="119">
        <f>'4637'!D43</f>
        <v>862</v>
      </c>
      <c r="F145" s="103">
        <f>'4637'!E43</f>
        <v>360</v>
      </c>
      <c r="G145" s="4" t="str">
        <f>'4637'!F43</f>
        <v>BRITISH BUSH 22107 SF</v>
      </c>
      <c r="H145" s="30"/>
      <c r="K145" s="26"/>
      <c r="M145" s="29"/>
    </row>
    <row r="146" spans="1:13" s="10" customFormat="1" ht="20.100000000000001" customHeight="1" x14ac:dyDescent="0.35">
      <c r="A146" s="113"/>
      <c r="B146" s="100"/>
      <c r="C146" s="96">
        <f>'4637'!B44</f>
        <v>1</v>
      </c>
      <c r="D146" s="4" t="str">
        <f>'4637'!C44</f>
        <v>PR6</v>
      </c>
      <c r="E146" s="119">
        <f>'4637'!D44</f>
        <v>2302</v>
      </c>
      <c r="F146" s="103">
        <f>'4637'!E44</f>
        <v>100</v>
      </c>
      <c r="G146" s="4" t="str">
        <f>'4637'!F44</f>
        <v>BRITISH BUSH 22107 SF</v>
      </c>
      <c r="H146" s="30"/>
      <c r="K146" s="26"/>
      <c r="M146" s="29"/>
    </row>
    <row r="147" spans="1:13" s="10" customFormat="1" ht="20.100000000000001" customHeight="1" x14ac:dyDescent="0.35">
      <c r="A147" s="113"/>
      <c r="B147" s="100"/>
      <c r="C147" s="96">
        <f>'4637'!B45</f>
        <v>1</v>
      </c>
      <c r="D147" s="4" t="str">
        <f>'4637'!C45</f>
        <v>PR6</v>
      </c>
      <c r="E147" s="119">
        <f>'4637'!D45</f>
        <v>1450</v>
      </c>
      <c r="F147" s="103">
        <f>'4637'!E45</f>
        <v>100</v>
      </c>
      <c r="G147" s="4" t="str">
        <f>'4637'!F45</f>
        <v>BRITISH BUSH 22107 SF</v>
      </c>
      <c r="H147" s="30"/>
      <c r="K147" s="26"/>
      <c r="M147" s="29"/>
    </row>
    <row r="148" spans="1:13" s="10" customFormat="1" ht="20.100000000000001" customHeight="1" x14ac:dyDescent="0.35">
      <c r="A148" s="113"/>
      <c r="B148" s="100"/>
      <c r="C148" s="73"/>
      <c r="D148" s="2"/>
      <c r="E148" s="130"/>
      <c r="F148" s="105"/>
      <c r="G148" s="2"/>
      <c r="H148" s="30"/>
      <c r="K148" s="26"/>
      <c r="M148" s="29"/>
    </row>
    <row r="149" spans="1:13" s="10" customFormat="1" ht="20.100000000000001" customHeight="1" x14ac:dyDescent="0.35">
      <c r="A149" s="113"/>
      <c r="B149" s="100"/>
      <c r="C149" s="73"/>
      <c r="D149" s="2"/>
      <c r="E149" s="130"/>
      <c r="F149" s="105"/>
      <c r="G149" s="2"/>
      <c r="H149" s="30"/>
      <c r="K149" s="26"/>
      <c r="M149" s="29"/>
    </row>
    <row r="150" spans="1:13" s="10" customFormat="1" ht="15" customHeight="1" x14ac:dyDescent="0.35">
      <c r="B150" s="83"/>
      <c r="C150" s="66"/>
      <c r="D150" s="66"/>
      <c r="E150" s="66"/>
      <c r="F150" s="66"/>
      <c r="G150" s="66"/>
      <c r="H150" s="30"/>
    </row>
    <row r="151" spans="1:13" ht="18" x14ac:dyDescent="0.35">
      <c r="B151" s="73"/>
      <c r="C151" s="73"/>
      <c r="D151" s="30"/>
      <c r="E151" s="73"/>
      <c r="F151" s="73"/>
      <c r="G151" s="78"/>
      <c r="H151" s="30"/>
    </row>
    <row r="152" spans="1:13" ht="18" x14ac:dyDescent="0.35">
      <c r="B152" s="73"/>
      <c r="C152" s="73"/>
      <c r="D152" s="30"/>
      <c r="E152" s="73"/>
      <c r="F152" s="73"/>
      <c r="G152" s="73"/>
      <c r="H152" s="30"/>
      <c r="J152" s="10">
        <f>SUM(J123:J123)</f>
        <v>0.63305</v>
      </c>
      <c r="K152" s="27">
        <f>SUM(K123:K123)</f>
        <v>9495.75</v>
      </c>
    </row>
    <row r="153" spans="1:13" ht="18" x14ac:dyDescent="0.35">
      <c r="B153" s="30"/>
      <c r="C153" s="30"/>
      <c r="D153" s="30"/>
      <c r="E153" s="30"/>
      <c r="F153" s="30"/>
      <c r="G153" s="30"/>
      <c r="H153" s="30"/>
    </row>
    <row r="154" spans="1:13" ht="18" x14ac:dyDescent="0.35">
      <c r="B154" s="30"/>
      <c r="C154" s="30"/>
      <c r="D154" s="30"/>
      <c r="E154" s="30"/>
      <c r="F154" s="30"/>
      <c r="G154" s="30"/>
      <c r="H154" s="30"/>
    </row>
    <row r="155" spans="1:13" ht="18" x14ac:dyDescent="0.35">
      <c r="B155" s="30"/>
      <c r="C155" s="30"/>
      <c r="D155" s="30"/>
      <c r="E155" s="30"/>
      <c r="F155" s="30"/>
      <c r="G155" s="30"/>
      <c r="H155" s="30"/>
    </row>
    <row r="156" spans="1:13" ht="15" customHeight="1" x14ac:dyDescent="0.35">
      <c r="B156" s="30"/>
      <c r="C156" s="30"/>
      <c r="D156" s="30"/>
      <c r="E156" s="30"/>
      <c r="F156" s="30"/>
      <c r="G156" s="30"/>
      <c r="H156" s="30"/>
    </row>
    <row r="157" spans="1:13" ht="18" x14ac:dyDescent="0.35">
      <c r="B157" s="30"/>
      <c r="C157" s="30"/>
      <c r="D157" s="30"/>
      <c r="E157" s="30"/>
      <c r="F157" s="30"/>
      <c r="G157" s="30"/>
      <c r="H157" s="30"/>
    </row>
    <row r="158" spans="1:13" ht="18" x14ac:dyDescent="0.35">
      <c r="B158" s="73"/>
      <c r="C158" s="87"/>
      <c r="D158" s="30"/>
      <c r="E158" s="30"/>
      <c r="F158" s="30"/>
      <c r="G158" s="30"/>
      <c r="H158" s="30"/>
    </row>
    <row r="159" spans="1:13" ht="18" x14ac:dyDescent="0.35">
      <c r="B159" s="30"/>
      <c r="C159" s="30"/>
      <c r="D159" s="30"/>
      <c r="E159" s="30"/>
      <c r="F159" s="30"/>
      <c r="G159" s="30"/>
      <c r="H159" s="30"/>
    </row>
    <row r="160" spans="1:13" x14ac:dyDescent="0.3">
      <c r="C160" s="14"/>
      <c r="D160" s="14"/>
      <c r="F160" s="14"/>
      <c r="G160" s="14"/>
    </row>
    <row r="161" spans="3:7" x14ac:dyDescent="0.3">
      <c r="C161" s="14"/>
      <c r="D161" s="14"/>
      <c r="F161" s="14"/>
      <c r="G161" s="14"/>
    </row>
  </sheetData>
  <mergeCells count="6">
    <mergeCell ref="N3:O3"/>
    <mergeCell ref="B43:G43"/>
    <mergeCell ref="B10:G10"/>
    <mergeCell ref="B119:G119"/>
    <mergeCell ref="C121:G121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2025-08-26T19:08:33Z</cp:lastPrinted>
  <dcterms:created xsi:type="dcterms:W3CDTF">2013-03-19T12:54:14Z</dcterms:created>
  <dcterms:modified xsi:type="dcterms:W3CDTF">2025-08-26T19:23:40Z</dcterms:modified>
</cp:coreProperties>
</file>