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8C0A0CA8-F0A0-43D0-9EEA-852660C7F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CUBIERTA!$A$39:$G$65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H25" i="4"/>
  <c r="C52" i="3"/>
  <c r="C29" i="3" s="1"/>
  <c r="J23" i="3" s="1"/>
  <c r="C23" i="3" s="1"/>
  <c r="D52" i="3"/>
  <c r="D29" i="3" s="1"/>
  <c r="G23" i="3" s="1"/>
  <c r="E52" i="3"/>
  <c r="E29" i="3" s="1"/>
  <c r="K23" i="3" s="1"/>
  <c r="E23" i="3" s="1"/>
  <c r="F52" i="3"/>
  <c r="F29" i="3" s="1"/>
  <c r="L23" i="3" s="1"/>
  <c r="F23" i="3" s="1"/>
  <c r="G52" i="3"/>
  <c r="G29" i="3" s="1"/>
  <c r="H22" i="4"/>
  <c r="H21" i="4"/>
  <c r="G51" i="3"/>
  <c r="G28" i="3" s="1"/>
  <c r="F51" i="3"/>
  <c r="F28" i="3" s="1"/>
  <c r="L14" i="3" s="1"/>
  <c r="E51" i="3"/>
  <c r="E28" i="3" s="1"/>
  <c r="K14" i="3" s="1"/>
  <c r="C51" i="3"/>
  <c r="D51" i="3"/>
  <c r="D28" i="3" s="1"/>
  <c r="K15" i="3" l="1"/>
  <c r="E15" i="3" s="1"/>
  <c r="L15" i="3"/>
  <c r="J15" i="3"/>
  <c r="C15" i="3" s="1"/>
  <c r="G15" i="3"/>
  <c r="H27" i="4"/>
  <c r="C28" i="3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7" i="3"/>
  <c r="O5" i="3"/>
  <c r="K57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<sst xmlns="http://schemas.openxmlformats.org/spreadsheetml/2006/main" count="249" uniqueCount="145">
  <si>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</si>
  <si>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</si>
  <si>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</si>
  <si>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</si>
  <si>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</si>
  <si>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</si>
  <si>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</si>
  <si>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</si>
  <si>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</si>
  <si>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</si>
  <si>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</si>
  <si>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</si>
  <si>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</si>
  <si>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</si>
  <si>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</si>
  <si>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</si>
  <si>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</si>
  <si>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</si>
  <si>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</si>
  <si>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</si>
  <si>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</si>
  <si>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</si>
  <si>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</si>
  <si>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</si>
  <si>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</si>
  <si>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</si>
  <si>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</si>
  <si>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</si>
  <si>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</si>
  <si>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</si>
  <si>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</si>
  <si>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</si>
  <si>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</si>
  <si>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</si>
  <si>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</si>
  <si>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</si>
  <si>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</si>
  <si>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</si>
  <si>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</si>
  <si>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</si>
  <si>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</si>
  <si>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</si>
  <si>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</si>
  <si>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</si>
  <si>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</si>
  <si>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</si>
  <si>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</si>
  <si>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</si>
  <si>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</si>
  <si>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</si>
  <si>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</si>
  <si>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</si>
  <si>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</si>
  <si>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</si>
  <si>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</si>
  <si>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</si>
  <si>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</si>
  <si>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</si>
  <si>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</si>
  <si>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</si>
  <si>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</si>
  <si>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</si>
  <si>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</si>
  <si>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</si>
  <si>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</si>
  <si>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</si>
  <si>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</si>
  <si>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</si>
  <si>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</si>
  <si>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</si>
  <si>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</si>
  <si>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</si>
  <si>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</si>
  <si>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</si>
  <si>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</si>
  <si>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</si>
  <si>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</si>
  <si>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</si>
  <si>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</si>
  <si>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</si>
  <si>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</si>
  <si>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</si>
  <si>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</si>
  <si>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</si>
  <si>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</si>
  <si>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</si>
  <si>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</si>
  <si>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</si>
  <si>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</si>
  <si>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</si>
  <si>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</si>
  <si>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</si>
  <si>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</si>
  <si>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</si>
  <si>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</si>
  <si>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</si>
  <si>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</si>
  <si>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</si>
  <si>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</si>
  <si>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</si>
  <si>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</si>
  <si>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</si>
  <si>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</si>
  <si>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</si>
  <si>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</si>
  <si>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</si>
  <si>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</si>
  <si>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</si>
  <si>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</si>
  <si>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</si>
  <si>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</si>
  <si>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</si>
  <si>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</si>
  <si>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</si>
  <si>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</si>
  <si>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</si>
  <si>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</si>
  <si>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</si>
  <si>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</si>
  <si>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</si>
  <si>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</si>
  <si>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</si>
  <si>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</si>
  <si>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</si>
  <si>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</si>
  <si>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</si>
  <si>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</si>
  <si>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</si>
  <si>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</si>
  <si>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</si>
  <si>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</si>
  <si>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</si>
  <si>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</si>
  <si>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</si>
  <si>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</si>
  <si>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</si>
  <si>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</si>
  <si>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</si>
  <si>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MELAMIL 18MM</t>
  </si>
  <si>
    <t>FRANCISCO MELLA</t>
  </si>
  <si>
    <t>+56 9 8451 4974</t>
  </si>
  <si>
    <t>CUB C/R R12</t>
  </si>
  <si>
    <t>MDF18MM</t>
  </si>
  <si>
    <t>TOP ROK PP-5855 BR</t>
  </si>
  <si>
    <t>CUB MESA R12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</si>
</sst>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PAGADA $ 145.000.-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31</xdr:row>
      <xdr:rowOff>15239</xdr:rowOff>
    </xdr:from>
    <xdr:to>
      <xdr:col>6</xdr:col>
      <xdr:colOff>2971800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58</xdr:row>
      <xdr:rowOff>32385</xdr:rowOff>
    </xdr:from>
    <xdr:to>
      <xdr:col>7</xdr:col>
      <xdr:colOff>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6" zoomScale="98" zoomScaleNormal="98" workbookViewId="0">
      <selection activeCell="K7" sqref="K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11555</v>
      </c>
      <c r="E8" s="29"/>
      <c r="F8" s="34" t="s">
        <v>24</v>
      </c>
      <c r="G8" s="35">
        <v>4189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8" t="s">
        <v>139</v>
      </c>
      <c r="D10" s="37"/>
      <c r="E10" s="37"/>
      <c r="F10" s="38" t="s">
        <v>25</v>
      </c>
      <c r="G10" s="39">
        <v>45873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7" t="s">
        <v>140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</row>
    <row r="21" spans="1:16" ht="20.100000000000001" customHeight="1" x14ac:dyDescent="0.35">
      <c r="A21" s="29"/>
      <c r="B21" s="101">
        <v>1</v>
      </c>
      <c r="C21" s="101" t="s">
        <v>141</v>
      </c>
      <c r="D21" s="116">
        <v>740</v>
      </c>
      <c r="E21" s="116">
        <v>600</v>
      </c>
      <c r="F21" s="101" t="s">
        <v>143</v>
      </c>
      <c r="G21" s="111">
        <v>37500</v>
      </c>
      <c r="H21" s="111">
        <f t="shared" ref="H21:H22" si="0">G21*B21</f>
        <v>37500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144</v>
      </c>
      <c r="D22" s="116">
        <v>1500</v>
      </c>
      <c r="E22" s="116">
        <v>900</v>
      </c>
      <c r="F22" s="101" t="s">
        <v>143</v>
      </c>
      <c r="G22" s="111">
        <v>107500</v>
      </c>
      <c r="H22" s="111">
        <f t="shared" si="0"/>
        <v>107500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03"/>
      <c r="E23" s="103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2"/>
      <c r="C24" s="102"/>
      <c r="D24" s="110"/>
      <c r="E24" s="110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59" t="s">
        <v>5</v>
      </c>
      <c r="H25" s="60">
        <f>SUM(H21:H24)</f>
        <v>145000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61" t="s">
        <v>135</v>
      </c>
      <c r="H26" s="62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2"/>
      <c r="C27" s="102"/>
      <c r="D27" s="110"/>
      <c r="E27" s="110"/>
      <c r="F27" s="102"/>
      <c r="G27" s="63" t="s">
        <v>4</v>
      </c>
      <c r="H27" s="64">
        <f>H25</f>
        <v>145000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8"/>
      <c r="C33" s="58"/>
      <c r="D33" s="58"/>
      <c r="E33" s="58"/>
      <c r="F33" s="58"/>
      <c r="G33" s="57"/>
      <c r="H33" s="57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5"/>
      <c r="H37" s="66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7" t="s">
        <v>132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67" t="s">
        <v>118</v>
      </c>
      <c r="C40" s="68"/>
      <c r="D40" s="69"/>
      <c r="E40" s="69"/>
      <c r="F40" s="58"/>
      <c r="G40" s="29"/>
      <c r="H40" s="29"/>
      <c r="I40" s="29"/>
    </row>
    <row r="41" spans="1:9" ht="18" x14ac:dyDescent="0.35">
      <c r="A41" s="29"/>
      <c r="B41" s="29" t="s">
        <v>22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70" t="s">
        <v>23</v>
      </c>
      <c r="C42" s="70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70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1"/>
      <c r="F45" s="29"/>
      <c r="G45" s="29"/>
      <c r="H45" s="29"/>
      <c r="I45" s="29"/>
    </row>
    <row r="46" spans="1:9" ht="18" x14ac:dyDescent="0.35">
      <c r="A46" s="29"/>
      <c r="B46" s="30" t="s">
        <v>131</v>
      </c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70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6"/>
  <sheetViews>
    <sheetView topLeftCell="A29" zoomScaleNormal="100" workbookViewId="0">
      <selection activeCell="A39" sqref="A39:G6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24</v>
      </c>
      <c r="E4" s="74">
        <f>'4637'!G8</f>
        <v>4189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FRANCISCO MELLA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142</v>
      </c>
      <c r="C14" s="93">
        <f>J14</f>
        <v>1</v>
      </c>
      <c r="D14" s="93"/>
      <c r="E14" s="93">
        <f>K14+E$13</f>
        <v>820</v>
      </c>
      <c r="F14" s="93">
        <f>L14+F$13</f>
        <v>570</v>
      </c>
      <c r="G14" s="93" t="str">
        <f>D28</f>
        <v>CUB C/R R12</v>
      </c>
      <c r="H14" s="29"/>
      <c r="J14" s="3">
        <f>J22</f>
        <v>1</v>
      </c>
      <c r="K14" s="4">
        <f t="shared" ref="K14:L14" si="0">E28</f>
        <v>740</v>
      </c>
      <c r="L14" s="4">
        <f t="shared" si="0"/>
        <v>600</v>
      </c>
    </row>
    <row r="15" spans="1:15" ht="18" x14ac:dyDescent="0.35">
      <c r="A15" s="108">
        <v>2</v>
      </c>
      <c r="B15" s="100"/>
      <c r="C15" s="93">
        <f t="shared" ref="C15" si="1">J15</f>
        <v>1</v>
      </c>
      <c r="D15" s="93"/>
      <c r="E15" s="93">
        <f t="shared" ref="E15" si="2">K15+E$13</f>
        <v>1580</v>
      </c>
      <c r="F15" s="93">
        <f>L15</f>
        <v>900</v>
      </c>
      <c r="G15" s="93" t="str">
        <f>D29</f>
        <v>CUB MESA R12 2 LADOS</v>
      </c>
      <c r="H15" s="29"/>
      <c r="J15" s="3">
        <f>J23</f>
        <v>1</v>
      </c>
      <c r="K15" s="4">
        <f>E29</f>
        <v>1500</v>
      </c>
      <c r="L15" s="4">
        <f>F29</f>
        <v>900</v>
      </c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130</v>
      </c>
      <c r="G21" s="81" t="s">
        <v>106</v>
      </c>
      <c r="H21" s="29"/>
      <c r="K21" s="5" t="s">
        <v>6</v>
      </c>
      <c r="L21" s="5" t="s">
        <v>7</v>
      </c>
    </row>
    <row r="22" spans="1:12" ht="18" x14ac:dyDescent="0.35">
      <c r="A22" s="108">
        <v>1</v>
      </c>
      <c r="B22" s="100"/>
      <c r="C22" s="95">
        <f t="shared" ref="C22" si="3">J22</f>
        <v>1</v>
      </c>
      <c r="D22" s="95"/>
      <c r="E22" s="95">
        <f t="shared" ref="E22:F23" si="4">K22+E$21</f>
        <v>780</v>
      </c>
      <c r="F22" s="95">
        <f t="shared" si="4"/>
        <v>730</v>
      </c>
      <c r="G22" s="95" t="str">
        <f>D28</f>
        <v>CUB C/R R12</v>
      </c>
      <c r="H22" s="29"/>
      <c r="J22" s="3">
        <f>C28</f>
        <v>1</v>
      </c>
      <c r="K22" s="105">
        <f>E28</f>
        <v>740</v>
      </c>
      <c r="L22" s="105">
        <f>F28</f>
        <v>600</v>
      </c>
    </row>
    <row r="23" spans="1:12" ht="18" x14ac:dyDescent="0.35">
      <c r="A23" s="108">
        <v>2</v>
      </c>
      <c r="B23" s="100"/>
      <c r="C23" s="95">
        <f t="shared" ref="C23" si="5">J23</f>
        <v>1</v>
      </c>
      <c r="D23" s="95"/>
      <c r="E23" s="95">
        <f t="shared" si="4"/>
        <v>1540</v>
      </c>
      <c r="F23" s="95">
        <f t="shared" si="4"/>
        <v>1030</v>
      </c>
      <c r="G23" s="95" t="str">
        <f>D29</f>
        <v>CUB MESA R12 2 LADOS</v>
      </c>
      <c r="H23" s="29"/>
      <c r="J23" s="3">
        <f>C29</f>
        <v>1</v>
      </c>
      <c r="K23" s="105">
        <f t="shared" ref="K23:L23" si="6">E29</f>
        <v>1500</v>
      </c>
      <c r="L23" s="105">
        <f t="shared" si="6"/>
        <v>900</v>
      </c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6"/>
      <c r="J24" s="107"/>
      <c r="K24" s="107"/>
      <c r="L24" s="107"/>
    </row>
    <row r="25" spans="1:12" ht="18.600000000000001" thickBot="1" x14ac:dyDescent="0.4">
      <c r="A25" s="2"/>
      <c r="B25" s="65"/>
      <c r="C25" s="96" t="s">
        <v>103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106</v>
      </c>
      <c r="E27" s="98" t="s">
        <v>6</v>
      </c>
      <c r="F27" s="98" t="s">
        <v>7</v>
      </c>
      <c r="G27" s="98" t="s">
        <v>20</v>
      </c>
      <c r="H27" s="29"/>
    </row>
    <row r="28" spans="1:12" ht="18" x14ac:dyDescent="0.35">
      <c r="A28" s="108">
        <v>1</v>
      </c>
      <c r="B28" s="100" t="s">
        <v>138</v>
      </c>
      <c r="C28" s="93">
        <f>C51</f>
        <v>1</v>
      </c>
      <c r="D28" s="93" t="str">
        <f>D51</f>
        <v>CUB C/R R12</v>
      </c>
      <c r="E28" s="114">
        <f>E51</f>
        <v>740</v>
      </c>
      <c r="F28" s="114">
        <f>F51</f>
        <v>600</v>
      </c>
      <c r="G28" s="4" t="str">
        <f>G51</f>
        <v>TOP ROK PP-5855 BR</v>
      </c>
      <c r="H28" s="29"/>
      <c r="I28" s="28">
        <f>E28*F28/1000000</f>
        <v>0.44400000000000001</v>
      </c>
      <c r="J28" s="28">
        <f>I28*C28</f>
        <v>0.44400000000000001</v>
      </c>
    </row>
    <row r="29" spans="1:12" ht="18" x14ac:dyDescent="0.35">
      <c r="A29" s="108">
        <v>2</v>
      </c>
      <c r="B29" s="100"/>
      <c r="C29" s="93">
        <f t="shared" ref="C29:G29" si="7">C52</f>
        <v>1</v>
      </c>
      <c r="D29" s="93" t="str">
        <f t="shared" si="7"/>
        <v>CUB MESA R12 2 LADOS</v>
      </c>
      <c r="E29" s="114">
        <f t="shared" si="7"/>
        <v>1500</v>
      </c>
      <c r="F29" s="114">
        <f t="shared" si="7"/>
        <v>900</v>
      </c>
      <c r="G29" s="4" t="str">
        <f t="shared" si="7"/>
        <v>TOP ROK PP-5855 BR</v>
      </c>
      <c r="H29" s="29"/>
      <c r="I29" s="28"/>
      <c r="J29" s="28"/>
    </row>
    <row r="30" spans="1:12" ht="18" x14ac:dyDescent="0.35">
      <c r="A30" s="108"/>
      <c r="B30" s="100"/>
      <c r="C30" s="72"/>
      <c r="D30" s="72"/>
      <c r="E30" s="119"/>
      <c r="F30" s="119"/>
      <c r="G30" s="2"/>
      <c r="H30" s="29"/>
      <c r="I30" s="28"/>
      <c r="J30" s="28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  <c r="J32" s="28">
        <f>SUM(J28:J28)*2</f>
        <v>0.88800000000000001</v>
      </c>
    </row>
    <row r="33" spans="1:8" ht="18" x14ac:dyDescent="0.35">
      <c r="A33" s="2"/>
      <c r="B33" s="29"/>
      <c r="C33" s="72"/>
      <c r="D33" s="72"/>
      <c r="E33" s="72"/>
      <c r="F33" s="72"/>
      <c r="G33" s="72"/>
      <c r="H33" s="29"/>
    </row>
    <row r="34" spans="1:8" ht="18" x14ac:dyDescent="0.35">
      <c r="A34" s="2"/>
      <c r="B34" s="29"/>
      <c r="C34" s="72"/>
      <c r="D34" s="72"/>
      <c r="E34" s="72"/>
      <c r="F34" s="72"/>
      <c r="G34" s="72"/>
      <c r="H34" s="29"/>
    </row>
    <row r="35" spans="1:8" ht="18" x14ac:dyDescent="0.35">
      <c r="A35" s="2"/>
      <c r="B35" s="29"/>
      <c r="C35" s="72"/>
      <c r="D35" s="72"/>
      <c r="E35" s="72"/>
      <c r="F35" s="72"/>
      <c r="G35" s="72"/>
      <c r="H35" s="29"/>
    </row>
    <row r="36" spans="1:8" ht="18" x14ac:dyDescent="0.35">
      <c r="A36" s="2"/>
      <c r="B36" s="29"/>
      <c r="C36" s="72"/>
      <c r="D36" s="72"/>
      <c r="E36" s="72"/>
      <c r="F36" s="72"/>
      <c r="G36" s="72"/>
      <c r="H36" s="29"/>
    </row>
    <row r="37" spans="1:8" ht="18" x14ac:dyDescent="0.35">
      <c r="A37" s="2"/>
      <c r="B37" s="29"/>
      <c r="C37" s="72"/>
      <c r="D37" s="72"/>
      <c r="E37" s="72"/>
      <c r="F37" s="72"/>
      <c r="G37" s="72"/>
      <c r="H37" s="29"/>
    </row>
    <row r="38" spans="1:8" ht="18" x14ac:dyDescent="0.35">
      <c r="A38" s="2"/>
      <c r="B38" s="29"/>
      <c r="C38" s="72"/>
      <c r="D38" s="72"/>
      <c r="E38" s="72"/>
      <c r="F38" s="72"/>
      <c r="G38" s="72"/>
      <c r="H38" s="29"/>
    </row>
    <row r="39" spans="1:8" ht="18" x14ac:dyDescent="0.35">
      <c r="A39" s="2"/>
      <c r="B39" s="29"/>
      <c r="C39" s="72"/>
      <c r="D39" s="72"/>
      <c r="E39" s="72"/>
      <c r="F39" s="72"/>
      <c r="G39" s="72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3" t="s">
        <v>24</v>
      </c>
      <c r="E41" s="74">
        <f>'4637'!G8</f>
        <v>4189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5" t="s">
        <v>63</v>
      </c>
      <c r="E42" s="76" t="str">
        <f>'4637'!C10</f>
        <v>FRANCISCO MELLA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7"/>
      <c r="E43" s="78"/>
      <c r="F43" s="29"/>
      <c r="G43" s="29"/>
      <c r="H43" s="29"/>
    </row>
    <row r="44" spans="1:8" ht="18" x14ac:dyDescent="0.35">
      <c r="A44" s="2"/>
      <c r="B44" s="29"/>
      <c r="C44" s="29"/>
      <c r="D44" s="79" t="str">
        <f>'4637'!F11</f>
        <v>FECHA LIMITE :</v>
      </c>
      <c r="E44" s="80">
        <f>'4637'!G11</f>
        <v>0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134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30" t="s">
        <v>64</v>
      </c>
      <c r="C47" s="130"/>
      <c r="D47" s="130"/>
      <c r="E47" s="130"/>
      <c r="F47" s="130"/>
      <c r="G47" s="130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31" t="s">
        <v>65</v>
      </c>
      <c r="D49" s="132"/>
      <c r="E49" s="133"/>
      <c r="F49" s="133"/>
      <c r="G49" s="134"/>
      <c r="H49" s="29"/>
      <c r="I49" s="25" t="s">
        <v>129</v>
      </c>
    </row>
    <row r="50" spans="1:13" s="10" customFormat="1" ht="20.100000000000001" customHeight="1" x14ac:dyDescent="0.35">
      <c r="A50" s="109"/>
      <c r="B50" s="29"/>
      <c r="C50" s="83" t="s">
        <v>9</v>
      </c>
      <c r="D50" s="84" t="s">
        <v>10</v>
      </c>
      <c r="E50" s="87" t="s">
        <v>6</v>
      </c>
      <c r="F50" s="87" t="s">
        <v>7</v>
      </c>
      <c r="G50" s="85" t="s">
        <v>11</v>
      </c>
      <c r="H50" s="29"/>
      <c r="K50" s="10">
        <v>15000</v>
      </c>
    </row>
    <row r="51" spans="1:13" s="10" customFormat="1" ht="20.100000000000001" customHeight="1" x14ac:dyDescent="0.35">
      <c r="A51" s="108">
        <v>1</v>
      </c>
      <c r="B51" s="99" t="s">
        <v>142</v>
      </c>
      <c r="C51" s="95">
        <f>'4637'!B21</f>
        <v>1</v>
      </c>
      <c r="D51" s="4" t="str">
        <f>'4637'!C21</f>
        <v>CUB C/R R12</v>
      </c>
      <c r="E51" s="114">
        <f>'4637'!D21</f>
        <v>740</v>
      </c>
      <c r="F51" s="114">
        <f>'4637'!E21</f>
        <v>600</v>
      </c>
      <c r="G51" s="4" t="str">
        <f>'4637'!F21</f>
        <v>TOP ROK PP-5855 BR</v>
      </c>
      <c r="H51" s="29"/>
      <c r="I51" s="10">
        <f>E51*F51/1000000</f>
        <v>0.44400000000000001</v>
      </c>
      <c r="J51" s="10">
        <f>I51*C51</f>
        <v>0.44400000000000001</v>
      </c>
      <c r="K51" s="26">
        <f>J51*K$50</f>
        <v>6660</v>
      </c>
      <c r="M51" s="24">
        <v>12096</v>
      </c>
    </row>
    <row r="52" spans="1:13" s="10" customFormat="1" ht="20.100000000000001" customHeight="1" x14ac:dyDescent="0.35">
      <c r="A52" s="108">
        <v>2</v>
      </c>
      <c r="B52" s="99"/>
      <c r="C52" s="95">
        <f>'4637'!B22</f>
        <v>1</v>
      </c>
      <c r="D52" s="4" t="str">
        <f>'4637'!C22</f>
        <v>CUB MESA R12 2 LADOS</v>
      </c>
      <c r="E52" s="114">
        <f>'4637'!D22</f>
        <v>1500</v>
      </c>
      <c r="F52" s="114">
        <f>'4637'!E22</f>
        <v>900</v>
      </c>
      <c r="G52" s="4" t="str">
        <f>'4637'!F22</f>
        <v>TOP ROK PP-5855 BR</v>
      </c>
      <c r="H52" s="29"/>
      <c r="K52" s="26"/>
      <c r="M52" s="120"/>
    </row>
    <row r="53" spans="1:13" s="10" customFormat="1" ht="20.100000000000001" customHeight="1" x14ac:dyDescent="0.35">
      <c r="A53" s="108"/>
      <c r="B53" s="99"/>
      <c r="C53" s="72"/>
      <c r="D53" s="2"/>
      <c r="E53" s="119"/>
      <c r="F53" s="119"/>
      <c r="G53" s="2"/>
      <c r="H53" s="29"/>
      <c r="K53" s="26"/>
      <c r="M53" s="120"/>
    </row>
    <row r="54" spans="1:13" s="10" customFormat="1" ht="20.100000000000001" customHeight="1" x14ac:dyDescent="0.35">
      <c r="A54" s="108"/>
      <c r="B54" s="99"/>
      <c r="C54" s="72"/>
      <c r="D54" s="2"/>
      <c r="E54" s="119"/>
      <c r="F54" s="119"/>
      <c r="G54" s="2"/>
      <c r="H54" s="29"/>
      <c r="K54" s="26"/>
      <c r="M54" s="120"/>
    </row>
    <row r="55" spans="1:13" s="10" customFormat="1" ht="15" customHeight="1" x14ac:dyDescent="0.35">
      <c r="B55" s="82"/>
      <c r="C55" s="65"/>
      <c r="D55" s="65"/>
      <c r="E55" s="65"/>
      <c r="F55" s="65"/>
      <c r="G55" s="65"/>
      <c r="H55" s="29"/>
    </row>
    <row r="56" spans="1:13" ht="18" x14ac:dyDescent="0.35">
      <c r="B56" s="72"/>
      <c r="C56" s="72"/>
      <c r="D56" s="29"/>
      <c r="E56" s="72"/>
      <c r="F56" s="72"/>
      <c r="G56" s="77"/>
      <c r="H56" s="29"/>
    </row>
    <row r="57" spans="1:13" ht="18" x14ac:dyDescent="0.35">
      <c r="B57" s="72"/>
      <c r="C57" s="72"/>
      <c r="D57" s="29"/>
      <c r="E57" s="72"/>
      <c r="F57" s="72"/>
      <c r="G57" s="72"/>
      <c r="H57" s="29"/>
      <c r="J57" s="10">
        <f>SUM(J51:J51)</f>
        <v>0.44400000000000001</v>
      </c>
      <c r="K57" s="27">
        <f>SUM(K51:K51)</f>
        <v>6660</v>
      </c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5" customHeight="1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72"/>
      <c r="C63" s="86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3:7" x14ac:dyDescent="0.3">
      <c r="C65" s="14"/>
      <c r="D65" s="14"/>
      <c r="F65" s="14"/>
      <c r="G65" s="14"/>
    </row>
    <row r="66" spans="3:7" x14ac:dyDescent="0.3">
      <c r="C66" s="14"/>
      <c r="D66" s="14"/>
      <c r="F66" s="14"/>
      <c r="G66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2025-08-05T21:17:36Z</cp:lastPrinted>
  <dcterms:created xsi:type="dcterms:W3CDTF">2013-03-19T12:54:14Z</dcterms:created>
  <dcterms:modified xsi:type="dcterms:W3CDTF">2025-08-05T21:18:14Z</dcterms:modified>
</cp:coreProperties>
</file>