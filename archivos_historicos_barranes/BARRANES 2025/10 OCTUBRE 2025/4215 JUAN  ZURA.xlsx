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C176F318-A6E5-4701-A566-89473CBE9D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CUBIERTA!$B$2:$G$39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2" i="4"/>
  <c r="G29" i="3" l="1"/>
  <c r="F29" i="3"/>
  <c r="L14" i="3" s="1"/>
  <c r="E29" i="3"/>
  <c r="K14" i="3" s="1"/>
  <c r="C29" i="3"/>
  <c r="G51" i="3"/>
  <c r="F51" i="3"/>
  <c r="E51" i="3"/>
  <c r="D51" i="3"/>
  <c r="D29" i="3" s="1"/>
  <c r="C51" i="3"/>
  <c r="L21" i="4" l="1"/>
  <c r="K21" i="4"/>
  <c r="M21" i="4" l="1"/>
  <c r="N21" i="4" s="1"/>
  <c r="G23" i="3" l="1"/>
  <c r="L23" i="3"/>
  <c r="F23" i="3" s="1"/>
  <c r="J23" i="3" l="1"/>
  <c r="I29" i="3"/>
  <c r="J29" i="3" s="1"/>
  <c r="K23" i="3"/>
  <c r="E23" i="3" s="1"/>
  <c r="I51" i="3"/>
  <c r="J51" i="3" s="1"/>
  <c r="E14" i="3"/>
  <c r="G14" i="3"/>
  <c r="F14" i="3"/>
  <c r="C23" i="3" l="1"/>
  <c r="J14" i="3"/>
  <c r="C14" i="3" s="1"/>
  <c r="J32" i="3"/>
  <c r="K51" i="3"/>
  <c r="J56" i="3"/>
  <c r="H26" i="4"/>
  <c r="O5" i="3"/>
  <c r="K56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<sst xmlns="http://schemas.openxmlformats.org/spreadsheetml/2006/main" count="247" uniqueCount="143">
  <si>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</si>
  <si>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</si>
  <si>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</si>
  <si>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</si>
  <si>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</si>
  <si>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</si>
  <si>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</si>
  <si>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</si>
  <si>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</si>
  <si>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</si>
  <si>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</si>
  <si>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</si>
  <si>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</si>
  <si>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</si>
  <si>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</si>
  <si>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</si>
  <si>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</si>
  <si>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</si>
  <si>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</si>
  <si>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</si>
  <si>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</si>
  <si>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</si>
  <si>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</si>
  <si>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</si>
  <si>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</si>
  <si>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</si>
  <si>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</si>
  <si>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</si>
  <si>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</si>
  <si>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</si>
  <si>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</si>
  <si>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</si>
  <si>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</si>
  <si>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</si>
  <si>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</si>
  <si>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</si>
  <si>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</si>
  <si>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</si>
  <si>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</si>
  <si>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</si>
  <si>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</si>
  <si>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</si>
  <si>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</si>
  <si>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</si>
  <si>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</si>
  <si>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</si>
  <si>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</si>
  <si>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</si>
  <si>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</si>
  <si>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</si>
  <si>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</si>
  <si>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</si>
  <si>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</si>
  <si>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</si>
  <si>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</si>
  <si>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</si>
  <si>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</si>
  <si>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</si>
  <si>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</si>
  <si>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</si>
  <si>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</si>
  <si>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</si>
  <si>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</si>
  <si>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</si>
  <si>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</si>
  <si>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</si>
  <si>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</si>
  <si>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</si>
  <si>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</si>
  <si>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</si>
  <si>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</si>
  <si>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</si>
  <si>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</si>
  <si>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</si>
  <si>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</si>
  <si>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</si>
  <si>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</si>
  <si>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</si>
  <si>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</si>
  <si>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</si>
  <si>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</si>
  <si>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</si>
  <si>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</si>
  <si>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</si>
  <si>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</si>
  <si>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</si>
  <si>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</si>
  <si>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</si>
  <si>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</si>
  <si>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</si>
  <si>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</si>
  <si>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</si>
  <si>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</si>
  <si>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</si>
  <si>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</si>
  <si>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</si>
  <si>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</si>
  <si>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</si>
  <si>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</si>
  <si>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</si>
  <si>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</si>
  <si>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</si>
  <si>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</si>
  <si>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</si>
  <si>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</si>
  <si>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</si>
  <si>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</si>
  <si>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</si>
  <si>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</si>
  <si>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</si>
  <si>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</si>
  <si>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</si>
  <si>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</si>
  <si>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</si>
  <si>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</si>
  <si>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</si>
  <si>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</si>
  <si>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</si>
  <si>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</si>
  <si>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</si>
  <si>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</si>
  <si>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</si>
  <si>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</si>
  <si>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</si>
  <si>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</si>
  <si>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</si>
  <si>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</si>
  <si>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</si>
  <si>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</si>
  <si>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</si>
  <si>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</si>
  <si>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</si>
  <si>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</si>
  <si>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</si>
  <si>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</si>
  <si>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</si>
  <si>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</si>
  <si>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</si>
  <si>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</si>
  <si>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JUAN ZURA</t>
  </si>
  <si>
    <t>+56 9 44939030</t>
  </si>
  <si>
    <t>CUB S/R 180°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</si>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</sst>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</a:t>
          </a:r>
          <a:endParaRPr lang="es-CL" sz="900" b="1" i="0" baseline="0"/>
        </a:p>
      </xdr:txBody>
    </xdr:sp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57</xdr:row>
      <xdr:rowOff>32385</xdr:rowOff>
    </xdr:from>
    <xdr:to>
      <xdr:col>7</xdr:col>
      <xdr:colOff>7620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13" zoomScale="98" zoomScaleNormal="98" workbookViewId="0">
      <selection activeCell="J20" sqref="J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11683</v>
      </c>
      <c r="E8" s="30"/>
      <c r="F8" s="35" t="s">
        <v>25</v>
      </c>
      <c r="G8" s="36">
        <v>4215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45951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45956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140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141</v>
      </c>
      <c r="D21" s="103">
        <v>3400</v>
      </c>
      <c r="E21" s="103">
        <v>700</v>
      </c>
      <c r="F21" s="102" t="s">
        <v>142</v>
      </c>
      <c r="G21" s="113">
        <v>110396</v>
      </c>
      <c r="H21" s="113">
        <f>G21*B21</f>
        <v>110396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>
        <f>SUM(B21:B21)</f>
        <v>1</v>
      </c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110396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110396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zoomScaleNormal="100" workbookViewId="0">
      <selection activeCell="I53" sqref="I5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4215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JUAN ZURA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45956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40</v>
      </c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3440</v>
      </c>
      <c r="F14" s="94">
        <f>L14+F$13</f>
        <v>700</v>
      </c>
      <c r="G14" s="94" t="str">
        <f>D29</f>
        <v>CUB S/R 180°</v>
      </c>
      <c r="H14" s="30"/>
      <c r="J14" s="3">
        <f>J23</f>
        <v>1</v>
      </c>
      <c r="K14" s="4">
        <f t="shared" ref="K14:L14" si="0">E29</f>
        <v>3400</v>
      </c>
      <c r="L14" s="4">
        <f t="shared" si="0"/>
        <v>700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30</v>
      </c>
      <c r="F22" s="95">
        <v>60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1">J23</f>
        <v>1</v>
      </c>
      <c r="D23" s="96"/>
      <c r="E23" s="96">
        <f t="shared" ref="E23" si="2">K23+E$22</f>
        <v>3430</v>
      </c>
      <c r="F23" s="96">
        <f t="shared" ref="F23" si="3">L23+F$22</f>
        <v>760</v>
      </c>
      <c r="G23" s="96" t="str">
        <f>D29</f>
        <v>CUB S/R 180°</v>
      </c>
      <c r="H23" s="30"/>
      <c r="J23" s="3">
        <f>C29</f>
        <v>1</v>
      </c>
      <c r="K23" s="107">
        <f>E29</f>
        <v>3400</v>
      </c>
      <c r="L23" s="107">
        <f>F29</f>
        <v>700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1"/>
      <c r="L24" s="121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138</v>
      </c>
      <c r="C29" s="94">
        <f>'4637'!B21</f>
        <v>1</v>
      </c>
      <c r="D29" s="94" t="str">
        <f>D51</f>
        <v>CUB S/R 180°</v>
      </c>
      <c r="E29" s="116">
        <f>'4637'!D21</f>
        <v>3400</v>
      </c>
      <c r="F29" s="116">
        <f>'4637'!E21</f>
        <v>700</v>
      </c>
      <c r="G29" s="4" t="str">
        <f>'4637'!F21</f>
        <v>CLASSIC 3111 BR F6</v>
      </c>
      <c r="H29" s="30"/>
      <c r="I29" s="28">
        <f>E29*F29/1000000</f>
        <v>2.38</v>
      </c>
      <c r="J29" s="28">
        <f>I29*C29</f>
        <v>2.38</v>
      </c>
    </row>
    <row r="30" spans="1:12" ht="18" x14ac:dyDescent="0.35">
      <c r="A30" s="110"/>
      <c r="B30" s="101"/>
      <c r="C30" s="104"/>
      <c r="D30" s="104"/>
      <c r="E30" s="105"/>
      <c r="F30" s="105"/>
      <c r="G30" s="104"/>
      <c r="H30" s="30"/>
      <c r="I30" s="28"/>
      <c r="J30" s="28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  <c r="J32" s="28">
        <f>SUM(J29:J29)*2</f>
        <v>4.76</v>
      </c>
    </row>
    <row r="33" spans="1:8" ht="18" x14ac:dyDescent="0.35">
      <c r="A33" s="2"/>
      <c r="B33" s="30"/>
      <c r="C33" s="73"/>
      <c r="D33" s="73"/>
      <c r="E33" s="73"/>
      <c r="F33" s="73"/>
      <c r="G33" s="73"/>
      <c r="H33" s="30"/>
    </row>
    <row r="34" spans="1:8" ht="18" x14ac:dyDescent="0.35">
      <c r="A34" s="2"/>
      <c r="B34" s="30"/>
      <c r="C34" s="73"/>
      <c r="D34" s="73"/>
      <c r="E34" s="73"/>
      <c r="F34" s="73"/>
      <c r="G34" s="73"/>
      <c r="H34" s="30"/>
    </row>
    <row r="35" spans="1:8" ht="18" x14ac:dyDescent="0.35">
      <c r="A35" s="2"/>
      <c r="B35" s="30"/>
      <c r="C35" s="73"/>
      <c r="D35" s="73"/>
      <c r="E35" s="73"/>
      <c r="F35" s="73"/>
      <c r="G35" s="73"/>
      <c r="H35" s="30"/>
    </row>
    <row r="36" spans="1:8" ht="18" x14ac:dyDescent="0.35">
      <c r="A36" s="2"/>
      <c r="B36" s="30"/>
      <c r="C36" s="73"/>
      <c r="D36" s="73"/>
      <c r="E36" s="73"/>
      <c r="F36" s="73"/>
      <c r="G36" s="73"/>
      <c r="H36" s="30"/>
    </row>
    <row r="37" spans="1:8" ht="18" x14ac:dyDescent="0.35">
      <c r="A37" s="2"/>
      <c r="B37" s="30"/>
      <c r="C37" s="73"/>
      <c r="D37" s="73"/>
      <c r="E37" s="73"/>
      <c r="F37" s="73"/>
      <c r="G37" s="73"/>
      <c r="H37" s="30"/>
    </row>
    <row r="38" spans="1:8" ht="18" x14ac:dyDescent="0.35">
      <c r="A38" s="2"/>
      <c r="B38" s="30"/>
      <c r="C38" s="73"/>
      <c r="D38" s="73"/>
      <c r="E38" s="73"/>
      <c r="F38" s="73"/>
      <c r="G38" s="73"/>
      <c r="H38" s="30"/>
    </row>
    <row r="39" spans="1:8" ht="18" x14ac:dyDescent="0.35">
      <c r="A39" s="2"/>
      <c r="B39" s="30"/>
      <c r="C39" s="73"/>
      <c r="D39" s="73"/>
      <c r="E39" s="73"/>
      <c r="F39" s="73"/>
      <c r="G39" s="73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4" t="s">
        <v>25</v>
      </c>
      <c r="E41" s="75">
        <f>'4637'!G8</f>
        <v>4215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6" t="s">
        <v>64</v>
      </c>
      <c r="E42" s="77" t="str">
        <f>'4637'!C10</f>
        <v>JUAN ZURA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8"/>
      <c r="E43" s="79"/>
      <c r="F43" s="30"/>
      <c r="G43" s="30"/>
      <c r="H43" s="30"/>
    </row>
    <row r="44" spans="1:8" ht="18" x14ac:dyDescent="0.35">
      <c r="A44" s="2"/>
      <c r="B44" s="30"/>
      <c r="C44" s="30"/>
      <c r="D44" s="80" t="str">
        <f>'4637'!F11</f>
        <v>FECHA LIMITE :</v>
      </c>
      <c r="E44" s="81">
        <f>'4637'!G11</f>
        <v>45956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2" t="s">
        <v>66</v>
      </c>
      <c r="D49" s="133"/>
      <c r="E49" s="134"/>
      <c r="F49" s="134"/>
      <c r="G49" s="135"/>
      <c r="H49" s="30"/>
      <c r="I49" s="25" t="s">
        <v>130</v>
      </c>
    </row>
    <row r="50" spans="1:13" s="10" customFormat="1" ht="20.100000000000001" customHeight="1" x14ac:dyDescent="0.35">
      <c r="A50" s="111"/>
      <c r="B50" s="30"/>
      <c r="C50" s="84" t="s">
        <v>9</v>
      </c>
      <c r="D50" s="85" t="s">
        <v>10</v>
      </c>
      <c r="E50" s="88" t="s">
        <v>6</v>
      </c>
      <c r="F50" s="88" t="s">
        <v>7</v>
      </c>
      <c r="G50" s="86" t="s">
        <v>11</v>
      </c>
      <c r="H50" s="30"/>
      <c r="K50" s="10">
        <v>15000</v>
      </c>
    </row>
    <row r="51" spans="1:13" s="10" customFormat="1" ht="20.100000000000001" customHeight="1" x14ac:dyDescent="0.35">
      <c r="A51" s="110">
        <v>1</v>
      </c>
      <c r="B51" s="100" t="s">
        <v>138</v>
      </c>
      <c r="C51" s="96">
        <f>'4637'!B21</f>
        <v>1</v>
      </c>
      <c r="D51" s="4" t="str">
        <f>'4637'!C21</f>
        <v>CUB S/R 180°</v>
      </c>
      <c r="E51" s="116">
        <f>'4637'!D21</f>
        <v>3400</v>
      </c>
      <c r="F51" s="103">
        <f>'4637'!E21</f>
        <v>700</v>
      </c>
      <c r="G51" s="4" t="str">
        <f>'4637'!F21</f>
        <v>CLASSIC 3111 BR F6</v>
      </c>
      <c r="H51" s="30"/>
      <c r="I51" s="10">
        <f>E51*F51/1000000</f>
        <v>2.38</v>
      </c>
      <c r="J51" s="10">
        <f>I51*C51</f>
        <v>2.38</v>
      </c>
      <c r="K51" s="26">
        <f>J51*K$50</f>
        <v>35700</v>
      </c>
      <c r="M51" s="24">
        <v>12096</v>
      </c>
    </row>
    <row r="52" spans="1:13" s="10" customFormat="1" ht="20.100000000000001" customHeight="1" x14ac:dyDescent="0.35">
      <c r="A52" s="110"/>
      <c r="B52" s="100"/>
      <c r="C52" s="73"/>
      <c r="D52" s="2"/>
      <c r="E52" s="120"/>
      <c r="F52" s="105"/>
      <c r="G52" s="2"/>
      <c r="H52" s="30"/>
      <c r="K52" s="26"/>
      <c r="M52" s="29"/>
    </row>
    <row r="53" spans="1:13" s="10" customFormat="1" ht="20.100000000000001" customHeight="1" x14ac:dyDescent="0.35">
      <c r="A53" s="110"/>
      <c r="B53" s="100"/>
      <c r="C53" s="73"/>
      <c r="D53" s="2"/>
      <c r="E53" s="120"/>
      <c r="F53" s="105"/>
      <c r="G53" s="2"/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SUM(J51:J51)</f>
        <v>2.38</v>
      </c>
      <c r="K56" s="27">
        <f>SUM(K51:K51)</f>
        <v>35700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2025-10-06T21:55:14Z</cp:lastPrinted>
  <dcterms:created xsi:type="dcterms:W3CDTF">2013-03-19T12:54:14Z</dcterms:created>
  <dcterms:modified xsi:type="dcterms:W3CDTF">2025-10-21T09:06:53Z</dcterms:modified>
</cp:coreProperties>
</file>