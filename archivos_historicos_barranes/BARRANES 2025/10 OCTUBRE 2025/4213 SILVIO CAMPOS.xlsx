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0 OCTUBRE 2025\"/>
    </mc:Choice>
  </mc:AlternateContent>
  <xr:revisionPtr revIDLastSave="0" documentId="13_ncr:1_{A5D3483A-1240-4002-88A0-4C67E63E0F1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CUBIERTA!$B$2:$G$39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<sst xmlns="http://schemas.openxmlformats.org/spreadsheetml/2006/main" count="247" uniqueCount="143">
  <si>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</si>
  <si>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</si>
  <si>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</si>
  <si>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</si>
  <si>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</si>
  <si>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</si>
  <si>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</si>
  <si>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</si>
  <si>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</si>
  <si>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</si>
  <si>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</si>
  <si>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</si>
  <si>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</si>
  <si>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</si>
  <si>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</si>
  <si>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</si>
  <si>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</si>
  <si>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</si>
  <si>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</si>
  <si>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</si>
  <si>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</si>
  <si>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</si>
  <si>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</si>
  <si>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</si>
  <si>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</si>
  <si>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</si>
  <si>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</si>
  <si>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</si>
  <si>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</si>
  <si>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</si>
  <si>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</si>
  <si>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</si>
  <si>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</si>
  <si>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</si>
  <si>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</si>
  <si>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</si>
  <si>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</si>
  <si>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</si>
  <si>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</si>
  <si>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</si>
  <si>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</si>
  <si>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</si>
  <si>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</si>
  <si>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</si>
  <si>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</si>
  <si>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</si>
  <si>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</si>
  <si>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</si>
  <si>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</si>
  <si>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</si>
  <si>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</si>
  <si>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</si>
  <si>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</si>
  <si>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</si>
  <si>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</si>
  <si>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</si>
  <si>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</si>
  <si>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</si>
  <si>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</si>
  <si>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</si>
  <si>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</si>
  <si>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</si>
  <si>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</si>
  <si>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</si>
  <si>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</si>
  <si>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</si>
  <si>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</si>
  <si>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</si>
  <si>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</si>
  <si>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</si>
  <si>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</si>
  <si>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</si>
  <si>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</si>
  <si>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</si>
  <si>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</si>
  <si>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</si>
  <si>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</si>
  <si>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</si>
  <si>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</si>
  <si>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</si>
  <si>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</si>
  <si>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</si>
  <si>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</si>
  <si>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</si>
  <si>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</si>
  <si>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</si>
  <si>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</si>
  <si>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</si>
  <si>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</si>
  <si>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</si>
  <si>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</si>
  <si>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</si>
  <si>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</si>
  <si>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</si>
  <si>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</si>
  <si>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</si>
  <si>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</si>
  <si>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</si>
  <si>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</si>
  <si>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</si>
  <si>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</si>
  <si>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</si>
  <si>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</si>
  <si>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</si>
  <si>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</si>
  <si>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</si>
  <si>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</si>
  <si>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</si>
  <si>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</si>
  <si>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</si>
  <si>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</si>
  <si>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</si>
  <si>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</si>
  <si>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</si>
  <si>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</si>
  <si>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</si>
  <si>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</si>
  <si>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</si>
  <si>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</si>
  <si>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</si>
  <si>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</si>
  <si>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</si>
  <si>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</si>
  <si>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</si>
  <si>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</si>
  <si>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</si>
  <si>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</si>
  <si>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</si>
  <si>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</si>
  <si>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</si>
  <si>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</si>
  <si>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</si>
  <si>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</si>
  <si>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</si>
  <si>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</si>
  <si>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</si>
  <si>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</si>
  <si>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</si>
  <si>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</si>
  <si>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CUB C/R R12</t>
  </si>
  <si>
    <t>MARMOL DE STOCK</t>
  </si>
  <si>
    <t>SILVIO DEL CAMPO</t>
  </si>
  <si>
    <t>+569 9304 0310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</si>
</sst>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$ 40.000.-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CLIENTE NUEVO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B6" zoomScale="98" zoomScaleNormal="98" workbookViewId="0">
      <selection activeCell="C15" sqref="C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/>
      <c r="E8" s="30">
        <v>0</v>
      </c>
      <c r="F8" s="35" t="s">
        <v>25</v>
      </c>
      <c r="G8" s="36">
        <v>4213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45932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45938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142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139</v>
      </c>
      <c r="D21" s="103">
        <v>1850</v>
      </c>
      <c r="E21" s="103">
        <v>610</v>
      </c>
      <c r="F21" s="102" t="s">
        <v>140</v>
      </c>
      <c r="G21" s="113">
        <v>80000</v>
      </c>
      <c r="H21" s="113">
        <f>G21*B21</f>
        <v>80000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1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80000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136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80000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0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zoomScaleNormal="100" workbookViewId="0">
      <selection activeCell="B2" sqref="B2:G39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4213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SILVIO DEL CAMPO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45938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40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f>K14+E$13</f>
        <v>1890</v>
      </c>
      <c r="F14" s="94">
        <f>L14+F$13</f>
        <v>580</v>
      </c>
      <c r="G14" s="94" t="str">
        <f>D29</f>
        <v>CUB C/R R12</v>
      </c>
      <c r="H14" s="30"/>
      <c r="J14" s="3">
        <f>J23</f>
        <v>1</v>
      </c>
      <c r="K14" s="4">
        <f t="shared" ref="K14:L14" si="0">E29</f>
        <v>1850</v>
      </c>
      <c r="L14" s="4">
        <f t="shared" si="0"/>
        <v>610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30</v>
      </c>
      <c r="F22" s="95">
        <v>130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1</v>
      </c>
      <c r="D23" s="96"/>
      <c r="E23" s="96">
        <f t="shared" ref="E23" si="2">K23+E$22</f>
        <v>1880</v>
      </c>
      <c r="F23" s="96">
        <f t="shared" ref="F23" si="3">L23+F$22</f>
        <v>740</v>
      </c>
      <c r="G23" s="96" t="str">
        <f>D29</f>
        <v>CUB C/R R12</v>
      </c>
      <c r="H23" s="30"/>
      <c r="J23" s="3">
        <f>C29</f>
        <v>1</v>
      </c>
      <c r="K23" s="107">
        <f>E29</f>
        <v>1850</v>
      </c>
      <c r="L23" s="107">
        <f>F29</f>
        <v>610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138</v>
      </c>
      <c r="C29" s="94">
        <f>'4637'!B21</f>
        <v>1</v>
      </c>
      <c r="D29" s="94" t="str">
        <f>D51</f>
        <v>CUB C/R R12</v>
      </c>
      <c r="E29" s="116">
        <f>'4637'!D21</f>
        <v>1850</v>
      </c>
      <c r="F29" s="116">
        <f>'4637'!E21</f>
        <v>610</v>
      </c>
      <c r="G29" s="4" t="str">
        <f>'4637'!F21</f>
        <v>MARMOL DE STOCK</v>
      </c>
      <c r="H29" s="30"/>
      <c r="I29" s="28">
        <f>E29*F29/1000000</f>
        <v>1.1285000000000001</v>
      </c>
      <c r="J29" s="28">
        <f>I29*C29</f>
        <v>1.1285000000000001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2.2570000000000001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4213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SILVIO DEL CAMPO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45938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135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138</v>
      </c>
      <c r="C51" s="96">
        <f>'4637'!B21</f>
        <v>1</v>
      </c>
      <c r="D51" s="4" t="str">
        <f>'4637'!C21</f>
        <v>CUB C/R R12</v>
      </c>
      <c r="E51" s="116">
        <f>'4637'!D21</f>
        <v>1850</v>
      </c>
      <c r="F51" s="103">
        <f>'4637'!E21</f>
        <v>610</v>
      </c>
      <c r="G51" s="4" t="str">
        <f>'4637'!F21</f>
        <v>MARMOL DE STOCK</v>
      </c>
      <c r="H51" s="30"/>
      <c r="I51" s="10">
        <f>E51*F51/1000000</f>
        <v>1.1285000000000001</v>
      </c>
      <c r="J51" s="10">
        <f>I51*C51</f>
        <v>1.1285000000000001</v>
      </c>
      <c r="K51" s="26">
        <f>J51*K$50</f>
        <v>16927.5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1.1285000000000001</v>
      </c>
      <c r="K56" s="27">
        <f>SUM(K51:K51)</f>
        <v>16927.5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2025-10-06T21:55:14Z</cp:lastPrinted>
  <dcterms:created xsi:type="dcterms:W3CDTF">2013-03-19T12:54:14Z</dcterms:created>
  <dcterms:modified xsi:type="dcterms:W3CDTF">2025-10-06T21:55:29Z</dcterms:modified>
</cp:coreProperties>
</file>