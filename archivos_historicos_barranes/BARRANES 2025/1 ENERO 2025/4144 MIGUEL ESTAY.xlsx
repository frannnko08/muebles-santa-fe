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32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BARRANES\BARRANES\1 ENERO 2025\"/>
    </mc:Choice>
  </mc:AlternateContent>
  <xr:revisionPtr revIDLastSave="0" documentId="13_ncr:1_{40353BCB-078B-4916-BC2D-993AC5E6F3B0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4637" sheetId="4" r:id="rId1"/>
    <sheet name="REGLAS" sheetId="5" r:id="rId2"/>
    <sheet name="CUBIERTA" sheetId="3" r:id="rId3"/>
  </sheets>
  <definedNames>
    <definedName name="_xlnm.Print_Area" localSheetId="0">'4637'!$B$1:$H$52</definedName>
    <definedName name="_xlnm.Print_Area" localSheetId="2">CUBIERTA!$A$2:$H$49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7" i="4" l="1"/>
  <c r="H26" i="4"/>
  <c r="H25" i="4"/>
  <c r="H24" i="4"/>
  <c r="H23" i="4"/>
  <c r="H22" i="4"/>
  <c r="H21" i="4"/>
  <c r="H28" i="4" l="1"/>
  <c r="J15" i="3"/>
  <c r="C15" i="3" s="1"/>
  <c r="J16" i="3"/>
  <c r="C16" i="3" s="1"/>
  <c r="J17" i="3"/>
  <c r="C17" i="3" s="1"/>
  <c r="J18" i="3"/>
  <c r="C18" i="3" s="1"/>
  <c r="C38" i="3"/>
  <c r="J27" i="3" s="1"/>
  <c r="C27" i="3" s="1"/>
  <c r="D38" i="3"/>
  <c r="G27" i="3" s="1"/>
  <c r="E38" i="3"/>
  <c r="K27" i="3" s="1"/>
  <c r="E27" i="3" s="1"/>
  <c r="F38" i="3"/>
  <c r="L27" i="3" s="1"/>
  <c r="F27" i="3" s="1"/>
  <c r="G38" i="3"/>
  <c r="C39" i="3"/>
  <c r="J28" i="3" s="1"/>
  <c r="C28" i="3" s="1"/>
  <c r="D39" i="3"/>
  <c r="G28" i="3" s="1"/>
  <c r="E39" i="3"/>
  <c r="K28" i="3" s="1"/>
  <c r="E28" i="3" s="1"/>
  <c r="F39" i="3"/>
  <c r="L28" i="3" s="1"/>
  <c r="F28" i="3" s="1"/>
  <c r="G39" i="3"/>
  <c r="C40" i="3"/>
  <c r="J29" i="3" s="1"/>
  <c r="C29" i="3" s="1"/>
  <c r="D40" i="3"/>
  <c r="G29" i="3" s="1"/>
  <c r="E40" i="3"/>
  <c r="K29" i="3" s="1"/>
  <c r="E29" i="3" s="1"/>
  <c r="F40" i="3"/>
  <c r="L29" i="3" s="1"/>
  <c r="F29" i="3" s="1"/>
  <c r="G40" i="3"/>
  <c r="C41" i="3"/>
  <c r="J30" i="3" s="1"/>
  <c r="C30" i="3" s="1"/>
  <c r="D41" i="3"/>
  <c r="G30" i="3" s="1"/>
  <c r="E41" i="3"/>
  <c r="K30" i="3" s="1"/>
  <c r="E30" i="3" s="1"/>
  <c r="F41" i="3"/>
  <c r="L30" i="3" s="1"/>
  <c r="G41" i="3"/>
  <c r="C65" i="3"/>
  <c r="D65" i="3"/>
  <c r="E65" i="3"/>
  <c r="F65" i="3"/>
  <c r="G65" i="3"/>
  <c r="C66" i="3"/>
  <c r="D66" i="3"/>
  <c r="E66" i="3"/>
  <c r="F66" i="3"/>
  <c r="G66" i="3"/>
  <c r="C67" i="3"/>
  <c r="D67" i="3"/>
  <c r="E67" i="3"/>
  <c r="F67" i="3"/>
  <c r="G67" i="3"/>
  <c r="C68" i="3"/>
  <c r="D68" i="3"/>
  <c r="E68" i="3"/>
  <c r="F68" i="3"/>
  <c r="G68" i="3"/>
  <c r="K17" i="3" l="1"/>
  <c r="E17" i="3" s="1"/>
  <c r="K18" i="3"/>
  <c r="E18" i="3" s="1"/>
  <c r="G18" i="3"/>
  <c r="G17" i="3"/>
  <c r="G16" i="3"/>
  <c r="K16" i="3"/>
  <c r="E16" i="3" s="1"/>
  <c r="L18" i="3"/>
  <c r="F18" i="3" s="1"/>
  <c r="L17" i="3"/>
  <c r="F17" i="3" s="1"/>
  <c r="L16" i="3"/>
  <c r="F16" i="3" s="1"/>
  <c r="C37" i="3"/>
  <c r="J26" i="3" s="1"/>
  <c r="C26" i="3" s="1"/>
  <c r="D37" i="3"/>
  <c r="E37" i="3"/>
  <c r="F37" i="3"/>
  <c r="G37" i="3"/>
  <c r="C64" i="3"/>
  <c r="D64" i="3"/>
  <c r="E64" i="3"/>
  <c r="F64" i="3"/>
  <c r="G64" i="3"/>
  <c r="J14" i="3"/>
  <c r="C14" i="3" s="1"/>
  <c r="G26" i="3" l="1"/>
  <c r="G15" i="3"/>
  <c r="L26" i="3"/>
  <c r="F26" i="3" s="1"/>
  <c r="L15" i="3"/>
  <c r="F15" i="3" s="1"/>
  <c r="K26" i="3"/>
  <c r="E26" i="3" s="1"/>
  <c r="K15" i="3"/>
  <c r="E15" i="3" s="1"/>
  <c r="D63" i="3"/>
  <c r="L21" i="4" l="1"/>
  <c r="K21" i="4"/>
  <c r="M21" i="4" l="1"/>
  <c r="N21" i="4" s="1"/>
  <c r="C36" i="3" l="1"/>
  <c r="J25" i="3" s="1"/>
  <c r="C25" i="3" s="1"/>
  <c r="D36" i="3"/>
  <c r="G25" i="3" s="1"/>
  <c r="E36" i="3"/>
  <c r="F36" i="3"/>
  <c r="L25" i="3" s="1"/>
  <c r="F25" i="3" s="1"/>
  <c r="G36" i="3"/>
  <c r="C63" i="3"/>
  <c r="E63" i="3"/>
  <c r="F63" i="3"/>
  <c r="G63" i="3"/>
  <c r="I36" i="3" l="1"/>
  <c r="J36" i="3" s="1"/>
  <c r="K25" i="3"/>
  <c r="E25" i="3" s="1"/>
  <c r="I63" i="3"/>
  <c r="J63" i="3" s="1"/>
  <c r="K14" i="3"/>
  <c r="E14" i="3" s="1"/>
  <c r="G14" i="3"/>
  <c r="L14" i="3"/>
  <c r="F14" i="3" s="1"/>
  <c r="J44" i="3" l="1"/>
  <c r="K63" i="3"/>
  <c r="J71" i="3"/>
  <c r="H30" i="4"/>
  <c r="O5" i="3"/>
  <c r="K71" i="3" l="1"/>
  <c r="N5" i="3"/>
  <c r="M5" i="3"/>
  <c r="L5" i="3"/>
  <c r="D56" i="3" l="1"/>
  <c r="D7" i="3"/>
  <c r="E54" i="3"/>
  <c r="E5" i="3"/>
  <c r="E56" i="3"/>
  <c r="E7" i="3"/>
  <c r="E53" i="3"/>
  <c r="E4" i="3"/>
</calcChain>
</file>

<file path=xl/sharedStrings.xml><?xml version="1.0" encoding="utf-8"?>
<sst xmlns="http://schemas.openxmlformats.org/spreadsheetml/2006/main" count="257" uniqueCount="147">
  <si>
    <t>SEPTIMA AVENIDA 1631, SAN MIGUEL</t>
  </si>
  <si>
    <t>DIRECCION:</t>
  </si>
  <si>
    <t>RUT:</t>
  </si>
  <si>
    <t>CIUDAD:</t>
  </si>
  <si>
    <t>TOTAL</t>
  </si>
  <si>
    <t>NETO</t>
  </si>
  <si>
    <t>ALTO</t>
  </si>
  <si>
    <t>ANCHO</t>
  </si>
  <si>
    <t>MATERIAL</t>
  </si>
  <si>
    <t>CANTIDAD</t>
  </si>
  <si>
    <t>CORTE</t>
  </si>
  <si>
    <t>DESCRIPCION</t>
  </si>
  <si>
    <t>E-MAIL: ventas@topmobili.cl</t>
  </si>
  <si>
    <t>LAMINADO</t>
  </si>
  <si>
    <t>FONO 22521 6502</t>
  </si>
  <si>
    <t>P R E S U P U E S T O</t>
  </si>
  <si>
    <t>FONO:</t>
  </si>
  <si>
    <t>VALIDEZ COTIZACIÓN: 5 DÍAS</t>
  </si>
  <si>
    <t xml:space="preserve">D E T A L L E </t>
  </si>
  <si>
    <t>TIPO</t>
  </si>
  <si>
    <t>LARGO</t>
  </si>
  <si>
    <t>COLOR</t>
  </si>
  <si>
    <t xml:space="preserve">VALOR </t>
  </si>
  <si>
    <t xml:space="preserve">VISITANOS Y DESCUBRE NUESTROS PRODUCTOS EN </t>
  </si>
  <si>
    <t>WWW.TOPMOBILICHILE.CL</t>
  </si>
  <si>
    <t>NOTA DE VENTA :</t>
  </si>
  <si>
    <t>FECHA :</t>
  </si>
  <si>
    <t xml:space="preserve">ORDEN DE COMPRA: </t>
  </si>
  <si>
    <t>DETALLE CORTE LAMINA</t>
  </si>
  <si>
    <t>CUB C/R</t>
  </si>
  <si>
    <t>CUB S/R</t>
  </si>
  <si>
    <t xml:space="preserve">CUB C/R 180° </t>
  </si>
  <si>
    <t>CUB MESA 4 LADOS</t>
  </si>
  <si>
    <t>CUB MESA 180° 2 LADOS</t>
  </si>
  <si>
    <t>CUB MESA 180° 3 LADOS</t>
  </si>
  <si>
    <t>CUB MESA 180° 4 LADOS</t>
  </si>
  <si>
    <t>CORNISA 1LADO</t>
  </si>
  <si>
    <t>CORNISA 180° 1LADO</t>
  </si>
  <si>
    <t>CORNISA 2 LADOS</t>
  </si>
  <si>
    <t>CENEFA 1 LADO</t>
  </si>
  <si>
    <t>CENEFA 2 LADOS</t>
  </si>
  <si>
    <t>CUB C/R FRENTE ESPAÑOL</t>
  </si>
  <si>
    <t>CUB S/R FRENTE ESPAÑOL</t>
  </si>
  <si>
    <t>CUB MESA FRENTE ESPAÑOL 2 LADOS</t>
  </si>
  <si>
    <t>CUB MESA FRENTE ESPAÑOL 3 LADOS</t>
  </si>
  <si>
    <t>CUB MESA FRENTE ESPAÑOL 4 LADOS</t>
  </si>
  <si>
    <t>CUB PUNTA TIBURON 1 LADO</t>
  </si>
  <si>
    <t>CUB C/R PUNTA 1 LADO</t>
  </si>
  <si>
    <t>CUB MESA PUNTA TIBURON 2 LADOS</t>
  </si>
  <si>
    <t>CUB MESA PUNTA TIBURON 3 LADOS</t>
  </si>
  <si>
    <t>CUB MESA PUNTA TIBURON 4 LADOS</t>
  </si>
  <si>
    <t>CORNISA PUNTA TIBURON 1 LADO</t>
  </si>
  <si>
    <t>CORNISA PUNTA TIBURON 2 LADOS</t>
  </si>
  <si>
    <t>CORNISA  FRENTE ESPAÑOL 1 LADO</t>
  </si>
  <si>
    <t>CORNISA  FRENTE ESPAÑOL 2 LADO</t>
  </si>
  <si>
    <t>DETALLE CORTE MERA</t>
  </si>
  <si>
    <t>CUB S/R y CUB MESA</t>
  </si>
  <si>
    <t>PR</t>
  </si>
  <si>
    <t>SUSTRATO</t>
  </si>
  <si>
    <t>PR2</t>
  </si>
  <si>
    <t>PR6</t>
  </si>
  <si>
    <t>PR8</t>
  </si>
  <si>
    <t>PR12</t>
  </si>
  <si>
    <t>PR19</t>
  </si>
  <si>
    <t>CLIENTE :</t>
  </si>
  <si>
    <t>PRODUCCIÓN</t>
  </si>
  <si>
    <t>DETALLE</t>
  </si>
  <si>
    <t>DETALLE CORTE SUSTRATO</t>
  </si>
  <si>
    <t>CORNISA R8 1LADO</t>
  </si>
  <si>
    <t>CORNISA R8 2 LADOS</t>
  </si>
  <si>
    <t xml:space="preserve">CUB S/R </t>
  </si>
  <si>
    <t>CUB C/R PUNTA TIBURON 1 LADO</t>
  </si>
  <si>
    <t>FORMA DE PAGO :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</si>
  <si>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</si>
  <si>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</si>
  <si>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</si>
  <si>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</si>
  <si>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</si>
  <si>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</si>
  <si>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</si>
  <si>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</si>
  <si>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</si>
  <si>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</si>
  <si>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</si>
  <si>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</si>
  <si>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</si>
  <si>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</si>
  <si>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</si>
  <si>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</si>
  <si>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</si>
  <si>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</si>
  <si>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</si>
  <si>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</si>
  <si>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</si>
  <si>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</si>
  <si>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</si>
  <si>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</si>
  <si>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</si>
  <si>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A1</t>
  </si>
  <si>
    <t>A2</t>
  </si>
  <si>
    <t>A3</t>
  </si>
  <si>
    <t>A4</t>
  </si>
  <si>
    <t>A5</t>
  </si>
  <si>
    <t>CUB C/R R2</t>
  </si>
  <si>
    <t>MEDIDAS ORIGINALES</t>
  </si>
  <si>
    <t>CUB S/R R2</t>
  </si>
  <si>
    <t>REGLA SIEMPRE LLEVAR MEDIDA MINIMO A 100</t>
  </si>
  <si>
    <t>DESCRIPCIÓN</t>
  </si>
  <si>
    <t>ES IGUAL A LO PEDIDO NO SE DEBE SUMAR NI RESTAR</t>
  </si>
  <si>
    <t xml:space="preserve">CUB MESA 3L </t>
  </si>
  <si>
    <t>CEN 1V</t>
  </si>
  <si>
    <t>CEN 2V</t>
  </si>
  <si>
    <t xml:space="preserve">CEN 2V </t>
  </si>
  <si>
    <t xml:space="preserve">CUB C/R FRENTE ESPAÑOL </t>
  </si>
  <si>
    <t>REGLA SIEMPRE LLEVAR MEDIDA MINIMO A 101</t>
  </si>
  <si>
    <t xml:space="preserve">CUB MESA 2L </t>
  </si>
  <si>
    <t>MUEBLES SANTA FE SPA</t>
  </si>
  <si>
    <t>VENTAS POR MENOR DE MUEBLES</t>
  </si>
  <si>
    <t>RUT: 77.054.606-0</t>
  </si>
  <si>
    <t>"MUEBLES SANTA FE SPA." - RUT : 77.054.606-0, VENTAS@TOPMOBILI.CL</t>
  </si>
  <si>
    <t>FECHA LIMITE :</t>
  </si>
  <si>
    <t>FECHA ENTREGA:</t>
  </si>
  <si>
    <t>NO BORRAR REGLAS!!!!! SI NO LAS SABEN USAR NO BORREN ESTO POR FAVOR!!!!!</t>
  </si>
  <si>
    <t>CUB C/R R6</t>
  </si>
  <si>
    <t>HECHO POR:</t>
  </si>
  <si>
    <t xml:space="preserve">CLIENTE: </t>
  </si>
  <si>
    <t>CONTACTO:</t>
  </si>
  <si>
    <t>GIRO:</t>
  </si>
  <si>
    <t>UNIDAD</t>
  </si>
  <si>
    <t>CONTADO</t>
  </si>
  <si>
    <t>MT2</t>
  </si>
  <si>
    <t xml:space="preserve">FIRMA CONFORME    </t>
  </si>
  <si>
    <t xml:space="preserve">VENDEDOR </t>
  </si>
  <si>
    <t xml:space="preserve">CUENTA CORRIENTE BANCO SANTANDER N° 87316181 A NOMBRE DE </t>
  </si>
  <si>
    <t>MELAMIL18 MM</t>
  </si>
  <si>
    <t>MELAMIL18MM</t>
  </si>
  <si>
    <t>FD</t>
  </si>
  <si>
    <t>HECHO POR: FD</t>
  </si>
  <si>
    <t>MELAMIL 18MM</t>
  </si>
  <si>
    <t>ABONO</t>
  </si>
  <si>
    <t>SANTIAGO</t>
  </si>
  <si>
    <t>MIGUEL ESTAY</t>
  </si>
  <si>
    <t>+569 92196008</t>
  </si>
  <si>
    <t>BLANCO BRILLO</t>
  </si>
  <si>
    <t>PR6 / 3 FTES DE 228</t>
  </si>
  <si>
    <t xml:space="preserve">ZOCALOS </t>
  </si>
  <si>
    <t>SILVERY 99981 MT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</si>
</sst>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2" formatCode="_ &quot;$&quot;* #,##0_ ;_ &quot;$&quot;* \-#,##0_ ;_ &quot;$&quot;* &quot;-&quot;_ ;_ @_ "/>
    <numFmt numFmtId="41" formatCode="_ * #,##0_ ;_ * \-#,##0_ ;_ * &quot;-&quot;_ ;_ @_ "/>
    <numFmt numFmtId="164" formatCode="_-* #,##0.00_-;\-* #,##0.00_-;_-* &quot;-&quot;??_-;_-@_-"/>
    <numFmt numFmtId="165" formatCode="0.000"/>
    <numFmt numFmtId="166" formatCode="_-* #,##0_-;\-* #,##0_-;_-* &quot;-&quot;??_-;_-@_-"/>
  </numFmts>
  <fonts count="20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u/>
      <sz val="14"/>
      <color theme="10"/>
      <name val="Calibri"/>
      <family val="2"/>
      <scheme val="minor"/>
    </font>
    <font>
      <i/>
      <sz val="14"/>
      <color theme="1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sz val="14"/>
      <color rgb="FFFF0000"/>
      <name val="Calibri"/>
      <family val="2"/>
      <scheme val="minor"/>
    </font>
    <font>
      <u/>
      <sz val="14"/>
      <color theme="1"/>
      <name val="Calibri"/>
      <family val="2"/>
      <scheme val="minor"/>
    </font>
    <font>
      <b/>
      <u/>
      <sz val="14"/>
      <color theme="1"/>
      <name val="Calibri"/>
      <family val="2"/>
      <scheme val="minor"/>
    </font>
    <font>
      <b/>
      <u/>
      <sz val="1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DDB7B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5">
    <xf numFmtId="0" fontId="0" fillId="0" borderId="0"/>
    <xf numFmtId="164" fontId="3" fillId="0" borderId="0" applyFont="0" applyFill="0" applyBorder="0" applyAlignment="0" applyProtection="0"/>
    <xf numFmtId="0" fontId="5" fillId="0" borderId="0" applyNumberFormat="0" applyFill="0" applyBorder="0" applyAlignment="0" applyProtection="0"/>
    <xf numFmtId="42" fontId="3" fillId="0" borderId="0" applyFont="0" applyFill="0" applyBorder="0" applyAlignment="0" applyProtection="0"/>
    <xf numFmtId="41" fontId="3" fillId="0" borderId="0" applyFont="0" applyFill="0" applyBorder="0" applyAlignment="0" applyProtection="0"/>
  </cellStyleXfs>
  <cellXfs count="139">
    <xf numFmtId="0" fontId="0" fillId="0" borderId="0" xfId="0"/>
    <xf numFmtId="0" fontId="2" fillId="0" borderId="0" xfId="0" applyFont="1"/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3" borderId="0" xfId="0" applyFill="1"/>
    <xf numFmtId="0" fontId="0" fillId="3" borderId="2" xfId="0" applyFill="1" applyBorder="1" applyAlignment="1">
      <alignment horizontal="center"/>
    </xf>
    <xf numFmtId="0" fontId="0" fillId="3" borderId="2" xfId="0" applyFill="1" applyBorder="1"/>
    <xf numFmtId="0" fontId="7" fillId="6" borderId="2" xfId="0" applyFont="1" applyFill="1" applyBorder="1" applyAlignment="1">
      <alignment horizontal="center"/>
    </xf>
    <xf numFmtId="0" fontId="1" fillId="0" borderId="0" xfId="0" applyFont="1"/>
    <xf numFmtId="0" fontId="0" fillId="0" borderId="0" xfId="0" applyAlignment="1">
      <alignment horizontal="center" vertical="center"/>
    </xf>
    <xf numFmtId="0" fontId="0" fillId="5" borderId="0" xfId="0" applyFill="1" applyAlignment="1">
      <alignment horizontal="center"/>
    </xf>
    <xf numFmtId="0" fontId="7" fillId="6" borderId="0" xfId="0" applyFont="1" applyFill="1" applyAlignment="1">
      <alignment horizontal="center"/>
    </xf>
    <xf numFmtId="0" fontId="6" fillId="0" borderId="0" xfId="0" applyFont="1"/>
    <xf numFmtId="0" fontId="6" fillId="0" borderId="0" xfId="0" applyFont="1" applyAlignment="1">
      <alignment horizontal="center" vertical="center"/>
    </xf>
    <xf numFmtId="0" fontId="0" fillId="3" borderId="22" xfId="0" applyFill="1" applyBorder="1" applyAlignment="1">
      <alignment horizontal="center"/>
    </xf>
    <xf numFmtId="0" fontId="0" fillId="3" borderId="22" xfId="0" applyFill="1" applyBorder="1"/>
    <xf numFmtId="0" fontId="0" fillId="5" borderId="2" xfId="0" applyFill="1" applyBorder="1" applyAlignment="1">
      <alignment horizontal="center"/>
    </xf>
    <xf numFmtId="0" fontId="0" fillId="5" borderId="2" xfId="0" applyFill="1" applyBorder="1"/>
    <xf numFmtId="0" fontId="0" fillId="5" borderId="0" xfId="0" applyFill="1"/>
    <xf numFmtId="166" fontId="0" fillId="0" borderId="0" xfId="0" applyNumberFormat="1"/>
    <xf numFmtId="0" fontId="4" fillId="0" borderId="0" xfId="0" applyFont="1"/>
    <xf numFmtId="0" fontId="0" fillId="2" borderId="0" xfId="0" applyFill="1" applyAlignment="1">
      <alignment horizontal="center"/>
    </xf>
    <xf numFmtId="42" fontId="9" fillId="0" borderId="2" xfId="3" applyFont="1" applyBorder="1" applyAlignment="1">
      <alignment horizontal="center" vertical="center"/>
    </xf>
    <xf numFmtId="0" fontId="4" fillId="9" borderId="0" xfId="0" applyFont="1" applyFill="1" applyAlignment="1">
      <alignment horizontal="center"/>
    </xf>
    <xf numFmtId="41" fontId="1" fillId="0" borderId="0" xfId="4" applyFont="1"/>
    <xf numFmtId="41" fontId="1" fillId="0" borderId="0" xfId="0" applyNumberFormat="1" applyFont="1"/>
    <xf numFmtId="165" fontId="0" fillId="0" borderId="0" xfId="0" applyNumberFormat="1"/>
    <xf numFmtId="42" fontId="9" fillId="0" borderId="0" xfId="3" applyFont="1" applyBorder="1" applyAlignment="1">
      <alignment horizontal="center" vertical="center"/>
    </xf>
    <xf numFmtId="0" fontId="10" fillId="0" borderId="0" xfId="0" applyFont="1"/>
    <xf numFmtId="0" fontId="11" fillId="0" borderId="0" xfId="0" applyFont="1"/>
    <xf numFmtId="0" fontId="11" fillId="0" borderId="15" xfId="0" applyFont="1" applyBorder="1" applyAlignment="1">
      <alignment horizontal="left" indent="1"/>
    </xf>
    <xf numFmtId="0" fontId="11" fillId="0" borderId="16" xfId="0" applyFont="1" applyBorder="1"/>
    <xf numFmtId="0" fontId="11" fillId="0" borderId="17" xfId="0" applyFont="1" applyBorder="1" applyAlignment="1">
      <alignment horizontal="center"/>
    </xf>
    <xf numFmtId="0" fontId="11" fillId="0" borderId="15" xfId="0" applyFont="1" applyBorder="1" applyAlignment="1">
      <alignment horizontal="left"/>
    </xf>
    <xf numFmtId="0" fontId="10" fillId="0" borderId="17" xfId="0" applyFont="1" applyBorder="1" applyAlignment="1">
      <alignment horizontal="left"/>
    </xf>
    <xf numFmtId="0" fontId="11" fillId="3" borderId="3" xfId="0" applyFont="1" applyFill="1" applyBorder="1"/>
    <xf numFmtId="0" fontId="11" fillId="3" borderId="4" xfId="0" applyFont="1" applyFill="1" applyBorder="1"/>
    <xf numFmtId="0" fontId="10" fillId="3" borderId="4" xfId="0" applyFont="1" applyFill="1" applyBorder="1"/>
    <xf numFmtId="0" fontId="10" fillId="3" borderId="4" xfId="0" applyFont="1" applyFill="1" applyBorder="1" applyAlignment="1">
      <alignment horizontal="left"/>
    </xf>
    <xf numFmtId="14" fontId="10" fillId="3" borderId="4" xfId="0" applyNumberFormat="1" applyFont="1" applyFill="1" applyBorder="1" applyAlignment="1">
      <alignment horizontal="left"/>
    </xf>
    <xf numFmtId="0" fontId="10" fillId="3" borderId="5" xfId="0" applyFont="1" applyFill="1" applyBorder="1"/>
    <xf numFmtId="0" fontId="10" fillId="4" borderId="6" xfId="0" applyFont="1" applyFill="1" applyBorder="1"/>
    <xf numFmtId="0" fontId="10" fillId="4" borderId="0" xfId="0" applyFont="1" applyFill="1"/>
    <xf numFmtId="14" fontId="10" fillId="4" borderId="26" xfId="0" applyNumberFormat="1" applyFont="1" applyFill="1" applyBorder="1" applyAlignment="1">
      <alignment horizontal="left"/>
    </xf>
    <xf numFmtId="0" fontId="10" fillId="4" borderId="7" xfId="0" applyFont="1" applyFill="1" applyBorder="1"/>
    <xf numFmtId="0" fontId="10" fillId="3" borderId="6" xfId="0" applyFont="1" applyFill="1" applyBorder="1"/>
    <xf numFmtId="0" fontId="10" fillId="3" borderId="0" xfId="0" applyFont="1" applyFill="1"/>
    <xf numFmtId="0" fontId="10" fillId="3" borderId="0" xfId="0" applyFont="1" applyFill="1" applyAlignment="1">
      <alignment horizontal="left"/>
    </xf>
    <xf numFmtId="0" fontId="10" fillId="3" borderId="7" xfId="0" applyFont="1" applyFill="1" applyBorder="1"/>
    <xf numFmtId="0" fontId="12" fillId="0" borderId="0" xfId="2" applyFont="1" applyBorder="1"/>
    <xf numFmtId="0" fontId="10" fillId="4" borderId="0" xfId="0" applyFont="1" applyFill="1" applyAlignment="1">
      <alignment horizontal="left"/>
    </xf>
    <xf numFmtId="0" fontId="11" fillId="3" borderId="0" xfId="0" applyFont="1" applyFill="1"/>
    <xf numFmtId="0" fontId="10" fillId="4" borderId="8" xfId="0" applyFont="1" applyFill="1" applyBorder="1"/>
    <xf numFmtId="0" fontId="10" fillId="0" borderId="9" xfId="2" applyFont="1" applyBorder="1" applyAlignment="1">
      <alignment horizontal="left"/>
    </xf>
    <xf numFmtId="0" fontId="10" fillId="4" borderId="9" xfId="2" applyFont="1" applyFill="1" applyBorder="1" applyAlignment="1">
      <alignment horizontal="left"/>
    </xf>
    <xf numFmtId="0" fontId="10" fillId="4" borderId="9" xfId="0" applyFont="1" applyFill="1" applyBorder="1"/>
    <xf numFmtId="0" fontId="11" fillId="8" borderId="29" xfId="0" applyFont="1" applyFill="1" applyBorder="1" applyAlignment="1">
      <alignment horizontal="center" vertical="center"/>
    </xf>
    <xf numFmtId="166" fontId="10" fillId="0" borderId="0" xfId="1" applyNumberFormat="1" applyFont="1" applyFill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1" fillId="0" borderId="11" xfId="0" applyFont="1" applyBorder="1" applyAlignment="1">
      <alignment horizontal="center"/>
    </xf>
    <xf numFmtId="166" fontId="11" fillId="0" borderId="12" xfId="1" applyNumberFormat="1" applyFont="1" applyFill="1" applyBorder="1"/>
    <xf numFmtId="3" fontId="11" fillId="3" borderId="13" xfId="0" applyNumberFormat="1" applyFont="1" applyFill="1" applyBorder="1" applyAlignment="1">
      <alignment horizontal="center"/>
    </xf>
    <xf numFmtId="166" fontId="11" fillId="0" borderId="28" xfId="1" applyNumberFormat="1" applyFont="1" applyFill="1" applyBorder="1"/>
    <xf numFmtId="0" fontId="11" fillId="0" borderId="14" xfId="0" applyFont="1" applyBorder="1" applyAlignment="1">
      <alignment horizontal="center"/>
    </xf>
    <xf numFmtId="166" fontId="11" fillId="0" borderId="27" xfId="1" applyNumberFormat="1" applyFont="1" applyFill="1" applyBorder="1"/>
    <xf numFmtId="0" fontId="11" fillId="0" borderId="0" xfId="0" applyFont="1" applyAlignment="1">
      <alignment horizontal="center"/>
    </xf>
    <xf numFmtId="166" fontId="11" fillId="0" borderId="0" xfId="1" applyNumberFormat="1" applyFont="1" applyFill="1" applyBorder="1"/>
    <xf numFmtId="0" fontId="15" fillId="0" borderId="0" xfId="0" applyFont="1" applyAlignment="1">
      <alignment horizontal="left" vertical="center"/>
    </xf>
    <xf numFmtId="0" fontId="16" fillId="0" borderId="0" xfId="0" applyFont="1" applyAlignment="1">
      <alignment horizontal="center" vertical="center"/>
    </xf>
    <xf numFmtId="165" fontId="10" fillId="0" borderId="0" xfId="0" applyNumberFormat="1" applyFont="1" applyAlignment="1">
      <alignment horizontal="center" vertical="center"/>
    </xf>
    <xf numFmtId="0" fontId="17" fillId="0" borderId="0" xfId="2" applyFont="1" applyFill="1" applyBorder="1" applyAlignment="1">
      <alignment horizontal="left" vertical="center" indent="1"/>
    </xf>
    <xf numFmtId="0" fontId="18" fillId="0" borderId="0" xfId="2" applyFont="1" applyFill="1" applyBorder="1" applyAlignment="1">
      <alignment horizontal="left" vertical="center" indent="1"/>
    </xf>
    <xf numFmtId="0" fontId="10" fillId="0" borderId="0" xfId="0" applyFont="1" applyAlignment="1">
      <alignment horizontal="center"/>
    </xf>
    <xf numFmtId="0" fontId="13" fillId="0" borderId="0" xfId="0" applyFont="1" applyAlignment="1">
      <alignment horizontal="left" indent="1"/>
    </xf>
    <xf numFmtId="0" fontId="11" fillId="0" borderId="0" xfId="0" applyFont="1" applyAlignment="1">
      <alignment horizontal="left"/>
    </xf>
    <xf numFmtId="0" fontId="13" fillId="3" borderId="0" xfId="0" applyFont="1" applyFill="1" applyAlignment="1">
      <alignment horizontal="left" indent="1"/>
    </xf>
    <xf numFmtId="0" fontId="14" fillId="3" borderId="0" xfId="0" applyFont="1" applyFill="1" applyAlignment="1">
      <alignment horizontal="left"/>
    </xf>
    <xf numFmtId="0" fontId="10" fillId="0" borderId="0" xfId="0" applyFont="1" applyAlignment="1">
      <alignment horizontal="left" indent="1"/>
    </xf>
    <xf numFmtId="14" fontId="10" fillId="0" borderId="0" xfId="0" applyNumberFormat="1" applyFont="1" applyAlignment="1">
      <alignment horizontal="right" vertical="top"/>
    </xf>
    <xf numFmtId="14" fontId="13" fillId="0" borderId="0" xfId="0" applyNumberFormat="1" applyFont="1" applyAlignment="1">
      <alignment horizontal="left" indent="1"/>
    </xf>
    <xf numFmtId="14" fontId="11" fillId="0" borderId="0" xfId="0" applyNumberFormat="1" applyFont="1" applyAlignment="1">
      <alignment horizontal="left" wrapText="1" shrinkToFit="1"/>
    </xf>
    <xf numFmtId="0" fontId="14" fillId="0" borderId="18" xfId="0" applyFont="1" applyBorder="1" applyAlignment="1">
      <alignment horizontal="center"/>
    </xf>
    <xf numFmtId="0" fontId="10" fillId="0" borderId="0" xfId="0" applyFont="1" applyAlignment="1">
      <alignment horizontal="right"/>
    </xf>
    <xf numFmtId="0" fontId="11" fillId="0" borderId="18" xfId="0" applyFont="1" applyBorder="1" applyAlignment="1">
      <alignment horizontal="center"/>
    </xf>
    <xf numFmtId="0" fontId="11" fillId="0" borderId="21" xfId="0" applyFont="1" applyBorder="1" applyAlignment="1">
      <alignment horizontal="center"/>
    </xf>
    <xf numFmtId="0" fontId="11" fillId="0" borderId="19" xfId="0" applyFont="1" applyBorder="1" applyAlignment="1">
      <alignment horizontal="center"/>
    </xf>
    <xf numFmtId="0" fontId="10" fillId="0" borderId="0" xfId="0" applyFont="1" applyAlignment="1">
      <alignment vertical="center"/>
    </xf>
    <xf numFmtId="0" fontId="11" fillId="0" borderId="2" xfId="0" applyFont="1" applyBorder="1" applyAlignment="1">
      <alignment horizontal="center"/>
    </xf>
    <xf numFmtId="14" fontId="13" fillId="0" borderId="0" xfId="0" applyNumberFormat="1" applyFont="1" applyAlignment="1">
      <alignment horizontal="left" vertical="top" indent="1"/>
    </xf>
    <xf numFmtId="0" fontId="10" fillId="0" borderId="0" xfId="0" applyFont="1" applyAlignment="1">
      <alignment horizontal="left"/>
    </xf>
    <xf numFmtId="0" fontId="14" fillId="0" borderId="0" xfId="0" applyFont="1"/>
    <xf numFmtId="0" fontId="14" fillId="0" borderId="23" xfId="0" applyFont="1" applyBorder="1" applyAlignment="1">
      <alignment horizontal="center"/>
    </xf>
    <xf numFmtId="0" fontId="10" fillId="7" borderId="23" xfId="0" applyFont="1" applyFill="1" applyBorder="1" applyAlignment="1">
      <alignment horizontal="center"/>
    </xf>
    <xf numFmtId="0" fontId="10" fillId="0" borderId="2" xfId="0" applyFont="1" applyBorder="1" applyAlignment="1">
      <alignment horizontal="center"/>
    </xf>
    <xf numFmtId="0" fontId="10" fillId="7" borderId="18" xfId="0" applyFont="1" applyFill="1" applyBorder="1" applyAlignment="1">
      <alignment horizontal="center"/>
    </xf>
    <xf numFmtId="0" fontId="10" fillId="0" borderId="18" xfId="0" applyFont="1" applyBorder="1" applyAlignment="1">
      <alignment horizontal="center"/>
    </xf>
    <xf numFmtId="0" fontId="11" fillId="0" borderId="15" xfId="0" applyFont="1" applyBorder="1"/>
    <xf numFmtId="0" fontId="11" fillId="0" borderId="17" xfId="0" applyFont="1" applyBorder="1"/>
    <xf numFmtId="0" fontId="11" fillId="0" borderId="2" xfId="0" applyFont="1" applyBorder="1" applyAlignment="1">
      <alignment horizontal="center" vertical="center"/>
    </xf>
    <xf numFmtId="0" fontId="10" fillId="0" borderId="24" xfId="0" applyFont="1" applyBorder="1" applyAlignment="1">
      <alignment horizontal="center"/>
    </xf>
    <xf numFmtId="0" fontId="1" fillId="0" borderId="0" xfId="0" applyFont="1" applyAlignment="1">
      <alignment horizontal="right"/>
    </xf>
    <xf numFmtId="0" fontId="0" fillId="0" borderId="0" xfId="0" applyAlignment="1">
      <alignment horizontal="right"/>
    </xf>
    <xf numFmtId="0" fontId="9" fillId="0" borderId="2" xfId="0" applyFont="1" applyBorder="1" applyAlignment="1">
      <alignment horizontal="center" vertical="center"/>
    </xf>
    <xf numFmtId="1" fontId="9" fillId="0" borderId="2" xfId="0" applyNumberFormat="1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1" fontId="9" fillId="0" borderId="0" xfId="0" applyNumberFormat="1" applyFont="1" applyAlignment="1">
      <alignment horizontal="center" vertical="center"/>
    </xf>
    <xf numFmtId="166" fontId="2" fillId="0" borderId="0" xfId="1" applyNumberFormat="1" applyFont="1" applyFill="1" applyBorder="1" applyAlignment="1">
      <alignment horizontal="center" vertical="center"/>
    </xf>
    <xf numFmtId="0" fontId="0" fillId="10" borderId="2" xfId="0" applyFill="1" applyBorder="1" applyAlignment="1">
      <alignment horizontal="center"/>
    </xf>
    <xf numFmtId="0" fontId="0" fillId="0" borderId="0" xfId="0" applyAlignment="1">
      <alignment horizontal="left"/>
    </xf>
    <xf numFmtId="0" fontId="0" fillId="11" borderId="2" xfId="0" applyFill="1" applyBorder="1" applyAlignment="1">
      <alignment horizontal="center"/>
    </xf>
    <xf numFmtId="0" fontId="0" fillId="12" borderId="2" xfId="0" applyFill="1" applyBorder="1" applyAlignment="1">
      <alignment horizontal="center"/>
    </xf>
    <xf numFmtId="0" fontId="19" fillId="0" borderId="0" xfId="2" quotePrefix="1" applyFont="1" applyFill="1" applyBorder="1" applyAlignment="1">
      <alignment horizontal="left"/>
    </xf>
    <xf numFmtId="166" fontId="2" fillId="0" borderId="30" xfId="1" applyNumberFormat="1" applyFont="1" applyFill="1" applyBorder="1" applyAlignment="1">
      <alignment horizontal="center" vertical="center"/>
    </xf>
    <xf numFmtId="0" fontId="11" fillId="8" borderId="31" xfId="0" applyFont="1" applyFill="1" applyBorder="1" applyAlignment="1">
      <alignment horizontal="center" vertical="center"/>
    </xf>
    <xf numFmtId="0" fontId="11" fillId="8" borderId="12" xfId="0" applyFont="1" applyFill="1" applyBorder="1" applyAlignment="1">
      <alignment horizontal="center" vertical="center"/>
    </xf>
    <xf numFmtId="0" fontId="11" fillId="8" borderId="11" xfId="0" applyFont="1" applyFill="1" applyBorder="1" applyAlignment="1">
      <alignment horizontal="center" vertical="center"/>
    </xf>
    <xf numFmtId="0" fontId="0" fillId="9" borderId="0" xfId="0" applyFill="1"/>
    <xf numFmtId="0" fontId="0" fillId="9" borderId="0" xfId="0" applyFill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0" fillId="12" borderId="0" xfId="0" applyFill="1" applyAlignment="1">
      <alignment horizontal="center"/>
    </xf>
    <xf numFmtId="165" fontId="9" fillId="0" borderId="0" xfId="0" applyNumberFormat="1" applyFont="1" applyAlignment="1">
      <alignment horizontal="center" vertical="center"/>
    </xf>
    <xf numFmtId="166" fontId="2" fillId="0" borderId="2" xfId="1" applyNumberFormat="1" applyFont="1" applyFill="1" applyBorder="1" applyAlignment="1">
      <alignment horizontal="center" vertical="center"/>
    </xf>
    <xf numFmtId="0" fontId="13" fillId="4" borderId="9" xfId="0" applyFont="1" applyFill="1" applyBorder="1" applyAlignment="1">
      <alignment horizontal="left"/>
    </xf>
    <xf numFmtId="0" fontId="13" fillId="4" borderId="10" xfId="0" applyFont="1" applyFill="1" applyBorder="1" applyAlignment="1">
      <alignment horizontal="left"/>
    </xf>
    <xf numFmtId="0" fontId="14" fillId="3" borderId="15" xfId="0" applyFont="1" applyFill="1" applyBorder="1" applyAlignment="1">
      <alignment horizontal="center" vertical="center"/>
    </xf>
    <xf numFmtId="0" fontId="14" fillId="3" borderId="16" xfId="0" applyFont="1" applyFill="1" applyBorder="1" applyAlignment="1">
      <alignment horizontal="center" vertical="center"/>
    </xf>
    <xf numFmtId="0" fontId="14" fillId="3" borderId="17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0" fillId="0" borderId="0" xfId="0" applyAlignment="1">
      <alignment horizontal="center"/>
    </xf>
    <xf numFmtId="0" fontId="14" fillId="0" borderId="0" xfId="0" applyFont="1" applyAlignment="1">
      <alignment horizontal="center"/>
    </xf>
    <xf numFmtId="0" fontId="11" fillId="0" borderId="0" xfId="0" applyFont="1" applyAlignment="1">
      <alignment horizontal="center"/>
    </xf>
    <xf numFmtId="0" fontId="11" fillId="3" borderId="20" xfId="0" applyFont="1" applyFill="1" applyBorder="1" applyAlignment="1">
      <alignment horizontal="left" vertical="top" indent="28"/>
    </xf>
    <xf numFmtId="0" fontId="11" fillId="3" borderId="21" xfId="0" applyFont="1" applyFill="1" applyBorder="1" applyAlignment="1">
      <alignment horizontal="left" vertical="top" indent="28"/>
    </xf>
    <xf numFmtId="0" fontId="11" fillId="3" borderId="25" xfId="0" applyFont="1" applyFill="1" applyBorder="1" applyAlignment="1">
      <alignment horizontal="left" vertical="top" indent="28"/>
    </xf>
    <xf numFmtId="0" fontId="11" fillId="3" borderId="19" xfId="0" applyFont="1" applyFill="1" applyBorder="1" applyAlignment="1">
      <alignment horizontal="left" vertical="top" indent="28"/>
    </xf>
  </cellXfs>
  <cellStyles count="5">
    <cellStyle name="Hipervínculo" xfId="2" builtinId="8"/>
    <cellStyle name="Millares" xfId="1" builtinId="3"/>
    <cellStyle name="Millares [0]" xfId="4" builtinId="6"/>
    <cellStyle name="Moneda [0]" xfId="3" builtinId="7"/>
    <cellStyle name="Normal" xfId="0" builtinId="0"/>
  </cellStyles>
  <dxfs count="2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</dxfs>
  <tableStyles count="0" defaultTableStyle="TableStyleMedium9" defaultPivotStyle="PivotStyleLight16"/>
  <colors>
    <mruColors>
      <color rgb="FFADDB7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190654</xdr:colOff>
      <xdr:row>27</xdr:row>
      <xdr:rowOff>23327</xdr:rowOff>
    </xdr:from>
    <xdr:to>
      <xdr:col>5</xdr:col>
      <xdr:colOff>1539552</xdr:colOff>
      <xdr:row>30</xdr:row>
      <xdr:rowOff>139961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190654" y="6375919"/>
          <a:ext cx="6270796" cy="863083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 i="0"/>
            <a:t>OBSERVACIONES :ABONO</a:t>
          </a:r>
          <a:r>
            <a:rPr lang="es-CL" sz="1200" b="1" i="0" baseline="0"/>
            <a:t>   $ 114.020.-</a:t>
          </a:r>
          <a:endParaRPr lang="es-CL" sz="900" b="1" i="0" baseline="0"/>
        </a:p>
      </xdr:txBody>
    </xdr:sp>
    <xdr:clientData/>
  </xdr:twoCellAnchor>
  <xdr:twoCellAnchor editAs="oneCell">
    <xdr:from>
      <xdr:col>1</xdr:col>
      <xdr:colOff>327660</xdr:colOff>
      <xdr:row>0</xdr:row>
      <xdr:rowOff>38100</xdr:rowOff>
    </xdr:from>
    <xdr:to>
      <xdr:col>2</xdr:col>
      <xdr:colOff>1108468</xdr:colOff>
      <xdr:row>5</xdr:row>
      <xdr:rowOff>36390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5780" y="38100"/>
          <a:ext cx="1586623" cy="1148715"/>
        </a:xfrm>
        <a:prstGeom prst="rect">
          <a:avLst/>
        </a:prstGeom>
      </xdr:spPr>
    </xdr:pic>
    <xdr:clientData/>
  </xdr:twoCellAnchor>
  <xdr:twoCellAnchor>
    <xdr:from>
      <xdr:col>2</xdr:col>
      <xdr:colOff>690076</xdr:colOff>
      <xdr:row>47</xdr:row>
      <xdr:rowOff>0</xdr:rowOff>
    </xdr:from>
    <xdr:to>
      <xdr:col>4</xdr:col>
      <xdr:colOff>369336</xdr:colOff>
      <xdr:row>47</xdr:row>
      <xdr:rowOff>9719</xdr:rowOff>
    </xdr:to>
    <xdr:cxnSp macro="">
      <xdr:nvCxnSpPr>
        <xdr:cNvPr id="4" name="Conector recto 3">
          <a:extLst>
            <a:ext uri="{FF2B5EF4-FFF2-40B4-BE49-F238E27FC236}">
              <a16:creationId xmlns:a16="http://schemas.microsoft.com/office/drawing/2014/main" id="{77D990E8-1892-AE67-ABC8-CD86F9FAE551}"/>
            </a:ext>
          </a:extLst>
        </xdr:cNvPr>
        <xdr:cNvCxnSpPr/>
      </xdr:nvCxnSpPr>
      <xdr:spPr>
        <a:xfrm>
          <a:off x="1632857" y="11225893"/>
          <a:ext cx="3139362" cy="9719"/>
        </a:xfrm>
        <a:prstGeom prst="line">
          <a:avLst/>
        </a:prstGeom>
        <a:ln>
          <a:solidFill>
            <a:schemeClr val="tx2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670637</xdr:colOff>
      <xdr:row>49</xdr:row>
      <xdr:rowOff>1</xdr:rowOff>
    </xdr:from>
    <xdr:to>
      <xdr:col>4</xdr:col>
      <xdr:colOff>349897</xdr:colOff>
      <xdr:row>49</xdr:row>
      <xdr:rowOff>9720</xdr:rowOff>
    </xdr:to>
    <xdr:cxnSp macro="">
      <xdr:nvCxnSpPr>
        <xdr:cNvPr id="7" name="Conector recto 6">
          <a:extLst>
            <a:ext uri="{FF2B5EF4-FFF2-40B4-BE49-F238E27FC236}">
              <a16:creationId xmlns:a16="http://schemas.microsoft.com/office/drawing/2014/main" id="{15C0F3E4-8032-4291-A55D-857CC1B0D1DF}"/>
            </a:ext>
          </a:extLst>
        </xdr:cNvPr>
        <xdr:cNvCxnSpPr/>
      </xdr:nvCxnSpPr>
      <xdr:spPr>
        <a:xfrm>
          <a:off x="1613418" y="11634108"/>
          <a:ext cx="3139362" cy="9719"/>
        </a:xfrm>
        <a:prstGeom prst="line">
          <a:avLst/>
        </a:prstGeom>
        <a:ln>
          <a:solidFill>
            <a:schemeClr val="tx2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923925</xdr:colOff>
      <xdr:row>4</xdr:row>
      <xdr:rowOff>28575</xdr:rowOff>
    </xdr:from>
    <xdr:to>
      <xdr:col>7</xdr:col>
      <xdr:colOff>0</xdr:colOff>
      <xdr:row>5</xdr:row>
      <xdr:rowOff>9525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1819275" y="819150"/>
          <a:ext cx="5248275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2</xdr:col>
      <xdr:colOff>923925</xdr:colOff>
      <xdr:row>2</xdr:row>
      <xdr:rowOff>180975</xdr:rowOff>
    </xdr:from>
    <xdr:to>
      <xdr:col>7</xdr:col>
      <xdr:colOff>0</xdr:colOff>
      <xdr:row>3</xdr:row>
      <xdr:rowOff>190500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1819275" y="5810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2</xdr:col>
      <xdr:colOff>0</xdr:colOff>
      <xdr:row>19</xdr:row>
      <xdr:rowOff>66674</xdr:rowOff>
    </xdr:from>
    <xdr:to>
      <xdr:col>6</xdr:col>
      <xdr:colOff>2914649</xdr:colOff>
      <xdr:row>21</xdr:row>
      <xdr:rowOff>19049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1066800" y="2952749"/>
          <a:ext cx="9191624" cy="23812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LAMINADO</a:t>
          </a:r>
          <a:endParaRPr lang="es-CL" sz="1100" b="1" i="1">
            <a:solidFill>
              <a:sysClr val="windowText" lastClr="000000"/>
            </a:solidFill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2</xdr:col>
      <xdr:colOff>19050</xdr:colOff>
      <xdr:row>9</xdr:row>
      <xdr:rowOff>19050</xdr:rowOff>
    </xdr:from>
    <xdr:to>
      <xdr:col>7</xdr:col>
      <xdr:colOff>9525</xdr:colOff>
      <xdr:row>10</xdr:row>
      <xdr:rowOff>66675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1085850" y="1714500"/>
          <a:ext cx="9182100" cy="23812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SUSTRATO</a:t>
          </a:r>
        </a:p>
      </xdr:txBody>
    </xdr:sp>
    <xdr:clientData/>
  </xdr:twoCellAnchor>
  <xdr:twoCellAnchor>
    <xdr:from>
      <xdr:col>1</xdr:col>
      <xdr:colOff>1047750</xdr:colOff>
      <xdr:row>57</xdr:row>
      <xdr:rowOff>190500</xdr:rowOff>
    </xdr:from>
    <xdr:to>
      <xdr:col>7</xdr:col>
      <xdr:colOff>9524</xdr:colOff>
      <xdr:row>59</xdr:row>
      <xdr:rowOff>38100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1047750" y="8524875"/>
          <a:ext cx="9220199" cy="2476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2</xdr:col>
      <xdr:colOff>912495</xdr:colOff>
      <xdr:row>54</xdr:row>
      <xdr:rowOff>30479</xdr:rowOff>
    </xdr:from>
    <xdr:to>
      <xdr:col>6</xdr:col>
      <xdr:colOff>2912745</xdr:colOff>
      <xdr:row>55</xdr:row>
      <xdr:rowOff>238124</xdr:rowOff>
    </xdr:to>
    <xdr:sp macro="" textlink="">
      <xdr:nvSpPr>
        <xdr:cNvPr id="15" name="Rectángulo 14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/>
      </xdr:nvSpPr>
      <xdr:spPr>
        <a:xfrm>
          <a:off x="1979295" y="9260204"/>
          <a:ext cx="8229600" cy="26479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3</xdr:col>
      <xdr:colOff>0</xdr:colOff>
      <xdr:row>52</xdr:row>
      <xdr:rowOff>209549</xdr:rowOff>
    </xdr:from>
    <xdr:to>
      <xdr:col>7</xdr:col>
      <xdr:colOff>0</xdr:colOff>
      <xdr:row>54</xdr:row>
      <xdr:rowOff>38100</xdr:rowOff>
    </xdr:to>
    <xdr:sp macro="" textlink="">
      <xdr:nvSpPr>
        <xdr:cNvPr id="16" name="Rectángulo 15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/>
      </xdr:nvSpPr>
      <xdr:spPr>
        <a:xfrm>
          <a:off x="1981200" y="8982074"/>
          <a:ext cx="8229600" cy="285751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3</xdr:col>
      <xdr:colOff>0</xdr:colOff>
      <xdr:row>51</xdr:row>
      <xdr:rowOff>171450</xdr:rowOff>
    </xdr:from>
    <xdr:to>
      <xdr:col>7</xdr:col>
      <xdr:colOff>19050</xdr:colOff>
      <xdr:row>52</xdr:row>
      <xdr:rowOff>209550</xdr:rowOff>
    </xdr:to>
    <xdr:sp macro="" textlink="">
      <xdr:nvSpPr>
        <xdr:cNvPr id="17" name="Rectángulo 16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SpPr/>
      </xdr:nvSpPr>
      <xdr:spPr>
        <a:xfrm>
          <a:off x="1981200" y="8705850"/>
          <a:ext cx="8248650" cy="2762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2</xdr:col>
      <xdr:colOff>0</xdr:colOff>
      <xdr:row>69</xdr:row>
      <xdr:rowOff>0</xdr:rowOff>
    </xdr:from>
    <xdr:to>
      <xdr:col>3</xdr:col>
      <xdr:colOff>38100</xdr:colOff>
      <xdr:row>70</xdr:row>
      <xdr:rowOff>9525</xdr:rowOff>
    </xdr:to>
    <xdr:sp macro="" textlink="">
      <xdr:nvSpPr>
        <xdr:cNvPr id="18" name="Rectángulo 17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SpPr/>
      </xdr:nvSpPr>
      <xdr:spPr>
        <a:xfrm>
          <a:off x="723900" y="12900660"/>
          <a:ext cx="975360" cy="20764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lvl="0" algn="ctr"/>
          <a:r>
            <a:rPr lang="es-CL" sz="900" b="1" i="1"/>
            <a:t>CORTE</a:t>
          </a:r>
        </a:p>
      </xdr:txBody>
    </xdr:sp>
    <xdr:clientData/>
  </xdr:twoCellAnchor>
  <xdr:twoCellAnchor>
    <xdr:from>
      <xdr:col>3</xdr:col>
      <xdr:colOff>38100</xdr:colOff>
      <xdr:row>69</xdr:row>
      <xdr:rowOff>0</xdr:rowOff>
    </xdr:from>
    <xdr:to>
      <xdr:col>3</xdr:col>
      <xdr:colOff>1019175</xdr:colOff>
      <xdr:row>70</xdr:row>
      <xdr:rowOff>0</xdr:rowOff>
    </xdr:to>
    <xdr:sp macro="" textlink="">
      <xdr:nvSpPr>
        <xdr:cNvPr id="19" name="Rectángulo 18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SpPr/>
      </xdr:nvSpPr>
      <xdr:spPr>
        <a:xfrm>
          <a:off x="1699260" y="12900660"/>
          <a:ext cx="981075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LAMINADO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1009650</xdr:colOff>
      <xdr:row>69</xdr:row>
      <xdr:rowOff>0</xdr:rowOff>
    </xdr:from>
    <xdr:to>
      <xdr:col>4</xdr:col>
      <xdr:colOff>352425</xdr:colOff>
      <xdr:row>70</xdr:row>
      <xdr:rowOff>0</xdr:rowOff>
    </xdr:to>
    <xdr:sp macro="" textlink="">
      <xdr:nvSpPr>
        <xdr:cNvPr id="20" name="Rectángulo 19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SpPr/>
      </xdr:nvSpPr>
      <xdr:spPr>
        <a:xfrm>
          <a:off x="2670810" y="12900660"/>
          <a:ext cx="2886075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TUPIZADO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352425</xdr:colOff>
      <xdr:row>69</xdr:row>
      <xdr:rowOff>0</xdr:rowOff>
    </xdr:from>
    <xdr:to>
      <xdr:col>5</xdr:col>
      <xdr:colOff>257175</xdr:colOff>
      <xdr:row>70</xdr:row>
      <xdr:rowOff>0</xdr:rowOff>
    </xdr:to>
    <xdr:sp macro="" textlink="">
      <xdr:nvSpPr>
        <xdr:cNvPr id="21" name="Rectángulo 20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SpPr/>
      </xdr:nvSpPr>
      <xdr:spPr>
        <a:xfrm>
          <a:off x="5556885" y="12900660"/>
          <a:ext cx="1002030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ARMADO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247650</xdr:colOff>
      <xdr:row>69</xdr:row>
      <xdr:rowOff>0</xdr:rowOff>
    </xdr:from>
    <xdr:to>
      <xdr:col>6</xdr:col>
      <xdr:colOff>447675</xdr:colOff>
      <xdr:row>70</xdr:row>
      <xdr:rowOff>0</xdr:rowOff>
    </xdr:to>
    <xdr:sp macro="" textlink="">
      <xdr:nvSpPr>
        <xdr:cNvPr id="22" name="Rectángulo 21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SpPr/>
      </xdr:nvSpPr>
      <xdr:spPr>
        <a:xfrm>
          <a:off x="6549390" y="12900660"/>
          <a:ext cx="1068705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PEGADO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6</xdr:col>
      <xdr:colOff>457200</xdr:colOff>
      <xdr:row>69</xdr:row>
      <xdr:rowOff>0</xdr:rowOff>
    </xdr:from>
    <xdr:to>
      <xdr:col>7</xdr:col>
      <xdr:colOff>0</xdr:colOff>
      <xdr:row>70</xdr:row>
      <xdr:rowOff>0</xdr:rowOff>
    </xdr:to>
    <xdr:sp macro="" textlink="">
      <xdr:nvSpPr>
        <xdr:cNvPr id="23" name="Rectángulo 22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SpPr/>
      </xdr:nvSpPr>
      <xdr:spPr>
        <a:xfrm>
          <a:off x="7627620" y="12900660"/>
          <a:ext cx="2537460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POSTFORMADO</a:t>
          </a:r>
        </a:p>
      </xdr:txBody>
    </xdr:sp>
    <xdr:clientData/>
  </xdr:twoCellAnchor>
  <xdr:twoCellAnchor>
    <xdr:from>
      <xdr:col>2</xdr:col>
      <xdr:colOff>0</xdr:colOff>
      <xdr:row>70</xdr:row>
      <xdr:rowOff>0</xdr:rowOff>
    </xdr:from>
    <xdr:to>
      <xdr:col>3</xdr:col>
      <xdr:colOff>304800</xdr:colOff>
      <xdr:row>71</xdr:row>
      <xdr:rowOff>95250</xdr:rowOff>
    </xdr:to>
    <xdr:sp macro="" textlink="">
      <xdr:nvSpPr>
        <xdr:cNvPr id="24" name="Rectángulo 23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SpPr/>
      </xdr:nvSpPr>
      <xdr:spPr>
        <a:xfrm>
          <a:off x="723900" y="13098780"/>
          <a:ext cx="124206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38100</xdr:colOff>
      <xdr:row>70</xdr:row>
      <xdr:rowOff>0</xdr:rowOff>
    </xdr:from>
    <xdr:to>
      <xdr:col>3</xdr:col>
      <xdr:colOff>1276350</xdr:colOff>
      <xdr:row>71</xdr:row>
      <xdr:rowOff>95250</xdr:rowOff>
    </xdr:to>
    <xdr:sp macro="" textlink="">
      <xdr:nvSpPr>
        <xdr:cNvPr id="25" name="Rectángulo 24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SpPr/>
      </xdr:nvSpPr>
      <xdr:spPr>
        <a:xfrm>
          <a:off x="1699260" y="13098780"/>
          <a:ext cx="123825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1009650</xdr:colOff>
      <xdr:row>70</xdr:row>
      <xdr:rowOff>0</xdr:rowOff>
    </xdr:from>
    <xdr:to>
      <xdr:col>4</xdr:col>
      <xdr:colOff>619125</xdr:colOff>
      <xdr:row>71</xdr:row>
      <xdr:rowOff>95250</xdr:rowOff>
    </xdr:to>
    <xdr:sp macro="" textlink="">
      <xdr:nvSpPr>
        <xdr:cNvPr id="26" name="Rectángulo 25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SpPr/>
      </xdr:nvSpPr>
      <xdr:spPr>
        <a:xfrm>
          <a:off x="2670810" y="13098780"/>
          <a:ext cx="3152775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352425</xdr:colOff>
      <xdr:row>70</xdr:row>
      <xdr:rowOff>0</xdr:rowOff>
    </xdr:from>
    <xdr:to>
      <xdr:col>5</xdr:col>
      <xdr:colOff>523875</xdr:colOff>
      <xdr:row>71</xdr:row>
      <xdr:rowOff>95250</xdr:rowOff>
    </xdr:to>
    <xdr:sp macro="" textlink="">
      <xdr:nvSpPr>
        <xdr:cNvPr id="27" name="Rectángulo 26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SpPr/>
      </xdr:nvSpPr>
      <xdr:spPr>
        <a:xfrm>
          <a:off x="5556885" y="13098780"/>
          <a:ext cx="126873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247650</xdr:colOff>
      <xdr:row>70</xdr:row>
      <xdr:rowOff>0</xdr:rowOff>
    </xdr:from>
    <xdr:to>
      <xdr:col>6</xdr:col>
      <xdr:colOff>723900</xdr:colOff>
      <xdr:row>71</xdr:row>
      <xdr:rowOff>95250</xdr:rowOff>
    </xdr:to>
    <xdr:sp macro="" textlink="">
      <xdr:nvSpPr>
        <xdr:cNvPr id="28" name="Rectángulo 27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SpPr/>
      </xdr:nvSpPr>
      <xdr:spPr>
        <a:xfrm>
          <a:off x="6549390" y="13098780"/>
          <a:ext cx="134493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6</xdr:col>
      <xdr:colOff>457200</xdr:colOff>
      <xdr:row>70</xdr:row>
      <xdr:rowOff>0</xdr:rowOff>
    </xdr:from>
    <xdr:to>
      <xdr:col>7</xdr:col>
      <xdr:colOff>0</xdr:colOff>
      <xdr:row>71</xdr:row>
      <xdr:rowOff>95250</xdr:rowOff>
    </xdr:to>
    <xdr:sp macro="" textlink="">
      <xdr:nvSpPr>
        <xdr:cNvPr id="29" name="Rectángulo 28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SpPr/>
      </xdr:nvSpPr>
      <xdr:spPr>
        <a:xfrm>
          <a:off x="7627620" y="13098780"/>
          <a:ext cx="253746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7620</xdr:colOff>
      <xdr:row>43</xdr:row>
      <xdr:rowOff>15239</xdr:rowOff>
    </xdr:from>
    <xdr:to>
      <xdr:col>7</xdr:col>
      <xdr:colOff>0</xdr:colOff>
      <xdr:row>47</xdr:row>
      <xdr:rowOff>190500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1074420" y="8178164"/>
          <a:ext cx="9136380" cy="112776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L" sz="1100" b="1" i="1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r>
            <a:rPr lang="es-CL" sz="1400" b="1" i="0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</a:t>
          </a:r>
          <a:r>
            <a:rPr lang="es-CL" sz="1400" b="1" i="0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s-CL" sz="1400" b="1" i="0" u="non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PUERTAS ENCHAPADAS CON TAPACANTO PVC 0,4MM, BLANCO BRILLO</a:t>
          </a:r>
          <a:endParaRPr lang="es-ES" sz="1400">
            <a:effectLst/>
          </a:endParaRPr>
        </a:p>
      </xdr:txBody>
    </xdr:sp>
    <xdr:clientData/>
  </xdr:twoCellAnchor>
  <xdr:twoCellAnchor>
    <xdr:from>
      <xdr:col>1</xdr:col>
      <xdr:colOff>1057274</xdr:colOff>
      <xdr:row>32</xdr:row>
      <xdr:rowOff>1</xdr:rowOff>
    </xdr:from>
    <xdr:to>
      <xdr:col>7</xdr:col>
      <xdr:colOff>19048</xdr:colOff>
      <xdr:row>33</xdr:row>
      <xdr:rowOff>1</xdr:rowOff>
    </xdr:to>
    <xdr:sp macro="" textlink="">
      <xdr:nvSpPr>
        <xdr:cNvPr id="30" name="Rectángulo 29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SpPr/>
      </xdr:nvSpPr>
      <xdr:spPr>
        <a:xfrm>
          <a:off x="1057274" y="4314826"/>
          <a:ext cx="9220199" cy="20955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MEDIDAS</a:t>
          </a:r>
          <a:r>
            <a:rPr lang="es-CL" sz="1200" b="1" i="1" baseline="0">
              <a:solidFill>
                <a:sysClr val="windowText" lastClr="000000"/>
              </a:solidFill>
            </a:rPr>
            <a:t> ORIGINALES</a:t>
          </a:r>
          <a:endParaRPr lang="es-CL" sz="1200" b="1" i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</xdr:col>
      <xdr:colOff>20955</xdr:colOff>
      <xdr:row>72</xdr:row>
      <xdr:rowOff>32385</xdr:rowOff>
    </xdr:from>
    <xdr:to>
      <xdr:col>7</xdr:col>
      <xdr:colOff>0</xdr:colOff>
      <xdr:row>76</xdr:row>
      <xdr:rowOff>161925</xdr:rowOff>
    </xdr:to>
    <xdr:sp macro="" textlink="">
      <xdr:nvSpPr>
        <xdr:cNvPr id="32" name="Rectángulo 31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SpPr/>
      </xdr:nvSpPr>
      <xdr:spPr>
        <a:xfrm>
          <a:off x="725805" y="10500360"/>
          <a:ext cx="9170670" cy="92011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CL" sz="1400" b="1" i="0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 </a:t>
          </a:r>
          <a:r>
            <a:rPr lang="es-CL" sz="1400" b="1" i="0" u="non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PUERTAS </a:t>
          </a:r>
          <a:r>
            <a:rPr lang="es-CL" sz="1400" b="1" i="0" u="non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ENCHAPADAS CON TAPACANTO PVC 0,4MM BLANCO BRILLO</a:t>
          </a:r>
          <a:endParaRPr lang="es-CL" sz="1400" i="0" u="none">
            <a:effectLst/>
          </a:endParaRPr>
        </a:p>
      </xdr:txBody>
    </xdr:sp>
    <xdr:clientData/>
  </xdr:twoCellAnchor>
  <xdr:twoCellAnchor editAs="oneCell">
    <xdr:from>
      <xdr:col>1</xdr:col>
      <xdr:colOff>379095</xdr:colOff>
      <xdr:row>51</xdr:row>
      <xdr:rowOff>146685</xdr:rowOff>
    </xdr:from>
    <xdr:to>
      <xdr:col>2</xdr:col>
      <xdr:colOff>786523</xdr:colOff>
      <xdr:row>57</xdr:row>
      <xdr:rowOff>91440</xdr:rowOff>
    </xdr:to>
    <xdr:pic>
      <xdr:nvPicPr>
        <xdr:cNvPr id="33" name="Imagen 32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9095" y="8681085"/>
          <a:ext cx="1550428" cy="117348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</xdr:row>
      <xdr:rowOff>174138</xdr:rowOff>
    </xdr:from>
    <xdr:to>
      <xdr:col>2</xdr:col>
      <xdr:colOff>413385</xdr:colOff>
      <xdr:row>7</xdr:row>
      <xdr:rowOff>175260</xdr:rowOff>
    </xdr:to>
    <xdr:pic>
      <xdr:nvPicPr>
        <xdr:cNvPr id="34" name="Imagen 33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374163"/>
          <a:ext cx="1556385" cy="1172697"/>
        </a:xfrm>
        <a:prstGeom prst="rect">
          <a:avLst/>
        </a:prstGeom>
      </xdr:spPr>
    </xdr:pic>
    <xdr:clientData/>
  </xdr:twoCellAnchor>
  <xdr:twoCellAnchor>
    <xdr:from>
      <xdr:col>2</xdr:col>
      <xdr:colOff>923925</xdr:colOff>
      <xdr:row>7</xdr:row>
      <xdr:rowOff>28575</xdr:rowOff>
    </xdr:from>
    <xdr:to>
      <xdr:col>7</xdr:col>
      <xdr:colOff>0</xdr:colOff>
      <xdr:row>8</xdr:row>
      <xdr:rowOff>38100</xdr:rowOff>
    </xdr:to>
    <xdr:sp macro="" textlink="">
      <xdr:nvSpPr>
        <xdr:cNvPr id="31" name="Rectángulo 30">
          <a:extLst>
            <a:ext uri="{FF2B5EF4-FFF2-40B4-BE49-F238E27FC236}">
              <a16:creationId xmlns:a16="http://schemas.microsoft.com/office/drawing/2014/main" id="{00000000-0008-0000-0200-00001F000000}"/>
            </a:ext>
          </a:extLst>
        </xdr:cNvPr>
        <xdr:cNvSpPr/>
      </xdr:nvSpPr>
      <xdr:spPr>
        <a:xfrm>
          <a:off x="1819275" y="13049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 editAs="oneCell">
    <xdr:from>
      <xdr:col>4</xdr:col>
      <xdr:colOff>0</xdr:colOff>
      <xdr:row>78</xdr:row>
      <xdr:rowOff>0</xdr:rowOff>
    </xdr:from>
    <xdr:to>
      <xdr:col>4</xdr:col>
      <xdr:colOff>304800</xdr:colOff>
      <xdr:row>79</xdr:row>
      <xdr:rowOff>114300</xdr:rowOff>
    </xdr:to>
    <xdr:sp macro="" textlink="">
      <xdr:nvSpPr>
        <xdr:cNvPr id="2050" name="AutoShape 2">
          <a:extLst>
            <a:ext uri="{FF2B5EF4-FFF2-40B4-BE49-F238E27FC236}">
              <a16:creationId xmlns:a16="http://schemas.microsoft.com/office/drawing/2014/main" id="{1044E8E0-C541-5C81-19ED-23F766B3641B}"/>
            </a:ext>
          </a:extLst>
        </xdr:cNvPr>
        <xdr:cNvSpPr>
          <a:spLocks noChangeAspect="1" noChangeArrowheads="1"/>
        </xdr:cNvSpPr>
      </xdr:nvSpPr>
      <xdr:spPr bwMode="auto">
        <a:xfrm>
          <a:off x="5204460" y="14676120"/>
          <a:ext cx="304800" cy="2971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53"/>
  <sheetViews>
    <sheetView topLeftCell="A15" zoomScale="98" zoomScaleNormal="98" workbookViewId="0">
      <selection activeCell="G27" sqref="G27"/>
    </sheetView>
  </sheetViews>
  <sheetFormatPr baseColWidth="10" defaultRowHeight="14.4" x14ac:dyDescent="0.3"/>
  <cols>
    <col min="1" max="1" width="2.88671875" customWidth="1"/>
    <col min="2" max="2" width="11.33203125" customWidth="1"/>
    <col min="3" max="3" width="35.33203125" customWidth="1"/>
    <col min="4" max="5" width="11.109375" customWidth="1"/>
    <col min="6" max="6" width="34.88671875" customWidth="1"/>
    <col min="7" max="7" width="14.6640625" customWidth="1"/>
    <col min="8" max="8" width="14.88671875" customWidth="1"/>
  </cols>
  <sheetData>
    <row r="1" spans="1:17" ht="18" x14ac:dyDescent="0.35">
      <c r="A1" s="30"/>
      <c r="B1" s="30"/>
      <c r="C1" s="30"/>
      <c r="D1" s="30"/>
      <c r="E1" s="30"/>
      <c r="F1" s="30"/>
      <c r="G1" s="30"/>
      <c r="H1" s="30"/>
      <c r="I1" s="30"/>
    </row>
    <row r="2" spans="1:17" ht="18" x14ac:dyDescent="0.35">
      <c r="A2" s="30"/>
      <c r="B2" s="30"/>
      <c r="C2" s="30"/>
      <c r="D2" s="30"/>
      <c r="E2" s="30"/>
      <c r="F2" s="31" t="s">
        <v>116</v>
      </c>
      <c r="G2" s="30"/>
      <c r="H2" s="30"/>
      <c r="I2" s="30"/>
    </row>
    <row r="3" spans="1:17" ht="18" x14ac:dyDescent="0.35">
      <c r="A3" s="30"/>
      <c r="B3" s="30"/>
      <c r="C3" s="30"/>
      <c r="D3" s="30"/>
      <c r="E3" s="30"/>
      <c r="F3" s="30" t="s">
        <v>117</v>
      </c>
      <c r="G3" s="30"/>
      <c r="H3" s="30"/>
      <c r="I3" s="30"/>
    </row>
    <row r="4" spans="1:17" ht="18" x14ac:dyDescent="0.35">
      <c r="A4" s="30"/>
      <c r="B4" s="30"/>
      <c r="C4" s="30"/>
      <c r="D4" s="30"/>
      <c r="E4" s="30"/>
      <c r="F4" s="30" t="s">
        <v>118</v>
      </c>
      <c r="G4" s="30"/>
      <c r="H4" s="30"/>
      <c r="I4" s="30"/>
    </row>
    <row r="5" spans="1:17" ht="18" x14ac:dyDescent="0.35">
      <c r="A5" s="30"/>
      <c r="B5" s="30"/>
      <c r="C5" s="30"/>
      <c r="D5" s="30"/>
      <c r="E5" s="30"/>
      <c r="F5" s="30" t="s">
        <v>0</v>
      </c>
      <c r="G5" s="30"/>
      <c r="H5" s="30"/>
      <c r="I5" s="30"/>
    </row>
    <row r="6" spans="1:17" ht="18" x14ac:dyDescent="0.35">
      <c r="A6" s="30"/>
      <c r="B6" s="30"/>
      <c r="C6" s="30"/>
      <c r="D6" s="30"/>
      <c r="E6" s="30"/>
      <c r="F6" s="30" t="s">
        <v>14</v>
      </c>
      <c r="G6" s="30"/>
      <c r="H6" s="30"/>
      <c r="I6" s="30"/>
    </row>
    <row r="7" spans="1:17" ht="18.600000000000001" thickBot="1" x14ac:dyDescent="0.4">
      <c r="A7" s="30"/>
      <c r="B7" s="30"/>
      <c r="C7" s="30"/>
      <c r="D7" s="30"/>
      <c r="E7" s="30"/>
      <c r="F7" s="30" t="s">
        <v>12</v>
      </c>
      <c r="G7" s="30"/>
      <c r="H7" s="30"/>
      <c r="I7" s="30"/>
    </row>
    <row r="8" spans="1:17" ht="18.600000000000001" thickBot="1" x14ac:dyDescent="0.4">
      <c r="A8" s="30"/>
      <c r="B8" s="32" t="s">
        <v>15</v>
      </c>
      <c r="C8" s="33"/>
      <c r="D8" s="34">
        <v>11244</v>
      </c>
      <c r="E8" s="30">
        <v>0</v>
      </c>
      <c r="F8" s="35" t="s">
        <v>25</v>
      </c>
      <c r="G8" s="36">
        <v>4144</v>
      </c>
      <c r="H8" s="30"/>
      <c r="I8" s="30"/>
    </row>
    <row r="9" spans="1:17" ht="18.600000000000001" thickBot="1" x14ac:dyDescent="0.4">
      <c r="A9" s="30"/>
      <c r="B9" s="30"/>
      <c r="C9" s="30"/>
      <c r="D9" s="30"/>
      <c r="E9" s="30"/>
      <c r="F9" s="30"/>
      <c r="G9" s="30"/>
      <c r="H9" s="30"/>
      <c r="I9" s="30"/>
    </row>
    <row r="10" spans="1:17" ht="18.600000000000001" thickBot="1" x14ac:dyDescent="0.4">
      <c r="A10" s="30"/>
      <c r="B10" s="37" t="s">
        <v>125</v>
      </c>
      <c r="C10" s="38" t="s">
        <v>141</v>
      </c>
      <c r="D10" s="39"/>
      <c r="E10" s="39"/>
      <c r="F10" s="40" t="s">
        <v>26</v>
      </c>
      <c r="G10" s="41">
        <v>45666</v>
      </c>
      <c r="H10" s="42"/>
      <c r="I10" s="30"/>
      <c r="J10" s="1"/>
      <c r="K10" s="1"/>
      <c r="L10" s="1"/>
      <c r="M10" s="1"/>
      <c r="N10" s="1"/>
      <c r="O10" s="1"/>
      <c r="P10" s="1"/>
      <c r="Q10" s="1"/>
    </row>
    <row r="11" spans="1:17" ht="18.600000000000001" thickBot="1" x14ac:dyDescent="0.4">
      <c r="A11" s="30"/>
      <c r="B11" s="43" t="s">
        <v>2</v>
      </c>
      <c r="C11" s="30"/>
      <c r="D11" s="44"/>
      <c r="E11" s="44"/>
      <c r="F11" s="44" t="s">
        <v>120</v>
      </c>
      <c r="G11" s="45">
        <v>45677</v>
      </c>
      <c r="H11" s="46"/>
      <c r="I11" s="30"/>
    </row>
    <row r="12" spans="1:17" ht="18" x14ac:dyDescent="0.35">
      <c r="A12" s="30"/>
      <c r="B12" s="47" t="s">
        <v>126</v>
      </c>
      <c r="C12" s="30"/>
      <c r="D12" s="48"/>
      <c r="E12" s="48"/>
      <c r="F12" s="48" t="s">
        <v>27</v>
      </c>
      <c r="G12" s="49"/>
      <c r="H12" s="50"/>
      <c r="I12" s="30"/>
    </row>
    <row r="13" spans="1:17" ht="18" x14ac:dyDescent="0.35">
      <c r="A13" s="30"/>
      <c r="B13" s="47" t="s">
        <v>127</v>
      </c>
      <c r="C13" s="51"/>
      <c r="D13" s="48"/>
      <c r="E13" s="48"/>
      <c r="F13" s="48" t="s">
        <v>124</v>
      </c>
      <c r="G13" s="49" t="s">
        <v>136</v>
      </c>
      <c r="H13" s="50"/>
      <c r="I13" s="30"/>
    </row>
    <row r="14" spans="1:17" ht="18" x14ac:dyDescent="0.35">
      <c r="A14" s="30"/>
      <c r="B14" s="43" t="s">
        <v>16</v>
      </c>
      <c r="C14" s="113" t="s">
        <v>142</v>
      </c>
      <c r="D14" s="52"/>
      <c r="E14" s="44"/>
      <c r="F14" s="44"/>
      <c r="G14" s="44"/>
      <c r="H14" s="46"/>
      <c r="I14" s="30"/>
    </row>
    <row r="15" spans="1:17" ht="18" x14ac:dyDescent="0.35">
      <c r="A15" s="30"/>
      <c r="B15" s="47" t="s">
        <v>1</v>
      </c>
      <c r="C15" s="30"/>
      <c r="D15" s="48"/>
      <c r="E15" s="48"/>
      <c r="F15" s="53" t="s">
        <v>72</v>
      </c>
      <c r="G15" s="53" t="s">
        <v>129</v>
      </c>
      <c r="H15" s="50"/>
      <c r="I15" s="30"/>
    </row>
    <row r="16" spans="1:17" ht="18.600000000000001" thickBot="1" x14ac:dyDescent="0.4">
      <c r="A16" s="30"/>
      <c r="B16" s="54" t="s">
        <v>3</v>
      </c>
      <c r="C16" s="55" t="s">
        <v>140</v>
      </c>
      <c r="D16" s="56"/>
      <c r="E16" s="57"/>
      <c r="F16" s="125" t="s">
        <v>17</v>
      </c>
      <c r="G16" s="125"/>
      <c r="H16" s="126"/>
      <c r="I16" s="30"/>
    </row>
    <row r="17" spans="1:16" ht="18" x14ac:dyDescent="0.35">
      <c r="A17" s="30"/>
      <c r="B17" s="30"/>
      <c r="C17" s="30"/>
      <c r="D17" s="30"/>
      <c r="E17" s="30"/>
      <c r="F17" s="30"/>
      <c r="G17" s="30"/>
      <c r="H17" s="30"/>
      <c r="I17" s="30"/>
    </row>
    <row r="18" spans="1:16" ht="18.600000000000001" thickBot="1" x14ac:dyDescent="0.4">
      <c r="A18" s="30"/>
      <c r="B18" s="30"/>
      <c r="C18" s="30"/>
      <c r="D18" s="30"/>
      <c r="E18" s="30"/>
      <c r="F18" s="30"/>
      <c r="G18" s="30"/>
      <c r="H18" s="30"/>
      <c r="I18" s="30"/>
    </row>
    <row r="19" spans="1:16" ht="20.100000000000001" customHeight="1" thickBot="1" x14ac:dyDescent="0.4">
      <c r="A19" s="30"/>
      <c r="B19" s="127" t="s">
        <v>18</v>
      </c>
      <c r="C19" s="128"/>
      <c r="D19" s="128"/>
      <c r="E19" s="128"/>
      <c r="F19" s="128"/>
      <c r="G19" s="128"/>
      <c r="H19" s="129"/>
      <c r="I19" s="30"/>
    </row>
    <row r="20" spans="1:16" ht="20.100000000000001" customHeight="1" x14ac:dyDescent="0.35">
      <c r="A20" s="30"/>
      <c r="B20" s="58" t="s">
        <v>128</v>
      </c>
      <c r="C20" s="115" t="s">
        <v>19</v>
      </c>
      <c r="D20" s="115" t="s">
        <v>20</v>
      </c>
      <c r="E20" s="115" t="s">
        <v>7</v>
      </c>
      <c r="F20" s="116" t="s">
        <v>21</v>
      </c>
      <c r="G20" s="117" t="s">
        <v>22</v>
      </c>
      <c r="H20" s="116" t="s">
        <v>4</v>
      </c>
      <c r="I20" s="30"/>
      <c r="N20">
        <v>65000</v>
      </c>
    </row>
    <row r="21" spans="1:16" ht="20.100000000000001" customHeight="1" x14ac:dyDescent="0.35">
      <c r="A21" s="30"/>
      <c r="B21" s="104">
        <v>2</v>
      </c>
      <c r="C21" s="104" t="s">
        <v>60</v>
      </c>
      <c r="D21" s="105">
        <v>693</v>
      </c>
      <c r="E21" s="105">
        <v>361</v>
      </c>
      <c r="F21" s="104" t="s">
        <v>143</v>
      </c>
      <c r="G21" s="124">
        <v>20723</v>
      </c>
      <c r="H21" s="114">
        <f t="shared" ref="H21:H26" si="0">G21*B21</f>
        <v>41446</v>
      </c>
      <c r="I21" s="30"/>
      <c r="K21" s="11">
        <f>D21/1000</f>
        <v>0.69299999999999995</v>
      </c>
      <c r="L21" s="15">
        <f>E21/1000</f>
        <v>0.36099999999999999</v>
      </c>
      <c r="M21" s="11">
        <f>K21*L21</f>
        <v>0.25017299999999998</v>
      </c>
      <c r="N21" s="11">
        <f>M21*N$20</f>
        <v>16261.244999999999</v>
      </c>
      <c r="O21" s="15"/>
      <c r="P21" s="21"/>
    </row>
    <row r="22" spans="1:16" ht="20.100000000000001" customHeight="1" x14ac:dyDescent="0.35">
      <c r="A22" s="30"/>
      <c r="B22" s="104">
        <v>2</v>
      </c>
      <c r="C22" s="104" t="s">
        <v>144</v>
      </c>
      <c r="D22" s="105">
        <v>693</v>
      </c>
      <c r="E22" s="105">
        <v>361</v>
      </c>
      <c r="F22" s="104" t="s">
        <v>143</v>
      </c>
      <c r="G22" s="124">
        <v>22723</v>
      </c>
      <c r="H22" s="114">
        <f t="shared" si="0"/>
        <v>45446</v>
      </c>
      <c r="I22" s="30"/>
      <c r="K22" s="11"/>
      <c r="L22" s="15"/>
      <c r="M22" s="11"/>
      <c r="N22" s="11"/>
      <c r="O22" s="15"/>
      <c r="P22" s="21"/>
    </row>
    <row r="23" spans="1:16" ht="20.100000000000001" customHeight="1" x14ac:dyDescent="0.35">
      <c r="A23" s="30"/>
      <c r="B23" s="104">
        <v>2</v>
      </c>
      <c r="C23" s="104" t="s">
        <v>60</v>
      </c>
      <c r="D23" s="105">
        <v>693</v>
      </c>
      <c r="E23" s="105">
        <v>271</v>
      </c>
      <c r="F23" s="104" t="s">
        <v>143</v>
      </c>
      <c r="G23" s="124">
        <v>16304</v>
      </c>
      <c r="H23" s="114">
        <f t="shared" si="0"/>
        <v>32608</v>
      </c>
      <c r="I23" s="30"/>
      <c r="K23" s="11"/>
      <c r="L23" s="15"/>
      <c r="M23" s="11"/>
      <c r="N23" s="11"/>
      <c r="O23" s="15"/>
      <c r="P23" s="21"/>
    </row>
    <row r="24" spans="1:16" ht="20.100000000000001" customHeight="1" x14ac:dyDescent="0.35">
      <c r="A24" s="30"/>
      <c r="B24" s="104">
        <v>2</v>
      </c>
      <c r="C24" s="104" t="s">
        <v>60</v>
      </c>
      <c r="D24" s="105">
        <v>693</v>
      </c>
      <c r="E24" s="105">
        <v>298</v>
      </c>
      <c r="F24" s="104" t="s">
        <v>143</v>
      </c>
      <c r="G24" s="124">
        <v>17630</v>
      </c>
      <c r="H24" s="114">
        <f t="shared" si="0"/>
        <v>35260</v>
      </c>
      <c r="I24" s="30"/>
      <c r="K24" s="11"/>
      <c r="L24" s="15"/>
      <c r="M24" s="11"/>
      <c r="N24" s="11"/>
      <c r="O24" s="15"/>
      <c r="P24" s="21"/>
    </row>
    <row r="25" spans="1:16" ht="20.100000000000001" customHeight="1" x14ac:dyDescent="0.35">
      <c r="A25" s="30"/>
      <c r="B25" s="104">
        <v>2</v>
      </c>
      <c r="C25" s="104" t="s">
        <v>144</v>
      </c>
      <c r="D25" s="105">
        <v>693</v>
      </c>
      <c r="E25" s="105">
        <v>298</v>
      </c>
      <c r="F25" s="104" t="s">
        <v>143</v>
      </c>
      <c r="G25" s="124">
        <v>19630</v>
      </c>
      <c r="H25" s="114">
        <f t="shared" si="0"/>
        <v>39260</v>
      </c>
      <c r="I25" s="30"/>
      <c r="K25" s="11"/>
      <c r="L25" s="15"/>
      <c r="M25" s="11"/>
      <c r="N25" s="11"/>
      <c r="O25" s="15"/>
      <c r="P25" s="21"/>
    </row>
    <row r="26" spans="1:16" ht="20.100000000000001" customHeight="1" x14ac:dyDescent="0.35">
      <c r="A26" s="30"/>
      <c r="B26" s="104">
        <v>2</v>
      </c>
      <c r="C26" s="104" t="s">
        <v>145</v>
      </c>
      <c r="D26" s="105">
        <v>3000</v>
      </c>
      <c r="E26" s="105">
        <v>120</v>
      </c>
      <c r="F26" s="104" t="s">
        <v>146</v>
      </c>
      <c r="G26" s="124">
        <v>14500</v>
      </c>
      <c r="H26" s="114">
        <f t="shared" si="0"/>
        <v>29000</v>
      </c>
      <c r="I26" s="30"/>
      <c r="K26" s="11"/>
      <c r="L26" s="15"/>
      <c r="M26" s="11"/>
      <c r="N26" s="11"/>
      <c r="O26" s="15"/>
      <c r="P26" s="21"/>
    </row>
    <row r="27" spans="1:16" ht="20.100000000000001" customHeight="1" thickBot="1" x14ac:dyDescent="0.4">
      <c r="A27" s="30"/>
      <c r="B27" s="106">
        <f>SUM(B21:B26)</f>
        <v>12</v>
      </c>
      <c r="C27" s="106"/>
      <c r="D27" s="123"/>
      <c r="E27" s="123"/>
      <c r="F27" s="106"/>
      <c r="G27" s="108"/>
      <c r="H27" s="108"/>
      <c r="I27" s="30"/>
      <c r="K27" s="11"/>
      <c r="L27" s="15"/>
      <c r="M27" s="11"/>
      <c r="N27" s="11"/>
      <c r="O27" s="15"/>
      <c r="P27" s="21"/>
    </row>
    <row r="28" spans="1:16" ht="20.100000000000001" customHeight="1" x14ac:dyDescent="0.35">
      <c r="A28" s="30"/>
      <c r="B28" s="106"/>
      <c r="C28" s="106"/>
      <c r="D28" s="123"/>
      <c r="E28" s="123"/>
      <c r="F28" s="106"/>
      <c r="G28" s="61" t="s">
        <v>5</v>
      </c>
      <c r="H28" s="62">
        <f>SUM(H21:H27)</f>
        <v>223020</v>
      </c>
      <c r="I28" s="30"/>
      <c r="K28" s="11"/>
      <c r="L28" s="15"/>
      <c r="M28" s="11"/>
      <c r="N28" s="11"/>
      <c r="O28" s="15"/>
      <c r="P28" s="21"/>
    </row>
    <row r="29" spans="1:16" ht="20.100000000000001" customHeight="1" x14ac:dyDescent="0.35">
      <c r="A29" s="30"/>
      <c r="B29" s="106"/>
      <c r="C29" s="106"/>
      <c r="D29" s="123"/>
      <c r="E29" s="123"/>
      <c r="F29" s="106"/>
      <c r="G29" s="63" t="s">
        <v>139</v>
      </c>
      <c r="H29" s="64"/>
      <c r="I29" s="30"/>
      <c r="K29" s="11"/>
      <c r="L29" s="15"/>
      <c r="M29" s="11"/>
      <c r="N29" s="11"/>
      <c r="O29" s="15"/>
      <c r="P29" s="21"/>
    </row>
    <row r="30" spans="1:16" ht="20.100000000000001" customHeight="1" thickBot="1" x14ac:dyDescent="0.4">
      <c r="A30" s="30"/>
      <c r="B30" s="106"/>
      <c r="C30" s="106"/>
      <c r="D30" s="123"/>
      <c r="E30" s="123"/>
      <c r="F30" s="106"/>
      <c r="G30" s="65" t="s">
        <v>4</v>
      </c>
      <c r="H30" s="66">
        <f>H28+H29</f>
        <v>223020</v>
      </c>
      <c r="I30" s="30"/>
      <c r="K30" s="11"/>
      <c r="L30" s="15"/>
      <c r="M30" s="11"/>
      <c r="N30" s="11"/>
      <c r="O30" s="15"/>
      <c r="P30" s="21"/>
    </row>
    <row r="31" spans="1:16" ht="20.100000000000001" customHeight="1" x14ac:dyDescent="0.35">
      <c r="A31" s="30"/>
      <c r="B31" s="106"/>
      <c r="C31" s="106"/>
      <c r="D31" s="123"/>
      <c r="E31" s="123"/>
      <c r="F31" s="106"/>
      <c r="I31" s="30"/>
      <c r="K31" s="11"/>
      <c r="L31" s="15"/>
      <c r="M31" s="11"/>
      <c r="N31" s="11"/>
      <c r="O31" s="15"/>
      <c r="P31" s="21"/>
    </row>
    <row r="32" spans="1:16" ht="20.100000000000001" customHeight="1" x14ac:dyDescent="0.35">
      <c r="A32" s="30"/>
      <c r="B32" s="106"/>
      <c r="C32" s="106"/>
      <c r="D32" s="123"/>
      <c r="E32" s="123"/>
      <c r="F32" s="106"/>
      <c r="G32" s="108"/>
      <c r="H32" s="108"/>
      <c r="I32" s="30"/>
      <c r="K32" s="11"/>
      <c r="L32" s="15"/>
      <c r="M32" s="11"/>
      <c r="N32" s="11"/>
      <c r="O32" s="15"/>
      <c r="P32" s="21"/>
    </row>
    <row r="33" spans="1:16" ht="20.100000000000001" customHeight="1" x14ac:dyDescent="0.35">
      <c r="A33" s="30"/>
      <c r="B33" s="106"/>
      <c r="C33" s="106"/>
      <c r="D33" s="123"/>
      <c r="E33" s="123"/>
      <c r="F33" s="106"/>
      <c r="G33" s="108"/>
      <c r="H33" s="108"/>
      <c r="I33" s="30"/>
      <c r="K33" s="11"/>
      <c r="L33" s="15"/>
      <c r="M33" s="11"/>
      <c r="N33" s="11"/>
      <c r="O33" s="15"/>
      <c r="P33" s="21"/>
    </row>
    <row r="34" spans="1:16" ht="20.100000000000001" customHeight="1" x14ac:dyDescent="0.35">
      <c r="A34" s="30"/>
      <c r="B34" s="106"/>
      <c r="C34" s="106"/>
      <c r="D34" s="107"/>
      <c r="E34" s="107"/>
      <c r="F34" s="106"/>
      <c r="G34" s="108"/>
      <c r="H34" s="108"/>
      <c r="I34" s="30"/>
      <c r="K34" s="11"/>
      <c r="L34" s="15"/>
      <c r="M34" s="11"/>
      <c r="N34" s="11"/>
      <c r="O34" s="15"/>
      <c r="P34" s="21"/>
    </row>
    <row r="35" spans="1:16" ht="20.100000000000001" customHeight="1" x14ac:dyDescent="0.35">
      <c r="A35" s="30"/>
      <c r="B35" s="106"/>
      <c r="C35" s="106"/>
      <c r="D35" s="107"/>
      <c r="E35" s="107"/>
      <c r="F35" s="106"/>
      <c r="G35" s="108"/>
      <c r="H35" s="108"/>
      <c r="I35" s="30"/>
      <c r="K35" s="11"/>
      <c r="L35" s="15"/>
      <c r="M35" s="11"/>
      <c r="N35" s="11"/>
      <c r="O35" s="15"/>
      <c r="P35" s="21"/>
    </row>
    <row r="36" spans="1:16" ht="13.2" customHeight="1" x14ac:dyDescent="0.35">
      <c r="A36" s="30"/>
      <c r="B36" s="60"/>
      <c r="C36" s="60"/>
      <c r="D36" s="60"/>
      <c r="E36" s="60"/>
      <c r="F36" s="60"/>
      <c r="G36" s="59"/>
      <c r="H36" s="59"/>
      <c r="I36" s="30"/>
    </row>
    <row r="37" spans="1:16" ht="20.100000000000001" customHeight="1" x14ac:dyDescent="0.35">
      <c r="A37" s="30"/>
      <c r="B37" s="30"/>
      <c r="C37" s="30"/>
      <c r="D37" s="30"/>
      <c r="E37" s="30"/>
      <c r="F37" s="30"/>
      <c r="I37" s="30"/>
    </row>
    <row r="38" spans="1:16" ht="20.100000000000001" customHeight="1" x14ac:dyDescent="0.35">
      <c r="A38" s="30"/>
      <c r="B38" s="30"/>
      <c r="C38" s="30"/>
      <c r="D38" s="30"/>
      <c r="E38" s="30"/>
      <c r="F38" s="30"/>
      <c r="I38" s="30"/>
    </row>
    <row r="39" spans="1:16" ht="20.100000000000001" customHeight="1" x14ac:dyDescent="0.35">
      <c r="A39" s="30"/>
      <c r="B39" s="30"/>
      <c r="C39" s="30"/>
      <c r="D39" s="30"/>
      <c r="E39" s="30"/>
      <c r="F39" s="30"/>
      <c r="I39" s="30"/>
    </row>
    <row r="40" spans="1:16" ht="20.100000000000001" customHeight="1" x14ac:dyDescent="0.35">
      <c r="A40" s="30"/>
      <c r="B40" s="30"/>
      <c r="C40" s="30"/>
      <c r="D40" s="30"/>
      <c r="E40" s="30"/>
      <c r="F40" s="30"/>
      <c r="G40" s="67"/>
      <c r="H40" s="68"/>
      <c r="I40" s="30"/>
    </row>
    <row r="41" spans="1:16" ht="18" x14ac:dyDescent="0.35">
      <c r="A41" s="30"/>
      <c r="B41" s="30"/>
      <c r="C41" s="30"/>
      <c r="D41" s="30"/>
      <c r="E41" s="30"/>
      <c r="F41" s="30"/>
      <c r="G41" s="30"/>
      <c r="H41" s="30"/>
      <c r="I41" s="30"/>
    </row>
    <row r="42" spans="1:16" ht="18" x14ac:dyDescent="0.35">
      <c r="A42" s="30"/>
      <c r="B42" s="69" t="s">
        <v>133</v>
      </c>
      <c r="C42" s="70"/>
      <c r="D42" s="71"/>
      <c r="E42" s="71"/>
      <c r="F42" s="60"/>
      <c r="G42" s="30"/>
      <c r="H42" s="30"/>
      <c r="I42" s="30"/>
    </row>
    <row r="43" spans="1:16" ht="18" x14ac:dyDescent="0.35">
      <c r="A43" s="30"/>
      <c r="B43" s="69" t="s">
        <v>119</v>
      </c>
      <c r="C43" s="70"/>
      <c r="D43" s="71"/>
      <c r="E43" s="71"/>
      <c r="F43" s="60"/>
      <c r="G43" s="30"/>
      <c r="H43" s="30"/>
      <c r="I43" s="30"/>
    </row>
    <row r="44" spans="1:16" ht="18" x14ac:dyDescent="0.35">
      <c r="A44" s="30"/>
      <c r="B44" s="30" t="s">
        <v>23</v>
      </c>
      <c r="C44" s="30"/>
      <c r="D44" s="30"/>
      <c r="E44" s="30"/>
      <c r="F44" s="30"/>
      <c r="G44" s="30"/>
      <c r="H44" s="30"/>
      <c r="I44" s="30"/>
    </row>
    <row r="45" spans="1:16" ht="18" x14ac:dyDescent="0.35">
      <c r="A45" s="30"/>
      <c r="B45" s="72" t="s">
        <v>24</v>
      </c>
      <c r="C45" s="72"/>
      <c r="D45" s="30"/>
      <c r="E45" s="30"/>
      <c r="F45" s="30"/>
      <c r="G45" s="30"/>
      <c r="H45" s="30"/>
      <c r="I45" s="30"/>
    </row>
    <row r="46" spans="1:16" ht="18" x14ac:dyDescent="0.35">
      <c r="A46" s="30"/>
      <c r="B46" s="30"/>
      <c r="C46" s="30"/>
      <c r="D46" s="30"/>
      <c r="E46" s="72"/>
      <c r="F46" s="30"/>
      <c r="G46" s="30"/>
      <c r="H46" s="30"/>
      <c r="I46" s="30"/>
    </row>
    <row r="47" spans="1:16" ht="18" x14ac:dyDescent="0.35">
      <c r="A47" s="30"/>
      <c r="B47" s="31" t="s">
        <v>131</v>
      </c>
      <c r="C47" s="31"/>
      <c r="D47" s="31"/>
      <c r="E47" s="73"/>
      <c r="F47" s="30"/>
      <c r="G47" s="30"/>
      <c r="H47" s="30"/>
      <c r="I47" s="30"/>
    </row>
    <row r="48" spans="1:16" ht="18" x14ac:dyDescent="0.35">
      <c r="A48" s="30"/>
      <c r="B48" s="31"/>
      <c r="C48" s="31"/>
      <c r="D48" s="31"/>
      <c r="E48" s="73"/>
      <c r="F48" s="30"/>
      <c r="G48" s="30"/>
      <c r="H48" s="30"/>
      <c r="I48" s="30"/>
    </row>
    <row r="49" spans="1:9" ht="18" x14ac:dyDescent="0.35">
      <c r="A49" s="30"/>
      <c r="B49" s="31" t="s">
        <v>132</v>
      </c>
      <c r="C49" s="30"/>
      <c r="D49" s="30"/>
      <c r="E49" s="72"/>
      <c r="F49" s="30"/>
      <c r="G49" s="30"/>
      <c r="H49" s="30"/>
      <c r="I49" s="30"/>
    </row>
    <row r="50" spans="1:9" ht="18" x14ac:dyDescent="0.35">
      <c r="A50" s="30"/>
      <c r="B50" s="30"/>
      <c r="C50" s="30"/>
      <c r="D50" s="30"/>
      <c r="E50" s="72"/>
      <c r="F50" s="30"/>
      <c r="G50" s="30"/>
      <c r="H50" s="30"/>
      <c r="I50" s="30"/>
    </row>
    <row r="51" spans="1:9" ht="18" x14ac:dyDescent="0.35">
      <c r="A51" s="30"/>
      <c r="B51" s="30"/>
      <c r="C51" s="30"/>
      <c r="D51" s="30"/>
      <c r="E51" s="30"/>
      <c r="F51" s="30"/>
      <c r="G51" s="30"/>
      <c r="H51" s="30"/>
      <c r="I51" s="30"/>
    </row>
    <row r="52" spans="1:9" ht="18" x14ac:dyDescent="0.35">
      <c r="A52" s="30"/>
      <c r="B52" s="30"/>
      <c r="C52" s="30"/>
      <c r="D52" s="30"/>
      <c r="E52" s="30"/>
      <c r="F52" s="30"/>
      <c r="G52" s="30"/>
      <c r="H52" s="30"/>
      <c r="I52" s="30"/>
    </row>
    <row r="53" spans="1:9" ht="15.6" x14ac:dyDescent="0.3">
      <c r="C53" s="1"/>
    </row>
  </sheetData>
  <sortState xmlns:xlrd2="http://schemas.microsoft.com/office/spreadsheetml/2017/richdata2" ref="B54">
    <sortCondition sortBy="fontColor" ref="B54" dxfId="1"/>
  </sortState>
  <mergeCells count="2">
    <mergeCell ref="F16:H16"/>
    <mergeCell ref="B19:H19"/>
  </mergeCells>
  <phoneticPr fontId="8" type="noConversion"/>
  <hyperlinks>
    <hyperlink ref="B45" r:id="rId1" xr:uid="{00000000-0004-0000-0000-000000000000}"/>
  </hyperlinks>
  <pageMargins left="0.70866141732283472" right="0.70866141732283472" top="0.74803149606299213" bottom="0.74803149606299213" header="0.31496062992125984" footer="0.31496062992125984"/>
  <pageSetup paperSize="9" scale="58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R48"/>
  <sheetViews>
    <sheetView workbookViewId="0">
      <selection activeCell="D14" sqref="D14"/>
    </sheetView>
  </sheetViews>
  <sheetFormatPr baseColWidth="10" defaultRowHeight="14.4" x14ac:dyDescent="0.3"/>
  <cols>
    <col min="4" max="4" width="33.88671875" bestFit="1" customWidth="1"/>
    <col min="5" max="5" width="6.109375" customWidth="1"/>
    <col min="9" max="9" width="33.88671875" bestFit="1" customWidth="1"/>
  </cols>
  <sheetData>
    <row r="2" spans="2:18" x14ac:dyDescent="0.3">
      <c r="B2" s="130" t="s">
        <v>28</v>
      </c>
      <c r="C2" s="130"/>
      <c r="D2" s="130"/>
      <c r="E2" s="12"/>
      <c r="G2" s="130" t="s">
        <v>67</v>
      </c>
      <c r="H2" s="130"/>
      <c r="I2" s="130"/>
      <c r="P2" s="131" t="s">
        <v>55</v>
      </c>
      <c r="Q2" s="131"/>
      <c r="R2" s="131"/>
    </row>
    <row r="3" spans="2:18" x14ac:dyDescent="0.3">
      <c r="B3" s="9" t="s">
        <v>6</v>
      </c>
      <c r="C3" s="9" t="s">
        <v>7</v>
      </c>
      <c r="D3" s="9" t="s">
        <v>19</v>
      </c>
      <c r="E3" s="13"/>
      <c r="G3" s="9" t="s">
        <v>6</v>
      </c>
      <c r="H3" s="9" t="s">
        <v>7</v>
      </c>
      <c r="I3" s="9" t="s">
        <v>19</v>
      </c>
      <c r="P3" s="9" t="s">
        <v>6</v>
      </c>
      <c r="Q3" s="9" t="s">
        <v>7</v>
      </c>
      <c r="R3" s="9" t="s">
        <v>19</v>
      </c>
    </row>
    <row r="4" spans="2:18" x14ac:dyDescent="0.3">
      <c r="B4" s="7">
        <v>40</v>
      </c>
      <c r="C4" s="7">
        <v>60</v>
      </c>
      <c r="D4" s="8" t="s">
        <v>110</v>
      </c>
      <c r="E4" s="6" t="s">
        <v>98</v>
      </c>
      <c r="G4" s="18">
        <v>50</v>
      </c>
      <c r="H4" s="18">
        <v>100</v>
      </c>
      <c r="I4" s="19" t="s">
        <v>110</v>
      </c>
      <c r="J4" s="20" t="s">
        <v>106</v>
      </c>
      <c r="K4" s="20"/>
      <c r="L4" s="20"/>
      <c r="M4" s="20"/>
      <c r="P4">
        <v>50</v>
      </c>
      <c r="Q4">
        <v>-30</v>
      </c>
      <c r="R4" t="s">
        <v>29</v>
      </c>
    </row>
    <row r="5" spans="2:18" x14ac:dyDescent="0.3">
      <c r="B5" s="7">
        <v>40</v>
      </c>
      <c r="C5" s="7">
        <v>90</v>
      </c>
      <c r="D5" s="8" t="s">
        <v>111</v>
      </c>
      <c r="E5" s="6" t="s">
        <v>99</v>
      </c>
      <c r="G5" s="18">
        <v>50</v>
      </c>
      <c r="H5" s="18"/>
      <c r="I5" s="19" t="s">
        <v>112</v>
      </c>
      <c r="J5" s="20" t="s">
        <v>114</v>
      </c>
      <c r="K5" s="20"/>
      <c r="L5" s="20"/>
      <c r="M5" s="20"/>
      <c r="P5">
        <v>50</v>
      </c>
      <c r="Q5">
        <v>-30</v>
      </c>
      <c r="R5" t="s">
        <v>29</v>
      </c>
    </row>
    <row r="6" spans="2:18" x14ac:dyDescent="0.3">
      <c r="B6" s="7">
        <v>40</v>
      </c>
      <c r="C6" s="7">
        <v>100</v>
      </c>
      <c r="D6" s="8" t="s">
        <v>53</v>
      </c>
      <c r="E6" s="6" t="s">
        <v>100</v>
      </c>
      <c r="G6" s="7">
        <v>50</v>
      </c>
      <c r="H6" s="7">
        <v>100</v>
      </c>
      <c r="I6" s="8" t="s">
        <v>53</v>
      </c>
      <c r="P6">
        <v>50</v>
      </c>
      <c r="Q6">
        <v>-30</v>
      </c>
      <c r="R6" t="s">
        <v>31</v>
      </c>
    </row>
    <row r="7" spans="2:18" x14ac:dyDescent="0.3">
      <c r="B7" s="7">
        <v>40</v>
      </c>
      <c r="C7" s="7">
        <v>150</v>
      </c>
      <c r="D7" s="8" t="s">
        <v>54</v>
      </c>
      <c r="E7" s="6" t="s">
        <v>101</v>
      </c>
      <c r="G7" s="7">
        <v>50</v>
      </c>
      <c r="H7" s="7"/>
      <c r="I7" s="8" t="s">
        <v>54</v>
      </c>
      <c r="P7">
        <v>50</v>
      </c>
      <c r="Q7">
        <v>-30</v>
      </c>
      <c r="R7" t="s">
        <v>41</v>
      </c>
    </row>
    <row r="8" spans="2:18" x14ac:dyDescent="0.3">
      <c r="B8" s="7">
        <v>40</v>
      </c>
      <c r="C8" s="7">
        <v>100</v>
      </c>
      <c r="D8" s="8" t="s">
        <v>37</v>
      </c>
      <c r="E8" s="6" t="s">
        <v>102</v>
      </c>
      <c r="G8" s="7">
        <v>50</v>
      </c>
      <c r="H8" s="7">
        <v>100</v>
      </c>
      <c r="I8" s="8" t="s">
        <v>37</v>
      </c>
      <c r="L8" s="131" t="s">
        <v>55</v>
      </c>
      <c r="M8" s="131"/>
      <c r="N8" s="131"/>
      <c r="P8">
        <v>50</v>
      </c>
      <c r="Q8">
        <v>-30</v>
      </c>
      <c r="R8" t="s">
        <v>47</v>
      </c>
    </row>
    <row r="9" spans="2:18" x14ac:dyDescent="0.3">
      <c r="B9" s="7">
        <v>40</v>
      </c>
      <c r="C9" s="7">
        <v>50</v>
      </c>
      <c r="D9" s="8" t="s">
        <v>51</v>
      </c>
      <c r="E9" s="6" t="s">
        <v>73</v>
      </c>
      <c r="G9" s="7">
        <v>50</v>
      </c>
      <c r="H9" s="7">
        <v>100</v>
      </c>
      <c r="I9" s="8" t="s">
        <v>36</v>
      </c>
      <c r="L9" s="9" t="s">
        <v>6</v>
      </c>
      <c r="M9" s="9" t="s">
        <v>7</v>
      </c>
      <c r="N9" s="9" t="s">
        <v>19</v>
      </c>
      <c r="P9">
        <v>50</v>
      </c>
      <c r="Q9">
        <v>0</v>
      </c>
      <c r="R9" t="s">
        <v>42</v>
      </c>
    </row>
    <row r="10" spans="2:18" x14ac:dyDescent="0.3">
      <c r="B10" s="7">
        <v>40</v>
      </c>
      <c r="C10" s="7">
        <v>80</v>
      </c>
      <c r="D10" s="8" t="s">
        <v>52</v>
      </c>
      <c r="E10" s="6" t="s">
        <v>74</v>
      </c>
      <c r="G10" s="7">
        <v>50</v>
      </c>
      <c r="H10" s="7"/>
      <c r="I10" s="8" t="s">
        <v>38</v>
      </c>
      <c r="L10" s="7">
        <v>50</v>
      </c>
      <c r="M10" s="7">
        <v>-30</v>
      </c>
      <c r="N10" s="8" t="s">
        <v>29</v>
      </c>
      <c r="P10">
        <v>50</v>
      </c>
      <c r="Q10">
        <v>0</v>
      </c>
      <c r="R10" t="s">
        <v>30</v>
      </c>
    </row>
    <row r="11" spans="2:18" x14ac:dyDescent="0.3">
      <c r="B11" s="7">
        <v>40</v>
      </c>
      <c r="C11" s="7">
        <v>60</v>
      </c>
      <c r="D11" s="8" t="s">
        <v>68</v>
      </c>
      <c r="E11" s="6" t="s">
        <v>75</v>
      </c>
      <c r="G11" s="7">
        <v>50</v>
      </c>
      <c r="H11" s="7">
        <v>100</v>
      </c>
      <c r="I11" s="8" t="s">
        <v>51</v>
      </c>
      <c r="L11" s="7">
        <v>50</v>
      </c>
      <c r="M11" s="7">
        <v>0</v>
      </c>
      <c r="N11" s="8" t="s">
        <v>56</v>
      </c>
      <c r="P11">
        <v>50</v>
      </c>
      <c r="Q11">
        <v>0</v>
      </c>
      <c r="R11" t="s">
        <v>33</v>
      </c>
    </row>
    <row r="12" spans="2:18" x14ac:dyDescent="0.3">
      <c r="B12" s="7">
        <v>40</v>
      </c>
      <c r="C12" s="7">
        <v>100</v>
      </c>
      <c r="D12" s="8" t="s">
        <v>69</v>
      </c>
      <c r="E12" s="6" t="s">
        <v>76</v>
      </c>
      <c r="G12" s="7">
        <v>50</v>
      </c>
      <c r="H12" s="7"/>
      <c r="I12" s="8" t="s">
        <v>52</v>
      </c>
      <c r="L12" s="7">
        <v>50</v>
      </c>
      <c r="M12" s="7">
        <v>-2</v>
      </c>
      <c r="N12" s="8" t="s">
        <v>57</v>
      </c>
      <c r="P12">
        <v>50</v>
      </c>
      <c r="Q12">
        <v>0</v>
      </c>
      <c r="R12" t="s">
        <v>34</v>
      </c>
    </row>
    <row r="13" spans="2:18" x14ac:dyDescent="0.3">
      <c r="B13" s="7">
        <v>40</v>
      </c>
      <c r="C13" s="7">
        <v>130</v>
      </c>
      <c r="D13" s="8" t="s">
        <v>123</v>
      </c>
      <c r="E13" s="6" t="s">
        <v>77</v>
      </c>
      <c r="G13" s="7">
        <v>50</v>
      </c>
      <c r="H13" s="7">
        <v>-30</v>
      </c>
      <c r="I13" s="8" t="s">
        <v>29</v>
      </c>
      <c r="P13">
        <v>50</v>
      </c>
      <c r="Q13">
        <v>0</v>
      </c>
      <c r="R13" t="s">
        <v>35</v>
      </c>
    </row>
    <row r="14" spans="2:18" x14ac:dyDescent="0.3">
      <c r="B14" s="7">
        <v>40</v>
      </c>
      <c r="C14" s="7">
        <v>150</v>
      </c>
      <c r="D14" s="8" t="s">
        <v>31</v>
      </c>
      <c r="E14" s="6"/>
      <c r="G14" s="7">
        <v>50</v>
      </c>
      <c r="H14" s="7">
        <v>-30</v>
      </c>
      <c r="I14" s="8" t="s">
        <v>31</v>
      </c>
    </row>
    <row r="15" spans="2:18" x14ac:dyDescent="0.3">
      <c r="B15" s="7">
        <v>40</v>
      </c>
      <c r="C15" s="7">
        <v>150</v>
      </c>
      <c r="D15" s="8" t="s">
        <v>113</v>
      </c>
      <c r="E15" s="6" t="s">
        <v>78</v>
      </c>
      <c r="G15" s="7">
        <v>50</v>
      </c>
      <c r="H15" s="7">
        <v>-30</v>
      </c>
      <c r="I15" s="8" t="s">
        <v>41</v>
      </c>
      <c r="P15">
        <v>50</v>
      </c>
      <c r="Q15">
        <v>0</v>
      </c>
      <c r="R15" t="s">
        <v>32</v>
      </c>
    </row>
    <row r="16" spans="2:18" x14ac:dyDescent="0.3">
      <c r="B16" s="7">
        <v>40</v>
      </c>
      <c r="C16" s="7">
        <v>130</v>
      </c>
      <c r="D16" s="8" t="s">
        <v>103</v>
      </c>
      <c r="E16" s="6" t="s">
        <v>79</v>
      </c>
      <c r="G16" s="7">
        <v>50</v>
      </c>
      <c r="H16" s="7">
        <v>-30</v>
      </c>
      <c r="I16" s="8" t="s">
        <v>71</v>
      </c>
      <c r="P16">
        <v>50</v>
      </c>
      <c r="Q16">
        <v>0</v>
      </c>
      <c r="R16" t="s">
        <v>43</v>
      </c>
    </row>
    <row r="17" spans="2:18" x14ac:dyDescent="0.3">
      <c r="B17" s="7">
        <v>40</v>
      </c>
      <c r="C17" s="7">
        <v>150</v>
      </c>
      <c r="D17" s="8" t="s">
        <v>33</v>
      </c>
      <c r="E17" s="6" t="s">
        <v>80</v>
      </c>
      <c r="G17" s="7">
        <v>50</v>
      </c>
      <c r="H17" s="7"/>
      <c r="I17" s="8" t="s">
        <v>33</v>
      </c>
      <c r="P17">
        <v>50</v>
      </c>
      <c r="Q17">
        <v>0</v>
      </c>
      <c r="R17" t="s">
        <v>44</v>
      </c>
    </row>
    <row r="18" spans="2:18" x14ac:dyDescent="0.3">
      <c r="B18" s="7">
        <v>140</v>
      </c>
      <c r="C18" s="7">
        <v>150</v>
      </c>
      <c r="D18" s="8" t="s">
        <v>34</v>
      </c>
      <c r="E18" s="6" t="s">
        <v>81</v>
      </c>
      <c r="G18" s="7">
        <v>50</v>
      </c>
      <c r="H18" s="7"/>
      <c r="I18" s="8" t="s">
        <v>34</v>
      </c>
      <c r="P18">
        <v>50</v>
      </c>
      <c r="Q18">
        <v>0</v>
      </c>
      <c r="R18" t="s">
        <v>45</v>
      </c>
    </row>
    <row r="19" spans="2:18" x14ac:dyDescent="0.3">
      <c r="B19" s="7">
        <v>150</v>
      </c>
      <c r="C19" s="7">
        <v>150</v>
      </c>
      <c r="D19" s="8" t="s">
        <v>35</v>
      </c>
      <c r="E19" s="6" t="s">
        <v>82</v>
      </c>
      <c r="G19" s="7">
        <v>50</v>
      </c>
      <c r="H19" s="7"/>
      <c r="I19" s="8" t="s">
        <v>35</v>
      </c>
      <c r="P19">
        <v>50</v>
      </c>
      <c r="Q19">
        <v>0</v>
      </c>
      <c r="R19" t="s">
        <v>48</v>
      </c>
    </row>
    <row r="20" spans="2:18" x14ac:dyDescent="0.3">
      <c r="B20" s="7">
        <v>40</v>
      </c>
      <c r="C20" s="7">
        <v>100</v>
      </c>
      <c r="D20" s="8" t="s">
        <v>115</v>
      </c>
      <c r="E20" s="6" t="s">
        <v>83</v>
      </c>
      <c r="G20" s="7">
        <v>50</v>
      </c>
      <c r="H20" s="7">
        <v>0</v>
      </c>
      <c r="I20" s="8" t="s">
        <v>115</v>
      </c>
      <c r="J20" s="20" t="s">
        <v>108</v>
      </c>
      <c r="K20" s="20"/>
      <c r="L20" s="20"/>
      <c r="M20" s="20"/>
      <c r="P20">
        <v>50</v>
      </c>
      <c r="Q20">
        <v>0</v>
      </c>
      <c r="R20" t="s">
        <v>49</v>
      </c>
    </row>
    <row r="21" spans="2:18" x14ac:dyDescent="0.3">
      <c r="B21" s="7">
        <v>100</v>
      </c>
      <c r="C21" s="7">
        <v>100</v>
      </c>
      <c r="D21" s="8" t="s">
        <v>109</v>
      </c>
      <c r="E21" s="6" t="s">
        <v>84</v>
      </c>
      <c r="G21" s="7">
        <v>50</v>
      </c>
      <c r="H21" s="7">
        <v>0</v>
      </c>
      <c r="I21" s="8" t="s">
        <v>109</v>
      </c>
      <c r="P21">
        <v>50</v>
      </c>
      <c r="Q21">
        <v>0</v>
      </c>
      <c r="R21" t="s">
        <v>50</v>
      </c>
    </row>
    <row r="22" spans="2:18" x14ac:dyDescent="0.3">
      <c r="B22" s="7">
        <v>100</v>
      </c>
      <c r="C22" s="7">
        <v>100</v>
      </c>
      <c r="D22" s="8" t="s">
        <v>32</v>
      </c>
      <c r="E22" s="6" t="s">
        <v>85</v>
      </c>
      <c r="G22" s="18"/>
      <c r="H22" s="18"/>
      <c r="I22" s="19" t="s">
        <v>32</v>
      </c>
      <c r="P22">
        <v>50</v>
      </c>
      <c r="Q22">
        <v>0</v>
      </c>
      <c r="R22" t="s">
        <v>46</v>
      </c>
    </row>
    <row r="23" spans="2:18" x14ac:dyDescent="0.3">
      <c r="B23" s="7">
        <v>40</v>
      </c>
      <c r="C23" s="7">
        <v>150</v>
      </c>
      <c r="D23" s="8" t="s">
        <v>43</v>
      </c>
      <c r="E23" s="6" t="s">
        <v>86</v>
      </c>
      <c r="G23" s="7">
        <v>50</v>
      </c>
      <c r="H23" s="7"/>
      <c r="I23" s="8" t="s">
        <v>43</v>
      </c>
      <c r="R23" t="s">
        <v>39</v>
      </c>
    </row>
    <row r="24" spans="2:18" x14ac:dyDescent="0.3">
      <c r="B24" s="7">
        <v>140</v>
      </c>
      <c r="C24" s="7">
        <v>150</v>
      </c>
      <c r="D24" s="8" t="s">
        <v>44</v>
      </c>
      <c r="E24" s="6" t="s">
        <v>87</v>
      </c>
      <c r="G24" s="7">
        <v>50</v>
      </c>
      <c r="H24" s="7"/>
      <c r="I24" s="8" t="s">
        <v>44</v>
      </c>
      <c r="R24" t="s">
        <v>40</v>
      </c>
    </row>
    <row r="25" spans="2:18" x14ac:dyDescent="0.3">
      <c r="B25" s="7">
        <v>150</v>
      </c>
      <c r="C25" s="7">
        <v>150</v>
      </c>
      <c r="D25" s="8" t="s">
        <v>45</v>
      </c>
      <c r="E25" s="6" t="s">
        <v>88</v>
      </c>
      <c r="G25" s="7">
        <v>50</v>
      </c>
      <c r="H25" s="7"/>
      <c r="I25" s="8" t="s">
        <v>45</v>
      </c>
      <c r="R25" t="s">
        <v>53</v>
      </c>
    </row>
    <row r="26" spans="2:18" x14ac:dyDescent="0.3">
      <c r="B26" s="7">
        <v>40</v>
      </c>
      <c r="C26" s="7">
        <v>77</v>
      </c>
      <c r="D26" s="8" t="s">
        <v>48</v>
      </c>
      <c r="E26" s="6" t="s">
        <v>89</v>
      </c>
      <c r="G26" s="7">
        <v>50</v>
      </c>
      <c r="H26" s="7"/>
      <c r="I26" s="8" t="s">
        <v>48</v>
      </c>
      <c r="R26" t="s">
        <v>54</v>
      </c>
    </row>
    <row r="27" spans="2:18" x14ac:dyDescent="0.3">
      <c r="B27" s="7">
        <v>110</v>
      </c>
      <c r="C27" s="7">
        <v>77</v>
      </c>
      <c r="D27" s="8" t="s">
        <v>49</v>
      </c>
      <c r="E27" s="6" t="s">
        <v>90</v>
      </c>
      <c r="G27" s="7">
        <v>50</v>
      </c>
      <c r="H27" s="7"/>
      <c r="I27" s="8" t="s">
        <v>49</v>
      </c>
      <c r="R27" t="s">
        <v>37</v>
      </c>
    </row>
    <row r="28" spans="2:18" x14ac:dyDescent="0.3">
      <c r="B28" s="7">
        <v>120</v>
      </c>
      <c r="C28" s="7">
        <v>77</v>
      </c>
      <c r="D28" s="8" t="s">
        <v>50</v>
      </c>
      <c r="E28" s="6" t="s">
        <v>91</v>
      </c>
      <c r="G28" s="7">
        <v>50</v>
      </c>
      <c r="H28" s="7"/>
      <c r="I28" s="8" t="s">
        <v>50</v>
      </c>
      <c r="R28" t="s">
        <v>36</v>
      </c>
    </row>
    <row r="29" spans="2:18" x14ac:dyDescent="0.3">
      <c r="B29" s="7">
        <v>40</v>
      </c>
      <c r="C29" s="7">
        <v>50</v>
      </c>
      <c r="D29" s="8" t="s">
        <v>46</v>
      </c>
      <c r="E29" s="6" t="s">
        <v>92</v>
      </c>
      <c r="G29" s="7">
        <v>50</v>
      </c>
      <c r="H29" s="7"/>
      <c r="I29" s="8" t="s">
        <v>46</v>
      </c>
      <c r="R29" t="s">
        <v>38</v>
      </c>
    </row>
    <row r="30" spans="2:18" x14ac:dyDescent="0.3">
      <c r="B30" s="7">
        <v>40</v>
      </c>
      <c r="C30" s="7">
        <v>60</v>
      </c>
      <c r="D30" s="8" t="s">
        <v>70</v>
      </c>
      <c r="E30" s="6" t="s">
        <v>93</v>
      </c>
      <c r="G30" s="7">
        <v>50</v>
      </c>
      <c r="H30" s="7"/>
      <c r="I30" s="8" t="s">
        <v>30</v>
      </c>
      <c r="R30" t="s">
        <v>51</v>
      </c>
    </row>
    <row r="31" spans="2:18" x14ac:dyDescent="0.3">
      <c r="B31" s="7">
        <v>40</v>
      </c>
      <c r="C31" s="7">
        <v>100</v>
      </c>
      <c r="D31" s="8" t="s">
        <v>42</v>
      </c>
      <c r="E31" s="6" t="s">
        <v>94</v>
      </c>
      <c r="G31" s="7">
        <v>50</v>
      </c>
      <c r="H31" s="7"/>
      <c r="I31" s="8" t="s">
        <v>42</v>
      </c>
      <c r="R31" t="s">
        <v>52</v>
      </c>
    </row>
    <row r="32" spans="2:18" x14ac:dyDescent="0.3">
      <c r="B32" s="7">
        <v>40</v>
      </c>
      <c r="C32" s="7">
        <v>60</v>
      </c>
      <c r="D32" s="8" t="s">
        <v>105</v>
      </c>
      <c r="E32" s="6" t="s">
        <v>95</v>
      </c>
      <c r="G32" s="7">
        <v>50</v>
      </c>
      <c r="H32" s="7"/>
      <c r="I32" s="8" t="s">
        <v>105</v>
      </c>
      <c r="R32" t="s">
        <v>59</v>
      </c>
    </row>
    <row r="33" spans="2:18" x14ac:dyDescent="0.3">
      <c r="B33" s="7">
        <v>40</v>
      </c>
      <c r="C33" s="7">
        <v>90</v>
      </c>
      <c r="D33" s="8" t="s">
        <v>62</v>
      </c>
      <c r="E33" s="6" t="s">
        <v>96</v>
      </c>
      <c r="G33" s="7">
        <v>50</v>
      </c>
      <c r="H33" s="7">
        <v>-2</v>
      </c>
      <c r="I33" s="8" t="s">
        <v>62</v>
      </c>
      <c r="R33" t="s">
        <v>60</v>
      </c>
    </row>
    <row r="34" spans="2:18" x14ac:dyDescent="0.3">
      <c r="B34" s="7">
        <v>40</v>
      </c>
      <c r="C34" s="7">
        <v>90</v>
      </c>
      <c r="D34" s="8" t="s">
        <v>63</v>
      </c>
      <c r="E34" s="6"/>
      <c r="G34" s="7">
        <v>50</v>
      </c>
      <c r="H34" s="7">
        <v>-2</v>
      </c>
      <c r="I34" s="8" t="s">
        <v>63</v>
      </c>
    </row>
    <row r="35" spans="2:18" x14ac:dyDescent="0.3">
      <c r="B35" s="7">
        <v>40</v>
      </c>
      <c r="C35" s="7">
        <v>90</v>
      </c>
      <c r="D35" s="8" t="s">
        <v>59</v>
      </c>
      <c r="E35" s="6" t="s">
        <v>97</v>
      </c>
      <c r="G35" s="7">
        <v>50</v>
      </c>
      <c r="H35" s="7">
        <v>-2</v>
      </c>
      <c r="I35" s="8" t="s">
        <v>59</v>
      </c>
      <c r="R35" t="s">
        <v>61</v>
      </c>
    </row>
    <row r="36" spans="2:18" x14ac:dyDescent="0.3">
      <c r="B36" s="16">
        <v>40</v>
      </c>
      <c r="C36" s="16">
        <v>90</v>
      </c>
      <c r="D36" s="17" t="s">
        <v>60</v>
      </c>
      <c r="G36" s="7">
        <v>50</v>
      </c>
      <c r="H36" s="7">
        <v>-2</v>
      </c>
      <c r="I36" s="8" t="s">
        <v>60</v>
      </c>
      <c r="R36" t="s">
        <v>62</v>
      </c>
    </row>
    <row r="37" spans="2:18" x14ac:dyDescent="0.3">
      <c r="B37" s="16">
        <v>40</v>
      </c>
      <c r="C37" s="16">
        <v>90</v>
      </c>
      <c r="D37" s="17" t="s">
        <v>61</v>
      </c>
      <c r="G37" s="7">
        <v>50</v>
      </c>
      <c r="H37" s="7">
        <v>-2</v>
      </c>
      <c r="I37" s="8" t="s">
        <v>61</v>
      </c>
      <c r="R37" t="s">
        <v>63</v>
      </c>
    </row>
    <row r="48" spans="2:18" x14ac:dyDescent="0.3">
      <c r="B48" s="7">
        <v>40</v>
      </c>
      <c r="C48" s="7">
        <v>150</v>
      </c>
    </row>
  </sheetData>
  <sortState xmlns:xlrd2="http://schemas.microsoft.com/office/spreadsheetml/2017/richdata2" ref="G4:I37">
    <sortCondition ref="I4:I37"/>
  </sortState>
  <mergeCells count="4">
    <mergeCell ref="B2:D2"/>
    <mergeCell ref="L8:N8"/>
    <mergeCell ref="P2:R2"/>
    <mergeCell ref="G2:I2"/>
  </mergeCells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O80"/>
  <sheetViews>
    <sheetView tabSelected="1" topLeftCell="A66" zoomScaleNormal="100" workbookViewId="0">
      <selection activeCell="F83" sqref="F83"/>
    </sheetView>
  </sheetViews>
  <sheetFormatPr baseColWidth="10" defaultRowHeight="14.4" x14ac:dyDescent="0.3"/>
  <cols>
    <col min="2" max="2" width="17.109375" customWidth="1"/>
    <col min="3" max="3" width="13.6640625" customWidth="1"/>
    <col min="4" max="4" width="38.88671875" customWidth="1"/>
    <col min="5" max="5" width="15.33203125" customWidth="1"/>
    <col min="6" max="6" width="12.6640625" bestFit="1" customWidth="1"/>
    <col min="7" max="7" width="43.6640625" customWidth="1"/>
    <col min="10" max="10" width="10" customWidth="1"/>
    <col min="11" max="11" width="9.33203125" customWidth="1"/>
    <col min="12" max="12" width="8.6640625" customWidth="1"/>
  </cols>
  <sheetData>
    <row r="1" spans="1:15" ht="18" x14ac:dyDescent="0.35">
      <c r="B1" s="30"/>
      <c r="C1" s="30"/>
      <c r="D1" s="30"/>
      <c r="E1" s="30"/>
      <c r="F1" s="30"/>
      <c r="G1" s="30"/>
      <c r="H1" s="30"/>
    </row>
    <row r="2" spans="1:15" ht="16.5" customHeight="1" x14ac:dyDescent="0.35">
      <c r="B2" s="30"/>
      <c r="C2" s="30"/>
      <c r="D2" s="30"/>
      <c r="E2" s="30"/>
      <c r="F2" s="30"/>
      <c r="G2" s="30"/>
      <c r="H2" s="30"/>
      <c r="L2" s="22" t="s">
        <v>122</v>
      </c>
      <c r="M2" s="22"/>
      <c r="N2" s="22"/>
    </row>
    <row r="3" spans="1:15" ht="18" x14ac:dyDescent="0.35">
      <c r="B3" s="30"/>
      <c r="C3" s="30"/>
      <c r="D3" s="30"/>
      <c r="E3" s="30"/>
      <c r="F3" s="30"/>
      <c r="G3" s="30"/>
      <c r="H3" s="30"/>
      <c r="L3" s="132" t="s">
        <v>58</v>
      </c>
      <c r="M3" s="132"/>
      <c r="N3" s="132" t="s">
        <v>13</v>
      </c>
      <c r="O3" s="132"/>
    </row>
    <row r="4" spans="1:15" ht="15.75" customHeight="1" x14ac:dyDescent="0.35">
      <c r="B4" s="30"/>
      <c r="C4" s="30"/>
      <c r="D4" s="75" t="s">
        <v>25</v>
      </c>
      <c r="E4" s="76">
        <f>'4637'!G8</f>
        <v>4144</v>
      </c>
      <c r="F4" s="30"/>
      <c r="G4" s="30"/>
      <c r="H4" s="30"/>
      <c r="L4" t="s">
        <v>6</v>
      </c>
      <c r="M4" t="s">
        <v>7</v>
      </c>
      <c r="N4" t="s">
        <v>6</v>
      </c>
      <c r="O4" t="s">
        <v>7</v>
      </c>
    </row>
    <row r="5" spans="1:15" ht="18" customHeight="1" x14ac:dyDescent="0.35">
      <c r="B5" s="30"/>
      <c r="C5" s="30"/>
      <c r="D5" s="77" t="s">
        <v>64</v>
      </c>
      <c r="E5" s="78" t="str">
        <f>'4637'!C10</f>
        <v>MIGUEL ESTAY</v>
      </c>
      <c r="F5" s="48"/>
      <c r="G5" s="48"/>
      <c r="H5" s="30"/>
      <c r="L5" t="e">
        <f>LOOKUP(#REF!,REGLAS!$I$4:$I$37,REGLAS!$G$4:$G$37)+#REF!</f>
        <v>#REF!</v>
      </c>
      <c r="M5" t="e">
        <f>LOOKUP(#REF!,REGLAS!$I$4:$I$37,REGLAS!$H$4:$H$37)+#REF!</f>
        <v>#REF!</v>
      </c>
      <c r="N5" t="e">
        <f>LOOKUP(#REF!,REGLAS!$D$4:$D$37,REGLAS!$B$4:$B$37)+#REF!</f>
        <v>#REF!</v>
      </c>
      <c r="O5" t="e">
        <f>LOOKUP(#REF!,REGLAS!$D$4:$D$37,REGLAS!$C$4:$C$37)+#REF!</f>
        <v>#REF!</v>
      </c>
    </row>
    <row r="6" spans="1:15" ht="4.5" customHeight="1" x14ac:dyDescent="0.35">
      <c r="B6" s="30"/>
      <c r="C6" s="30"/>
      <c r="D6" s="79"/>
      <c r="E6" s="80"/>
      <c r="F6" s="30"/>
      <c r="G6" s="30"/>
      <c r="H6" s="30"/>
    </row>
    <row r="7" spans="1:15" ht="18" x14ac:dyDescent="0.35">
      <c r="B7" s="30"/>
      <c r="C7" s="30"/>
      <c r="D7" s="90" t="str">
        <f>'4637'!F11</f>
        <v>FECHA LIMITE :</v>
      </c>
      <c r="E7" s="82">
        <f>'4637'!G11</f>
        <v>45677</v>
      </c>
      <c r="F7" s="30"/>
      <c r="G7" s="30" t="s">
        <v>137</v>
      </c>
      <c r="H7" s="30"/>
    </row>
    <row r="8" spans="1:15" ht="18" x14ac:dyDescent="0.35">
      <c r="B8" s="30"/>
      <c r="C8" s="30"/>
      <c r="D8" s="91" t="s">
        <v>121</v>
      </c>
      <c r="E8" s="30"/>
      <c r="F8" s="30"/>
      <c r="G8" s="30"/>
      <c r="H8" s="30"/>
    </row>
    <row r="9" spans="1:15" ht="18" x14ac:dyDescent="0.35">
      <c r="B9" s="30"/>
      <c r="C9" s="30"/>
      <c r="D9" s="30"/>
      <c r="E9" s="30"/>
      <c r="F9" s="30"/>
      <c r="G9" s="30"/>
      <c r="H9" s="30"/>
    </row>
    <row r="10" spans="1:15" ht="15" customHeight="1" x14ac:dyDescent="0.35">
      <c r="B10" s="133" t="s">
        <v>58</v>
      </c>
      <c r="C10" s="133"/>
      <c r="D10" s="133"/>
      <c r="E10" s="133"/>
      <c r="F10" s="133"/>
      <c r="G10" s="133"/>
      <c r="H10" s="30"/>
    </row>
    <row r="11" spans="1:15" ht="18" x14ac:dyDescent="0.35">
      <c r="B11" s="30"/>
      <c r="C11" s="30"/>
      <c r="D11" s="92"/>
      <c r="E11" s="30"/>
      <c r="F11" s="30"/>
      <c r="G11" s="30"/>
      <c r="H11" s="30"/>
    </row>
    <row r="12" spans="1:15" ht="18" x14ac:dyDescent="0.35">
      <c r="B12" s="30"/>
      <c r="C12" s="30"/>
      <c r="D12" s="30"/>
      <c r="E12" s="67" t="s">
        <v>6</v>
      </c>
      <c r="F12" s="67" t="s">
        <v>7</v>
      </c>
      <c r="G12" s="30"/>
      <c r="H12" s="30"/>
    </row>
    <row r="13" spans="1:15" ht="18" x14ac:dyDescent="0.35">
      <c r="B13" s="67" t="s">
        <v>8</v>
      </c>
      <c r="C13" s="93" t="s">
        <v>9</v>
      </c>
      <c r="D13" s="93" t="s">
        <v>10</v>
      </c>
      <c r="E13" s="94">
        <v>80</v>
      </c>
      <c r="F13" s="94">
        <v>-2</v>
      </c>
      <c r="G13" s="93" t="s">
        <v>107</v>
      </c>
      <c r="H13" s="30"/>
      <c r="K13" s="5" t="s">
        <v>6</v>
      </c>
      <c r="L13" s="5" t="s">
        <v>7</v>
      </c>
    </row>
    <row r="14" spans="1:15" ht="18" x14ac:dyDescent="0.35">
      <c r="A14" s="120">
        <v>1</v>
      </c>
      <c r="B14" s="103" t="s">
        <v>138</v>
      </c>
      <c r="C14" s="95">
        <f>J14</f>
        <v>2</v>
      </c>
      <c r="D14" s="95"/>
      <c r="E14" s="95">
        <f>K14+E$13</f>
        <v>773</v>
      </c>
      <c r="F14" s="95">
        <f>L14+F$13</f>
        <v>359</v>
      </c>
      <c r="G14" s="95" t="str">
        <f>D36</f>
        <v>PR6</v>
      </c>
      <c r="H14" s="30"/>
      <c r="J14" s="3">
        <f>'4637'!B21</f>
        <v>2</v>
      </c>
      <c r="K14" s="4">
        <f t="shared" ref="K14:L14" si="0">E36</f>
        <v>693</v>
      </c>
      <c r="L14" s="4">
        <f t="shared" si="0"/>
        <v>361</v>
      </c>
    </row>
    <row r="15" spans="1:15" ht="18" x14ac:dyDescent="0.35">
      <c r="A15" s="120">
        <v>2</v>
      </c>
      <c r="B15" s="103"/>
      <c r="C15" s="95">
        <f t="shared" ref="C15:C18" si="1">J15</f>
        <v>2</v>
      </c>
      <c r="D15" s="95"/>
      <c r="E15" s="95">
        <f t="shared" ref="E15:E18" si="2">K15+E$13</f>
        <v>773</v>
      </c>
      <c r="F15" s="95">
        <f>L15+F$13</f>
        <v>359</v>
      </c>
      <c r="G15" s="95" t="str">
        <f>D37</f>
        <v>PR6 / 3 FTES DE 228</v>
      </c>
      <c r="H15" s="30"/>
      <c r="J15" s="3">
        <f>'4637'!B22</f>
        <v>2</v>
      </c>
      <c r="K15" s="4">
        <f>E37</f>
        <v>693</v>
      </c>
      <c r="L15" s="4">
        <f>F37</f>
        <v>361</v>
      </c>
    </row>
    <row r="16" spans="1:15" ht="18" x14ac:dyDescent="0.35">
      <c r="A16" s="120">
        <v>3</v>
      </c>
      <c r="C16" s="95">
        <f t="shared" si="1"/>
        <v>2</v>
      </c>
      <c r="D16" s="95"/>
      <c r="E16" s="95">
        <f t="shared" si="2"/>
        <v>773</v>
      </c>
      <c r="F16" s="95">
        <f t="shared" ref="F16:F18" si="3">L16+F$13</f>
        <v>269</v>
      </c>
      <c r="G16" s="95" t="str">
        <f>D38</f>
        <v>PR6</v>
      </c>
      <c r="H16" s="30"/>
      <c r="J16" s="3">
        <f>'4637'!B23</f>
        <v>2</v>
      </c>
      <c r="K16" s="4">
        <f>E38</f>
        <v>693</v>
      </c>
      <c r="L16" s="4">
        <f>F38</f>
        <v>271</v>
      </c>
    </row>
    <row r="17" spans="1:13" ht="18" x14ac:dyDescent="0.35">
      <c r="A17" s="120">
        <v>4</v>
      </c>
      <c r="B17" s="103"/>
      <c r="C17" s="95">
        <f t="shared" si="1"/>
        <v>2</v>
      </c>
      <c r="D17" s="95"/>
      <c r="E17" s="95">
        <f t="shared" si="2"/>
        <v>773</v>
      </c>
      <c r="F17" s="95">
        <f t="shared" si="3"/>
        <v>296</v>
      </c>
      <c r="G17" s="95" t="str">
        <f>D39</f>
        <v>PR6</v>
      </c>
      <c r="H17" s="30"/>
      <c r="J17" s="3">
        <f>'4637'!B24</f>
        <v>2</v>
      </c>
      <c r="K17" s="4">
        <f>E39</f>
        <v>693</v>
      </c>
      <c r="L17" s="4">
        <f>F39</f>
        <v>298</v>
      </c>
    </row>
    <row r="18" spans="1:13" ht="18" x14ac:dyDescent="0.35">
      <c r="A18" s="120">
        <v>5</v>
      </c>
      <c r="B18" s="103"/>
      <c r="C18" s="95">
        <f t="shared" si="1"/>
        <v>2</v>
      </c>
      <c r="D18" s="95"/>
      <c r="E18" s="95">
        <f t="shared" si="2"/>
        <v>773</v>
      </c>
      <c r="F18" s="95">
        <f t="shared" si="3"/>
        <v>296</v>
      </c>
      <c r="G18" s="95" t="str">
        <f>D40</f>
        <v>PR6 / 3 FTES DE 228</v>
      </c>
      <c r="H18" s="30"/>
      <c r="J18" s="3">
        <f>'4637'!B25</f>
        <v>2</v>
      </c>
      <c r="K18" s="4">
        <f>E40</f>
        <v>693</v>
      </c>
      <c r="L18" s="4">
        <f>F40</f>
        <v>298</v>
      </c>
    </row>
    <row r="19" spans="1:13" ht="18" x14ac:dyDescent="0.35">
      <c r="A19" s="2"/>
      <c r="B19" s="84"/>
      <c r="C19" s="74"/>
      <c r="D19" s="74"/>
      <c r="E19" s="74"/>
      <c r="F19" s="74"/>
      <c r="G19" s="74"/>
      <c r="H19" s="30"/>
      <c r="J19" s="23"/>
      <c r="K19" s="2"/>
      <c r="L19" s="2"/>
    </row>
    <row r="20" spans="1:13" ht="6.75" customHeight="1" x14ac:dyDescent="0.35">
      <c r="A20" s="2"/>
      <c r="B20" s="30"/>
      <c r="C20" s="30"/>
      <c r="D20" s="30"/>
      <c r="E20" s="30"/>
      <c r="F20" s="30"/>
      <c r="G20" s="30"/>
      <c r="H20" s="30"/>
    </row>
    <row r="21" spans="1:13" ht="18" x14ac:dyDescent="0.35">
      <c r="A21" s="2"/>
      <c r="B21" s="133" t="s">
        <v>13</v>
      </c>
      <c r="C21" s="133"/>
      <c r="D21" s="133"/>
      <c r="E21" s="133"/>
      <c r="F21" s="133"/>
      <c r="G21" s="133"/>
      <c r="H21" s="30"/>
    </row>
    <row r="22" spans="1:13" ht="10.5" customHeight="1" x14ac:dyDescent="0.35">
      <c r="A22" s="2"/>
      <c r="B22" s="30"/>
      <c r="C22" s="30"/>
      <c r="D22" s="92"/>
      <c r="E22" s="30"/>
      <c r="F22" s="30"/>
      <c r="G22" s="30"/>
      <c r="H22" s="30"/>
    </row>
    <row r="23" spans="1:13" ht="18" x14ac:dyDescent="0.35">
      <c r="A23" s="2"/>
      <c r="B23" s="30"/>
      <c r="C23" s="30"/>
      <c r="D23" s="30"/>
      <c r="E23" s="67" t="s">
        <v>6</v>
      </c>
      <c r="F23" s="67" t="s">
        <v>7</v>
      </c>
      <c r="G23" s="30"/>
      <c r="H23" s="30"/>
    </row>
    <row r="24" spans="1:13" ht="18" x14ac:dyDescent="0.35">
      <c r="A24" s="2"/>
      <c r="B24" s="67" t="s">
        <v>8</v>
      </c>
      <c r="C24" s="83" t="s">
        <v>9</v>
      </c>
      <c r="D24" s="83" t="s">
        <v>10</v>
      </c>
      <c r="E24" s="96">
        <v>40</v>
      </c>
      <c r="F24" s="96">
        <v>90</v>
      </c>
      <c r="G24" s="83" t="s">
        <v>107</v>
      </c>
      <c r="H24" s="30"/>
      <c r="K24" s="5" t="s">
        <v>6</v>
      </c>
      <c r="L24" s="5" t="s">
        <v>7</v>
      </c>
    </row>
    <row r="25" spans="1:13" ht="18" x14ac:dyDescent="0.35">
      <c r="A25" s="120">
        <v>1</v>
      </c>
      <c r="B25" s="103"/>
      <c r="C25" s="97">
        <f t="shared" ref="C25" si="4">J25</f>
        <v>2</v>
      </c>
      <c r="D25" s="97"/>
      <c r="E25" s="97">
        <f>K25+E$24</f>
        <v>733</v>
      </c>
      <c r="F25" s="97">
        <f t="shared" ref="F25:F26" si="5">L25+F$24</f>
        <v>451</v>
      </c>
      <c r="G25" s="97" t="str">
        <f>D36</f>
        <v>PR6</v>
      </c>
      <c r="H25" s="30"/>
      <c r="J25" s="3">
        <f>C36</f>
        <v>2</v>
      </c>
      <c r="K25" s="112">
        <f>E36</f>
        <v>693</v>
      </c>
      <c r="L25" s="112">
        <f>F36</f>
        <v>361</v>
      </c>
    </row>
    <row r="26" spans="1:13" ht="18" x14ac:dyDescent="0.35">
      <c r="A26" s="120">
        <v>2</v>
      </c>
      <c r="B26" s="103"/>
      <c r="C26" s="97">
        <f t="shared" ref="C26:C30" si="6">J26</f>
        <v>2</v>
      </c>
      <c r="D26" s="97"/>
      <c r="E26" s="97">
        <f>K26+E$24</f>
        <v>733</v>
      </c>
      <c r="F26" s="97">
        <f t="shared" si="5"/>
        <v>451</v>
      </c>
      <c r="G26" s="97" t="str">
        <f t="shared" ref="G26:G30" si="7">D37</f>
        <v>PR6 / 3 FTES DE 228</v>
      </c>
      <c r="H26" s="30"/>
      <c r="J26" s="3">
        <f t="shared" ref="J26:J30" si="8">C37</f>
        <v>2</v>
      </c>
      <c r="K26" s="109">
        <f t="shared" ref="K26:L26" si="9">E37</f>
        <v>693</v>
      </c>
      <c r="L26" s="109">
        <f t="shared" si="9"/>
        <v>361</v>
      </c>
    </row>
    <row r="27" spans="1:13" ht="18" x14ac:dyDescent="0.35">
      <c r="A27" s="120">
        <v>3</v>
      </c>
      <c r="B27" s="103"/>
      <c r="C27" s="97">
        <f t="shared" si="6"/>
        <v>2</v>
      </c>
      <c r="D27" s="97"/>
      <c r="E27" s="97">
        <f>K27+E$24</f>
        <v>733</v>
      </c>
      <c r="F27" s="97">
        <f>L27+90</f>
        <v>361</v>
      </c>
      <c r="G27" s="97" t="str">
        <f t="shared" si="7"/>
        <v>PR6</v>
      </c>
      <c r="H27" s="30"/>
      <c r="J27" s="3">
        <f t="shared" si="8"/>
        <v>2</v>
      </c>
      <c r="K27" s="111">
        <f t="shared" ref="K27:L27" si="10">E38</f>
        <v>693</v>
      </c>
      <c r="L27" s="111">
        <f t="shared" si="10"/>
        <v>271</v>
      </c>
    </row>
    <row r="28" spans="1:13" ht="18" x14ac:dyDescent="0.35">
      <c r="A28" s="120">
        <v>4</v>
      </c>
      <c r="B28" s="103"/>
      <c r="C28" s="97">
        <f t="shared" si="6"/>
        <v>2</v>
      </c>
      <c r="D28" s="97"/>
      <c r="E28" s="97">
        <f>K28+E$24</f>
        <v>733</v>
      </c>
      <c r="F28" s="97">
        <f t="shared" ref="F28:F29" si="11">L28+90</f>
        <v>388</v>
      </c>
      <c r="G28" s="97" t="str">
        <f t="shared" si="7"/>
        <v>PR6</v>
      </c>
      <c r="H28" s="30"/>
      <c r="J28" s="3">
        <f t="shared" si="8"/>
        <v>2</v>
      </c>
      <c r="K28" s="109">
        <f t="shared" ref="K28:L28" si="12">E39</f>
        <v>693</v>
      </c>
      <c r="L28" s="109">
        <f t="shared" si="12"/>
        <v>298</v>
      </c>
      <c r="M28" s="110">
        <v>2</v>
      </c>
    </row>
    <row r="29" spans="1:13" ht="18" x14ac:dyDescent="0.35">
      <c r="A29" s="120">
        <v>5</v>
      </c>
      <c r="B29" s="103"/>
      <c r="C29" s="97">
        <f t="shared" si="6"/>
        <v>2</v>
      </c>
      <c r="D29" s="97"/>
      <c r="E29" s="97">
        <f>K29+E$24</f>
        <v>733</v>
      </c>
      <c r="F29" s="97">
        <f t="shared" si="11"/>
        <v>388</v>
      </c>
      <c r="G29" s="97" t="str">
        <f t="shared" si="7"/>
        <v>PR6 / 3 FTES DE 228</v>
      </c>
      <c r="H29" s="30"/>
      <c r="J29" s="3">
        <f t="shared" si="8"/>
        <v>2</v>
      </c>
      <c r="K29" s="112">
        <f t="shared" ref="K29:L29" si="13">E40</f>
        <v>693</v>
      </c>
      <c r="L29" s="112">
        <f t="shared" si="13"/>
        <v>298</v>
      </c>
    </row>
    <row r="30" spans="1:13" ht="18" x14ac:dyDescent="0.35">
      <c r="A30" s="120">
        <v>6</v>
      </c>
      <c r="B30" s="103"/>
      <c r="C30" s="97">
        <f t="shared" si="6"/>
        <v>2</v>
      </c>
      <c r="D30" s="97"/>
      <c r="E30" s="97">
        <f>K30+E$24</f>
        <v>3040</v>
      </c>
      <c r="F30" s="97">
        <v>120</v>
      </c>
      <c r="G30" s="97" t="str">
        <f t="shared" si="7"/>
        <v xml:space="preserve">ZOCALOS </v>
      </c>
      <c r="H30" s="30"/>
      <c r="J30" s="3">
        <f t="shared" si="8"/>
        <v>2</v>
      </c>
      <c r="K30" s="109">
        <f t="shared" ref="K30:L30" si="14">E41</f>
        <v>3000</v>
      </c>
      <c r="L30" s="109">
        <f t="shared" si="14"/>
        <v>120</v>
      </c>
      <c r="M30" s="110">
        <v>2</v>
      </c>
    </row>
    <row r="31" spans="1:13" ht="18" x14ac:dyDescent="0.35">
      <c r="A31" s="120"/>
      <c r="B31" s="103"/>
      <c r="C31" s="74"/>
      <c r="D31" s="74"/>
      <c r="E31" s="74"/>
      <c r="F31" s="74"/>
      <c r="G31" s="74"/>
      <c r="H31" s="30"/>
      <c r="J31" s="23"/>
      <c r="K31" s="122"/>
      <c r="L31" s="122"/>
    </row>
    <row r="32" spans="1:13" ht="18.600000000000001" thickBot="1" x14ac:dyDescent="0.4">
      <c r="A32" s="2"/>
      <c r="B32" s="84"/>
      <c r="C32" s="74"/>
      <c r="D32" s="74"/>
      <c r="E32" s="74"/>
      <c r="F32" s="74"/>
      <c r="G32" s="74"/>
      <c r="H32" s="30"/>
      <c r="I32" s="118"/>
      <c r="J32" s="119"/>
      <c r="K32" s="119"/>
      <c r="L32" s="119"/>
    </row>
    <row r="33" spans="1:12" ht="18.600000000000001" thickBot="1" x14ac:dyDescent="0.4">
      <c r="A33" s="2"/>
      <c r="B33" s="67"/>
      <c r="C33" s="98" t="s">
        <v>104</v>
      </c>
      <c r="D33" s="33"/>
      <c r="E33" s="33"/>
      <c r="F33" s="33"/>
      <c r="G33" s="99"/>
      <c r="H33" s="30"/>
      <c r="J33" s="2"/>
      <c r="K33" s="2"/>
      <c r="L33" s="2"/>
    </row>
    <row r="34" spans="1:12" ht="10.5" customHeight="1" x14ac:dyDescent="0.35">
      <c r="A34" s="2"/>
      <c r="B34" s="30"/>
      <c r="C34" s="30"/>
      <c r="D34" s="30"/>
      <c r="E34" s="30"/>
      <c r="F34" s="30"/>
      <c r="G34" s="30"/>
      <c r="H34" s="30"/>
    </row>
    <row r="35" spans="1:12" ht="18" x14ac:dyDescent="0.35">
      <c r="A35" s="2"/>
      <c r="B35" s="67" t="s">
        <v>8</v>
      </c>
      <c r="C35" s="100" t="s">
        <v>9</v>
      </c>
      <c r="D35" s="100" t="s">
        <v>107</v>
      </c>
      <c r="E35" s="100" t="s">
        <v>6</v>
      </c>
      <c r="F35" s="100" t="s">
        <v>7</v>
      </c>
      <c r="G35" s="100" t="s">
        <v>21</v>
      </c>
      <c r="H35" s="30"/>
    </row>
    <row r="36" spans="1:12" ht="18" x14ac:dyDescent="0.35">
      <c r="A36" s="120">
        <v>1</v>
      </c>
      <c r="B36" s="103" t="s">
        <v>135</v>
      </c>
      <c r="C36" s="95">
        <f>'4637'!B21</f>
        <v>2</v>
      </c>
      <c r="D36" s="95" t="str">
        <f>'4637'!C21</f>
        <v>PR6</v>
      </c>
      <c r="E36" s="95">
        <f>'4637'!D21</f>
        <v>693</v>
      </c>
      <c r="F36" s="95">
        <f>'4637'!E21</f>
        <v>361</v>
      </c>
      <c r="G36" s="95" t="str">
        <f>'4637'!F21</f>
        <v>BLANCO BRILLO</v>
      </c>
      <c r="H36" s="30"/>
      <c r="I36" s="28">
        <f>E36*F36/1000000</f>
        <v>0.25017299999999998</v>
      </c>
      <c r="J36" s="28">
        <f>I36*C36</f>
        <v>0.50034599999999996</v>
      </c>
    </row>
    <row r="37" spans="1:12" ht="18" x14ac:dyDescent="0.35">
      <c r="A37" s="120">
        <v>2</v>
      </c>
      <c r="B37" s="103"/>
      <c r="C37" s="95">
        <f>'4637'!B22</f>
        <v>2</v>
      </c>
      <c r="D37" s="95" t="str">
        <f>'4637'!C22</f>
        <v>PR6 / 3 FTES DE 228</v>
      </c>
      <c r="E37" s="95">
        <f>'4637'!D22</f>
        <v>693</v>
      </c>
      <c r="F37" s="95">
        <f>'4637'!E22</f>
        <v>361</v>
      </c>
      <c r="G37" s="95" t="str">
        <f>'4637'!F22</f>
        <v>BLANCO BRILLO</v>
      </c>
      <c r="H37" s="30"/>
      <c r="I37" s="28"/>
      <c r="J37" s="28"/>
    </row>
    <row r="38" spans="1:12" ht="18" x14ac:dyDescent="0.35">
      <c r="A38" s="120">
        <v>3</v>
      </c>
      <c r="C38" s="95">
        <f>'4637'!B23</f>
        <v>2</v>
      </c>
      <c r="D38" s="95" t="str">
        <f>'4637'!C23</f>
        <v>PR6</v>
      </c>
      <c r="E38" s="95">
        <f>'4637'!D23</f>
        <v>693</v>
      </c>
      <c r="F38" s="95">
        <f>'4637'!E23</f>
        <v>271</v>
      </c>
      <c r="G38" s="95" t="str">
        <f>'4637'!F23</f>
        <v>BLANCO BRILLO</v>
      </c>
      <c r="H38" s="30"/>
      <c r="I38" s="28"/>
      <c r="J38" s="28"/>
    </row>
    <row r="39" spans="1:12" ht="18" x14ac:dyDescent="0.35">
      <c r="A39" s="120">
        <v>4</v>
      </c>
      <c r="B39" s="103"/>
      <c r="C39" s="95">
        <f>'4637'!B24</f>
        <v>2</v>
      </c>
      <c r="D39" s="95" t="str">
        <f>'4637'!C24</f>
        <v>PR6</v>
      </c>
      <c r="E39" s="95">
        <f>'4637'!D24</f>
        <v>693</v>
      </c>
      <c r="F39" s="95">
        <f>'4637'!E24</f>
        <v>298</v>
      </c>
      <c r="G39" s="95" t="str">
        <f>'4637'!F24</f>
        <v>BLANCO BRILLO</v>
      </c>
      <c r="H39" s="30"/>
      <c r="I39" s="28"/>
      <c r="J39" s="28"/>
    </row>
    <row r="40" spans="1:12" ht="18" x14ac:dyDescent="0.35">
      <c r="A40" s="120">
        <v>5</v>
      </c>
      <c r="B40" s="103"/>
      <c r="C40" s="95">
        <f>'4637'!B25</f>
        <v>2</v>
      </c>
      <c r="D40" s="95" t="str">
        <f>'4637'!C25</f>
        <v>PR6 / 3 FTES DE 228</v>
      </c>
      <c r="E40" s="95">
        <f>'4637'!D25</f>
        <v>693</v>
      </c>
      <c r="F40" s="95">
        <f>'4637'!E25</f>
        <v>298</v>
      </c>
      <c r="G40" s="95" t="str">
        <f>'4637'!F25</f>
        <v>BLANCO BRILLO</v>
      </c>
      <c r="H40" s="30"/>
      <c r="I40" s="28"/>
      <c r="J40" s="28"/>
    </row>
    <row r="41" spans="1:12" ht="18" x14ac:dyDescent="0.35">
      <c r="A41" s="120">
        <v>6</v>
      </c>
      <c r="B41" s="103"/>
      <c r="C41" s="95">
        <f>'4637'!B26</f>
        <v>2</v>
      </c>
      <c r="D41" s="95" t="str">
        <f>'4637'!C26</f>
        <v xml:space="preserve">ZOCALOS </v>
      </c>
      <c r="E41" s="95">
        <f>'4637'!D26</f>
        <v>3000</v>
      </c>
      <c r="F41" s="95">
        <f>'4637'!E26</f>
        <v>120</v>
      </c>
      <c r="G41" s="95" t="str">
        <f>'4637'!F26</f>
        <v>SILVERY 99981 MT</v>
      </c>
      <c r="H41" s="30"/>
      <c r="I41" s="28"/>
      <c r="J41" s="28"/>
    </row>
    <row r="42" spans="1:12" ht="18" x14ac:dyDescent="0.35">
      <c r="A42" s="2"/>
      <c r="B42" s="84"/>
      <c r="C42" s="74"/>
      <c r="D42" s="74"/>
      <c r="E42" s="74"/>
      <c r="F42" s="74"/>
      <c r="G42" s="74"/>
      <c r="H42" s="30"/>
      <c r="I42" s="28"/>
      <c r="J42" s="28"/>
    </row>
    <row r="43" spans="1:12" ht="18" x14ac:dyDescent="0.35">
      <c r="A43" s="2"/>
      <c r="B43" s="30"/>
      <c r="C43" s="74"/>
      <c r="D43" s="74"/>
      <c r="E43" s="74"/>
      <c r="F43" s="74"/>
      <c r="G43" s="74"/>
      <c r="H43" s="30"/>
    </row>
    <row r="44" spans="1:12" ht="18" x14ac:dyDescent="0.35">
      <c r="A44" s="2"/>
      <c r="B44" s="30"/>
      <c r="C44" s="74"/>
      <c r="D44" s="74"/>
      <c r="E44" s="74"/>
      <c r="F44" s="74"/>
      <c r="G44" s="74"/>
      <c r="H44" s="30"/>
      <c r="J44" s="28">
        <f>SUM(J36:J36)*2</f>
        <v>1.0006919999999999</v>
      </c>
    </row>
    <row r="45" spans="1:12" ht="18" x14ac:dyDescent="0.35">
      <c r="A45" s="2"/>
      <c r="B45" s="30"/>
      <c r="C45" s="74"/>
      <c r="D45" s="74"/>
      <c r="E45" s="74"/>
      <c r="F45" s="74"/>
      <c r="G45" s="74"/>
      <c r="H45" s="30"/>
    </row>
    <row r="46" spans="1:12" ht="18" x14ac:dyDescent="0.35">
      <c r="A46" s="2"/>
      <c r="B46" s="30"/>
      <c r="C46" s="74"/>
      <c r="D46" s="74"/>
      <c r="E46" s="74"/>
      <c r="F46" s="74"/>
      <c r="G46" s="74"/>
      <c r="H46" s="30"/>
    </row>
    <row r="47" spans="1:12" ht="18" x14ac:dyDescent="0.35">
      <c r="A47" s="2"/>
      <c r="B47" s="30"/>
      <c r="C47" s="74"/>
      <c r="D47" s="74"/>
      <c r="E47" s="74"/>
      <c r="F47" s="74"/>
      <c r="G47" s="74"/>
      <c r="H47" s="30"/>
    </row>
    <row r="48" spans="1:12" ht="18" x14ac:dyDescent="0.35">
      <c r="A48" s="2"/>
      <c r="B48" s="30"/>
      <c r="C48" s="74"/>
      <c r="D48" s="74"/>
      <c r="E48" s="74"/>
      <c r="F48" s="74"/>
      <c r="G48" s="74"/>
      <c r="H48" s="30"/>
    </row>
    <row r="49" spans="1:13" ht="18" x14ac:dyDescent="0.35">
      <c r="A49" s="2"/>
      <c r="B49" s="30"/>
      <c r="C49" s="74"/>
      <c r="D49" s="74"/>
      <c r="E49" s="74"/>
      <c r="F49" s="74"/>
      <c r="G49" s="74"/>
      <c r="H49" s="30"/>
    </row>
    <row r="50" spans="1:13" ht="18" x14ac:dyDescent="0.35">
      <c r="A50" s="2"/>
      <c r="B50" s="30"/>
      <c r="C50" s="74"/>
      <c r="D50" s="74"/>
      <c r="E50" s="74"/>
      <c r="F50" s="74"/>
      <c r="G50" s="74"/>
      <c r="H50" s="30"/>
    </row>
    <row r="51" spans="1:13" ht="18" x14ac:dyDescent="0.35">
      <c r="A51" s="2"/>
      <c r="B51" s="30"/>
      <c r="C51" s="74"/>
      <c r="D51" s="74"/>
      <c r="E51" s="74"/>
      <c r="F51" s="74"/>
      <c r="G51" s="74"/>
      <c r="H51" s="30"/>
    </row>
    <row r="52" spans="1:13" ht="18" x14ac:dyDescent="0.35">
      <c r="A52" s="2"/>
      <c r="B52" s="30"/>
      <c r="C52" s="30"/>
      <c r="D52" s="30"/>
      <c r="E52" s="30"/>
      <c r="F52" s="30"/>
      <c r="G52" s="30"/>
      <c r="H52" s="30"/>
    </row>
    <row r="53" spans="1:13" ht="18" x14ac:dyDescent="0.35">
      <c r="A53" s="2"/>
      <c r="B53" s="30"/>
      <c r="C53" s="30"/>
      <c r="D53" s="75" t="s">
        <v>25</v>
      </c>
      <c r="E53" s="76">
        <f>'4637'!G8</f>
        <v>4144</v>
      </c>
      <c r="F53" s="30"/>
      <c r="G53" s="30"/>
      <c r="H53" s="30"/>
    </row>
    <row r="54" spans="1:13" ht="17.25" customHeight="1" x14ac:dyDescent="0.35">
      <c r="A54" s="2"/>
      <c r="B54" s="30"/>
      <c r="C54" s="30"/>
      <c r="D54" s="77" t="s">
        <v>64</v>
      </c>
      <c r="E54" s="78" t="str">
        <f>'4637'!C10</f>
        <v>MIGUEL ESTAY</v>
      </c>
      <c r="F54" s="48"/>
      <c r="G54" s="48"/>
      <c r="H54" s="30"/>
    </row>
    <row r="55" spans="1:13" ht="4.5" customHeight="1" x14ac:dyDescent="0.35">
      <c r="A55" s="2"/>
      <c r="B55" s="30"/>
      <c r="C55" s="30"/>
      <c r="D55" s="79"/>
      <c r="E55" s="80"/>
      <c r="F55" s="30"/>
      <c r="G55" s="30"/>
      <c r="H55" s="30"/>
    </row>
    <row r="56" spans="1:13" ht="18" x14ac:dyDescent="0.35">
      <c r="A56" s="2"/>
      <c r="B56" s="30"/>
      <c r="C56" s="30"/>
      <c r="D56" s="81" t="str">
        <f>'4637'!F11</f>
        <v>FECHA LIMITE :</v>
      </c>
      <c r="E56" s="82">
        <f>'4637'!G11</f>
        <v>45677</v>
      </c>
      <c r="F56" s="30"/>
      <c r="G56" s="30"/>
      <c r="H56" s="30"/>
    </row>
    <row r="57" spans="1:13" ht="18" x14ac:dyDescent="0.35">
      <c r="A57" s="2"/>
      <c r="B57" s="30"/>
      <c r="C57" s="30"/>
      <c r="D57" s="30"/>
      <c r="E57" s="30"/>
      <c r="F57" s="30"/>
      <c r="G57" s="30" t="s">
        <v>137</v>
      </c>
      <c r="H57" s="30"/>
    </row>
    <row r="58" spans="1:13" ht="18" x14ac:dyDescent="0.35">
      <c r="A58" s="2"/>
      <c r="B58" s="30"/>
      <c r="C58" s="30"/>
      <c r="D58" s="30"/>
      <c r="E58" s="30"/>
      <c r="F58" s="30"/>
      <c r="G58" s="30"/>
      <c r="H58" s="30"/>
    </row>
    <row r="59" spans="1:13" ht="18" x14ac:dyDescent="0.35">
      <c r="A59" s="2"/>
      <c r="B59" s="134" t="s">
        <v>65</v>
      </c>
      <c r="C59" s="134"/>
      <c r="D59" s="134"/>
      <c r="E59" s="134"/>
      <c r="F59" s="134"/>
      <c r="G59" s="134"/>
      <c r="H59" s="30"/>
    </row>
    <row r="60" spans="1:13" ht="18" x14ac:dyDescent="0.35">
      <c r="A60" s="2"/>
      <c r="B60" s="30"/>
      <c r="C60" s="30"/>
      <c r="D60" s="30"/>
      <c r="E60" s="30"/>
      <c r="F60" s="30"/>
      <c r="G60" s="30"/>
      <c r="H60" s="30"/>
    </row>
    <row r="61" spans="1:13" ht="20.100000000000001" customHeight="1" x14ac:dyDescent="0.35">
      <c r="A61" s="2"/>
      <c r="B61" s="30"/>
      <c r="C61" s="135" t="s">
        <v>66</v>
      </c>
      <c r="D61" s="136"/>
      <c r="E61" s="137"/>
      <c r="F61" s="137"/>
      <c r="G61" s="138"/>
      <c r="H61" s="30"/>
      <c r="I61" s="25" t="s">
        <v>130</v>
      </c>
    </row>
    <row r="62" spans="1:13" s="10" customFormat="1" ht="20.100000000000001" customHeight="1" x14ac:dyDescent="0.35">
      <c r="A62" s="121"/>
      <c r="B62" s="30"/>
      <c r="C62" s="85" t="s">
        <v>9</v>
      </c>
      <c r="D62" s="86" t="s">
        <v>10</v>
      </c>
      <c r="E62" s="89" t="s">
        <v>6</v>
      </c>
      <c r="F62" s="89" t="s">
        <v>7</v>
      </c>
      <c r="G62" s="87" t="s">
        <v>11</v>
      </c>
      <c r="H62" s="30"/>
      <c r="K62" s="10">
        <v>15000</v>
      </c>
    </row>
    <row r="63" spans="1:13" s="10" customFormat="1" ht="20.100000000000001" customHeight="1" x14ac:dyDescent="0.35">
      <c r="A63" s="120">
        <v>1</v>
      </c>
      <c r="B63" s="102" t="s">
        <v>134</v>
      </c>
      <c r="C63" s="97">
        <f>'4637'!B21</f>
        <v>2</v>
      </c>
      <c r="D63" s="97" t="str">
        <f>'4637'!C21</f>
        <v>PR6</v>
      </c>
      <c r="E63" s="101">
        <f>'4637'!D21</f>
        <v>693</v>
      </c>
      <c r="F63" s="101">
        <f>'4637'!E21</f>
        <v>361</v>
      </c>
      <c r="G63" s="97" t="str">
        <f>'4637'!F21</f>
        <v>BLANCO BRILLO</v>
      </c>
      <c r="H63" s="30"/>
      <c r="I63" s="10">
        <f>E63*F63/1000000</f>
        <v>0.25017299999999998</v>
      </c>
      <c r="J63" s="10">
        <f>I63*C63</f>
        <v>0.50034599999999996</v>
      </c>
      <c r="K63" s="26">
        <f>J63*K$62</f>
        <v>7505.19</v>
      </c>
      <c r="M63" s="24">
        <v>12096</v>
      </c>
    </row>
    <row r="64" spans="1:13" s="10" customFormat="1" ht="20.100000000000001" customHeight="1" x14ac:dyDescent="0.35">
      <c r="A64" s="120">
        <v>2</v>
      </c>
      <c r="B64" s="102"/>
      <c r="C64" s="97">
        <f>'4637'!B22</f>
        <v>2</v>
      </c>
      <c r="D64" s="97" t="str">
        <f>'4637'!C22</f>
        <v>PR6 / 3 FTES DE 228</v>
      </c>
      <c r="E64" s="101">
        <f>'4637'!D22</f>
        <v>693</v>
      </c>
      <c r="F64" s="101">
        <f>'4637'!E22</f>
        <v>361</v>
      </c>
      <c r="G64" s="97" t="str">
        <f>'4637'!F22</f>
        <v>BLANCO BRILLO</v>
      </c>
      <c r="H64" s="30"/>
      <c r="K64" s="26"/>
      <c r="M64" s="29"/>
    </row>
    <row r="65" spans="1:13" s="10" customFormat="1" ht="20.100000000000001" customHeight="1" x14ac:dyDescent="0.35">
      <c r="A65" s="120">
        <v>3</v>
      </c>
      <c r="C65" s="97">
        <f>'4637'!B23</f>
        <v>2</v>
      </c>
      <c r="D65" s="97" t="str">
        <f>'4637'!C23</f>
        <v>PR6</v>
      </c>
      <c r="E65" s="101">
        <f>'4637'!D23</f>
        <v>693</v>
      </c>
      <c r="F65" s="101">
        <f>'4637'!E23</f>
        <v>271</v>
      </c>
      <c r="G65" s="97" t="str">
        <f>'4637'!F23</f>
        <v>BLANCO BRILLO</v>
      </c>
      <c r="H65" s="30"/>
      <c r="K65" s="26"/>
      <c r="M65" s="29"/>
    </row>
    <row r="66" spans="1:13" s="10" customFormat="1" ht="20.100000000000001" customHeight="1" x14ac:dyDescent="0.35">
      <c r="A66" s="120">
        <v>4</v>
      </c>
      <c r="B66" s="102"/>
      <c r="C66" s="97">
        <f>'4637'!B24</f>
        <v>2</v>
      </c>
      <c r="D66" s="97" t="str">
        <f>'4637'!C24</f>
        <v>PR6</v>
      </c>
      <c r="E66" s="101">
        <f>'4637'!D24</f>
        <v>693</v>
      </c>
      <c r="F66" s="101">
        <f>'4637'!E24</f>
        <v>298</v>
      </c>
      <c r="G66" s="97" t="str">
        <f>'4637'!F24</f>
        <v>BLANCO BRILLO</v>
      </c>
      <c r="H66" s="30"/>
      <c r="K66" s="26"/>
      <c r="M66" s="29"/>
    </row>
    <row r="67" spans="1:13" s="10" customFormat="1" ht="20.100000000000001" customHeight="1" x14ac:dyDescent="0.35">
      <c r="A67" s="120">
        <v>5</v>
      </c>
      <c r="B67" s="102"/>
      <c r="C67" s="97">
        <f>'4637'!B25</f>
        <v>2</v>
      </c>
      <c r="D67" s="97" t="str">
        <f>'4637'!C25</f>
        <v>PR6 / 3 FTES DE 228</v>
      </c>
      <c r="E67" s="101">
        <f>'4637'!D25</f>
        <v>693</v>
      </c>
      <c r="F67" s="101">
        <f>'4637'!E25</f>
        <v>298</v>
      </c>
      <c r="G67" s="97" t="str">
        <f>'4637'!F25</f>
        <v>BLANCO BRILLO</v>
      </c>
      <c r="H67" s="30"/>
      <c r="K67" s="26"/>
      <c r="M67" s="29"/>
    </row>
    <row r="68" spans="1:13" s="10" customFormat="1" ht="20.100000000000001" customHeight="1" x14ac:dyDescent="0.35">
      <c r="A68" s="120">
        <v>6</v>
      </c>
      <c r="B68" s="102"/>
      <c r="C68" s="97">
        <f>'4637'!B26</f>
        <v>2</v>
      </c>
      <c r="D68" s="97" t="str">
        <f>'4637'!C26</f>
        <v xml:space="preserve">ZOCALOS </v>
      </c>
      <c r="E68" s="101">
        <f>'4637'!D26</f>
        <v>3000</v>
      </c>
      <c r="F68" s="101">
        <f>'4637'!E26</f>
        <v>120</v>
      </c>
      <c r="G68" s="97" t="str">
        <f>'4637'!F26</f>
        <v>SILVERY 99981 MT</v>
      </c>
      <c r="H68" s="30"/>
      <c r="K68" s="26"/>
      <c r="M68" s="29"/>
    </row>
    <row r="69" spans="1:13" s="10" customFormat="1" ht="15" customHeight="1" x14ac:dyDescent="0.35">
      <c r="B69" s="84"/>
      <c r="C69" s="67"/>
      <c r="D69" s="67"/>
      <c r="E69" s="67"/>
      <c r="F69" s="67"/>
      <c r="G69" s="67"/>
      <c r="H69" s="30"/>
    </row>
    <row r="70" spans="1:13" ht="18" x14ac:dyDescent="0.35">
      <c r="B70" s="74"/>
      <c r="C70" s="74"/>
      <c r="D70" s="30"/>
      <c r="E70" s="74"/>
      <c r="F70" s="74"/>
      <c r="G70" s="79"/>
      <c r="H70" s="30"/>
    </row>
    <row r="71" spans="1:13" ht="18" x14ac:dyDescent="0.35">
      <c r="B71" s="74"/>
      <c r="C71" s="74"/>
      <c r="D71" s="30"/>
      <c r="E71" s="74"/>
      <c r="F71" s="74"/>
      <c r="G71" s="74"/>
      <c r="H71" s="30"/>
      <c r="J71" s="10">
        <f>SUM(J63:J63)</f>
        <v>0.50034599999999996</v>
      </c>
      <c r="K71" s="27">
        <f>SUM(K63:K63)</f>
        <v>7505.19</v>
      </c>
    </row>
    <row r="72" spans="1:13" ht="18" x14ac:dyDescent="0.35">
      <c r="B72" s="30"/>
      <c r="C72" s="30"/>
      <c r="D72" s="30"/>
      <c r="E72" s="30"/>
      <c r="F72" s="30"/>
      <c r="G72" s="30"/>
      <c r="H72" s="30"/>
    </row>
    <row r="73" spans="1:13" ht="18" x14ac:dyDescent="0.35">
      <c r="B73" s="30"/>
      <c r="C73" s="30"/>
      <c r="D73" s="30"/>
      <c r="E73" s="30"/>
      <c r="F73" s="30"/>
      <c r="G73" s="30"/>
      <c r="H73" s="30"/>
    </row>
    <row r="74" spans="1:13" ht="18" x14ac:dyDescent="0.35">
      <c r="B74" s="30"/>
      <c r="C74" s="30"/>
      <c r="D74" s="30"/>
      <c r="E74" s="30"/>
      <c r="F74" s="30"/>
      <c r="G74" s="30"/>
      <c r="H74" s="30"/>
    </row>
    <row r="75" spans="1:13" ht="15" customHeight="1" x14ac:dyDescent="0.35">
      <c r="B75" s="30"/>
      <c r="C75" s="30"/>
      <c r="D75" s="30"/>
      <c r="E75" s="30"/>
      <c r="F75" s="30"/>
      <c r="G75" s="30"/>
      <c r="H75" s="30"/>
    </row>
    <row r="76" spans="1:13" ht="18" x14ac:dyDescent="0.35">
      <c r="B76" s="30"/>
      <c r="C76" s="30"/>
      <c r="D76" s="30"/>
      <c r="E76" s="30"/>
      <c r="F76" s="30"/>
      <c r="G76" s="30"/>
      <c r="H76" s="30"/>
    </row>
    <row r="77" spans="1:13" ht="18" x14ac:dyDescent="0.35">
      <c r="B77" s="74"/>
      <c r="C77" s="88"/>
      <c r="D77" s="30"/>
      <c r="E77" s="30"/>
      <c r="F77" s="30"/>
      <c r="G77" s="30"/>
      <c r="H77" s="30"/>
    </row>
    <row r="78" spans="1:13" ht="18" x14ac:dyDescent="0.35">
      <c r="B78" s="30"/>
      <c r="C78" s="30"/>
      <c r="D78" s="30"/>
      <c r="E78" s="30"/>
      <c r="F78" s="30"/>
      <c r="G78" s="30"/>
      <c r="H78" s="30"/>
    </row>
    <row r="79" spans="1:13" x14ac:dyDescent="0.3">
      <c r="C79" s="14"/>
      <c r="D79" s="14"/>
      <c r="F79" s="14"/>
      <c r="G79" s="14"/>
    </row>
    <row r="80" spans="1:13" x14ac:dyDescent="0.3">
      <c r="C80" s="14"/>
      <c r="D80" s="14"/>
      <c r="F80" s="14"/>
      <c r="G80" s="14"/>
    </row>
  </sheetData>
  <mergeCells count="6">
    <mergeCell ref="N3:O3"/>
    <mergeCell ref="B21:G21"/>
    <mergeCell ref="B10:G10"/>
    <mergeCell ref="B59:G59"/>
    <mergeCell ref="C61:G61"/>
    <mergeCell ref="L3:M3"/>
  </mergeCells>
  <phoneticPr fontId="8" type="noConversion"/>
  <pageMargins left="0.70866141732283472" right="0.70866141732283472" top="0.74803149606299213" bottom="0.74803149606299213" header="0.31496062992125984" footer="0.31496062992125984"/>
  <pageSetup scale="44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4637</vt:lpstr>
      <vt:lpstr>REGLAS</vt:lpstr>
      <vt:lpstr>CUBIERTA</vt:lpstr>
      <vt:lpstr>'4637'!Área_de_impresión</vt:lpstr>
      <vt:lpstr>CUBIERTA!Área_de_impresión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2024-10-14T12:39:53Z</cp:lastPrinted>
  <dcterms:created xsi:type="dcterms:W3CDTF">2013-03-19T12:54:14Z</dcterms:created>
  <dcterms:modified xsi:type="dcterms:W3CDTF">2025-01-14T20:39:46Z</dcterms:modified>
</cp:coreProperties>
</file>