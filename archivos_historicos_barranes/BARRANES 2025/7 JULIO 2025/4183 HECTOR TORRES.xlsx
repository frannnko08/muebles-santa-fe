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7 JULIO 2025\"/>
    </mc:Choice>
  </mc:AlternateContent>
  <xr:revisionPtr revIDLastSave="0" documentId="13_ncr:1_{29ADB61E-8A1E-4112-9FB6-F7C7A9D25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3" i="4" s="1"/>
  <c r="G49" i="3"/>
  <c r="G28" i="3" s="1"/>
  <c r="F49" i="3"/>
  <c r="F28" i="3" s="1"/>
  <c r="L14" i="3" s="1"/>
  <c r="E49" i="3"/>
  <c r="E28" i="3" s="1"/>
  <c r="K14" i="3" s="1"/>
  <c r="C49" i="3"/>
  <c r="D49" i="3"/>
  <c r="D28" i="3" s="1"/>
  <c r="H25" i="4" l="1"/>
  <c r="C28" i="3"/>
  <c r="L21" i="4" l="1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49" i="3"/>
  <c r="J49" i="3" s="1"/>
  <c r="E14" i="3"/>
  <c r="G14" i="3"/>
  <c r="F14" i="3"/>
  <c r="C22" i="3" l="1"/>
  <c r="J14" i="3"/>
  <c r="C14" i="3" s="1"/>
  <c r="J30" i="3"/>
  <c r="K49" i="3"/>
  <c r="J52" i="3"/>
  <c r="O5" i="3"/>
  <c r="K5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<sst xmlns="http://schemas.openxmlformats.org/spreadsheetml/2006/main" count="247" uniqueCount="142">
  <si>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</si>
  <si>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</si>
  <si>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</si>
  <si>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</si>
  <si>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</si>
  <si>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</si>
  <si>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</si>
  <si>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</si>
  <si>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</si>
  <si>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</si>
  <si>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</si>
  <si>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</si>
  <si>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</si>
  <si>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</si>
  <si>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</si>
  <si>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</si>
  <si>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</si>
  <si>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</si>
  <si>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</si>
  <si>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</si>
  <si>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</si>
  <si>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</si>
  <si>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</si>
  <si>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</si>
  <si>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</si>
  <si>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</si>
  <si>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</si>
  <si>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</si>
  <si>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</si>
  <si>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</si>
  <si>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</si>
  <si>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</si>
  <si>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</si>
  <si>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</si>
  <si>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</si>
  <si>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</si>
  <si>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</si>
  <si>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</si>
  <si>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</si>
  <si>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</si>
  <si>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</si>
  <si>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</si>
  <si>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</si>
  <si>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</si>
  <si>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</si>
  <si>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</si>
  <si>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</si>
  <si>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</si>
  <si>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</si>
  <si>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</si>
  <si>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</si>
  <si>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</si>
  <si>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</si>
  <si>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</si>
  <si>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</si>
  <si>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</si>
  <si>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</si>
  <si>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</si>
  <si>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</si>
  <si>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</si>
  <si>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</si>
  <si>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</si>
  <si>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</si>
  <si>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</si>
  <si>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</si>
  <si>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</si>
  <si>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</si>
  <si>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</si>
  <si>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</si>
  <si>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</si>
  <si>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</si>
  <si>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</si>
  <si>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</si>
  <si>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</si>
  <si>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</si>
  <si>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</si>
  <si>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</si>
  <si>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</si>
  <si>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</si>
  <si>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</si>
  <si>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</si>
  <si>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</si>
  <si>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</si>
  <si>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</si>
  <si>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</si>
  <si>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</si>
  <si>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</si>
  <si>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</si>
  <si>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</si>
  <si>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</si>
  <si>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</si>
  <si>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</si>
  <si>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</si>
  <si>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</si>
  <si>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</si>
  <si>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</si>
  <si>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</si>
  <si>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</si>
  <si>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</si>
  <si>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</si>
  <si>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</si>
  <si>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</si>
  <si>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</si>
  <si>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</si>
  <si>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</si>
  <si>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</si>
  <si>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</si>
  <si>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</si>
  <si>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</si>
  <si>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</si>
  <si>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</si>
  <si>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</si>
  <si>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</si>
  <si>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</si>
  <si>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</si>
  <si>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</si>
  <si>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</si>
  <si>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</si>
  <si>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</si>
  <si>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</si>
  <si>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</si>
  <si>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</si>
  <si>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</si>
  <si>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</si>
  <si>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</si>
  <si>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</si>
  <si>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</si>
  <si>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</si>
  <si>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</si>
  <si>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</si>
  <si>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</si>
  <si>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</si>
  <si>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</si>
  <si>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</si>
  <si>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</si>
  <si>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</si>
  <si>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</si>
  <si>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</si>
  <si>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MDF18MM</t>
  </si>
  <si>
    <t>HECTOR TORRES</t>
  </si>
  <si>
    <t>+569 6411 1139</t>
  </si>
  <si>
    <t>EBANO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</si>
</sst>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0" fontId="4" fillId="3" borderId="4" xfId="0" applyFont="1" applyFill="1" applyBorder="1"/>
    <xf numFmtId="1" fontId="9" fillId="0" borderId="2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20" fillId="0" borderId="0" xfId="2" quotePrefix="1" applyFont="1" applyFill="1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22</xdr:row>
      <xdr:rowOff>23327</xdr:rowOff>
    </xdr:from>
    <xdr:to>
      <xdr:col>5</xdr:col>
      <xdr:colOff>1539552</xdr:colOff>
      <xdr:row>25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$ 116.488.-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29</xdr:row>
      <xdr:rowOff>15239</xdr:rowOff>
    </xdr:from>
    <xdr:to>
      <xdr:col>6</xdr:col>
      <xdr:colOff>2971800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CORTAR A LA MEDIDA Y ENCHAPAR LADO DERECHO SIN REGRUESO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 A LA  MEDIDA Y ENCHAPAR LADO DERECHO SIN REGRUESO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abSelected="1" topLeftCell="A5" zoomScale="98" zoomScaleNormal="98" workbookViewId="0">
      <selection activeCell="I19" sqref="I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137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11506</v>
      </c>
      <c r="E8" s="29"/>
      <c r="F8" s="34" t="s">
        <v>24</v>
      </c>
      <c r="G8" s="35">
        <v>4183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124</v>
      </c>
      <c r="C10" s="116" t="s">
        <v>139</v>
      </c>
      <c r="D10" s="37"/>
      <c r="E10" s="37"/>
      <c r="F10" s="38" t="s">
        <v>25</v>
      </c>
      <c r="G10" s="39">
        <v>45846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119</v>
      </c>
      <c r="G11" s="43"/>
      <c r="H11" s="44"/>
      <c r="I11" s="29"/>
    </row>
    <row r="12" spans="1:17" ht="18" x14ac:dyDescent="0.35">
      <c r="A12" s="29"/>
      <c r="B12" s="45" t="s">
        <v>125</v>
      </c>
      <c r="C12" s="29"/>
      <c r="D12" s="46"/>
      <c r="E12" s="46"/>
      <c r="F12" s="46" t="s">
        <v>26</v>
      </c>
      <c r="G12" s="47"/>
      <c r="H12" s="48"/>
      <c r="I12" s="29"/>
    </row>
    <row r="13" spans="1:17" ht="18" x14ac:dyDescent="0.35">
      <c r="A13" s="29"/>
      <c r="B13" s="45" t="s">
        <v>126</v>
      </c>
      <c r="C13" s="49"/>
      <c r="D13" s="46"/>
      <c r="E13" s="46"/>
      <c r="F13" s="46" t="s">
        <v>123</v>
      </c>
      <c r="G13" s="47" t="s">
        <v>133</v>
      </c>
      <c r="H13" s="48"/>
      <c r="I13" s="29"/>
    </row>
    <row r="14" spans="1:17" ht="18" x14ac:dyDescent="0.35">
      <c r="A14" s="29"/>
      <c r="B14" s="41" t="s">
        <v>15</v>
      </c>
      <c r="C14" s="119" t="s">
        <v>140</v>
      </c>
      <c r="D14" s="50"/>
      <c r="E14" s="42"/>
      <c r="F14" s="42"/>
      <c r="G14" s="42"/>
      <c r="H14" s="44"/>
      <c r="I14" s="29"/>
    </row>
    <row r="15" spans="1:17" ht="18.600000000000001" x14ac:dyDescent="0.4">
      <c r="A15" s="29"/>
      <c r="B15" s="45" t="s">
        <v>1</v>
      </c>
      <c r="C15" s="115"/>
      <c r="D15" s="46"/>
      <c r="E15" s="46"/>
      <c r="F15" s="51" t="s">
        <v>71</v>
      </c>
      <c r="G15" s="51" t="s">
        <v>128</v>
      </c>
      <c r="H15" s="48"/>
      <c r="I15" s="29"/>
    </row>
    <row r="16" spans="1:17" ht="18.600000000000001" thickBot="1" x14ac:dyDescent="0.4">
      <c r="A16" s="29"/>
      <c r="B16" s="52" t="s">
        <v>3</v>
      </c>
      <c r="C16" s="53" t="s">
        <v>136</v>
      </c>
      <c r="D16" s="54"/>
      <c r="E16" s="55"/>
      <c r="F16" s="120" t="s">
        <v>16</v>
      </c>
      <c r="G16" s="120"/>
      <c r="H16" s="121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2" t="s">
        <v>17</v>
      </c>
      <c r="C19" s="123"/>
      <c r="D19" s="123"/>
      <c r="E19" s="123"/>
      <c r="F19" s="123"/>
      <c r="G19" s="123"/>
      <c r="H19" s="124"/>
      <c r="I19" s="29"/>
    </row>
    <row r="20" spans="1:16" ht="20.100000000000001" customHeight="1" x14ac:dyDescent="0.35">
      <c r="A20" s="29"/>
      <c r="B20" s="56" t="s">
        <v>127</v>
      </c>
      <c r="C20" s="112" t="s">
        <v>18</v>
      </c>
      <c r="D20" s="112" t="s">
        <v>19</v>
      </c>
      <c r="E20" s="112" t="s">
        <v>7</v>
      </c>
      <c r="F20" s="113" t="s">
        <v>20</v>
      </c>
      <c r="G20" s="56" t="s">
        <v>21</v>
      </c>
      <c r="H20" s="113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1</v>
      </c>
      <c r="C21" s="101" t="s">
        <v>122</v>
      </c>
      <c r="D21" s="117">
        <v>2970</v>
      </c>
      <c r="E21" s="117">
        <v>500</v>
      </c>
      <c r="F21" s="101" t="s">
        <v>141</v>
      </c>
      <c r="G21" s="111">
        <v>116488</v>
      </c>
      <c r="H21" s="111">
        <f t="shared" ref="H21" si="0">G21*B21</f>
        <v>116488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thickBot="1" x14ac:dyDescent="0.4">
      <c r="A22" s="29"/>
      <c r="B22" s="102"/>
      <c r="C22" s="102"/>
      <c r="D22" s="110"/>
      <c r="E22" s="110"/>
      <c r="F22" s="102"/>
      <c r="G22" s="104"/>
      <c r="H22" s="104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2"/>
      <c r="C23" s="102"/>
      <c r="D23" s="110"/>
      <c r="E23" s="110"/>
      <c r="F23" s="102"/>
      <c r="G23" s="59" t="s">
        <v>5</v>
      </c>
      <c r="H23" s="60">
        <f>SUM(H21:H22)</f>
        <v>116488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2"/>
      <c r="C24" s="102"/>
      <c r="D24" s="110"/>
      <c r="E24" s="110"/>
      <c r="F24" s="102"/>
      <c r="G24" s="61" t="s">
        <v>135</v>
      </c>
      <c r="H24" s="62"/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102"/>
      <c r="C25" s="102"/>
      <c r="D25" s="110"/>
      <c r="E25" s="110"/>
      <c r="F25" s="102"/>
      <c r="G25" s="63" t="s">
        <v>4</v>
      </c>
      <c r="H25" s="64">
        <f>H23</f>
        <v>116488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2"/>
      <c r="C26" s="102"/>
      <c r="D26" s="110"/>
      <c r="E26" s="110"/>
      <c r="F26" s="102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2"/>
      <c r="C27" s="102"/>
      <c r="D27" s="110"/>
      <c r="E27" s="110"/>
      <c r="F27" s="102"/>
      <c r="G27" s="104"/>
      <c r="H27" s="104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G28" s="104"/>
      <c r="H28" s="104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2"/>
      <c r="C29" s="102"/>
      <c r="D29" s="103"/>
      <c r="E29" s="103"/>
      <c r="F29" s="102"/>
      <c r="G29" s="104"/>
      <c r="H29" s="104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03"/>
      <c r="E30" s="103"/>
      <c r="F30" s="102"/>
      <c r="G30" s="104"/>
      <c r="H30" s="104"/>
      <c r="I30" s="29"/>
      <c r="K30" s="11"/>
      <c r="L30" s="15"/>
      <c r="M30" s="11"/>
      <c r="N30" s="11"/>
      <c r="O30" s="15"/>
      <c r="P30" s="21"/>
    </row>
    <row r="31" spans="1:16" ht="13.2" customHeight="1" x14ac:dyDescent="0.35">
      <c r="A31" s="29"/>
      <c r="B31" s="58"/>
      <c r="C31" s="58"/>
      <c r="D31" s="58"/>
      <c r="E31" s="58"/>
      <c r="F31" s="58"/>
      <c r="G31" s="57"/>
      <c r="H31" s="57"/>
      <c r="I31" s="29"/>
    </row>
    <row r="32" spans="1:16" ht="20.100000000000001" customHeight="1" x14ac:dyDescent="0.35">
      <c r="A32" s="29"/>
      <c r="B32" s="29"/>
      <c r="C32" s="29"/>
      <c r="D32" s="29"/>
      <c r="E32" s="29"/>
      <c r="F32" s="29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G35" s="65"/>
      <c r="H35" s="66"/>
      <c r="I35" s="29"/>
    </row>
    <row r="36" spans="1:9" ht="18" x14ac:dyDescent="0.35">
      <c r="A36" s="29"/>
      <c r="B36" s="29"/>
      <c r="C36" s="29"/>
      <c r="D36" s="29"/>
      <c r="E36" s="29"/>
      <c r="F36" s="29"/>
      <c r="G36" s="29"/>
      <c r="H36" s="29"/>
      <c r="I36" s="29"/>
    </row>
    <row r="37" spans="1:9" ht="18" x14ac:dyDescent="0.35">
      <c r="A37" s="29"/>
      <c r="B37" s="67" t="s">
        <v>132</v>
      </c>
      <c r="C37" s="68"/>
      <c r="D37" s="69"/>
      <c r="E37" s="69"/>
      <c r="F37" s="58"/>
      <c r="G37" s="29"/>
      <c r="H37" s="29"/>
      <c r="I37" s="29"/>
    </row>
    <row r="38" spans="1:9" ht="18" x14ac:dyDescent="0.35">
      <c r="A38" s="29"/>
      <c r="B38" s="67" t="s">
        <v>118</v>
      </c>
      <c r="C38" s="68"/>
      <c r="D38" s="69"/>
      <c r="E38" s="69"/>
      <c r="F38" s="58"/>
      <c r="G38" s="29"/>
      <c r="H38" s="29"/>
      <c r="I38" s="29"/>
    </row>
    <row r="39" spans="1:9" ht="18" x14ac:dyDescent="0.35">
      <c r="A39" s="29"/>
      <c r="B39" s="29" t="s">
        <v>22</v>
      </c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70" t="s">
        <v>23</v>
      </c>
      <c r="C40" s="70"/>
      <c r="D40" s="29"/>
      <c r="E40" s="29"/>
      <c r="F40" s="29"/>
      <c r="G40" s="29"/>
      <c r="H40" s="29"/>
      <c r="I40" s="29"/>
    </row>
    <row r="41" spans="1:9" ht="18" x14ac:dyDescent="0.35">
      <c r="A41" s="29"/>
      <c r="B41" s="29"/>
      <c r="C41" s="29"/>
      <c r="D41" s="29"/>
      <c r="E41" s="70"/>
      <c r="F41" s="29"/>
      <c r="G41" s="29"/>
      <c r="H41" s="29"/>
      <c r="I41" s="29"/>
    </row>
    <row r="42" spans="1:9" ht="18" x14ac:dyDescent="0.35">
      <c r="A42" s="29"/>
      <c r="B42" s="30" t="s">
        <v>130</v>
      </c>
      <c r="C42" s="30"/>
      <c r="D42" s="30"/>
      <c r="E42" s="71"/>
      <c r="F42" s="29"/>
      <c r="G42" s="29"/>
      <c r="H42" s="29"/>
      <c r="I42" s="29"/>
    </row>
    <row r="43" spans="1:9" ht="18" x14ac:dyDescent="0.35">
      <c r="A43" s="29"/>
      <c r="B43" s="30"/>
      <c r="C43" s="30"/>
      <c r="D43" s="30"/>
      <c r="E43" s="71"/>
      <c r="F43" s="29"/>
      <c r="G43" s="29"/>
      <c r="H43" s="29"/>
      <c r="I43" s="29"/>
    </row>
    <row r="44" spans="1:9" ht="18" x14ac:dyDescent="0.35">
      <c r="A44" s="29"/>
      <c r="B44" s="30" t="s">
        <v>131</v>
      </c>
      <c r="C44" s="29"/>
      <c r="D44" s="29"/>
      <c r="E44" s="70"/>
      <c r="F44" s="29"/>
      <c r="G44" s="29"/>
      <c r="H44" s="29"/>
      <c r="I44" s="29"/>
    </row>
    <row r="45" spans="1:9" ht="18" x14ac:dyDescent="0.35">
      <c r="A45" s="29"/>
      <c r="B45" s="29"/>
      <c r="C45" s="29"/>
      <c r="D45" s="29"/>
      <c r="E45" s="70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2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1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27</v>
      </c>
      <c r="C2" s="125"/>
      <c r="D2" s="125"/>
      <c r="E2" s="12"/>
      <c r="G2" s="125" t="s">
        <v>66</v>
      </c>
      <c r="H2" s="125"/>
      <c r="I2" s="125"/>
      <c r="P2" s="126" t="s">
        <v>54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6" t="s">
        <v>54</v>
      </c>
      <c r="M8" s="126"/>
      <c r="N8" s="126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zoomScaleNormal="100" workbookViewId="0">
      <selection activeCell="B1" sqref="B1:H3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7" t="s">
        <v>57</v>
      </c>
      <c r="M3" s="127"/>
      <c r="N3" s="127" t="s">
        <v>13</v>
      </c>
      <c r="O3" s="127"/>
    </row>
    <row r="4" spans="1:15" ht="15.75" customHeight="1" x14ac:dyDescent="0.35">
      <c r="B4" s="29"/>
      <c r="C4" s="29"/>
      <c r="D4" s="73" t="s">
        <v>24</v>
      </c>
      <c r="E4" s="74">
        <f>'4637'!G8</f>
        <v>4183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63</v>
      </c>
      <c r="E5" s="76" t="str">
        <f>'4637'!C10</f>
        <v>HECTOR TORRES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134</v>
      </c>
      <c r="H7" s="29"/>
    </row>
    <row r="8" spans="1:15" ht="18" x14ac:dyDescent="0.35">
      <c r="B8" s="29"/>
      <c r="C8" s="29"/>
      <c r="D8" s="89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8" t="s">
        <v>57</v>
      </c>
      <c r="C10" s="128"/>
      <c r="D10" s="128"/>
      <c r="E10" s="128"/>
      <c r="F10" s="128"/>
      <c r="G10" s="128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>
        <v>-30</v>
      </c>
      <c r="G13" s="91" t="s">
        <v>106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138</v>
      </c>
      <c r="C14" s="93">
        <f>J14</f>
        <v>1</v>
      </c>
      <c r="D14" s="93"/>
      <c r="E14" s="93">
        <f>K14+E$13</f>
        <v>3050</v>
      </c>
      <c r="F14" s="93">
        <f>L14+F$13</f>
        <v>470</v>
      </c>
      <c r="G14" s="93" t="str">
        <f>D28</f>
        <v>CUB C/R R6</v>
      </c>
      <c r="H14" s="29"/>
      <c r="J14" s="3">
        <f>J22</f>
        <v>1</v>
      </c>
      <c r="K14" s="4">
        <f t="shared" ref="K14:L14" si="0">E28</f>
        <v>2970</v>
      </c>
      <c r="L14" s="4">
        <f t="shared" si="0"/>
        <v>500</v>
      </c>
    </row>
    <row r="15" spans="1:15" ht="18" x14ac:dyDescent="0.35">
      <c r="A15" s="108"/>
      <c r="B15" s="100"/>
      <c r="C15" s="72"/>
      <c r="D15" s="72"/>
      <c r="E15" s="72"/>
      <c r="F15" s="72"/>
      <c r="G15" s="72"/>
      <c r="H15" s="29"/>
      <c r="J15" s="23"/>
      <c r="K15" s="2"/>
      <c r="L15" s="2"/>
    </row>
    <row r="16" spans="1:15" ht="18" x14ac:dyDescent="0.35">
      <c r="A16" s="2"/>
      <c r="B16" s="82"/>
      <c r="C16" s="72"/>
      <c r="D16" s="72"/>
      <c r="E16" s="72"/>
      <c r="F16" s="72"/>
      <c r="G16" s="72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28" t="s">
        <v>13</v>
      </c>
      <c r="C18" s="128"/>
      <c r="D18" s="128"/>
      <c r="E18" s="128"/>
      <c r="F18" s="128"/>
      <c r="G18" s="128"/>
      <c r="H18" s="29"/>
    </row>
    <row r="19" spans="1:12" ht="10.5" customHeight="1" x14ac:dyDescent="0.35">
      <c r="A19" s="2"/>
      <c r="B19" s="29"/>
      <c r="C19" s="29"/>
      <c r="D19" s="90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5" t="s">
        <v>6</v>
      </c>
      <c r="F20" s="65" t="s">
        <v>7</v>
      </c>
      <c r="G20" s="29"/>
      <c r="H20" s="29"/>
    </row>
    <row r="21" spans="1:12" ht="18" x14ac:dyDescent="0.35">
      <c r="A21" s="2"/>
      <c r="B21" s="65" t="s">
        <v>8</v>
      </c>
      <c r="C21" s="81" t="s">
        <v>9</v>
      </c>
      <c r="D21" s="81" t="s">
        <v>10</v>
      </c>
      <c r="E21" s="94">
        <v>40</v>
      </c>
      <c r="F21" s="94">
        <v>130</v>
      </c>
      <c r="G21" s="81" t="s">
        <v>106</v>
      </c>
      <c r="H21" s="29"/>
      <c r="K21" s="5" t="s">
        <v>6</v>
      </c>
      <c r="L21" s="5" t="s">
        <v>7</v>
      </c>
    </row>
    <row r="22" spans="1:12" ht="18" x14ac:dyDescent="0.35">
      <c r="A22" s="108">
        <v>1</v>
      </c>
      <c r="B22" s="100"/>
      <c r="C22" s="95">
        <f t="shared" ref="C22" si="1">J22</f>
        <v>1</v>
      </c>
      <c r="D22" s="95"/>
      <c r="E22" s="95">
        <f>K22+E$21</f>
        <v>3010</v>
      </c>
      <c r="F22" s="95">
        <f>L22+F$21</f>
        <v>630</v>
      </c>
      <c r="G22" s="95" t="str">
        <f>D28</f>
        <v>CUB C/R R6</v>
      </c>
      <c r="H22" s="29"/>
      <c r="J22" s="3">
        <f>C28</f>
        <v>1</v>
      </c>
      <c r="K22" s="105">
        <f>E28</f>
        <v>2970</v>
      </c>
      <c r="L22" s="105">
        <f>F28</f>
        <v>500</v>
      </c>
    </row>
    <row r="23" spans="1:12" ht="18" x14ac:dyDescent="0.35">
      <c r="A23" s="108"/>
      <c r="B23" s="100"/>
      <c r="C23" s="72"/>
      <c r="D23" s="72"/>
      <c r="E23" s="72"/>
      <c r="F23" s="72"/>
      <c r="G23" s="72"/>
      <c r="H23" s="29"/>
      <c r="J23" s="23"/>
      <c r="K23" s="118"/>
      <c r="L23" s="118"/>
    </row>
    <row r="24" spans="1:12" ht="18.600000000000001" thickBot="1" x14ac:dyDescent="0.4">
      <c r="A24" s="2"/>
      <c r="B24" s="82"/>
      <c r="C24" s="72"/>
      <c r="D24" s="72"/>
      <c r="E24" s="72"/>
      <c r="F24" s="72"/>
      <c r="G24" s="72"/>
      <c r="H24" s="29"/>
      <c r="I24" s="106"/>
      <c r="J24" s="107"/>
      <c r="K24" s="107"/>
      <c r="L24" s="107"/>
    </row>
    <row r="25" spans="1:12" ht="18.600000000000001" thickBot="1" x14ac:dyDescent="0.4">
      <c r="A25" s="2"/>
      <c r="B25" s="65"/>
      <c r="C25" s="96" t="s">
        <v>103</v>
      </c>
      <c r="D25" s="32"/>
      <c r="E25" s="32"/>
      <c r="F25" s="32"/>
      <c r="G25" s="97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5" t="s">
        <v>8</v>
      </c>
      <c r="C27" s="98" t="s">
        <v>9</v>
      </c>
      <c r="D27" s="98" t="s">
        <v>106</v>
      </c>
      <c r="E27" s="98" t="s">
        <v>6</v>
      </c>
      <c r="F27" s="98" t="s">
        <v>7</v>
      </c>
      <c r="G27" s="98" t="s">
        <v>20</v>
      </c>
      <c r="H27" s="29"/>
    </row>
    <row r="28" spans="1:12" ht="18" x14ac:dyDescent="0.35">
      <c r="A28" s="108">
        <v>1</v>
      </c>
      <c r="B28" s="100" t="s">
        <v>138</v>
      </c>
      <c r="C28" s="93">
        <f>C49</f>
        <v>1</v>
      </c>
      <c r="D28" s="93" t="str">
        <f>D49</f>
        <v>CUB C/R R6</v>
      </c>
      <c r="E28" s="114">
        <f>E49</f>
        <v>2970</v>
      </c>
      <c r="F28" s="114">
        <f>F49</f>
        <v>500</v>
      </c>
      <c r="G28" s="4" t="str">
        <f>G49</f>
        <v>EBANO 2109 MT</v>
      </c>
      <c r="H28" s="29"/>
      <c r="I28" s="28">
        <f>E28*F28/1000000</f>
        <v>1.4850000000000001</v>
      </c>
      <c r="J28" s="28">
        <f>I28*C28</f>
        <v>1.4850000000000001</v>
      </c>
    </row>
    <row r="29" spans="1:12" ht="18" x14ac:dyDescent="0.35">
      <c r="A29" s="2"/>
      <c r="B29" s="29"/>
      <c r="C29" s="72"/>
      <c r="D29" s="72"/>
      <c r="E29" s="72"/>
      <c r="F29" s="72"/>
      <c r="G29" s="72"/>
      <c r="H29" s="29"/>
    </row>
    <row r="30" spans="1:12" ht="18" x14ac:dyDescent="0.35">
      <c r="A30" s="2"/>
      <c r="B30" s="29"/>
      <c r="C30" s="72"/>
      <c r="D30" s="72"/>
      <c r="E30" s="72"/>
      <c r="F30" s="72"/>
      <c r="G30" s="72"/>
      <c r="H30" s="29"/>
      <c r="J30" s="28">
        <f>SUM(J28:J28)*2</f>
        <v>2.97</v>
      </c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</row>
    <row r="33" spans="1:11" ht="18" x14ac:dyDescent="0.35">
      <c r="A33" s="2"/>
      <c r="B33" s="29"/>
      <c r="C33" s="72"/>
      <c r="D33" s="72"/>
      <c r="E33" s="72"/>
      <c r="F33" s="72"/>
      <c r="G33" s="72"/>
      <c r="H33" s="29"/>
    </row>
    <row r="34" spans="1:11" ht="18" x14ac:dyDescent="0.35">
      <c r="A34" s="2"/>
      <c r="B34" s="29"/>
      <c r="C34" s="72"/>
      <c r="D34" s="72"/>
      <c r="E34" s="72"/>
      <c r="F34" s="72"/>
      <c r="G34" s="72"/>
      <c r="H34" s="29"/>
    </row>
    <row r="35" spans="1:11" ht="18" x14ac:dyDescent="0.35">
      <c r="A35" s="2"/>
      <c r="B35" s="29"/>
      <c r="C35" s="72"/>
      <c r="D35" s="72"/>
      <c r="E35" s="72"/>
      <c r="F35" s="72"/>
      <c r="G35" s="72"/>
      <c r="H35" s="29"/>
    </row>
    <row r="36" spans="1:11" ht="18" x14ac:dyDescent="0.35">
      <c r="A36" s="2"/>
      <c r="B36" s="29"/>
      <c r="C36" s="72"/>
      <c r="D36" s="72"/>
      <c r="E36" s="72"/>
      <c r="F36" s="72"/>
      <c r="G36" s="72"/>
      <c r="H36" s="29"/>
    </row>
    <row r="37" spans="1:11" ht="18" x14ac:dyDescent="0.35">
      <c r="A37" s="2"/>
      <c r="B37" s="29"/>
      <c r="C37" s="72"/>
      <c r="D37" s="72"/>
      <c r="E37" s="72"/>
      <c r="F37" s="72"/>
      <c r="G37" s="72"/>
      <c r="H37" s="29"/>
    </row>
    <row r="38" spans="1:11" ht="18" x14ac:dyDescent="0.35">
      <c r="A38" s="2"/>
      <c r="B38" s="29"/>
      <c r="C38" s="29"/>
      <c r="D38" s="29"/>
      <c r="E38" s="29"/>
      <c r="F38" s="29"/>
      <c r="G38" s="29"/>
      <c r="H38" s="29"/>
    </row>
    <row r="39" spans="1:11" ht="18" x14ac:dyDescent="0.35">
      <c r="A39" s="2"/>
      <c r="B39" s="29"/>
      <c r="C39" s="29"/>
      <c r="D39" s="73" t="s">
        <v>24</v>
      </c>
      <c r="E39" s="74">
        <f>'4637'!G8</f>
        <v>4183</v>
      </c>
      <c r="F39" s="29"/>
      <c r="G39" s="29"/>
      <c r="H39" s="29"/>
    </row>
    <row r="40" spans="1:11" ht="17.25" customHeight="1" x14ac:dyDescent="0.35">
      <c r="A40" s="2"/>
      <c r="B40" s="29"/>
      <c r="C40" s="29"/>
      <c r="D40" s="75" t="s">
        <v>63</v>
      </c>
      <c r="E40" s="76" t="str">
        <f>'4637'!C10</f>
        <v>HECTOR TORRES</v>
      </c>
      <c r="F40" s="46"/>
      <c r="G40" s="46"/>
      <c r="H40" s="29"/>
    </row>
    <row r="41" spans="1:11" ht="4.5" customHeight="1" x14ac:dyDescent="0.35">
      <c r="A41" s="2"/>
      <c r="B41" s="29"/>
      <c r="C41" s="29"/>
      <c r="D41" s="77"/>
      <c r="E41" s="78"/>
      <c r="F41" s="29"/>
      <c r="G41" s="29"/>
      <c r="H41" s="29"/>
    </row>
    <row r="42" spans="1:11" ht="18" x14ac:dyDescent="0.35">
      <c r="A42" s="2"/>
      <c r="B42" s="29"/>
      <c r="C42" s="29"/>
      <c r="D42" s="79" t="str">
        <f>'4637'!F11</f>
        <v>FECHA LIMITE :</v>
      </c>
      <c r="E42" s="80">
        <f>'4637'!G11</f>
        <v>0</v>
      </c>
      <c r="F42" s="29"/>
      <c r="G42" s="29"/>
      <c r="H42" s="29"/>
    </row>
    <row r="43" spans="1:11" ht="18" x14ac:dyDescent="0.35">
      <c r="A43" s="2"/>
      <c r="B43" s="29"/>
      <c r="C43" s="29"/>
      <c r="D43" s="29"/>
      <c r="E43" s="29"/>
      <c r="F43" s="29"/>
      <c r="G43" s="29" t="s">
        <v>134</v>
      </c>
      <c r="H43" s="29"/>
    </row>
    <row r="44" spans="1:11" ht="18" x14ac:dyDescent="0.35">
      <c r="A44" s="2"/>
      <c r="B44" s="29"/>
      <c r="C44" s="29"/>
      <c r="D44" s="29"/>
      <c r="E44" s="29"/>
      <c r="F44" s="29"/>
      <c r="G44" s="29"/>
      <c r="H44" s="29"/>
    </row>
    <row r="45" spans="1:11" ht="18" x14ac:dyDescent="0.35">
      <c r="A45" s="2"/>
      <c r="B45" s="129" t="s">
        <v>64</v>
      </c>
      <c r="C45" s="129"/>
      <c r="D45" s="129"/>
      <c r="E45" s="129"/>
      <c r="F45" s="129"/>
      <c r="G45" s="129"/>
      <c r="H45" s="29"/>
    </row>
    <row r="46" spans="1:11" ht="18" x14ac:dyDescent="0.35">
      <c r="A46" s="2"/>
      <c r="B46" s="29"/>
      <c r="C46" s="29"/>
      <c r="D46" s="29"/>
      <c r="E46" s="29"/>
      <c r="F46" s="29"/>
      <c r="G46" s="29"/>
      <c r="H46" s="29"/>
    </row>
    <row r="47" spans="1:11" ht="20.100000000000001" customHeight="1" x14ac:dyDescent="0.35">
      <c r="A47" s="2"/>
      <c r="B47" s="29"/>
      <c r="C47" s="130" t="s">
        <v>65</v>
      </c>
      <c r="D47" s="131"/>
      <c r="E47" s="132"/>
      <c r="F47" s="132"/>
      <c r="G47" s="133"/>
      <c r="H47" s="29"/>
      <c r="I47" s="25" t="s">
        <v>129</v>
      </c>
    </row>
    <row r="48" spans="1:11" s="10" customFormat="1" ht="20.100000000000001" customHeight="1" x14ac:dyDescent="0.35">
      <c r="A48" s="109"/>
      <c r="B48" s="29"/>
      <c r="C48" s="83" t="s">
        <v>9</v>
      </c>
      <c r="D48" s="84" t="s">
        <v>10</v>
      </c>
      <c r="E48" s="87" t="s">
        <v>6</v>
      </c>
      <c r="F48" s="87" t="s">
        <v>7</v>
      </c>
      <c r="G48" s="85" t="s">
        <v>11</v>
      </c>
      <c r="H48" s="29"/>
      <c r="K48" s="10">
        <v>15000</v>
      </c>
    </row>
    <row r="49" spans="1:13" s="10" customFormat="1" ht="20.100000000000001" customHeight="1" x14ac:dyDescent="0.35">
      <c r="A49" s="108">
        <v>1</v>
      </c>
      <c r="B49" s="99" t="s">
        <v>138</v>
      </c>
      <c r="C49" s="95">
        <f>'4637'!B21</f>
        <v>1</v>
      </c>
      <c r="D49" s="4" t="str">
        <f>'4637'!C21</f>
        <v>CUB C/R R6</v>
      </c>
      <c r="E49" s="114">
        <f>'4637'!D21</f>
        <v>2970</v>
      </c>
      <c r="F49" s="114">
        <f>'4637'!E21</f>
        <v>500</v>
      </c>
      <c r="G49" s="4" t="str">
        <f>'4637'!F21</f>
        <v>EBANO 2109 MT</v>
      </c>
      <c r="H49" s="29"/>
      <c r="I49" s="10">
        <f>E49*F49/1000000</f>
        <v>1.4850000000000001</v>
      </c>
      <c r="J49" s="10">
        <f>I49*C49</f>
        <v>1.4850000000000001</v>
      </c>
      <c r="K49" s="26">
        <f>J49*K$48</f>
        <v>22275</v>
      </c>
      <c r="M49" s="24">
        <v>12096</v>
      </c>
    </row>
    <row r="50" spans="1:13" s="10" customFormat="1" ht="15" customHeight="1" x14ac:dyDescent="0.35">
      <c r="B50" s="82"/>
      <c r="C50" s="65"/>
      <c r="D50" s="65"/>
      <c r="E50" s="65"/>
      <c r="F50" s="65"/>
      <c r="G50" s="65"/>
      <c r="H50" s="29"/>
    </row>
    <row r="51" spans="1:13" ht="18" x14ac:dyDescent="0.35">
      <c r="B51" s="72"/>
      <c r="C51" s="72"/>
      <c r="D51" s="29"/>
      <c r="E51" s="72"/>
      <c r="F51" s="72"/>
      <c r="G51" s="77"/>
      <c r="H51" s="29"/>
    </row>
    <row r="52" spans="1:13" ht="18" x14ac:dyDescent="0.35">
      <c r="B52" s="72"/>
      <c r="C52" s="72"/>
      <c r="D52" s="29"/>
      <c r="E52" s="72"/>
      <c r="F52" s="72"/>
      <c r="G52" s="72"/>
      <c r="H52" s="29"/>
      <c r="J52" s="10">
        <f>SUM(J49:J49)</f>
        <v>1.4850000000000001</v>
      </c>
      <c r="K52" s="27">
        <f>SUM(K49:K49)</f>
        <v>22275</v>
      </c>
    </row>
    <row r="53" spans="1:13" ht="18" x14ac:dyDescent="0.35">
      <c r="B53" s="29"/>
      <c r="C53" s="29"/>
      <c r="D53" s="29"/>
      <c r="E53" s="29"/>
      <c r="F53" s="29"/>
      <c r="G53" s="29"/>
      <c r="H53" s="29"/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5" customHeight="1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72"/>
      <c r="C58" s="86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8:G18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2025-07-09T14:34:37Z</cp:lastPrinted>
  <dcterms:created xsi:type="dcterms:W3CDTF">2013-03-19T12:54:14Z</dcterms:created>
  <dcterms:modified xsi:type="dcterms:W3CDTF">2025-07-09T14:45:59Z</dcterms:modified>
</cp:coreProperties>
</file>