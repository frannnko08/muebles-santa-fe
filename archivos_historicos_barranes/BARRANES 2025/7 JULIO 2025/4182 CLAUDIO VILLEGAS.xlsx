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E8A0B47D-9281-4B4B-B4F0-204A0393C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CUBIERTA!$A$40:$G$65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H24" i="4"/>
  <c r="H21" i="4"/>
  <c r="H22" i="4"/>
  <c r="C53" i="3"/>
  <c r="D53" i="3"/>
  <c r="E53" i="3"/>
  <c r="F53" i="3"/>
  <c r="G53" i="3"/>
  <c r="G31" i="3"/>
  <c r="F31" i="3"/>
  <c r="L24" i="3" s="1"/>
  <c r="E31" i="3"/>
  <c r="K24" i="3" s="1"/>
  <c r="E24" i="3" s="1"/>
  <c r="D31" i="3"/>
  <c r="G24" i="3" s="1"/>
  <c r="C31" i="3"/>
  <c r="J24" i="3" s="1"/>
  <c r="C24" i="3" s="1"/>
  <c r="G52" i="3"/>
  <c r="G30" i="3" s="1"/>
  <c r="F52" i="3"/>
  <c r="F30" i="3" s="1"/>
  <c r="L14" i="3" s="1"/>
  <c r="E52" i="3"/>
  <c r="E30" i="3" s="1"/>
  <c r="K14" i="3" s="1"/>
  <c r="C52" i="3"/>
  <c r="D52" i="3"/>
  <c r="D30" i="3" s="1"/>
  <c r="H26" i="4" l="1"/>
  <c r="L15" i="3"/>
  <c r="K15" i="3"/>
  <c r="E15" i="3" s="1"/>
  <c r="J15" i="3"/>
  <c r="C15" i="3" s="1"/>
  <c r="G15" i="3"/>
  <c r="C30" i="3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2" i="3"/>
  <c r="J52" i="3" s="1"/>
  <c r="E14" i="3"/>
  <c r="G14" i="3"/>
  <c r="F14" i="3"/>
  <c r="C23" i="3" l="1"/>
  <c r="J14" i="3"/>
  <c r="C14" i="3" s="1"/>
  <c r="J33" i="3"/>
  <c r="K52" i="3"/>
  <c r="J56" i="3"/>
  <c r="O5" i="3"/>
  <c r="K56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<sst xmlns="http://schemas.openxmlformats.org/spreadsheetml/2006/main" count="250" uniqueCount="144">
  <si>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</si>
  <si>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</si>
  <si>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</si>
  <si>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</si>
  <si>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</si>
  <si>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</si>
  <si>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</si>
  <si>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</si>
  <si>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</si>
  <si>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</si>
  <si>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</si>
  <si>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</si>
  <si>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</si>
  <si>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</si>
  <si>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</si>
  <si>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</si>
  <si>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</si>
  <si>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</si>
  <si>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</si>
  <si>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</si>
  <si>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</si>
  <si>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</si>
  <si>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</si>
  <si>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</si>
  <si>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</si>
  <si>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</si>
  <si>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</si>
  <si>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</si>
  <si>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</si>
  <si>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</si>
  <si>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</si>
  <si>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</si>
  <si>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</si>
  <si>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</si>
  <si>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</si>
  <si>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</si>
  <si>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</si>
  <si>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</si>
  <si>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</si>
  <si>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</si>
  <si>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</si>
  <si>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</si>
  <si>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</si>
  <si>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</si>
  <si>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</si>
  <si>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</si>
  <si>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</si>
  <si>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</si>
  <si>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</si>
  <si>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</si>
  <si>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</si>
  <si>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</si>
  <si>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</si>
  <si>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</si>
  <si>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</si>
  <si>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</si>
  <si>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</si>
  <si>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</si>
  <si>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</si>
  <si>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</si>
  <si>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</si>
  <si>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</si>
  <si>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</si>
  <si>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</si>
  <si>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</si>
  <si>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</si>
  <si>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</si>
  <si>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</si>
  <si>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</si>
  <si>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</si>
  <si>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</si>
  <si>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</si>
  <si>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</si>
  <si>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</si>
  <si>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</si>
  <si>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</si>
  <si>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</si>
  <si>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</si>
  <si>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</si>
  <si>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</si>
  <si>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</si>
  <si>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</si>
  <si>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</si>
  <si>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</si>
  <si>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</si>
  <si>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</si>
  <si>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</si>
  <si>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</si>
  <si>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</si>
  <si>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</si>
  <si>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</si>
  <si>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</si>
  <si>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</si>
  <si>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</si>
  <si>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</si>
  <si>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</si>
  <si>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</si>
  <si>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</si>
  <si>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</si>
  <si>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</si>
  <si>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</si>
  <si>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</si>
  <si>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</si>
  <si>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</si>
  <si>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</si>
  <si>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</si>
  <si>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</si>
  <si>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</si>
  <si>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</si>
  <si>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</si>
  <si>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</si>
  <si>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</si>
  <si>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</si>
  <si>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</si>
  <si>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</si>
  <si>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</si>
  <si>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</si>
  <si>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</si>
  <si>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</si>
  <si>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</si>
  <si>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</si>
  <si>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</si>
  <si>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</si>
  <si>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</si>
  <si>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</si>
  <si>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</si>
  <si>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</si>
  <si>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</si>
  <si>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</si>
  <si>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</si>
  <si>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</si>
  <si>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</si>
  <si>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</si>
  <si>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</si>
  <si>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</si>
  <si>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</si>
  <si>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</si>
  <si>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</si>
  <si>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</si>
  <si>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CUB C/R R8</t>
  </si>
  <si>
    <t>CLAUDIO VILLEGAS</t>
  </si>
  <si>
    <t>+569 9811 3701</t>
  </si>
  <si>
    <t>WHITE MARBLE 42004 GL</t>
  </si>
  <si>
    <t>LOLCO 7640 DEPTO. 65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</si>
</sst>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0" fontId="4" fillId="3" borderId="4" xfId="0" applyFont="1" applyFill="1" applyBorder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0" borderId="0" xfId="2" quotePrefix="1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$ 130.000.-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46</xdr:row>
      <xdr:rowOff>190500</xdr:rowOff>
    </xdr:from>
    <xdr:to>
      <xdr:col>7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43</xdr:row>
      <xdr:rowOff>30479</xdr:rowOff>
    </xdr:from>
    <xdr:to>
      <xdr:col>6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209549</xdr:rowOff>
    </xdr:from>
    <xdr:to>
      <xdr:col>7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171450</xdr:rowOff>
    </xdr:from>
    <xdr:to>
      <xdr:col>7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32</xdr:row>
      <xdr:rowOff>15239</xdr:rowOff>
    </xdr:from>
    <xdr:to>
      <xdr:col>6</xdr:col>
      <xdr:colOff>2971800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CON DESPACHO A DOMICILIO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57</xdr:row>
      <xdr:rowOff>32385</xdr:rowOff>
    </xdr:from>
    <xdr:to>
      <xdr:col>7</xdr:col>
      <xdr:colOff>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DESPACHO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40</xdr:row>
      <xdr:rowOff>146685</xdr:rowOff>
    </xdr:from>
    <xdr:to>
      <xdr:col>2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7" zoomScale="98" zoomScaleNormal="98"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11493</v>
      </c>
      <c r="E8" s="30"/>
      <c r="F8" s="35" t="s">
        <v>24</v>
      </c>
      <c r="G8" s="36">
        <v>4182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117" t="s">
        <v>140</v>
      </c>
      <c r="D10" s="38"/>
      <c r="E10" s="38"/>
      <c r="F10" s="39" t="s">
        <v>25</v>
      </c>
      <c r="G10" s="40">
        <v>45846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119</v>
      </c>
      <c r="G11" s="44"/>
      <c r="H11" s="45"/>
      <c r="I11" s="30"/>
    </row>
    <row r="12" spans="1:17" ht="18" x14ac:dyDescent="0.35">
      <c r="A12" s="30"/>
      <c r="B12" s="46" t="s">
        <v>125</v>
      </c>
      <c r="C12" s="30"/>
      <c r="D12" s="47"/>
      <c r="E12" s="47"/>
      <c r="F12" s="47" t="s">
        <v>26</v>
      </c>
      <c r="G12" s="48"/>
      <c r="H12" s="49"/>
      <c r="I12" s="30"/>
    </row>
    <row r="13" spans="1:17" ht="18" x14ac:dyDescent="0.35">
      <c r="A13" s="30"/>
      <c r="B13" s="46" t="s">
        <v>126</v>
      </c>
      <c r="C13" s="50"/>
      <c r="D13" s="47"/>
      <c r="E13" s="47"/>
      <c r="F13" s="47" t="s">
        <v>123</v>
      </c>
      <c r="G13" s="48" t="s">
        <v>133</v>
      </c>
      <c r="H13" s="49"/>
      <c r="I13" s="30"/>
    </row>
    <row r="14" spans="1:17" ht="18" x14ac:dyDescent="0.35">
      <c r="A14" s="30"/>
      <c r="B14" s="42" t="s">
        <v>15</v>
      </c>
      <c r="C14" s="120" t="s">
        <v>141</v>
      </c>
      <c r="D14" s="51"/>
      <c r="E14" s="43"/>
      <c r="F14" s="43"/>
      <c r="G14" s="43"/>
      <c r="H14" s="45"/>
      <c r="I14" s="30"/>
    </row>
    <row r="15" spans="1:17" ht="18.600000000000001" x14ac:dyDescent="0.4">
      <c r="A15" s="30"/>
      <c r="B15" s="46" t="s">
        <v>1</v>
      </c>
      <c r="C15" s="116" t="s">
        <v>143</v>
      </c>
      <c r="D15" s="47"/>
      <c r="E15" s="47"/>
      <c r="F15" s="52" t="s">
        <v>71</v>
      </c>
      <c r="G15" s="52" t="s">
        <v>128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21" t="s">
        <v>16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17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127</v>
      </c>
      <c r="C20" s="113" t="s">
        <v>18</v>
      </c>
      <c r="D20" s="113" t="s">
        <v>19</v>
      </c>
      <c r="E20" s="113" t="s">
        <v>7</v>
      </c>
      <c r="F20" s="114" t="s">
        <v>20</v>
      </c>
      <c r="G20" s="57" t="s">
        <v>21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18">
        <v>3000</v>
      </c>
      <c r="E21" s="118">
        <v>600</v>
      </c>
      <c r="F21" s="102" t="s">
        <v>142</v>
      </c>
      <c r="G21" s="112">
        <v>165200</v>
      </c>
      <c r="H21" s="112">
        <f t="shared" ref="H21:H22" si="0">G21*B21</f>
        <v>165200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139</v>
      </c>
      <c r="D22" s="118">
        <v>1680</v>
      </c>
      <c r="E22" s="118">
        <v>600</v>
      </c>
      <c r="F22" s="102" t="s">
        <v>142</v>
      </c>
      <c r="G22" s="112">
        <v>95685</v>
      </c>
      <c r="H22" s="112">
        <f t="shared" si="0"/>
        <v>95685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1"/>
      <c r="E23" s="111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1"/>
      <c r="E24" s="111"/>
      <c r="F24" s="103"/>
      <c r="G24" s="60" t="s">
        <v>5</v>
      </c>
      <c r="H24" s="61">
        <f>SUM(H21:H23)</f>
        <v>260885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1"/>
      <c r="E25" s="111"/>
      <c r="F25" s="103"/>
      <c r="G25" s="62" t="s">
        <v>135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1"/>
      <c r="E26" s="111"/>
      <c r="F26" s="103"/>
      <c r="G26" s="64" t="s">
        <v>4</v>
      </c>
      <c r="H26" s="65">
        <f>H24</f>
        <v>260885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1"/>
      <c r="E27" s="111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1"/>
      <c r="E29" s="111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132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118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22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23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130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131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opLeftCell="A45" zoomScaleNormal="100" workbookViewId="0">
      <selection activeCell="E66" sqref="E6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24</v>
      </c>
      <c r="E4" s="75">
        <f>'4637'!G8</f>
        <v>4182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CLAUDIO VILLEGAS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138</v>
      </c>
      <c r="C14" s="94">
        <f>J14</f>
        <v>1</v>
      </c>
      <c r="D14" s="94"/>
      <c r="E14" s="94">
        <f>K14+E$13</f>
        <v>3080</v>
      </c>
      <c r="F14" s="94">
        <f>L14+F$13</f>
        <v>570</v>
      </c>
      <c r="G14" s="94" t="str">
        <f>D30</f>
        <v>CUB C/R R8</v>
      </c>
      <c r="H14" s="30"/>
      <c r="J14" s="3">
        <f>J23</f>
        <v>1</v>
      </c>
      <c r="K14" s="4">
        <f t="shared" ref="K14:L14" si="0">E30</f>
        <v>3000</v>
      </c>
      <c r="L14" s="4">
        <f t="shared" si="0"/>
        <v>600</v>
      </c>
    </row>
    <row r="15" spans="1:15" ht="18" x14ac:dyDescent="0.35">
      <c r="A15" s="109"/>
      <c r="B15" s="101"/>
      <c r="C15" s="94">
        <f t="shared" ref="C15" si="1">J15</f>
        <v>1</v>
      </c>
      <c r="D15" s="94"/>
      <c r="E15" s="94">
        <f t="shared" ref="E15" si="2">K15+E$13</f>
        <v>1760</v>
      </c>
      <c r="F15" s="94">
        <f>L15+F$13</f>
        <v>570</v>
      </c>
      <c r="G15" s="94" t="str">
        <f t="shared" ref="G15" si="3">D31</f>
        <v>CUB C/R R8</v>
      </c>
      <c r="H15" s="30"/>
      <c r="J15" s="3">
        <f t="shared" ref="J15" si="4">J24</f>
        <v>1</v>
      </c>
      <c r="K15" s="4">
        <f t="shared" ref="K15" si="5">E31</f>
        <v>1680</v>
      </c>
      <c r="L15" s="4">
        <f t="shared" ref="L15" si="6">F31</f>
        <v>600</v>
      </c>
    </row>
    <row r="16" spans="1:15" ht="18" x14ac:dyDescent="0.35">
      <c r="A16" s="109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29" t="s">
        <v>13</v>
      </c>
      <c r="C19" s="129"/>
      <c r="D19" s="129"/>
      <c r="E19" s="129"/>
      <c r="F19" s="129"/>
      <c r="G19" s="129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130</v>
      </c>
      <c r="G22" s="82" t="s">
        <v>106</v>
      </c>
      <c r="H22" s="30"/>
      <c r="K22" s="5" t="s">
        <v>6</v>
      </c>
      <c r="L22" s="5" t="s">
        <v>7</v>
      </c>
    </row>
    <row r="23" spans="1:12" ht="18" x14ac:dyDescent="0.35">
      <c r="A23" s="109">
        <v>1</v>
      </c>
      <c r="B23" s="101"/>
      <c r="C23" s="96">
        <f t="shared" ref="C23" si="7">J23</f>
        <v>1</v>
      </c>
      <c r="D23" s="96"/>
      <c r="E23" s="96">
        <f>K23+E$22</f>
        <v>3040</v>
      </c>
      <c r="F23" s="96">
        <f>L23+F$22</f>
        <v>730</v>
      </c>
      <c r="G23" s="96" t="str">
        <f>D30</f>
        <v>CUB C/R R8</v>
      </c>
      <c r="H23" s="30"/>
      <c r="J23" s="3">
        <f>C30</f>
        <v>1</v>
      </c>
      <c r="K23" s="106">
        <f>E30</f>
        <v>3000</v>
      </c>
      <c r="L23" s="106">
        <f>F30</f>
        <v>600</v>
      </c>
    </row>
    <row r="24" spans="1:12" ht="18" x14ac:dyDescent="0.35">
      <c r="A24" s="109"/>
      <c r="B24" s="101"/>
      <c r="C24" s="96">
        <f t="shared" ref="C24" si="8">J24</f>
        <v>1</v>
      </c>
      <c r="D24" s="96"/>
      <c r="E24" s="96">
        <f>K24+E$22</f>
        <v>1720</v>
      </c>
      <c r="F24" s="96">
        <v>400</v>
      </c>
      <c r="G24" s="96" t="str">
        <f t="shared" ref="G24" si="9">D31</f>
        <v>CUB C/R R8</v>
      </c>
      <c r="H24" s="30"/>
      <c r="J24" s="3">
        <f t="shared" ref="J24" si="10">C31</f>
        <v>1</v>
      </c>
      <c r="K24" s="106">
        <f t="shared" ref="K24:L24" si="11">E31</f>
        <v>1680</v>
      </c>
      <c r="L24" s="106">
        <f t="shared" si="11"/>
        <v>600</v>
      </c>
    </row>
    <row r="25" spans="1:12" ht="18" x14ac:dyDescent="0.35">
      <c r="A25" s="109"/>
      <c r="B25" s="101"/>
      <c r="C25" s="73"/>
      <c r="D25" s="73"/>
      <c r="E25" s="73"/>
      <c r="F25" s="73"/>
      <c r="G25" s="73"/>
      <c r="H25" s="30"/>
      <c r="J25" s="23"/>
      <c r="K25" s="119"/>
      <c r="L25" s="119"/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7"/>
      <c r="J26" s="108"/>
      <c r="K26" s="108"/>
      <c r="L26" s="108"/>
    </row>
    <row r="27" spans="1:12" ht="18.600000000000001" thickBot="1" x14ac:dyDescent="0.4">
      <c r="A27" s="2"/>
      <c r="B27" s="66"/>
      <c r="C27" s="97" t="s">
        <v>103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106</v>
      </c>
      <c r="E29" s="99" t="s">
        <v>6</v>
      </c>
      <c r="F29" s="99" t="s">
        <v>7</v>
      </c>
      <c r="G29" s="99" t="s">
        <v>20</v>
      </c>
      <c r="H29" s="30"/>
    </row>
    <row r="30" spans="1:12" ht="18" x14ac:dyDescent="0.35">
      <c r="A30" s="109">
        <v>1</v>
      </c>
      <c r="B30" s="101" t="s">
        <v>138</v>
      </c>
      <c r="C30" s="94">
        <f>C52</f>
        <v>1</v>
      </c>
      <c r="D30" s="94" t="str">
        <f>D52</f>
        <v>CUB C/R R8</v>
      </c>
      <c r="E30" s="115">
        <f>E52</f>
        <v>3000</v>
      </c>
      <c r="F30" s="115">
        <f>F52</f>
        <v>600</v>
      </c>
      <c r="G30" s="4" t="str">
        <f>G52</f>
        <v>WHITE MARBLE 42004 GL</v>
      </c>
      <c r="H30" s="30"/>
      <c r="I30" s="28">
        <f>E30*F30/1000000</f>
        <v>1.8</v>
      </c>
      <c r="J30" s="28">
        <f>I30*C30</f>
        <v>1.8</v>
      </c>
    </row>
    <row r="31" spans="1:12" ht="18" x14ac:dyDescent="0.35">
      <c r="A31" s="109"/>
      <c r="B31" s="101"/>
      <c r="C31" s="94">
        <f>'4637'!B22</f>
        <v>1</v>
      </c>
      <c r="D31" s="94" t="str">
        <f>'4637'!C22</f>
        <v>CUB C/R R8</v>
      </c>
      <c r="E31" s="115">
        <f>'4637'!D22</f>
        <v>1680</v>
      </c>
      <c r="F31" s="115">
        <f>'4637'!E22</f>
        <v>600</v>
      </c>
      <c r="G31" s="4" t="str">
        <f>'4637'!F22</f>
        <v>WHITE MARBLE 42004 GL</v>
      </c>
      <c r="H31" s="30"/>
      <c r="I31" s="28"/>
      <c r="J31" s="28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0" ht="18" x14ac:dyDescent="0.35">
      <c r="A33" s="2"/>
      <c r="B33" s="30"/>
      <c r="C33" s="73"/>
      <c r="D33" s="73"/>
      <c r="E33" s="73"/>
      <c r="F33" s="73"/>
      <c r="G33" s="73"/>
      <c r="H33" s="30"/>
      <c r="J33" s="28">
        <f>SUM(J30:J30)*2</f>
        <v>3.6</v>
      </c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30"/>
      <c r="D41" s="30"/>
      <c r="E41" s="30"/>
      <c r="F41" s="30"/>
      <c r="G41" s="30"/>
      <c r="H41" s="30"/>
    </row>
    <row r="42" spans="1:10" ht="18" x14ac:dyDescent="0.35">
      <c r="A42" s="2"/>
      <c r="B42" s="30"/>
      <c r="C42" s="30"/>
      <c r="D42" s="74" t="s">
        <v>24</v>
      </c>
      <c r="E42" s="75">
        <f>'4637'!G8</f>
        <v>4182</v>
      </c>
      <c r="F42" s="30"/>
      <c r="G42" s="30"/>
      <c r="H42" s="30"/>
    </row>
    <row r="43" spans="1:10" ht="17.25" customHeight="1" x14ac:dyDescent="0.35">
      <c r="A43" s="2"/>
      <c r="B43" s="30"/>
      <c r="C43" s="30"/>
      <c r="D43" s="76" t="s">
        <v>63</v>
      </c>
      <c r="E43" s="77" t="str">
        <f>'4637'!C10</f>
        <v>CLAUDIO VILLEGAS</v>
      </c>
      <c r="F43" s="47"/>
      <c r="G43" s="47"/>
      <c r="H43" s="30"/>
    </row>
    <row r="44" spans="1:10" ht="4.5" customHeight="1" x14ac:dyDescent="0.35">
      <c r="A44" s="2"/>
      <c r="B44" s="30"/>
      <c r="C44" s="30"/>
      <c r="D44" s="78"/>
      <c r="E44" s="79"/>
      <c r="F44" s="30"/>
      <c r="G44" s="30"/>
      <c r="H44" s="30"/>
    </row>
    <row r="45" spans="1:10" ht="18" x14ac:dyDescent="0.35">
      <c r="A45" s="2"/>
      <c r="B45" s="30"/>
      <c r="C45" s="30"/>
      <c r="D45" s="80" t="str">
        <f>'4637'!F11</f>
        <v>FECHA LIMITE :</v>
      </c>
      <c r="E45" s="81">
        <f>'4637'!G11</f>
        <v>0</v>
      </c>
      <c r="F45" s="30"/>
      <c r="G45" s="30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 t="s">
        <v>134</v>
      </c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130" t="s">
        <v>64</v>
      </c>
      <c r="C48" s="130"/>
      <c r="D48" s="130"/>
      <c r="E48" s="130"/>
      <c r="F48" s="130"/>
      <c r="G48" s="130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20.100000000000001" customHeight="1" x14ac:dyDescent="0.35">
      <c r="A50" s="2"/>
      <c r="B50" s="30"/>
      <c r="C50" s="131" t="s">
        <v>65</v>
      </c>
      <c r="D50" s="132"/>
      <c r="E50" s="133"/>
      <c r="F50" s="133"/>
      <c r="G50" s="134"/>
      <c r="H50" s="30"/>
      <c r="I50" s="25" t="s">
        <v>129</v>
      </c>
    </row>
    <row r="51" spans="1:13" s="10" customFormat="1" ht="20.100000000000001" customHeight="1" x14ac:dyDescent="0.35">
      <c r="A51" s="110"/>
      <c r="B51" s="30"/>
      <c r="C51" s="84" t="s">
        <v>9</v>
      </c>
      <c r="D51" s="85" t="s">
        <v>10</v>
      </c>
      <c r="E51" s="88" t="s">
        <v>6</v>
      </c>
      <c r="F51" s="88" t="s">
        <v>7</v>
      </c>
      <c r="G51" s="86" t="s">
        <v>11</v>
      </c>
      <c r="H51" s="30"/>
      <c r="K51" s="10">
        <v>15000</v>
      </c>
    </row>
    <row r="52" spans="1:13" s="10" customFormat="1" ht="20.100000000000001" customHeight="1" x14ac:dyDescent="0.35">
      <c r="A52" s="109">
        <v>1</v>
      </c>
      <c r="B52" s="100" t="s">
        <v>138</v>
      </c>
      <c r="C52" s="96">
        <f>'4637'!B21</f>
        <v>1</v>
      </c>
      <c r="D52" s="4" t="str">
        <f>'4637'!C21</f>
        <v>CUB C/R R8</v>
      </c>
      <c r="E52" s="115">
        <f>'4637'!D21</f>
        <v>3000</v>
      </c>
      <c r="F52" s="115">
        <f>'4637'!E21</f>
        <v>600</v>
      </c>
      <c r="G52" s="4" t="str">
        <f>'4637'!F21</f>
        <v>WHITE MARBLE 42004 GL</v>
      </c>
      <c r="H52" s="30"/>
      <c r="I52" s="10">
        <f>E52*F52/1000000</f>
        <v>1.8</v>
      </c>
      <c r="J52" s="10">
        <f>I52*C52</f>
        <v>1.8</v>
      </c>
      <c r="K52" s="26">
        <f>J52*K$51</f>
        <v>27000</v>
      </c>
      <c r="M52" s="24">
        <v>12096</v>
      </c>
    </row>
    <row r="53" spans="1:13" s="10" customFormat="1" ht="20.100000000000001" customHeight="1" x14ac:dyDescent="0.35">
      <c r="A53" s="109"/>
      <c r="B53" s="100"/>
      <c r="C53" s="96">
        <f>'4637'!B22</f>
        <v>1</v>
      </c>
      <c r="D53" s="4" t="str">
        <f>'4637'!C22</f>
        <v>CUB C/R R8</v>
      </c>
      <c r="E53" s="115">
        <f>'4637'!D22</f>
        <v>1680</v>
      </c>
      <c r="F53" s="115">
        <f>'4637'!E22</f>
        <v>600</v>
      </c>
      <c r="G53" s="4" t="str">
        <f>'4637'!F22</f>
        <v>WHITE MARBLE 42004 GL</v>
      </c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SUM(J52:J52)</f>
        <v>1.8</v>
      </c>
      <c r="K56" s="27">
        <f>SUM(K52:K52)</f>
        <v>27000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8:G48"/>
    <mergeCell ref="C50:G5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2025-07-09T14:47:48Z</cp:lastPrinted>
  <dcterms:created xsi:type="dcterms:W3CDTF">2013-03-19T12:54:14Z</dcterms:created>
  <dcterms:modified xsi:type="dcterms:W3CDTF">2025-07-09T14:51:20Z</dcterms:modified>
</cp:coreProperties>
</file>