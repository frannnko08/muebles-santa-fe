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0C17122B-6979-4E21-8D02-26445FAD2E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C33" i="3" s="1"/>
  <c r="J25" i="3" s="1"/>
  <c r="C25" i="3" s="1"/>
  <c r="D58" i="3"/>
  <c r="D33" i="3" s="1"/>
  <c r="G25" i="3" s="1"/>
  <c r="E58" i="3"/>
  <c r="E33" i="3" s="1"/>
  <c r="K25" i="3" s="1"/>
  <c r="E25" i="3" s="1"/>
  <c r="F58" i="3"/>
  <c r="F33" i="3" s="1"/>
  <c r="L25" i="3" s="1"/>
  <c r="F25" i="3" s="1"/>
  <c r="G58" i="3"/>
  <c r="G33" i="3" s="1"/>
  <c r="C59" i="3"/>
  <c r="C34" i="3" s="1"/>
  <c r="J26" i="3" s="1"/>
  <c r="C26" i="3" s="1"/>
  <c r="D59" i="3"/>
  <c r="D34" i="3" s="1"/>
  <c r="G26" i="3" s="1"/>
  <c r="E59" i="3"/>
  <c r="E34" i="3" s="1"/>
  <c r="K26" i="3" s="1"/>
  <c r="E26" i="3" s="1"/>
  <c r="F59" i="3"/>
  <c r="F34" i="3" s="1"/>
  <c r="L26" i="3" s="1"/>
  <c r="F26" i="3" s="1"/>
  <c r="G59" i="3"/>
  <c r="G34" i="3" s="1"/>
  <c r="C60" i="3"/>
  <c r="C35" i="3" s="1"/>
  <c r="J27" i="3" s="1"/>
  <c r="C27" i="3" s="1"/>
  <c r="D60" i="3"/>
  <c r="D35" i="3" s="1"/>
  <c r="G27" i="3" s="1"/>
  <c r="E60" i="3"/>
  <c r="E35" i="3" s="1"/>
  <c r="K27" i="3" s="1"/>
  <c r="E27" i="3" s="1"/>
  <c r="F60" i="3"/>
  <c r="F35" i="3" s="1"/>
  <c r="L27" i="3" s="1"/>
  <c r="F27" i="3" s="1"/>
  <c r="G60" i="3"/>
  <c r="G35" i="3" s="1"/>
  <c r="H22" i="4"/>
  <c r="H23" i="4"/>
  <c r="H24" i="4"/>
  <c r="H21" i="4"/>
  <c r="G57" i="3"/>
  <c r="G32" i="3" s="1"/>
  <c r="F57" i="3"/>
  <c r="F32" i="3" s="1"/>
  <c r="L14" i="3" s="1"/>
  <c r="E57" i="3"/>
  <c r="E32" i="3" s="1"/>
  <c r="K14" i="3" s="1"/>
  <c r="C57" i="3"/>
  <c r="D57" i="3"/>
  <c r="D32" i="3" s="1"/>
  <c r="K15" i="3" l="1"/>
  <c r="E15" i="3" s="1"/>
  <c r="L16" i="3"/>
  <c r="F16" i="3" s="1"/>
  <c r="L15" i="3"/>
  <c r="F15" i="3" s="1"/>
  <c r="K16" i="3"/>
  <c r="E16" i="3" s="1"/>
  <c r="J17" i="3"/>
  <c r="C17" i="3" s="1"/>
  <c r="J16" i="3"/>
  <c r="C16" i="3" s="1"/>
  <c r="J15" i="3"/>
  <c r="C15" i="3" s="1"/>
  <c r="L17" i="3"/>
  <c r="F17" i="3" s="1"/>
  <c r="K17" i="3"/>
  <c r="E17" i="3" s="1"/>
  <c r="G17" i="3"/>
  <c r="G16" i="3"/>
  <c r="G15" i="3"/>
  <c r="H29" i="4"/>
  <c r="C32" i="3"/>
  <c r="L21" i="4" l="1"/>
  <c r="K21" i="4"/>
  <c r="M21" i="4" l="1"/>
  <c r="N21" i="4" s="1"/>
  <c r="G24" i="3" l="1"/>
  <c r="L24" i="3"/>
  <c r="F24" i="3" s="1"/>
  <c r="J24" i="3" l="1"/>
  <c r="I32" i="3"/>
  <c r="J32" i="3" s="1"/>
  <c r="K24" i="3"/>
  <c r="E24" i="3" s="1"/>
  <c r="I57" i="3"/>
  <c r="J57" i="3" s="1"/>
  <c r="E14" i="3"/>
  <c r="G14" i="3"/>
  <c r="F14" i="3"/>
  <c r="C24" i="3" l="1"/>
  <c r="J14" i="3"/>
  <c r="C14" i="3" s="1"/>
  <c r="J38" i="3"/>
  <c r="K57" i="3"/>
  <c r="J65" i="3"/>
  <c r="O5" i="3"/>
  <c r="K65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<sst xmlns="http://schemas.openxmlformats.org/spreadsheetml/2006/main" count="253" uniqueCount="144">
  <si>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</si>
  <si>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</si>
  <si>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</si>
  <si>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</si>
  <si>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</si>
  <si>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</si>
  <si>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</si>
  <si>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</si>
  <si>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</si>
  <si>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</si>
  <si>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</si>
  <si>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</si>
  <si>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</si>
  <si>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</si>
  <si>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</si>
  <si>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</si>
  <si>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</si>
  <si>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</si>
  <si>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</si>
  <si>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</si>
  <si>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</si>
  <si>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</si>
  <si>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</si>
  <si>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</si>
  <si>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</si>
  <si>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</si>
  <si>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</si>
  <si>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</si>
  <si>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</si>
  <si>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</si>
  <si>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</si>
  <si>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</si>
  <si>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</si>
  <si>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</si>
  <si>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</si>
  <si>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</si>
  <si>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</si>
  <si>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</si>
  <si>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</si>
  <si>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</si>
  <si>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</si>
  <si>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</si>
  <si>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</si>
  <si>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</si>
  <si>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</si>
  <si>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</si>
  <si>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</si>
  <si>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</si>
  <si>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</si>
  <si>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</si>
  <si>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</si>
  <si>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</si>
  <si>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</si>
  <si>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</si>
  <si>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</si>
  <si>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</si>
  <si>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</si>
  <si>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</si>
  <si>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</si>
  <si>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</si>
  <si>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</si>
  <si>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</si>
  <si>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</si>
  <si>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</si>
  <si>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</si>
  <si>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</si>
  <si>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</si>
  <si>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</si>
  <si>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</si>
  <si>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</si>
  <si>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</si>
  <si>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</si>
  <si>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</si>
  <si>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</si>
  <si>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</si>
  <si>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</si>
  <si>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</si>
  <si>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</si>
  <si>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</si>
  <si>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</si>
  <si>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</si>
  <si>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</si>
  <si>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</si>
  <si>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</si>
  <si>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</si>
  <si>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</si>
  <si>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</si>
  <si>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</si>
  <si>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</si>
  <si>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</si>
  <si>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</si>
  <si>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</si>
  <si>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</si>
  <si>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</si>
  <si>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</si>
  <si>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</si>
  <si>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</si>
  <si>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</si>
  <si>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</si>
  <si>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</si>
  <si>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</si>
  <si>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</si>
  <si>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</si>
  <si>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</si>
  <si>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</si>
  <si>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</si>
  <si>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</si>
  <si>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</si>
  <si>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</si>
  <si>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</si>
  <si>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</si>
  <si>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</si>
  <si>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</si>
  <si>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</si>
  <si>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</si>
  <si>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</si>
  <si>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</si>
  <si>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</si>
  <si>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</si>
  <si>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</si>
  <si>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</si>
  <si>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</si>
  <si>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</si>
  <si>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</si>
  <si>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</si>
  <si>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</si>
  <si>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</si>
  <si>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</si>
  <si>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</si>
  <si>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</si>
  <si>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</si>
  <si>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</si>
  <si>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</si>
  <si>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</si>
  <si>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</si>
  <si>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</si>
  <si>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</si>
  <si>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</si>
  <si>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MELAMIL 18MM</t>
  </si>
  <si>
    <t>FRANCISCO MELLA</t>
  </si>
  <si>
    <t>+56 9 8451 4974</t>
  </si>
  <si>
    <t>CUB C/R R12</t>
  </si>
  <si>
    <t>MILENIA PP-5983 BR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</si>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</sst>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31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$ 100.000.- + $ 280.000.-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37</xdr:row>
      <xdr:rowOff>15239</xdr:rowOff>
    </xdr:from>
    <xdr:to>
      <xdr:col>6</xdr:col>
      <xdr:colOff>2971800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66</xdr:row>
      <xdr:rowOff>32385</xdr:rowOff>
    </xdr:from>
    <xdr:to>
      <xdr:col>7</xdr:col>
      <xdr:colOff>0</xdr:colOff>
      <xdr:row>70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9" zoomScale="98" zoomScaleNormal="98" workbookViewId="0">
      <selection activeCell="H28" sqref="H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11520</v>
      </c>
      <c r="E8" s="29"/>
      <c r="F8" s="34" t="s">
        <v>24</v>
      </c>
      <c r="G8" s="35">
        <v>4187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8" t="s">
        <v>139</v>
      </c>
      <c r="D10" s="37"/>
      <c r="E10" s="37"/>
      <c r="F10" s="38" t="s">
        <v>25</v>
      </c>
      <c r="G10" s="39">
        <v>45868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7" t="s">
        <v>140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141</v>
      </c>
      <c r="D21" s="116">
        <v>900</v>
      </c>
      <c r="E21" s="116">
        <v>600</v>
      </c>
      <c r="F21" s="101" t="s">
        <v>142</v>
      </c>
      <c r="G21" s="111">
        <v>54318</v>
      </c>
      <c r="H21" s="111">
        <f t="shared" ref="H21:H24" si="0">G21*B21</f>
        <v>54318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141</v>
      </c>
      <c r="D22" s="116">
        <v>2400</v>
      </c>
      <c r="E22" s="116">
        <v>600</v>
      </c>
      <c r="F22" s="101" t="s">
        <v>142</v>
      </c>
      <c r="G22" s="111">
        <v>134395</v>
      </c>
      <c r="H22" s="111">
        <f t="shared" si="0"/>
        <v>134395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1</v>
      </c>
      <c r="C23" s="101" t="s">
        <v>141</v>
      </c>
      <c r="D23" s="116">
        <v>2300</v>
      </c>
      <c r="E23" s="116">
        <v>600</v>
      </c>
      <c r="F23" s="101" t="s">
        <v>142</v>
      </c>
      <c r="G23" s="111">
        <v>129057</v>
      </c>
      <c r="H23" s="111">
        <f t="shared" si="0"/>
        <v>129057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1</v>
      </c>
      <c r="C24" s="101" t="s">
        <v>141</v>
      </c>
      <c r="D24" s="116">
        <v>1600</v>
      </c>
      <c r="E24" s="116">
        <v>600</v>
      </c>
      <c r="F24" s="101" t="s">
        <v>142</v>
      </c>
      <c r="G24" s="111">
        <v>91687</v>
      </c>
      <c r="H24" s="111">
        <f t="shared" si="0"/>
        <v>91687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03"/>
      <c r="E25" s="103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2"/>
      <c r="C26" s="102"/>
      <c r="D26" s="110"/>
      <c r="E26" s="110"/>
      <c r="F26" s="102"/>
      <c r="G26" s="104"/>
      <c r="H26" s="104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59" t="s">
        <v>5</v>
      </c>
      <c r="H27" s="60">
        <v>380000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61" t="s">
        <v>135</v>
      </c>
      <c r="H28" s="62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102"/>
      <c r="C29" s="102"/>
      <c r="D29" s="110"/>
      <c r="E29" s="110"/>
      <c r="F29" s="102"/>
      <c r="G29" s="63" t="s">
        <v>4</v>
      </c>
      <c r="H29" s="64">
        <f>H27</f>
        <v>380000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10"/>
      <c r="E32" s="110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2"/>
      <c r="C34" s="102"/>
      <c r="D34" s="103"/>
      <c r="E34" s="103"/>
      <c r="F34" s="102"/>
      <c r="G34" s="104"/>
      <c r="H34" s="104"/>
      <c r="I34" s="29"/>
      <c r="K34" s="11"/>
      <c r="L34" s="15"/>
      <c r="M34" s="11"/>
      <c r="N34" s="11"/>
      <c r="O34" s="15"/>
      <c r="P34" s="21"/>
    </row>
    <row r="35" spans="1:16" ht="13.2" customHeight="1" x14ac:dyDescent="0.35">
      <c r="A35" s="29"/>
      <c r="B35" s="58"/>
      <c r="C35" s="58"/>
      <c r="D35" s="58"/>
      <c r="E35" s="58"/>
      <c r="F35" s="58"/>
      <c r="G35" s="57"/>
      <c r="H35" s="57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G39" s="65"/>
      <c r="H39" s="66"/>
      <c r="I39" s="29"/>
    </row>
    <row r="40" spans="1:16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16" ht="18" x14ac:dyDescent="0.35">
      <c r="A41" s="29"/>
      <c r="B41" s="67" t="s">
        <v>132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67" t="s">
        <v>118</v>
      </c>
      <c r="C42" s="68"/>
      <c r="D42" s="69"/>
      <c r="E42" s="69"/>
      <c r="F42" s="58"/>
      <c r="G42" s="29"/>
      <c r="H42" s="29"/>
      <c r="I42" s="29"/>
    </row>
    <row r="43" spans="1:16" ht="18" x14ac:dyDescent="0.35">
      <c r="A43" s="29"/>
      <c r="B43" s="29" t="s">
        <v>22</v>
      </c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70" t="s">
        <v>23</v>
      </c>
      <c r="C44" s="70"/>
      <c r="D44" s="29"/>
      <c r="E44" s="29"/>
      <c r="F44" s="29"/>
      <c r="G44" s="29"/>
      <c r="H44" s="29"/>
      <c r="I44" s="29"/>
    </row>
    <row r="45" spans="1:16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16" ht="18" x14ac:dyDescent="0.35">
      <c r="A46" s="29"/>
      <c r="B46" s="30" t="s">
        <v>130</v>
      </c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/>
      <c r="C47" s="30"/>
      <c r="D47" s="30"/>
      <c r="E47" s="71"/>
      <c r="F47" s="29"/>
      <c r="G47" s="29"/>
      <c r="H47" s="29"/>
      <c r="I47" s="29"/>
    </row>
    <row r="48" spans="1:16" ht="18" x14ac:dyDescent="0.35">
      <c r="A48" s="29"/>
      <c r="B48" s="30" t="s">
        <v>131</v>
      </c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70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8" x14ac:dyDescent="0.3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4"/>
  <sheetViews>
    <sheetView tabSelected="1" zoomScaleNormal="100" workbookViewId="0">
      <selection sqref="A1:G4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24</v>
      </c>
      <c r="E4" s="74">
        <f>'4637'!G8</f>
        <v>4187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FRANCISCO MELLA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143</v>
      </c>
      <c r="C14" s="93">
        <f>J14</f>
        <v>1</v>
      </c>
      <c r="D14" s="93"/>
      <c r="E14" s="93">
        <f>K14+E$13</f>
        <v>980</v>
      </c>
      <c r="F14" s="93">
        <f>L14+F$13</f>
        <v>570</v>
      </c>
      <c r="G14" s="93" t="str">
        <f>D32</f>
        <v>CUB C/R R12</v>
      </c>
      <c r="H14" s="29"/>
      <c r="J14" s="3">
        <f>J24</f>
        <v>1</v>
      </c>
      <c r="K14" s="4">
        <f t="shared" ref="K14:L14" si="0">E32</f>
        <v>900</v>
      </c>
      <c r="L14" s="4">
        <f t="shared" si="0"/>
        <v>600</v>
      </c>
    </row>
    <row r="15" spans="1:15" ht="18" x14ac:dyDescent="0.35">
      <c r="A15" s="108">
        <v>2</v>
      </c>
      <c r="B15" s="100"/>
      <c r="C15" s="93">
        <f t="shared" ref="C15:C17" si="1">J15</f>
        <v>1</v>
      </c>
      <c r="D15" s="93"/>
      <c r="E15" s="93">
        <f t="shared" ref="E15:E17" si="2">K15+E$13</f>
        <v>2480</v>
      </c>
      <c r="F15" s="93">
        <f t="shared" ref="F15:F17" si="3">L15+F$13</f>
        <v>570</v>
      </c>
      <c r="G15" s="93" t="str">
        <f t="shared" ref="G15:G17" si="4">D33</f>
        <v>CUB C/R R12</v>
      </c>
      <c r="H15" s="29"/>
      <c r="J15" s="3">
        <f t="shared" ref="J15:J17" si="5">J25</f>
        <v>1</v>
      </c>
      <c r="K15" s="4">
        <f t="shared" ref="K15:K17" si="6">E33</f>
        <v>2400</v>
      </c>
      <c r="L15" s="4">
        <f t="shared" ref="L15:L17" si="7">F33</f>
        <v>600</v>
      </c>
    </row>
    <row r="16" spans="1:15" ht="18" x14ac:dyDescent="0.35">
      <c r="A16" s="108">
        <v>3</v>
      </c>
      <c r="B16" s="100"/>
      <c r="C16" s="93">
        <f t="shared" si="1"/>
        <v>1</v>
      </c>
      <c r="D16" s="93"/>
      <c r="E16" s="93">
        <f t="shared" si="2"/>
        <v>2380</v>
      </c>
      <c r="F16" s="93">
        <f t="shared" si="3"/>
        <v>570</v>
      </c>
      <c r="G16" s="93" t="str">
        <f t="shared" si="4"/>
        <v>CUB C/R R12</v>
      </c>
      <c r="H16" s="29"/>
      <c r="J16" s="3">
        <f t="shared" si="5"/>
        <v>1</v>
      </c>
      <c r="K16" s="4">
        <f t="shared" si="6"/>
        <v>2300</v>
      </c>
      <c r="L16" s="4">
        <f t="shared" si="7"/>
        <v>600</v>
      </c>
    </row>
    <row r="17" spans="1:12" ht="18" x14ac:dyDescent="0.35">
      <c r="A17" s="108">
        <v>4</v>
      </c>
      <c r="B17" s="100"/>
      <c r="C17" s="93">
        <f t="shared" si="1"/>
        <v>1</v>
      </c>
      <c r="D17" s="93"/>
      <c r="E17" s="93">
        <f t="shared" si="2"/>
        <v>1680</v>
      </c>
      <c r="F17" s="93">
        <f t="shared" si="3"/>
        <v>570</v>
      </c>
      <c r="G17" s="93" t="str">
        <f t="shared" si="4"/>
        <v>CUB C/R R12</v>
      </c>
      <c r="H17" s="29"/>
      <c r="J17" s="3">
        <f t="shared" si="5"/>
        <v>1</v>
      </c>
      <c r="K17" s="4">
        <f t="shared" si="6"/>
        <v>1600</v>
      </c>
      <c r="L17" s="4">
        <f t="shared" si="7"/>
        <v>600</v>
      </c>
    </row>
    <row r="18" spans="1:12" ht="18" x14ac:dyDescent="0.35">
      <c r="A18" s="2"/>
      <c r="B18" s="82"/>
      <c r="C18" s="72"/>
      <c r="D18" s="72"/>
      <c r="E18" s="72"/>
      <c r="F18" s="72"/>
      <c r="G18" s="72"/>
      <c r="H18" s="29"/>
      <c r="J18" s="23"/>
      <c r="K18" s="2"/>
      <c r="L18" s="2"/>
    </row>
    <row r="19" spans="1:12" ht="6.75" customHeight="1" x14ac:dyDescent="0.35">
      <c r="A19" s="2"/>
      <c r="B19" s="29"/>
      <c r="C19" s="29"/>
      <c r="D19" s="29"/>
      <c r="E19" s="29"/>
      <c r="F19" s="29"/>
      <c r="G19" s="29"/>
      <c r="H19" s="29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29"/>
    </row>
    <row r="21" spans="1:12" ht="10.5" customHeight="1" x14ac:dyDescent="0.35">
      <c r="A21" s="2"/>
      <c r="B21" s="29"/>
      <c r="C21" s="29"/>
      <c r="D21" s="90"/>
      <c r="E21" s="29"/>
      <c r="F21" s="29"/>
      <c r="G21" s="29"/>
      <c r="H21" s="29"/>
    </row>
    <row r="22" spans="1:12" ht="18" x14ac:dyDescent="0.35">
      <c r="A22" s="2"/>
      <c r="B22" s="29"/>
      <c r="C22" s="29"/>
      <c r="D22" s="29"/>
      <c r="E22" s="65" t="s">
        <v>6</v>
      </c>
      <c r="F22" s="65" t="s">
        <v>7</v>
      </c>
      <c r="G22" s="29"/>
      <c r="H22" s="29"/>
    </row>
    <row r="23" spans="1:12" ht="18" x14ac:dyDescent="0.35">
      <c r="A23" s="2"/>
      <c r="B23" s="65" t="s">
        <v>8</v>
      </c>
      <c r="C23" s="81" t="s">
        <v>9</v>
      </c>
      <c r="D23" s="81" t="s">
        <v>10</v>
      </c>
      <c r="E23" s="94">
        <v>40</v>
      </c>
      <c r="F23" s="94">
        <v>130</v>
      </c>
      <c r="G23" s="81" t="s">
        <v>106</v>
      </c>
      <c r="H23" s="29"/>
      <c r="K23" s="5" t="s">
        <v>6</v>
      </c>
      <c r="L23" s="5" t="s">
        <v>7</v>
      </c>
    </row>
    <row r="24" spans="1:12" ht="18" x14ac:dyDescent="0.35">
      <c r="A24" s="108">
        <v>1</v>
      </c>
      <c r="B24" s="100"/>
      <c r="C24" s="95">
        <f t="shared" ref="C24" si="8">J24</f>
        <v>1</v>
      </c>
      <c r="D24" s="95"/>
      <c r="E24" s="95">
        <f t="shared" ref="E24:F27" si="9">K24+E$23</f>
        <v>940</v>
      </c>
      <c r="F24" s="95">
        <f t="shared" si="9"/>
        <v>730</v>
      </c>
      <c r="G24" s="95" t="str">
        <f t="shared" ref="G24:G27" si="10">D32</f>
        <v>CUB C/R R12</v>
      </c>
      <c r="H24" s="29"/>
      <c r="J24" s="3">
        <f t="shared" ref="J24:J27" si="11">C32</f>
        <v>1</v>
      </c>
      <c r="K24" s="105">
        <f>E32</f>
        <v>900</v>
      </c>
      <c r="L24" s="105">
        <f>F32</f>
        <v>600</v>
      </c>
    </row>
    <row r="25" spans="1:12" ht="18" x14ac:dyDescent="0.35">
      <c r="A25" s="108">
        <v>2</v>
      </c>
      <c r="B25" s="100"/>
      <c r="C25" s="95">
        <f t="shared" ref="C25:C27" si="12">J25</f>
        <v>1</v>
      </c>
      <c r="D25" s="95"/>
      <c r="E25" s="95">
        <f t="shared" si="9"/>
        <v>2440</v>
      </c>
      <c r="F25" s="95">
        <f t="shared" si="9"/>
        <v>730</v>
      </c>
      <c r="G25" s="95" t="str">
        <f t="shared" si="10"/>
        <v>CUB C/R R12</v>
      </c>
      <c r="H25" s="29"/>
      <c r="J25" s="3">
        <f t="shared" si="11"/>
        <v>1</v>
      </c>
      <c r="K25" s="105">
        <f t="shared" ref="K25:L25" si="13">E33</f>
        <v>2400</v>
      </c>
      <c r="L25" s="105">
        <f t="shared" si="13"/>
        <v>600</v>
      </c>
    </row>
    <row r="26" spans="1:12" ht="18" x14ac:dyDescent="0.35">
      <c r="A26" s="108">
        <v>3</v>
      </c>
      <c r="B26" s="100"/>
      <c r="C26" s="95">
        <f t="shared" si="12"/>
        <v>1</v>
      </c>
      <c r="D26" s="95"/>
      <c r="E26" s="95">
        <f t="shared" si="9"/>
        <v>2340</v>
      </c>
      <c r="F26" s="95">
        <f t="shared" si="9"/>
        <v>730</v>
      </c>
      <c r="G26" s="95" t="str">
        <f t="shared" si="10"/>
        <v>CUB C/R R12</v>
      </c>
      <c r="H26" s="29"/>
      <c r="J26" s="3">
        <f t="shared" si="11"/>
        <v>1</v>
      </c>
      <c r="K26" s="105">
        <f t="shared" ref="K26:L26" si="14">E34</f>
        <v>2300</v>
      </c>
      <c r="L26" s="105">
        <f t="shared" si="14"/>
        <v>600</v>
      </c>
    </row>
    <row r="27" spans="1:12" ht="18" x14ac:dyDescent="0.35">
      <c r="A27" s="108">
        <v>4</v>
      </c>
      <c r="B27" s="100"/>
      <c r="C27" s="95">
        <f t="shared" si="12"/>
        <v>1</v>
      </c>
      <c r="D27" s="95"/>
      <c r="E27" s="95">
        <f>K27+E$23</f>
        <v>1640</v>
      </c>
      <c r="F27" s="95">
        <f t="shared" si="9"/>
        <v>730</v>
      </c>
      <c r="G27" s="95" t="str">
        <f t="shared" si="10"/>
        <v>CUB C/R R12</v>
      </c>
      <c r="H27" s="29"/>
      <c r="J27" s="3">
        <f t="shared" si="11"/>
        <v>1</v>
      </c>
      <c r="K27" s="105">
        <f t="shared" ref="K27:L27" si="15">E35</f>
        <v>1600</v>
      </c>
      <c r="L27" s="105">
        <f t="shared" si="15"/>
        <v>600</v>
      </c>
    </row>
    <row r="28" spans="1:12" ht="18.600000000000001" thickBot="1" x14ac:dyDescent="0.4">
      <c r="A28" s="2"/>
      <c r="B28" s="82"/>
      <c r="C28" s="72"/>
      <c r="D28" s="72"/>
      <c r="E28" s="72"/>
      <c r="F28" s="72"/>
      <c r="G28" s="72"/>
      <c r="H28" s="29"/>
      <c r="I28" s="106"/>
      <c r="J28" s="107"/>
      <c r="K28" s="107"/>
      <c r="L28" s="107"/>
    </row>
    <row r="29" spans="1:12" ht="18.600000000000001" thickBot="1" x14ac:dyDescent="0.4">
      <c r="A29" s="2"/>
      <c r="B29" s="65"/>
      <c r="C29" s="96" t="s">
        <v>103</v>
      </c>
      <c r="D29" s="32"/>
      <c r="E29" s="32"/>
      <c r="F29" s="32"/>
      <c r="G29" s="97"/>
      <c r="H29" s="29"/>
      <c r="J29" s="2"/>
      <c r="K29" s="2"/>
      <c r="L29" s="2"/>
    </row>
    <row r="30" spans="1:12" ht="10.5" customHeight="1" x14ac:dyDescent="0.35">
      <c r="A30" s="2"/>
      <c r="B30" s="29"/>
      <c r="C30" s="29"/>
      <c r="D30" s="29"/>
      <c r="E30" s="29"/>
      <c r="F30" s="29"/>
      <c r="G30" s="29"/>
      <c r="H30" s="29"/>
    </row>
    <row r="31" spans="1:12" ht="18" x14ac:dyDescent="0.35">
      <c r="A31" s="2"/>
      <c r="B31" s="65" t="s">
        <v>8</v>
      </c>
      <c r="C31" s="98" t="s">
        <v>9</v>
      </c>
      <c r="D31" s="98" t="s">
        <v>106</v>
      </c>
      <c r="E31" s="98" t="s">
        <v>6</v>
      </c>
      <c r="F31" s="98" t="s">
        <v>7</v>
      </c>
      <c r="G31" s="98" t="s">
        <v>20</v>
      </c>
      <c r="H31" s="29"/>
    </row>
    <row r="32" spans="1:12" ht="18" x14ac:dyDescent="0.35">
      <c r="A32" s="108">
        <v>1</v>
      </c>
      <c r="B32" s="100" t="s">
        <v>138</v>
      </c>
      <c r="C32" s="93">
        <f>C57</f>
        <v>1</v>
      </c>
      <c r="D32" s="93" t="str">
        <f>D57</f>
        <v>CUB C/R R12</v>
      </c>
      <c r="E32" s="114">
        <f>E57</f>
        <v>900</v>
      </c>
      <c r="F32" s="114">
        <f>F57</f>
        <v>600</v>
      </c>
      <c r="G32" s="4" t="str">
        <f>G57</f>
        <v>MILENIA PP-5983 BR</v>
      </c>
      <c r="H32" s="29"/>
      <c r="I32" s="28">
        <f>E32*F32/1000000</f>
        <v>0.54</v>
      </c>
      <c r="J32" s="28">
        <f>I32*C32</f>
        <v>0.54</v>
      </c>
    </row>
    <row r="33" spans="1:10" ht="18" x14ac:dyDescent="0.35">
      <c r="A33" s="108">
        <v>2</v>
      </c>
      <c r="B33" s="100"/>
      <c r="C33" s="93">
        <f t="shared" ref="C33:G33" si="16">C58</f>
        <v>1</v>
      </c>
      <c r="D33" s="93" t="str">
        <f t="shared" si="16"/>
        <v>CUB C/R R12</v>
      </c>
      <c r="E33" s="114">
        <f t="shared" si="16"/>
        <v>2400</v>
      </c>
      <c r="F33" s="114">
        <f t="shared" si="16"/>
        <v>600</v>
      </c>
      <c r="G33" s="4" t="str">
        <f t="shared" si="16"/>
        <v>MILENIA PP-5983 BR</v>
      </c>
      <c r="H33" s="29"/>
      <c r="I33" s="28"/>
      <c r="J33" s="28"/>
    </row>
    <row r="34" spans="1:10" ht="18" x14ac:dyDescent="0.35">
      <c r="A34" s="108">
        <v>3</v>
      </c>
      <c r="B34" s="100"/>
      <c r="C34" s="93">
        <f t="shared" ref="C34:G34" si="17">C59</f>
        <v>1</v>
      </c>
      <c r="D34" s="93" t="str">
        <f t="shared" si="17"/>
        <v>CUB C/R R12</v>
      </c>
      <c r="E34" s="114">
        <f t="shared" si="17"/>
        <v>2300</v>
      </c>
      <c r="F34" s="114">
        <f t="shared" si="17"/>
        <v>600</v>
      </c>
      <c r="G34" s="4" t="str">
        <f t="shared" si="17"/>
        <v>MILENIA PP-5983 BR</v>
      </c>
      <c r="H34" s="29"/>
      <c r="I34" s="28"/>
      <c r="J34" s="28"/>
    </row>
    <row r="35" spans="1:10" ht="18" x14ac:dyDescent="0.35">
      <c r="A35" s="108">
        <v>4</v>
      </c>
      <c r="B35" s="100"/>
      <c r="C35" s="93">
        <f>C60</f>
        <v>1</v>
      </c>
      <c r="D35" s="93" t="str">
        <f>D60</f>
        <v>CUB C/R R12</v>
      </c>
      <c r="E35" s="114">
        <f>E60</f>
        <v>1600</v>
      </c>
      <c r="F35" s="114">
        <f>F60</f>
        <v>600</v>
      </c>
      <c r="G35" s="4" t="str">
        <f>G60</f>
        <v>MILENIA PP-5983 BR</v>
      </c>
      <c r="H35" s="29"/>
      <c r="I35" s="28"/>
      <c r="J35" s="28"/>
    </row>
    <row r="36" spans="1:10" ht="18" x14ac:dyDescent="0.35">
      <c r="A36" s="108"/>
      <c r="B36" s="100"/>
      <c r="C36" s="72"/>
      <c r="D36" s="72"/>
      <c r="E36" s="119"/>
      <c r="F36" s="119"/>
      <c r="G36" s="2"/>
      <c r="H36" s="29"/>
      <c r="I36" s="28"/>
      <c r="J36" s="28"/>
    </row>
    <row r="37" spans="1:10" ht="18" x14ac:dyDescent="0.35">
      <c r="A37" s="2"/>
      <c r="B37" s="29"/>
      <c r="C37" s="72"/>
      <c r="D37" s="72"/>
      <c r="E37" s="72"/>
      <c r="F37" s="72"/>
      <c r="G37" s="72"/>
      <c r="H37" s="29"/>
    </row>
    <row r="38" spans="1:10" ht="18" x14ac:dyDescent="0.35">
      <c r="A38" s="2"/>
      <c r="B38" s="29"/>
      <c r="C38" s="72"/>
      <c r="D38" s="72"/>
      <c r="E38" s="72"/>
      <c r="F38" s="72"/>
      <c r="G38" s="72"/>
      <c r="H38" s="29"/>
      <c r="J38" s="28">
        <f>SUM(J32:J32)*2</f>
        <v>1.08</v>
      </c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72"/>
      <c r="D42" s="72"/>
      <c r="E42" s="72"/>
      <c r="F42" s="72"/>
      <c r="G42" s="72"/>
      <c r="H42" s="29"/>
    </row>
    <row r="43" spans="1:10" ht="18" x14ac:dyDescent="0.35">
      <c r="A43" s="2"/>
      <c r="B43" s="29"/>
      <c r="C43" s="72"/>
      <c r="D43" s="72"/>
      <c r="E43" s="72"/>
      <c r="F43" s="72"/>
      <c r="G43" s="72"/>
      <c r="H43" s="29"/>
    </row>
    <row r="44" spans="1:10" ht="18" x14ac:dyDescent="0.35">
      <c r="A44" s="2"/>
      <c r="B44" s="29"/>
      <c r="C44" s="72"/>
      <c r="D44" s="72"/>
      <c r="E44" s="72"/>
      <c r="F44" s="72"/>
      <c r="G44" s="72"/>
      <c r="H44" s="29"/>
    </row>
    <row r="45" spans="1:10" ht="18" x14ac:dyDescent="0.35">
      <c r="A45" s="2"/>
      <c r="B45" s="29"/>
      <c r="C45" s="72"/>
      <c r="D45" s="72"/>
      <c r="E45" s="72"/>
      <c r="F45" s="72"/>
      <c r="G45" s="72"/>
      <c r="H45" s="29"/>
    </row>
    <row r="46" spans="1:10" ht="18" x14ac:dyDescent="0.35">
      <c r="A46" s="2"/>
      <c r="B46" s="29"/>
      <c r="C46" s="29"/>
      <c r="D46" s="29"/>
      <c r="E46" s="29"/>
      <c r="F46" s="29"/>
      <c r="G46" s="29"/>
      <c r="H46" s="29"/>
    </row>
    <row r="47" spans="1:10" ht="18" x14ac:dyDescent="0.35">
      <c r="A47" s="2"/>
      <c r="B47" s="29"/>
      <c r="C47" s="29"/>
      <c r="D47" s="73" t="s">
        <v>24</v>
      </c>
      <c r="E47" s="74">
        <f>'4637'!G8</f>
        <v>4187</v>
      </c>
      <c r="F47" s="29"/>
      <c r="G47" s="29"/>
      <c r="H47" s="29"/>
    </row>
    <row r="48" spans="1:10" ht="17.25" customHeight="1" x14ac:dyDescent="0.35">
      <c r="A48" s="2"/>
      <c r="B48" s="29"/>
      <c r="C48" s="29"/>
      <c r="D48" s="75" t="s">
        <v>63</v>
      </c>
      <c r="E48" s="76" t="str">
        <f>'4637'!C10</f>
        <v>FRANCISCO MELLA</v>
      </c>
      <c r="F48" s="46"/>
      <c r="G48" s="46"/>
      <c r="H48" s="29"/>
    </row>
    <row r="49" spans="1:13" ht="4.5" customHeight="1" x14ac:dyDescent="0.35">
      <c r="A49" s="2"/>
      <c r="B49" s="29"/>
      <c r="C49" s="29"/>
      <c r="D49" s="77"/>
      <c r="E49" s="78"/>
      <c r="F49" s="29"/>
      <c r="G49" s="29"/>
      <c r="H49" s="29"/>
    </row>
    <row r="50" spans="1:13" ht="18" x14ac:dyDescent="0.35">
      <c r="A50" s="2"/>
      <c r="B50" s="29"/>
      <c r="C50" s="29"/>
      <c r="D50" s="79" t="str">
        <f>'4637'!F11</f>
        <v>FECHA LIMITE :</v>
      </c>
      <c r="E50" s="80">
        <f>'4637'!G11</f>
        <v>0</v>
      </c>
      <c r="F50" s="29"/>
      <c r="G50" s="29"/>
      <c r="H50" s="29"/>
    </row>
    <row r="51" spans="1:13" ht="18" x14ac:dyDescent="0.35">
      <c r="A51" s="2"/>
      <c r="B51" s="29"/>
      <c r="C51" s="29"/>
      <c r="D51" s="29"/>
      <c r="E51" s="29"/>
      <c r="F51" s="29"/>
      <c r="G51" s="29" t="s">
        <v>134</v>
      </c>
      <c r="H51" s="29"/>
    </row>
    <row r="52" spans="1:13" ht="18" x14ac:dyDescent="0.35">
      <c r="A52" s="2"/>
      <c r="B52" s="29"/>
      <c r="C52" s="29"/>
      <c r="D52" s="29"/>
      <c r="E52" s="29"/>
      <c r="F52" s="29"/>
      <c r="G52" s="29"/>
      <c r="H52" s="29"/>
    </row>
    <row r="53" spans="1:13" ht="18" x14ac:dyDescent="0.35">
      <c r="A53" s="2"/>
      <c r="B53" s="130" t="s">
        <v>64</v>
      </c>
      <c r="C53" s="130"/>
      <c r="D53" s="130"/>
      <c r="E53" s="130"/>
      <c r="F53" s="130"/>
      <c r="G53" s="130"/>
      <c r="H53" s="29"/>
    </row>
    <row r="54" spans="1:13" ht="18" x14ac:dyDescent="0.35">
      <c r="A54" s="2"/>
      <c r="B54" s="29"/>
      <c r="C54" s="29"/>
      <c r="D54" s="29"/>
      <c r="E54" s="29"/>
      <c r="F54" s="29"/>
      <c r="G54" s="29"/>
      <c r="H54" s="29"/>
    </row>
    <row r="55" spans="1:13" ht="20.100000000000001" customHeight="1" x14ac:dyDescent="0.35">
      <c r="A55" s="2"/>
      <c r="B55" s="29"/>
      <c r="C55" s="131" t="s">
        <v>65</v>
      </c>
      <c r="D55" s="132"/>
      <c r="E55" s="133"/>
      <c r="F55" s="133"/>
      <c r="G55" s="134"/>
      <c r="H55" s="29"/>
      <c r="I55" s="25" t="s">
        <v>129</v>
      </c>
    </row>
    <row r="56" spans="1:13" s="10" customFormat="1" ht="20.100000000000001" customHeight="1" x14ac:dyDescent="0.35">
      <c r="A56" s="109"/>
      <c r="B56" s="29"/>
      <c r="C56" s="83" t="s">
        <v>9</v>
      </c>
      <c r="D56" s="84" t="s">
        <v>10</v>
      </c>
      <c r="E56" s="87" t="s">
        <v>6</v>
      </c>
      <c r="F56" s="87" t="s">
        <v>7</v>
      </c>
      <c r="G56" s="85" t="s">
        <v>11</v>
      </c>
      <c r="H56" s="29"/>
      <c r="K56" s="10">
        <v>15000</v>
      </c>
    </row>
    <row r="57" spans="1:13" s="10" customFormat="1" ht="20.100000000000001" customHeight="1" x14ac:dyDescent="0.35">
      <c r="A57" s="108">
        <v>1</v>
      </c>
      <c r="B57" s="99" t="s">
        <v>143</v>
      </c>
      <c r="C57" s="95">
        <f>'4637'!B21</f>
        <v>1</v>
      </c>
      <c r="D57" s="4" t="str">
        <f>'4637'!C21</f>
        <v>CUB C/R R12</v>
      </c>
      <c r="E57" s="114">
        <f>'4637'!D21</f>
        <v>900</v>
      </c>
      <c r="F57" s="114">
        <f>'4637'!E21</f>
        <v>600</v>
      </c>
      <c r="G57" s="4" t="str">
        <f>'4637'!F21</f>
        <v>MILENIA PP-5983 BR</v>
      </c>
      <c r="H57" s="29"/>
      <c r="I57" s="10">
        <f>E57*F57/1000000</f>
        <v>0.54</v>
      </c>
      <c r="J57" s="10">
        <f>I57*C57</f>
        <v>0.54</v>
      </c>
      <c r="K57" s="26">
        <f>J57*K$56</f>
        <v>8100.0000000000009</v>
      </c>
      <c r="M57" s="24">
        <v>12096</v>
      </c>
    </row>
    <row r="58" spans="1:13" s="10" customFormat="1" ht="20.100000000000001" customHeight="1" x14ac:dyDescent="0.35">
      <c r="A58" s="108">
        <v>2</v>
      </c>
      <c r="B58" s="99"/>
      <c r="C58" s="95">
        <f>'4637'!B22</f>
        <v>1</v>
      </c>
      <c r="D58" s="4" t="str">
        <f>'4637'!C22</f>
        <v>CUB C/R R12</v>
      </c>
      <c r="E58" s="114">
        <f>'4637'!D22</f>
        <v>2400</v>
      </c>
      <c r="F58" s="114">
        <f>'4637'!E22</f>
        <v>600</v>
      </c>
      <c r="G58" s="4" t="str">
        <f>'4637'!F22</f>
        <v>MILENIA PP-5983 BR</v>
      </c>
      <c r="H58" s="29"/>
      <c r="K58" s="26"/>
      <c r="M58" s="120"/>
    </row>
    <row r="59" spans="1:13" s="10" customFormat="1" ht="20.100000000000001" customHeight="1" x14ac:dyDescent="0.35">
      <c r="A59" s="108">
        <v>3</v>
      </c>
      <c r="B59" s="99"/>
      <c r="C59" s="95">
        <f>'4637'!B23</f>
        <v>1</v>
      </c>
      <c r="D59" s="4" t="str">
        <f>'4637'!C23</f>
        <v>CUB C/R R12</v>
      </c>
      <c r="E59" s="114">
        <f>'4637'!D23</f>
        <v>2300</v>
      </c>
      <c r="F59" s="114">
        <f>'4637'!E23</f>
        <v>600</v>
      </c>
      <c r="G59" s="4" t="str">
        <f>'4637'!F23</f>
        <v>MILENIA PP-5983 BR</v>
      </c>
      <c r="H59" s="29"/>
      <c r="K59" s="26"/>
      <c r="M59" s="120"/>
    </row>
    <row r="60" spans="1:13" s="10" customFormat="1" ht="20.100000000000001" customHeight="1" x14ac:dyDescent="0.35">
      <c r="A60" s="108">
        <v>4</v>
      </c>
      <c r="B60" s="99"/>
      <c r="C60" s="135">
        <f>'4637'!B24</f>
        <v>1</v>
      </c>
      <c r="D60" s="4" t="str">
        <f>'4637'!C24</f>
        <v>CUB C/R R12</v>
      </c>
      <c r="E60" s="114">
        <f>'4637'!D24</f>
        <v>1600</v>
      </c>
      <c r="F60" s="114">
        <f>'4637'!E24</f>
        <v>600</v>
      </c>
      <c r="G60" s="4" t="str">
        <f>'4637'!F24</f>
        <v>MILENIA PP-5983 BR</v>
      </c>
      <c r="H60" s="29"/>
      <c r="K60" s="26"/>
      <c r="M60" s="120"/>
    </row>
    <row r="61" spans="1:13" s="10" customFormat="1" ht="20.100000000000001" customHeight="1" x14ac:dyDescent="0.35">
      <c r="A61" s="108"/>
      <c r="B61" s="99"/>
      <c r="C61" s="72"/>
      <c r="D61" s="2"/>
      <c r="E61" s="119"/>
      <c r="F61" s="119"/>
      <c r="G61" s="2"/>
      <c r="H61" s="29"/>
      <c r="K61" s="26"/>
      <c r="M61" s="120"/>
    </row>
    <row r="62" spans="1:13" s="10" customFormat="1" ht="20.100000000000001" customHeight="1" x14ac:dyDescent="0.35">
      <c r="A62" s="108"/>
      <c r="B62" s="99"/>
      <c r="C62" s="72"/>
      <c r="D62" s="2"/>
      <c r="E62" s="119"/>
      <c r="F62" s="119"/>
      <c r="G62" s="2"/>
      <c r="H62" s="29"/>
      <c r="K62" s="26"/>
      <c r="M62" s="120"/>
    </row>
    <row r="63" spans="1:13" s="10" customFormat="1" ht="15" customHeight="1" x14ac:dyDescent="0.35">
      <c r="B63" s="82"/>
      <c r="C63" s="65"/>
      <c r="D63" s="65"/>
      <c r="E63" s="65"/>
      <c r="F63" s="65"/>
      <c r="G63" s="65"/>
      <c r="H63" s="29"/>
    </row>
    <row r="64" spans="1:13" ht="18" x14ac:dyDescent="0.35">
      <c r="B64" s="72"/>
      <c r="C64" s="72"/>
      <c r="D64" s="29"/>
      <c r="E64" s="72"/>
      <c r="F64" s="72"/>
      <c r="G64" s="77"/>
      <c r="H64" s="29"/>
    </row>
    <row r="65" spans="2:11" ht="18" x14ac:dyDescent="0.35">
      <c r="B65" s="72"/>
      <c r="C65" s="72"/>
      <c r="D65" s="29"/>
      <c r="E65" s="72"/>
      <c r="F65" s="72"/>
      <c r="G65" s="72"/>
      <c r="H65" s="29"/>
      <c r="J65" s="10">
        <f>SUM(J57:J57)</f>
        <v>0.54</v>
      </c>
      <c r="K65" s="27">
        <f>SUM(K57:K57)</f>
        <v>8100.0000000000009</v>
      </c>
    </row>
    <row r="66" spans="2:11" ht="18" x14ac:dyDescent="0.35">
      <c r="B66" s="29"/>
      <c r="C66" s="29"/>
      <c r="D66" s="29"/>
      <c r="E66" s="29"/>
      <c r="F66" s="29"/>
      <c r="G66" s="29"/>
      <c r="H66" s="29"/>
    </row>
    <row r="67" spans="2:11" ht="18" x14ac:dyDescent="0.35">
      <c r="B67" s="29"/>
      <c r="C67" s="29"/>
      <c r="D67" s="29"/>
      <c r="E67" s="29"/>
      <c r="F67" s="29"/>
      <c r="G67" s="29"/>
      <c r="H67" s="29"/>
    </row>
    <row r="68" spans="2:11" ht="18" x14ac:dyDescent="0.35">
      <c r="B68" s="29"/>
      <c r="C68" s="29"/>
      <c r="D68" s="29"/>
      <c r="E68" s="29"/>
      <c r="F68" s="29"/>
      <c r="G68" s="29"/>
      <c r="H68" s="29"/>
    </row>
    <row r="69" spans="2:11" ht="15" customHeight="1" x14ac:dyDescent="0.35">
      <c r="B69" s="29"/>
      <c r="C69" s="29"/>
      <c r="D69" s="29"/>
      <c r="E69" s="29"/>
      <c r="F69" s="29"/>
      <c r="G69" s="29"/>
      <c r="H69" s="29"/>
    </row>
    <row r="70" spans="2:11" ht="18" x14ac:dyDescent="0.35">
      <c r="B70" s="29"/>
      <c r="C70" s="29"/>
      <c r="D70" s="29"/>
      <c r="E70" s="29"/>
      <c r="F70" s="29"/>
      <c r="G70" s="29"/>
      <c r="H70" s="29"/>
    </row>
    <row r="71" spans="2:11" ht="18" x14ac:dyDescent="0.35">
      <c r="B71" s="72"/>
      <c r="C71" s="86"/>
      <c r="D71" s="29"/>
      <c r="E71" s="29"/>
      <c r="F71" s="29"/>
      <c r="G71" s="29"/>
      <c r="H71" s="29"/>
    </row>
    <row r="72" spans="2:11" ht="18" x14ac:dyDescent="0.35">
      <c r="B72" s="29"/>
      <c r="C72" s="29"/>
      <c r="D72" s="29"/>
      <c r="E72" s="29"/>
      <c r="F72" s="29"/>
      <c r="G72" s="29"/>
      <c r="H72" s="29"/>
    </row>
    <row r="73" spans="2:11" x14ac:dyDescent="0.3">
      <c r="C73" s="14"/>
      <c r="D73" s="14"/>
      <c r="F73" s="14"/>
      <c r="G73" s="14"/>
    </row>
    <row r="74" spans="2:11" x14ac:dyDescent="0.3">
      <c r="C74" s="14"/>
      <c r="D74" s="14"/>
      <c r="F74" s="14"/>
      <c r="G74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2025-07-30T13:00:38Z</cp:lastPrinted>
  <dcterms:created xsi:type="dcterms:W3CDTF">2013-03-19T12:54:14Z</dcterms:created>
  <dcterms:modified xsi:type="dcterms:W3CDTF">2025-07-30T13:00:58Z</dcterms:modified>
</cp:coreProperties>
</file>