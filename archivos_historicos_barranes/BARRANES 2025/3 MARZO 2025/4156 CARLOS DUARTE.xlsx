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005AF27B-5B69-47D0-9D6D-07576FE746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7" i="3"/>
  <c r="E28" i="3"/>
  <c r="E29" i="3"/>
  <c r="G18" i="3"/>
  <c r="J18" i="3"/>
  <c r="C18" i="3" s="1"/>
  <c r="K18" i="3"/>
  <c r="E18" i="3" s="1"/>
  <c r="L18" i="3"/>
  <c r="G17" i="3"/>
  <c r="J17" i="3"/>
  <c r="C17" i="3" s="1"/>
  <c r="K17" i="3"/>
  <c r="E17" i="3" s="1"/>
  <c r="L17" i="3"/>
  <c r="H25" i="4"/>
  <c r="H24" i="4"/>
  <c r="H23" i="4"/>
  <c r="H22" i="4"/>
  <c r="H21" i="4"/>
  <c r="J16" i="3" l="1"/>
  <c r="C16" i="3" s="1"/>
  <c r="C37" i="3"/>
  <c r="J27" i="3" s="1"/>
  <c r="C27" i="3" s="1"/>
  <c r="D37" i="3"/>
  <c r="G16" i="3" s="1"/>
  <c r="E37" i="3"/>
  <c r="K27" i="3" s="1"/>
  <c r="F37" i="3"/>
  <c r="L16" i="3" s="1"/>
  <c r="G37" i="3"/>
  <c r="C38" i="3"/>
  <c r="J28" i="3" s="1"/>
  <c r="C28" i="3" s="1"/>
  <c r="D38" i="3"/>
  <c r="G28" i="3" s="1"/>
  <c r="E38" i="3"/>
  <c r="K28" i="3" s="1"/>
  <c r="F38" i="3"/>
  <c r="L28" i="3" s="1"/>
  <c r="F28" i="3" s="1"/>
  <c r="G38" i="3"/>
  <c r="C39" i="3"/>
  <c r="J29" i="3" s="1"/>
  <c r="C29" i="3" s="1"/>
  <c r="D39" i="3"/>
  <c r="G29" i="3" s="1"/>
  <c r="E39" i="3"/>
  <c r="K29" i="3" s="1"/>
  <c r="F39" i="3"/>
  <c r="L29" i="3" s="1"/>
  <c r="F29" i="3" s="1"/>
  <c r="G39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K16" i="3" l="1"/>
  <c r="E16" i="3" s="1"/>
  <c r="L27" i="3"/>
  <c r="F27" i="3" s="1"/>
  <c r="G27" i="3"/>
  <c r="J15" i="3"/>
  <c r="C15" i="3" s="1"/>
  <c r="C36" i="3"/>
  <c r="J26" i="3" s="1"/>
  <c r="C26" i="3" s="1"/>
  <c r="D36" i="3"/>
  <c r="G26" i="3" s="1"/>
  <c r="E36" i="3"/>
  <c r="K26" i="3" s="1"/>
  <c r="F36" i="3"/>
  <c r="L26" i="3" s="1"/>
  <c r="F26" i="3" s="1"/>
  <c r="G36" i="3"/>
  <c r="C62" i="3"/>
  <c r="D62" i="3"/>
  <c r="E62" i="3"/>
  <c r="F62" i="3"/>
  <c r="G62" i="3"/>
  <c r="H28" i="4" l="1"/>
  <c r="L15" i="3"/>
  <c r="K15" i="3"/>
  <c r="E15" i="3" s="1"/>
  <c r="G15" i="3"/>
  <c r="B27" i="4"/>
  <c r="J14" i="3" l="1"/>
  <c r="C14" i="3" s="1"/>
  <c r="D61" i="3" l="1"/>
  <c r="L21" i="4" l="1"/>
  <c r="K21" i="4"/>
  <c r="M21" i="4" l="1"/>
  <c r="N21" i="4" s="1"/>
  <c r="C35" i="3" l="1"/>
  <c r="J25" i="3" s="1"/>
  <c r="C25" i="3" s="1"/>
  <c r="D35" i="3"/>
  <c r="G25" i="3" s="1"/>
  <c r="E35" i="3"/>
  <c r="F35" i="3"/>
  <c r="L25" i="3" s="1"/>
  <c r="F25" i="3" s="1"/>
  <c r="G35" i="3"/>
  <c r="C61" i="3"/>
  <c r="E61" i="3"/>
  <c r="F61" i="3"/>
  <c r="G61" i="3"/>
  <c r="I35" i="3" l="1"/>
  <c r="J35" i="3" s="1"/>
  <c r="K25" i="3"/>
  <c r="E25" i="3" s="1"/>
  <c r="I61" i="3"/>
  <c r="J61" i="3" s="1"/>
  <c r="K14" i="3"/>
  <c r="E14" i="3" s="1"/>
  <c r="G14" i="3"/>
  <c r="L14" i="3"/>
  <c r="J42" i="3" l="1"/>
  <c r="K61" i="3"/>
  <c r="J68" i="3"/>
  <c r="H30" i="4"/>
  <c r="O5" i="3"/>
  <c r="K68" i="3" l="1"/>
  <c r="N5" i="3"/>
  <c r="M5" i="3"/>
  <c r="L5" i="3"/>
  <c r="D54" i="3" l="1"/>
  <c r="D7" i="3"/>
  <c r="E52" i="3"/>
  <c r="E5" i="3"/>
  <c r="E54" i="3"/>
  <c r="E7" i="3"/>
  <c r="E51" i="3"/>
  <c r="E4" i="3"/>
</calcChain>
</file>

<file path=xl/sharedStrings.xml><?xml version="1.0" encoding="utf-8"?>
<sst xmlns="http://schemas.openxmlformats.org/spreadsheetml/2006/main" count="255" uniqueCount="145">
  <si>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</si>
  <si>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</si>
  <si>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</si>
  <si>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</si>
  <si>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</si>
  <si>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</si>
  <si>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</si>
  <si>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</si>
  <si>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</si>
  <si>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</si>
  <si>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</si>
  <si>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</si>
  <si>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</si>
  <si>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</si>
  <si>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</si>
  <si>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</si>
  <si>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</si>
  <si>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</si>
  <si>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</si>
  <si>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</si>
  <si>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</si>
  <si>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</si>
  <si>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</si>
  <si>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</si>
  <si>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</si>
  <si>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</si>
  <si>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</si>
  <si>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</si>
  <si>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</si>
  <si>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</si>
  <si>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</si>
  <si>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</si>
  <si>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</si>
  <si>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</si>
  <si>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</si>
  <si>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</si>
  <si>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</si>
  <si>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</si>
  <si>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</si>
  <si>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</si>
  <si>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</si>
  <si>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</si>
  <si>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</si>
  <si>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</si>
  <si>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</si>
  <si>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</si>
  <si>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</si>
  <si>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</si>
  <si>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</si>
  <si>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</si>
  <si>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</si>
  <si>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</si>
  <si>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</si>
  <si>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</si>
  <si>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</si>
  <si>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</si>
  <si>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</si>
  <si>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</si>
  <si>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</si>
  <si>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</si>
  <si>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</si>
  <si>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</si>
  <si>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</si>
  <si>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</si>
  <si>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</si>
  <si>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</si>
  <si>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</si>
  <si>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</si>
  <si>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</si>
  <si>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</si>
  <si>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</si>
  <si>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</si>
  <si>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</si>
  <si>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</si>
  <si>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</si>
  <si>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</si>
  <si>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</si>
  <si>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</si>
  <si>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</si>
  <si>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</si>
  <si>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</si>
  <si>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</si>
  <si>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</si>
  <si>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</si>
  <si>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</si>
  <si>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</si>
  <si>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</si>
  <si>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</si>
  <si>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</si>
  <si>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</si>
  <si>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</si>
  <si>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</si>
  <si>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</si>
  <si>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</si>
  <si>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</si>
  <si>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</si>
  <si>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</si>
  <si>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</si>
  <si>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</si>
  <si>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</si>
  <si>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</si>
  <si>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</si>
  <si>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</si>
  <si>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</si>
  <si>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</si>
  <si>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</si>
  <si>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</si>
  <si>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</si>
  <si>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</si>
  <si>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</si>
  <si>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</si>
  <si>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</si>
  <si>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</si>
  <si>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</si>
  <si>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</si>
  <si>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</si>
  <si>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</si>
  <si>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</si>
  <si>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</si>
  <si>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</si>
  <si>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</si>
  <si>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</si>
  <si>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</si>
  <si>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</si>
  <si>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</si>
  <si>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</si>
  <si>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</si>
  <si>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</si>
  <si>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</si>
  <si>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</si>
  <si>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</si>
  <si>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</si>
  <si>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</si>
  <si>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</si>
  <si>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</si>
  <si>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</si>
  <si>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</si>
  <si>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</si>
  <si>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CARLOS DUARTE</t>
  </si>
  <si>
    <t>+569 57314638</t>
  </si>
  <si>
    <t>RANCAGUA</t>
  </si>
  <si>
    <t>CUB RECTA SIN REGRUESO</t>
  </si>
  <si>
    <t>BEACH CHESNUT 1518 UP</t>
  </si>
  <si>
    <t>CUB MESA SIN REGRUESO 3LADOS</t>
  </si>
  <si>
    <t>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</si>
</sst>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27</xdr:row>
      <xdr:rowOff>23327</xdr:rowOff>
    </xdr:from>
    <xdr:to>
      <xdr:col>5</xdr:col>
      <xdr:colOff>1562878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 170.000.-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55</xdr:row>
      <xdr:rowOff>190500</xdr:rowOff>
    </xdr:from>
    <xdr:to>
      <xdr:col>7</xdr:col>
      <xdr:colOff>9524</xdr:colOff>
      <xdr:row>57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52</xdr:row>
      <xdr:rowOff>30479</xdr:rowOff>
    </xdr:from>
    <xdr:to>
      <xdr:col>6</xdr:col>
      <xdr:colOff>2912745</xdr:colOff>
      <xdr:row>53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50</xdr:row>
      <xdr:rowOff>209549</xdr:rowOff>
    </xdr:from>
    <xdr:to>
      <xdr:col>7</xdr:col>
      <xdr:colOff>0</xdr:colOff>
      <xdr:row>52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171450</xdr:rowOff>
    </xdr:from>
    <xdr:to>
      <xdr:col>7</xdr:col>
      <xdr:colOff>19050</xdr:colOff>
      <xdr:row>50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41</xdr:row>
      <xdr:rowOff>15239</xdr:rowOff>
    </xdr:from>
    <xdr:to>
      <xdr:col>7</xdr:col>
      <xdr:colOff>0</xdr:colOff>
      <xdr:row>45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MEDIDA, ENCHAPAR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LOS FRENTES SON SIN REGRUESO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MESA DE 3 LADOS ENCHAPAR SIN REGRUESO  2 LARGOS Y UNO CORT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ENCHAPAR UN CANTO DE 18MM AL LARGO MAS LOS 2 CANTOS DE LOS LADOS</a:t>
          </a:r>
          <a:endParaRPr lang="es-ES" sz="1400" u="none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</xdr:colOff>
      <xdr:row>69</xdr:row>
      <xdr:rowOff>9525</xdr:rowOff>
    </xdr:from>
    <xdr:to>
      <xdr:col>6</xdr:col>
      <xdr:colOff>2987040</xdr:colOff>
      <xdr:row>73</xdr:row>
      <xdr:rowOff>139065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79295" y="1354264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MEDIDA, ENCHAPAR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LOS FRENTES, SON SIN REGRUESO.</a:t>
          </a:r>
        </a:p>
        <a:p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MESA 3 LADOS SE ENCHAPA SIN REGRUESO 2 LARGOS Y UNO CORTO</a:t>
          </a:r>
        </a:p>
        <a:p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RESPADOS ENCHAPAR UN CANTO DE 18MM AL LARGO MAS LOS 2 CANTOS DE LOS LADOS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49</xdr:row>
      <xdr:rowOff>146685</xdr:rowOff>
    </xdr:from>
    <xdr:to>
      <xdr:col>2</xdr:col>
      <xdr:colOff>786523</xdr:colOff>
      <xdr:row>55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A13" zoomScale="98" zoomScaleNormal="98" workbookViewId="0">
      <selection activeCell="K28" sqref="K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9.6640625" customWidth="1"/>
    <col min="4" max="5" width="11.109375" customWidth="1"/>
    <col min="6" max="6" width="26.2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11344</v>
      </c>
      <c r="E8" s="30"/>
      <c r="F8" s="35" t="s">
        <v>25</v>
      </c>
      <c r="G8" s="36">
        <v>4156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138</v>
      </c>
      <c r="D10" s="38"/>
      <c r="E10" s="38"/>
      <c r="F10" s="39" t="s">
        <v>26</v>
      </c>
      <c r="G10" s="40">
        <v>45733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45736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139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140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141</v>
      </c>
      <c r="D21" s="98">
        <v>1300</v>
      </c>
      <c r="E21" s="98">
        <v>600</v>
      </c>
      <c r="F21" s="97" t="s">
        <v>142</v>
      </c>
      <c r="G21" s="112">
        <v>79213</v>
      </c>
      <c r="H21" s="112">
        <f>G21*B21</f>
        <v>79213</v>
      </c>
      <c r="I21" s="30"/>
      <c r="K21" s="11">
        <f>D21/1000</f>
        <v>1.3</v>
      </c>
      <c r="L21" s="15">
        <f>E21/1000</f>
        <v>0.6</v>
      </c>
      <c r="M21" s="11">
        <f>K21*L21</f>
        <v>0.78</v>
      </c>
      <c r="N21" s="11">
        <f>M21*N$20</f>
        <v>50700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141</v>
      </c>
      <c r="D22" s="98">
        <v>2250</v>
      </c>
      <c r="E22" s="98">
        <v>600</v>
      </c>
      <c r="F22" s="97" t="s">
        <v>142</v>
      </c>
      <c r="G22" s="112">
        <v>133744</v>
      </c>
      <c r="H22" s="112">
        <f t="shared" ref="H22:H23" si="0">G22*B22</f>
        <v>133744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143</v>
      </c>
      <c r="D23" s="98">
        <v>1500</v>
      </c>
      <c r="E23" s="98">
        <v>500</v>
      </c>
      <c r="F23" s="97" t="s">
        <v>142</v>
      </c>
      <c r="G23" s="112">
        <v>75578</v>
      </c>
      <c r="H23" s="112">
        <f t="shared" si="0"/>
        <v>75578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97" t="s">
        <v>144</v>
      </c>
      <c r="D24" s="98">
        <v>1300</v>
      </c>
      <c r="E24" s="98">
        <v>60</v>
      </c>
      <c r="F24" s="97" t="s">
        <v>142</v>
      </c>
      <c r="G24" s="112">
        <v>13202</v>
      </c>
      <c r="H24" s="112">
        <f>G24*B24</f>
        <v>13202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1</v>
      </c>
      <c r="C25" s="97" t="s">
        <v>144</v>
      </c>
      <c r="D25" s="98">
        <v>2750</v>
      </c>
      <c r="E25" s="98">
        <v>60</v>
      </c>
      <c r="F25" s="97" t="s">
        <v>142</v>
      </c>
      <c r="G25" s="112">
        <v>27074</v>
      </c>
      <c r="H25" s="112">
        <f>G25*B25</f>
        <v>27074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00"/>
      <c r="E26" s="100"/>
      <c r="F26" s="99"/>
      <c r="G26" s="101"/>
      <c r="H26" s="101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>
        <f>SUM(B21:B21)</f>
        <v>1</v>
      </c>
      <c r="C27" s="99"/>
      <c r="D27" s="111"/>
      <c r="E27" s="111"/>
      <c r="F27" s="99"/>
      <c r="G27" s="101"/>
      <c r="H27" s="101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54" t="s">
        <v>5</v>
      </c>
      <c r="H28" s="55">
        <f>SUM(H21:H27)</f>
        <v>328811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56" t="s">
        <v>136</v>
      </c>
      <c r="H29" s="57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99"/>
      <c r="C30" s="99"/>
      <c r="D30" s="111"/>
      <c r="E30" s="111"/>
      <c r="F30" s="99"/>
      <c r="G30" s="58" t="s">
        <v>4</v>
      </c>
      <c r="H30" s="59">
        <f>H28+H29</f>
        <v>328811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1"/>
      <c r="E33" s="111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00"/>
      <c r="E34" s="100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9"/>
      <c r="C35" s="99"/>
      <c r="D35" s="100"/>
      <c r="E35" s="100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3"/>
      <c r="C36" s="53"/>
      <c r="D36" s="53"/>
      <c r="E36" s="53"/>
      <c r="F36" s="53"/>
      <c r="G36" s="52"/>
      <c r="H36" s="52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0"/>
      <c r="H40" s="61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2" t="s">
        <v>133</v>
      </c>
      <c r="C42" s="63"/>
      <c r="D42" s="64"/>
      <c r="E42" s="64"/>
      <c r="F42" s="53"/>
      <c r="G42" s="30"/>
      <c r="H42" s="30"/>
      <c r="I42" s="30"/>
    </row>
    <row r="43" spans="1:16" ht="18" x14ac:dyDescent="0.35">
      <c r="A43" s="30"/>
      <c r="B43" s="62" t="s">
        <v>119</v>
      </c>
      <c r="C43" s="63"/>
      <c r="D43" s="64"/>
      <c r="E43" s="64"/>
      <c r="F43" s="53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65" t="s">
        <v>24</v>
      </c>
      <c r="C45" s="65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65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66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66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65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65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tabSelected="1" topLeftCell="B1" zoomScaleNormal="100" workbookViewId="0">
      <selection activeCell="E25" sqref="E25:E2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CARLOS DUARTE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45736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20</v>
      </c>
      <c r="F13" s="87">
        <v>20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1320</v>
      </c>
      <c r="F14" s="88">
        <v>600</v>
      </c>
      <c r="G14" s="88" t="str">
        <f>D35</f>
        <v>CUB RECTA SIN REGRUESO</v>
      </c>
      <c r="H14" s="30"/>
      <c r="J14" s="3">
        <f>'4637'!B21</f>
        <v>1</v>
      </c>
      <c r="K14" s="4">
        <f t="shared" ref="K14:L14" si="0">E35</f>
        <v>1300</v>
      </c>
      <c r="L14" s="4">
        <f t="shared" si="0"/>
        <v>600</v>
      </c>
    </row>
    <row r="15" spans="1:15" ht="18" x14ac:dyDescent="0.35">
      <c r="A15" s="108">
        <v>2</v>
      </c>
      <c r="B15" s="96"/>
      <c r="C15" s="88">
        <f t="shared" ref="C15" si="1">J15</f>
        <v>1</v>
      </c>
      <c r="D15" s="88"/>
      <c r="E15" s="88">
        <f t="shared" ref="E15" si="2">K15+E$13</f>
        <v>2270</v>
      </c>
      <c r="F15" s="88">
        <v>600</v>
      </c>
      <c r="G15" s="88" t="str">
        <f t="shared" ref="G15" si="3">D36</f>
        <v>CUB RECTA SIN REGRUESO</v>
      </c>
      <c r="H15" s="30"/>
      <c r="J15" s="3">
        <f>'4637'!B22</f>
        <v>1</v>
      </c>
      <c r="K15" s="4">
        <f t="shared" ref="K15" si="4">E36</f>
        <v>2250</v>
      </c>
      <c r="L15" s="4">
        <f t="shared" ref="L15" si="5">F36</f>
        <v>600</v>
      </c>
    </row>
    <row r="16" spans="1:15" ht="18" x14ac:dyDescent="0.35">
      <c r="A16" s="108">
        <v>3</v>
      </c>
      <c r="B16" s="96"/>
      <c r="C16" s="88">
        <f t="shared" ref="C16" si="6">J16</f>
        <v>1</v>
      </c>
      <c r="D16" s="88"/>
      <c r="E16" s="88">
        <f t="shared" ref="E16" si="7">K16+E$13</f>
        <v>1520</v>
      </c>
      <c r="F16" s="88">
        <v>500</v>
      </c>
      <c r="G16" s="88" t="str">
        <f t="shared" ref="G16" si="8">D37</f>
        <v>CUB MESA SIN REGRUESO 3LADOS</v>
      </c>
      <c r="H16" s="30"/>
      <c r="J16" s="3">
        <f>'4637'!B23</f>
        <v>1</v>
      </c>
      <c r="K16" s="4">
        <f t="shared" ref="K16" si="9">E37</f>
        <v>1500</v>
      </c>
      <c r="L16" s="4">
        <f t="shared" ref="L16" si="10">F37</f>
        <v>500</v>
      </c>
    </row>
    <row r="17" spans="1:12" ht="18" x14ac:dyDescent="0.35">
      <c r="A17" s="108">
        <v>4</v>
      </c>
      <c r="B17" s="96"/>
      <c r="C17" s="88">
        <f t="shared" ref="C17" si="11">J17</f>
        <v>1</v>
      </c>
      <c r="D17" s="88"/>
      <c r="E17" s="88">
        <f t="shared" ref="E17" si="12">K17+E$13</f>
        <v>1320</v>
      </c>
      <c r="F17" s="88">
        <v>60</v>
      </c>
      <c r="G17" s="88" t="str">
        <f t="shared" ref="G17" si="13">D38</f>
        <v>RESPALDO</v>
      </c>
      <c r="H17" s="30"/>
      <c r="J17" s="3">
        <f>'4637'!B24</f>
        <v>1</v>
      </c>
      <c r="K17" s="4">
        <f t="shared" ref="K17" si="14">E38</f>
        <v>1300</v>
      </c>
      <c r="L17" s="4">
        <f t="shared" ref="L17" si="15">F38</f>
        <v>60</v>
      </c>
    </row>
    <row r="18" spans="1:12" ht="18" x14ac:dyDescent="0.35">
      <c r="A18" s="108">
        <v>5</v>
      </c>
      <c r="B18" s="96"/>
      <c r="C18" s="88">
        <f t="shared" ref="C18" si="16">J18</f>
        <v>1</v>
      </c>
      <c r="D18" s="88"/>
      <c r="E18" s="88">
        <f t="shared" ref="E18" si="17">K18+E$13</f>
        <v>2770</v>
      </c>
      <c r="F18" s="88">
        <v>60</v>
      </c>
      <c r="G18" s="88" t="str">
        <f t="shared" ref="G18" si="18">D39</f>
        <v>RESPALDO</v>
      </c>
      <c r="H18" s="30"/>
      <c r="J18" s="3">
        <f>'4637'!B25</f>
        <v>1</v>
      </c>
      <c r="K18" s="4">
        <f t="shared" ref="K18" si="19">E39</f>
        <v>2750</v>
      </c>
      <c r="L18" s="4">
        <f t="shared" ref="L18" si="20">F39</f>
        <v>60</v>
      </c>
    </row>
    <row r="19" spans="1:12" ht="18" x14ac:dyDescent="0.35">
      <c r="A19" s="2"/>
      <c r="B19" s="77"/>
      <c r="C19" s="67"/>
      <c r="D19" s="67"/>
      <c r="E19" s="67"/>
      <c r="F19" s="67"/>
      <c r="G19" s="67"/>
      <c r="H19" s="30"/>
      <c r="J19" s="23"/>
      <c r="K19" s="2"/>
      <c r="L19" s="2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30" t="s">
        <v>13</v>
      </c>
      <c r="C21" s="130"/>
      <c r="D21" s="130"/>
      <c r="E21" s="130"/>
      <c r="F21" s="130"/>
      <c r="G21" s="130"/>
      <c r="H21" s="30"/>
    </row>
    <row r="22" spans="1:12" ht="10.5" customHeight="1" x14ac:dyDescent="0.35">
      <c r="A22" s="2"/>
      <c r="B22" s="30"/>
      <c r="C22" s="30"/>
      <c r="D22" s="85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0" t="s">
        <v>6</v>
      </c>
      <c r="F23" s="60" t="s">
        <v>7</v>
      </c>
      <c r="G23" s="30"/>
      <c r="H23" s="30"/>
    </row>
    <row r="24" spans="1:12" ht="18" x14ac:dyDescent="0.35">
      <c r="A24" s="2"/>
      <c r="B24" s="60" t="s">
        <v>8</v>
      </c>
      <c r="C24" s="76" t="s">
        <v>9</v>
      </c>
      <c r="D24" s="76" t="s">
        <v>10</v>
      </c>
      <c r="E24" s="89">
        <v>20</v>
      </c>
      <c r="F24" s="89">
        <v>20</v>
      </c>
      <c r="G24" s="76" t="s">
        <v>107</v>
      </c>
      <c r="H24" s="30"/>
      <c r="K24" s="5" t="s">
        <v>6</v>
      </c>
      <c r="L24" s="5" t="s">
        <v>7</v>
      </c>
    </row>
    <row r="25" spans="1:12" ht="18" x14ac:dyDescent="0.35">
      <c r="A25" s="108">
        <v>1</v>
      </c>
      <c r="B25" s="96"/>
      <c r="C25" s="90">
        <f t="shared" ref="C25" si="21">J25</f>
        <v>1</v>
      </c>
      <c r="D25" s="90"/>
      <c r="E25" s="90">
        <f>K25+$E$24</f>
        <v>1320</v>
      </c>
      <c r="F25" s="90">
        <f>L25+F$24</f>
        <v>620</v>
      </c>
      <c r="G25" s="90" t="str">
        <f>D35</f>
        <v>CUB RECTA SIN REGRUESO</v>
      </c>
      <c r="H25" s="30"/>
      <c r="J25" s="3">
        <f>C35</f>
        <v>1</v>
      </c>
      <c r="K25" s="102">
        <f>E35</f>
        <v>1300</v>
      </c>
      <c r="L25" s="102">
        <f>F35</f>
        <v>600</v>
      </c>
    </row>
    <row r="26" spans="1:12" ht="18" x14ac:dyDescent="0.35">
      <c r="A26" s="108">
        <v>2</v>
      </c>
      <c r="B26" s="96"/>
      <c r="C26" s="90">
        <f t="shared" ref="C26" si="22">J26</f>
        <v>1</v>
      </c>
      <c r="D26" s="90"/>
      <c r="E26" s="90">
        <f t="shared" ref="E26:E29" si="23">K26+$E$24</f>
        <v>2270</v>
      </c>
      <c r="F26" s="90">
        <f>L26+F$24</f>
        <v>620</v>
      </c>
      <c r="G26" s="90" t="str">
        <f t="shared" ref="G26" si="24">D36</f>
        <v>CUB RECTA SIN REGRUESO</v>
      </c>
      <c r="H26" s="30"/>
      <c r="J26" s="3">
        <f t="shared" ref="J26" si="25">C36</f>
        <v>1</v>
      </c>
      <c r="K26" s="102">
        <f t="shared" ref="K26:L26" si="26">E36</f>
        <v>2250</v>
      </c>
      <c r="L26" s="102">
        <f t="shared" si="26"/>
        <v>600</v>
      </c>
    </row>
    <row r="27" spans="1:12" ht="18" x14ac:dyDescent="0.35">
      <c r="A27" s="108">
        <v>3</v>
      </c>
      <c r="B27" s="96"/>
      <c r="C27" s="90">
        <f t="shared" ref="C27" si="27">J27</f>
        <v>1</v>
      </c>
      <c r="D27" s="90"/>
      <c r="E27" s="90">
        <f t="shared" si="23"/>
        <v>1520</v>
      </c>
      <c r="F27" s="90">
        <f>L27+F$24</f>
        <v>520</v>
      </c>
      <c r="G27" s="90" t="str">
        <f t="shared" ref="G27" si="28">D37</f>
        <v>CUB MESA SIN REGRUESO 3LADOS</v>
      </c>
      <c r="H27" s="30"/>
      <c r="J27" s="3">
        <f t="shared" ref="J27" si="29">C37</f>
        <v>1</v>
      </c>
      <c r="K27" s="102">
        <f t="shared" ref="K27" si="30">E37</f>
        <v>1500</v>
      </c>
      <c r="L27" s="102">
        <f t="shared" ref="L27" si="31">F37</f>
        <v>500</v>
      </c>
    </row>
    <row r="28" spans="1:12" ht="18" x14ac:dyDescent="0.35">
      <c r="A28" s="108">
        <v>4</v>
      </c>
      <c r="B28" s="96"/>
      <c r="C28" s="90">
        <f t="shared" ref="C28:C29" si="32">J28</f>
        <v>1</v>
      </c>
      <c r="D28" s="90"/>
      <c r="E28" s="90">
        <f t="shared" si="23"/>
        <v>1320</v>
      </c>
      <c r="F28" s="90">
        <f t="shared" ref="F28:F29" si="33">L28+F$24</f>
        <v>80</v>
      </c>
      <c r="G28" s="90" t="str">
        <f t="shared" ref="G28:G29" si="34">D38</f>
        <v>RESPALDO</v>
      </c>
      <c r="H28" s="30"/>
      <c r="J28" s="3">
        <f t="shared" ref="J28:J29" si="35">C38</f>
        <v>1</v>
      </c>
      <c r="K28" s="102">
        <f t="shared" ref="K28:K29" si="36">E38</f>
        <v>1300</v>
      </c>
      <c r="L28" s="102">
        <f t="shared" ref="L28:L29" si="37">F38</f>
        <v>60</v>
      </c>
    </row>
    <row r="29" spans="1:12" ht="18" x14ac:dyDescent="0.35">
      <c r="A29" s="108">
        <v>5</v>
      </c>
      <c r="B29" s="96"/>
      <c r="C29" s="90">
        <f t="shared" si="32"/>
        <v>1</v>
      </c>
      <c r="D29" s="90"/>
      <c r="E29" s="90">
        <f t="shared" si="23"/>
        <v>2770</v>
      </c>
      <c r="F29" s="90">
        <f t="shared" si="33"/>
        <v>80</v>
      </c>
      <c r="G29" s="90" t="str">
        <f t="shared" si="34"/>
        <v>RESPALDO</v>
      </c>
      <c r="H29" s="30"/>
      <c r="J29" s="3">
        <f t="shared" si="35"/>
        <v>1</v>
      </c>
      <c r="K29" s="102">
        <f t="shared" si="36"/>
        <v>2750</v>
      </c>
      <c r="L29" s="102">
        <f t="shared" si="37"/>
        <v>60</v>
      </c>
    </row>
    <row r="30" spans="1:12" ht="18" x14ac:dyDescent="0.35">
      <c r="A30" s="108"/>
      <c r="B30" s="96"/>
      <c r="C30" s="67"/>
      <c r="D30" s="67"/>
      <c r="E30" s="67"/>
      <c r="F30" s="67"/>
      <c r="G30" s="67"/>
      <c r="H30" s="30"/>
      <c r="J30" s="23"/>
      <c r="K30" s="110"/>
      <c r="L30" s="110"/>
    </row>
    <row r="31" spans="1:12" ht="18.600000000000001" thickBot="1" x14ac:dyDescent="0.4">
      <c r="A31" s="2"/>
      <c r="B31" s="77"/>
      <c r="C31" s="67"/>
      <c r="D31" s="67"/>
      <c r="E31" s="67"/>
      <c r="F31" s="67"/>
      <c r="G31" s="67"/>
      <c r="H31" s="30"/>
      <c r="I31" s="106"/>
      <c r="J31" s="107"/>
      <c r="K31" s="107"/>
      <c r="L31" s="107"/>
    </row>
    <row r="32" spans="1:12" ht="18.600000000000001" thickBot="1" x14ac:dyDescent="0.4">
      <c r="A32" s="2"/>
      <c r="B32" s="60"/>
      <c r="C32" s="91" t="s">
        <v>104</v>
      </c>
      <c r="D32" s="33"/>
      <c r="E32" s="33"/>
      <c r="F32" s="33"/>
      <c r="G32" s="92"/>
      <c r="H32" s="30"/>
      <c r="J32" s="2"/>
      <c r="K32" s="2"/>
      <c r="L32" s="2"/>
    </row>
    <row r="33" spans="1:10" ht="10.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0" ht="18" x14ac:dyDescent="0.35">
      <c r="A34" s="2"/>
      <c r="B34" s="60" t="s">
        <v>8</v>
      </c>
      <c r="C34" s="93" t="s">
        <v>9</v>
      </c>
      <c r="D34" s="93" t="s">
        <v>107</v>
      </c>
      <c r="E34" s="93" t="s">
        <v>6</v>
      </c>
      <c r="F34" s="93" t="s">
        <v>7</v>
      </c>
      <c r="G34" s="93" t="s">
        <v>21</v>
      </c>
      <c r="H34" s="30"/>
    </row>
    <row r="35" spans="1:10" ht="18" x14ac:dyDescent="0.35">
      <c r="A35" s="108">
        <v>1</v>
      </c>
      <c r="B35" s="96" t="s">
        <v>137</v>
      </c>
      <c r="C35" s="88">
        <f>'4637'!B21</f>
        <v>1</v>
      </c>
      <c r="D35" s="88" t="str">
        <f>'4637'!C21</f>
        <v>CUB RECTA SIN REGRUESO</v>
      </c>
      <c r="E35" s="88">
        <f>'4637'!D21</f>
        <v>1300</v>
      </c>
      <c r="F35" s="88">
        <f>'4637'!E21</f>
        <v>600</v>
      </c>
      <c r="G35" s="88" t="str">
        <f>'4637'!F21</f>
        <v>BEACH CHESNUT 1518 UP</v>
      </c>
      <c r="H35" s="30"/>
      <c r="I35" s="28">
        <f>E35*F35/1000000</f>
        <v>0.78</v>
      </c>
      <c r="J35" s="28">
        <f>I35*C35</f>
        <v>0.78</v>
      </c>
    </row>
    <row r="36" spans="1:10" ht="18" x14ac:dyDescent="0.35">
      <c r="A36" s="108">
        <v>2</v>
      </c>
      <c r="B36" s="96"/>
      <c r="C36" s="88">
        <f>'4637'!B22</f>
        <v>1</v>
      </c>
      <c r="D36" s="88" t="str">
        <f>'4637'!C22</f>
        <v>CUB RECTA SIN REGRUESO</v>
      </c>
      <c r="E36" s="88">
        <f>'4637'!D22</f>
        <v>2250</v>
      </c>
      <c r="F36" s="88">
        <f>'4637'!E22</f>
        <v>600</v>
      </c>
      <c r="G36" s="88" t="str">
        <f>'4637'!F22</f>
        <v>BEACH CHESNUT 1518 UP</v>
      </c>
      <c r="H36" s="30"/>
      <c r="I36" s="28"/>
      <c r="J36" s="28"/>
    </row>
    <row r="37" spans="1:10" ht="18" x14ac:dyDescent="0.35">
      <c r="A37" s="108">
        <v>3</v>
      </c>
      <c r="B37" s="96"/>
      <c r="C37" s="88">
        <f>'4637'!B23</f>
        <v>1</v>
      </c>
      <c r="D37" s="88" t="str">
        <f>'4637'!C23</f>
        <v>CUB MESA SIN REGRUESO 3LADOS</v>
      </c>
      <c r="E37" s="88">
        <f>'4637'!D23</f>
        <v>1500</v>
      </c>
      <c r="F37" s="88">
        <f>'4637'!E23</f>
        <v>500</v>
      </c>
      <c r="G37" s="88" t="str">
        <f>'4637'!F23</f>
        <v>BEACH CHESNUT 1518 UP</v>
      </c>
      <c r="H37" s="30"/>
      <c r="I37" s="28"/>
      <c r="J37" s="28"/>
    </row>
    <row r="38" spans="1:10" ht="18" x14ac:dyDescent="0.35">
      <c r="A38" s="108">
        <v>4</v>
      </c>
      <c r="B38" s="96"/>
      <c r="C38" s="88">
        <f>'4637'!B24</f>
        <v>1</v>
      </c>
      <c r="D38" s="88" t="str">
        <f>'4637'!C24</f>
        <v>RESPALDO</v>
      </c>
      <c r="E38" s="88">
        <f>'4637'!D24</f>
        <v>1300</v>
      </c>
      <c r="F38" s="88">
        <f>'4637'!E24</f>
        <v>60</v>
      </c>
      <c r="G38" s="88" t="str">
        <f>'4637'!F24</f>
        <v>BEACH CHESNUT 1518 UP</v>
      </c>
      <c r="H38" s="30"/>
      <c r="I38" s="28"/>
      <c r="J38" s="28"/>
    </row>
    <row r="39" spans="1:10" ht="18" x14ac:dyDescent="0.35">
      <c r="A39" s="108">
        <v>5</v>
      </c>
      <c r="B39" s="96"/>
      <c r="C39" s="88">
        <f>'4637'!B25</f>
        <v>1</v>
      </c>
      <c r="D39" s="88" t="str">
        <f>'4637'!C25</f>
        <v>RESPALDO</v>
      </c>
      <c r="E39" s="88">
        <f>'4637'!D25</f>
        <v>2750</v>
      </c>
      <c r="F39" s="88">
        <f>'4637'!E25</f>
        <v>60</v>
      </c>
      <c r="G39" s="88" t="str">
        <f>'4637'!F25</f>
        <v>BEACH CHESNUT 1518 UP</v>
      </c>
      <c r="H39" s="30"/>
      <c r="I39" s="28"/>
      <c r="J39" s="28"/>
    </row>
    <row r="40" spans="1:10" ht="18" x14ac:dyDescent="0.35">
      <c r="A40" s="108"/>
      <c r="B40" s="96"/>
      <c r="C40" s="67"/>
      <c r="D40" s="67"/>
      <c r="E40" s="67"/>
      <c r="F40" s="67"/>
      <c r="G40" s="67"/>
      <c r="H40" s="30"/>
      <c r="I40" s="28"/>
      <c r="J40" s="28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  <c r="J42" s="28">
        <f>SUM(J35:J35)*2</f>
        <v>1.56</v>
      </c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67"/>
      <c r="D46" s="67"/>
      <c r="E46" s="67"/>
      <c r="F46" s="67"/>
      <c r="G46" s="67"/>
      <c r="H46" s="30"/>
    </row>
    <row r="47" spans="1:10" ht="18" x14ac:dyDescent="0.35">
      <c r="A47" s="2"/>
      <c r="B47" s="30"/>
      <c r="C47" s="67"/>
      <c r="D47" s="67"/>
      <c r="E47" s="67"/>
      <c r="F47" s="67"/>
      <c r="G47" s="67"/>
      <c r="H47" s="30"/>
    </row>
    <row r="48" spans="1:10" ht="18" x14ac:dyDescent="0.35">
      <c r="A48" s="2"/>
      <c r="B48" s="30"/>
      <c r="C48" s="67"/>
      <c r="D48" s="67"/>
      <c r="E48" s="67"/>
      <c r="F48" s="67"/>
      <c r="G48" s="67"/>
      <c r="H48" s="30"/>
    </row>
    <row r="49" spans="1:13" ht="18" x14ac:dyDescent="0.35">
      <c r="A49" s="2"/>
      <c r="B49" s="30"/>
      <c r="C49" s="67"/>
      <c r="D49" s="67"/>
      <c r="E49" s="67"/>
      <c r="F49" s="67"/>
      <c r="G49" s="67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30"/>
      <c r="C51" s="30"/>
      <c r="D51" s="68" t="s">
        <v>25</v>
      </c>
      <c r="E51" s="69">
        <f>'4637'!G8</f>
        <v>4156</v>
      </c>
      <c r="F51" s="30"/>
      <c r="G51" s="30"/>
      <c r="H51" s="30"/>
    </row>
    <row r="52" spans="1:13" ht="17.25" customHeight="1" x14ac:dyDescent="0.35">
      <c r="A52" s="2"/>
      <c r="B52" s="30"/>
      <c r="C52" s="30"/>
      <c r="D52" s="70" t="s">
        <v>64</v>
      </c>
      <c r="E52" s="71" t="str">
        <f>'4637'!C10</f>
        <v>CARLOS DUARTE</v>
      </c>
      <c r="F52" s="46"/>
      <c r="G52" s="46"/>
      <c r="H52" s="30"/>
    </row>
    <row r="53" spans="1:13" ht="4.5" customHeight="1" x14ac:dyDescent="0.35">
      <c r="A53" s="2"/>
      <c r="B53" s="30"/>
      <c r="C53" s="30"/>
      <c r="D53" s="72"/>
      <c r="E53" s="73"/>
      <c r="F53" s="30"/>
      <c r="G53" s="30"/>
      <c r="H53" s="30"/>
    </row>
    <row r="54" spans="1:13" ht="18" x14ac:dyDescent="0.35">
      <c r="A54" s="2"/>
      <c r="B54" s="30"/>
      <c r="C54" s="30"/>
      <c r="D54" s="74" t="str">
        <f>'4637'!F11</f>
        <v>FECHA LIMITE :</v>
      </c>
      <c r="E54" s="75">
        <f>'4637'!G11</f>
        <v>45736</v>
      </c>
      <c r="F54" s="30"/>
      <c r="G54" s="30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 t="s">
        <v>135</v>
      </c>
      <c r="H55" s="30"/>
    </row>
    <row r="56" spans="1:13" ht="18" x14ac:dyDescent="0.35">
      <c r="A56" s="2"/>
      <c r="B56" s="30"/>
      <c r="C56" s="30"/>
      <c r="D56" s="30"/>
      <c r="E56" s="30"/>
      <c r="F56" s="30"/>
      <c r="G56" s="30"/>
      <c r="H56" s="30"/>
    </row>
    <row r="57" spans="1:13" ht="18" x14ac:dyDescent="0.35">
      <c r="A57" s="2"/>
      <c r="B57" s="131" t="s">
        <v>65</v>
      </c>
      <c r="C57" s="131"/>
      <c r="D57" s="131"/>
      <c r="E57" s="131"/>
      <c r="F57" s="131"/>
      <c r="G57" s="131"/>
      <c r="H57" s="30"/>
    </row>
    <row r="58" spans="1:13" ht="18" x14ac:dyDescent="0.35">
      <c r="A58" s="2"/>
      <c r="B58" s="30"/>
      <c r="C58" s="30"/>
      <c r="D58" s="30"/>
      <c r="E58" s="30"/>
      <c r="F58" s="30"/>
      <c r="G58" s="30"/>
      <c r="H58" s="30"/>
    </row>
    <row r="59" spans="1:13" ht="20.100000000000001" customHeight="1" x14ac:dyDescent="0.35">
      <c r="A59" s="2"/>
      <c r="B59" s="30"/>
      <c r="C59" s="132" t="s">
        <v>66</v>
      </c>
      <c r="D59" s="133"/>
      <c r="E59" s="134"/>
      <c r="F59" s="134"/>
      <c r="G59" s="135"/>
      <c r="H59" s="30"/>
      <c r="I59" s="25" t="s">
        <v>130</v>
      </c>
    </row>
    <row r="60" spans="1:13" s="10" customFormat="1" ht="20.100000000000001" customHeight="1" x14ac:dyDescent="0.35">
      <c r="A60" s="109"/>
      <c r="B60" s="30"/>
      <c r="C60" s="78" t="s">
        <v>9</v>
      </c>
      <c r="D60" s="79" t="s">
        <v>10</v>
      </c>
      <c r="E60" s="82" t="s">
        <v>6</v>
      </c>
      <c r="F60" s="82" t="s">
        <v>7</v>
      </c>
      <c r="G60" s="80" t="s">
        <v>11</v>
      </c>
      <c r="H60" s="30"/>
      <c r="K60" s="10">
        <v>15000</v>
      </c>
    </row>
    <row r="61" spans="1:13" s="10" customFormat="1" ht="20.100000000000001" customHeight="1" x14ac:dyDescent="0.35">
      <c r="A61" s="108">
        <v>1</v>
      </c>
      <c r="B61" s="95" t="s">
        <v>137</v>
      </c>
      <c r="C61" s="90">
        <f>'4637'!B21</f>
        <v>1</v>
      </c>
      <c r="D61" s="90" t="str">
        <f>'4637'!C21</f>
        <v>CUB RECTA SIN REGRUESO</v>
      </c>
      <c r="E61" s="94">
        <f>'4637'!D21</f>
        <v>1300</v>
      </c>
      <c r="F61" s="94">
        <f>'4637'!E21</f>
        <v>600</v>
      </c>
      <c r="G61" s="90" t="str">
        <f>'4637'!F21</f>
        <v>BEACH CHESNUT 1518 UP</v>
      </c>
      <c r="H61" s="30"/>
      <c r="I61" s="10">
        <f>E61*F61/1000000</f>
        <v>0.78</v>
      </c>
      <c r="J61" s="10">
        <f>I61*C61</f>
        <v>0.78</v>
      </c>
      <c r="K61" s="26">
        <f>J61*K$60</f>
        <v>11700</v>
      </c>
      <c r="M61" s="24">
        <v>12096</v>
      </c>
    </row>
    <row r="62" spans="1:13" s="10" customFormat="1" ht="20.100000000000001" customHeight="1" x14ac:dyDescent="0.35">
      <c r="A62" s="108"/>
      <c r="B62" s="95"/>
      <c r="C62" s="90">
        <f>'4637'!B22</f>
        <v>1</v>
      </c>
      <c r="D62" s="90" t="str">
        <f>'4637'!C22</f>
        <v>CUB RECTA SIN REGRUESO</v>
      </c>
      <c r="E62" s="94">
        <f>'4637'!D22</f>
        <v>2250</v>
      </c>
      <c r="F62" s="94">
        <f>'4637'!E22</f>
        <v>600</v>
      </c>
      <c r="G62" s="90" t="str">
        <f>'4637'!F22</f>
        <v>BEACH CHESNUT 1518 UP</v>
      </c>
      <c r="H62" s="30"/>
      <c r="K62" s="26"/>
      <c r="M62" s="29"/>
    </row>
    <row r="63" spans="1:13" s="10" customFormat="1" ht="20.100000000000001" customHeight="1" x14ac:dyDescent="0.35">
      <c r="A63" s="108"/>
      <c r="B63" s="95"/>
      <c r="C63" s="90">
        <f>'4637'!B23</f>
        <v>1</v>
      </c>
      <c r="D63" s="90" t="str">
        <f>'4637'!C23</f>
        <v>CUB MESA SIN REGRUESO 3LADOS</v>
      </c>
      <c r="E63" s="94">
        <f>'4637'!D23</f>
        <v>1500</v>
      </c>
      <c r="F63" s="94">
        <f>'4637'!E23</f>
        <v>500</v>
      </c>
      <c r="G63" s="90" t="str">
        <f>'4637'!F23</f>
        <v>BEACH CHESNUT 1518 UP</v>
      </c>
      <c r="H63" s="30"/>
      <c r="K63" s="26"/>
      <c r="M63" s="29"/>
    </row>
    <row r="64" spans="1:13" s="10" customFormat="1" ht="20.100000000000001" customHeight="1" x14ac:dyDescent="0.35">
      <c r="A64" s="108"/>
      <c r="B64" s="95"/>
      <c r="C64" s="90">
        <f>'4637'!B24</f>
        <v>1</v>
      </c>
      <c r="D64" s="90" t="str">
        <f>'4637'!C24</f>
        <v>RESPALDO</v>
      </c>
      <c r="E64" s="94">
        <f>'4637'!D24</f>
        <v>1300</v>
      </c>
      <c r="F64" s="94">
        <f>'4637'!E24</f>
        <v>60</v>
      </c>
      <c r="G64" s="90" t="str">
        <f>'4637'!F24</f>
        <v>BEACH CHESNUT 1518 UP</v>
      </c>
      <c r="H64" s="30"/>
      <c r="K64" s="26"/>
      <c r="M64" s="29"/>
    </row>
    <row r="65" spans="1:13" s="10" customFormat="1" ht="20.100000000000001" customHeight="1" x14ac:dyDescent="0.35">
      <c r="A65" s="108"/>
      <c r="B65" s="95"/>
      <c r="C65" s="90">
        <f>'4637'!B25</f>
        <v>1</v>
      </c>
      <c r="D65" s="90" t="str">
        <f>'4637'!C25</f>
        <v>RESPALDO</v>
      </c>
      <c r="E65" s="94">
        <f>'4637'!D25</f>
        <v>2750</v>
      </c>
      <c r="F65" s="94">
        <f>'4637'!E25</f>
        <v>60</v>
      </c>
      <c r="G65" s="90" t="str">
        <f>'4637'!F25</f>
        <v>BEACH CHESNUT 1518 UP</v>
      </c>
      <c r="H65" s="30"/>
      <c r="K65" s="26"/>
      <c r="M65" s="29"/>
    </row>
    <row r="66" spans="1:13" s="10" customFormat="1" ht="15" customHeight="1" x14ac:dyDescent="0.35">
      <c r="B66" s="77"/>
      <c r="C66" s="60"/>
      <c r="D66" s="60"/>
      <c r="E66" s="60"/>
      <c r="F66" s="60"/>
      <c r="G66" s="60"/>
      <c r="H66" s="30"/>
    </row>
    <row r="67" spans="1:13" ht="18" x14ac:dyDescent="0.35">
      <c r="B67" s="67"/>
      <c r="C67" s="67"/>
      <c r="D67" s="30"/>
      <c r="E67" s="67"/>
      <c r="F67" s="67"/>
      <c r="G67" s="72"/>
      <c r="H67" s="30"/>
    </row>
    <row r="68" spans="1:13" ht="18" x14ac:dyDescent="0.35">
      <c r="B68" s="67"/>
      <c r="C68" s="67"/>
      <c r="D68" s="30"/>
      <c r="E68" s="67"/>
      <c r="F68" s="67"/>
      <c r="G68" s="67"/>
      <c r="H68" s="30"/>
      <c r="J68" s="10">
        <f>SUM(J61:J61)</f>
        <v>0.78</v>
      </c>
      <c r="K68" s="27">
        <f>SUM(K61:K61)</f>
        <v>11700</v>
      </c>
    </row>
    <row r="69" spans="1:13" ht="18" x14ac:dyDescent="0.35">
      <c r="B69" s="30"/>
      <c r="C69" s="30"/>
      <c r="D69" s="30"/>
      <c r="E69" s="30"/>
      <c r="F69" s="30"/>
      <c r="G69" s="30"/>
      <c r="H69" s="30"/>
    </row>
    <row r="70" spans="1:13" ht="18" x14ac:dyDescent="0.35">
      <c r="B70" s="30"/>
      <c r="C70" s="30"/>
      <c r="D70" s="30"/>
      <c r="E70" s="30"/>
      <c r="F70" s="30"/>
      <c r="G70" s="30"/>
      <c r="H70" s="30"/>
    </row>
    <row r="71" spans="1:13" ht="18" x14ac:dyDescent="0.35">
      <c r="B71" s="30"/>
      <c r="C71" s="30"/>
      <c r="D71" s="30"/>
      <c r="E71" s="30"/>
      <c r="F71" s="30"/>
      <c r="G71" s="30"/>
      <c r="H71" s="30"/>
    </row>
    <row r="72" spans="1:13" ht="15" customHeight="1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67"/>
      <c r="C74" s="81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x14ac:dyDescent="0.3">
      <c r="C76" s="14"/>
      <c r="D76" s="14"/>
      <c r="F76" s="14"/>
      <c r="G76" s="14"/>
    </row>
    <row r="77" spans="1:13" x14ac:dyDescent="0.3">
      <c r="C77" s="14"/>
      <c r="D77" s="14"/>
      <c r="F77" s="14"/>
      <c r="G77" s="14"/>
    </row>
  </sheetData>
  <mergeCells count="6">
    <mergeCell ref="N3:O3"/>
    <mergeCell ref="B21:G21"/>
    <mergeCell ref="B10:G10"/>
    <mergeCell ref="B57:G57"/>
    <mergeCell ref="C59:G5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2025-03-06T21:43:25Z</cp:lastPrinted>
  <dcterms:created xsi:type="dcterms:W3CDTF">2013-03-19T12:54:14Z</dcterms:created>
  <dcterms:modified xsi:type="dcterms:W3CDTF">2025-03-17T18:33:05Z</dcterms:modified>
</cp:coreProperties>
</file>