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BARRANES\BARRANES\3 MARZO 2025\"/>
    </mc:Choice>
  </mc:AlternateContent>
  <xr:revisionPtr revIDLastSave="0" documentId="13_ncr:1_{34B25459-2733-4908-A673-9F0AA62C22D5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3" l="1"/>
  <c r="F27" i="3"/>
  <c r="F28" i="3"/>
  <c r="F29" i="3"/>
  <c r="B26" i="3"/>
  <c r="B27" i="3"/>
  <c r="B28" i="3"/>
  <c r="B29" i="3"/>
  <c r="D26" i="3"/>
  <c r="E26" i="3"/>
  <c r="D27" i="3"/>
  <c r="E27" i="3"/>
  <c r="D28" i="3"/>
  <c r="E28" i="3"/>
  <c r="D29" i="3"/>
  <c r="E29" i="3"/>
  <c r="B61" i="3"/>
  <c r="C61" i="3"/>
  <c r="D61" i="3"/>
  <c r="E61" i="3"/>
  <c r="F61" i="3"/>
  <c r="B62" i="3"/>
  <c r="C62" i="3"/>
  <c r="D62" i="3"/>
  <c r="E62" i="3"/>
  <c r="F62" i="3"/>
  <c r="B63" i="3"/>
  <c r="C63" i="3"/>
  <c r="D63" i="3"/>
  <c r="E63" i="3"/>
  <c r="F63" i="3"/>
  <c r="B64" i="3"/>
  <c r="C64" i="3"/>
  <c r="D64" i="3"/>
  <c r="E64" i="3"/>
  <c r="F64" i="3"/>
  <c r="B36" i="3"/>
  <c r="C36" i="3"/>
  <c r="D36" i="3"/>
  <c r="J26" i="3" s="1"/>
  <c r="E36" i="3"/>
  <c r="K26" i="3" s="1"/>
  <c r="F36" i="3"/>
  <c r="B37" i="3"/>
  <c r="C37" i="3"/>
  <c r="F16" i="3" s="1"/>
  <c r="D37" i="3"/>
  <c r="J27" i="3" s="1"/>
  <c r="E37" i="3"/>
  <c r="F37" i="3"/>
  <c r="B38" i="3"/>
  <c r="I28" i="3" s="1"/>
  <c r="I17" i="3" s="1"/>
  <c r="B17" i="3" s="1"/>
  <c r="C38" i="3"/>
  <c r="F17" i="3" s="1"/>
  <c r="D38" i="3"/>
  <c r="E38" i="3"/>
  <c r="F38" i="3"/>
  <c r="B39" i="3"/>
  <c r="I29" i="3" s="1"/>
  <c r="C39" i="3"/>
  <c r="D39" i="3"/>
  <c r="J18" i="3" s="1"/>
  <c r="D18" i="3" s="1"/>
  <c r="E39" i="3"/>
  <c r="K29" i="3" s="1"/>
  <c r="F39" i="3"/>
  <c r="I26" i="3"/>
  <c r="I27" i="3"/>
  <c r="I16" i="3" s="1"/>
  <c r="B16" i="3" s="1"/>
  <c r="K27" i="3"/>
  <c r="J28" i="3"/>
  <c r="K28" i="3"/>
  <c r="J29" i="3"/>
  <c r="I15" i="3"/>
  <c r="B15" i="3" s="1"/>
  <c r="J15" i="3"/>
  <c r="D15" i="3" s="1"/>
  <c r="K16" i="3"/>
  <c r="J17" i="3"/>
  <c r="D17" i="3" s="1"/>
  <c r="K17" i="3"/>
  <c r="E17" i="3" s="1"/>
  <c r="F15" i="3"/>
  <c r="E16" i="3"/>
  <c r="F18" i="3"/>
  <c r="H22" i="4"/>
  <c r="H23" i="4"/>
  <c r="H24" i="4"/>
  <c r="H25" i="4"/>
  <c r="H21" i="4"/>
  <c r="B35" i="3"/>
  <c r="I25" i="3" s="1"/>
  <c r="C35" i="3"/>
  <c r="F14" i="3" s="1"/>
  <c r="D35" i="3"/>
  <c r="J14" i="3" s="1"/>
  <c r="D14" i="3" s="1"/>
  <c r="E35" i="3"/>
  <c r="K25" i="3" s="1"/>
  <c r="E25" i="3" s="1"/>
  <c r="F35" i="3"/>
  <c r="B60" i="3"/>
  <c r="C60" i="3"/>
  <c r="D60" i="3"/>
  <c r="E60" i="3"/>
  <c r="F60" i="3"/>
  <c r="K18" i="3" l="1"/>
  <c r="E18" i="3" s="1"/>
  <c r="I18" i="3"/>
  <c r="B18" i="3" s="1"/>
  <c r="K15" i="3"/>
  <c r="E15" i="3" s="1"/>
  <c r="J16" i="3"/>
  <c r="D16" i="3" s="1"/>
  <c r="J25" i="3"/>
  <c r="D25" i="3" s="1"/>
  <c r="K14" i="3"/>
  <c r="E14" i="3" s="1"/>
  <c r="B25" i="3"/>
  <c r="I14" i="3"/>
  <c r="B14" i="3" s="1"/>
  <c r="F25" i="3"/>
  <c r="H28" i="4"/>
  <c r="H30" i="4" l="1"/>
  <c r="N5" i="3" l="1"/>
  <c r="M5" i="3" l="1"/>
  <c r="L5" i="3"/>
  <c r="K5" i="3"/>
  <c r="C53" i="3" l="1"/>
  <c r="C7" i="3"/>
  <c r="D51" i="3"/>
  <c r="D5" i="3"/>
  <c r="D53" i="3"/>
  <c r="D7" i="3"/>
  <c r="D50" i="3"/>
  <c r="D4" i="3"/>
</calcChain>
</file>

<file path=xl/sharedStrings.xml><?xml version="1.0" encoding="utf-8"?>
<sst xmlns="http://schemas.openxmlformats.org/spreadsheetml/2006/main" count="253" uniqueCount="143">
  <si>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</si>
  <si>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</si>
  <si>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</si>
  <si>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</si>
  <si>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</si>
  <si>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</si>
  <si>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</si>
  <si>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</si>
  <si>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</si>
  <si>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</si>
  <si>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</si>
  <si>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</si>
  <si>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</si>
  <si>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</si>
  <si>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</si>
  <si>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</si>
  <si>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</si>
  <si>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</si>
  <si>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</si>
  <si>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</si>
  <si>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</si>
  <si>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</si>
  <si>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</si>
  <si>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</si>
  <si>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</si>
  <si>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</si>
  <si>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</si>
  <si>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</si>
  <si>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</si>
  <si>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</si>
  <si>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</si>
  <si>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</si>
  <si>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</si>
  <si>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</si>
  <si>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</si>
  <si>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</si>
  <si>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</si>
  <si>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</si>
  <si>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</si>
  <si>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</si>
  <si>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</si>
  <si>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</si>
  <si>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</si>
  <si>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</si>
  <si>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</si>
  <si>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</si>
  <si>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</si>
  <si>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</si>
  <si>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</si>
  <si>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</si>
  <si>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</si>
  <si>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</si>
  <si>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</si>
  <si>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</si>
  <si>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</si>
  <si>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</si>
  <si>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</si>
  <si>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</si>
  <si>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</si>
  <si>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</si>
  <si>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</si>
  <si>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</si>
  <si>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</si>
  <si>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</si>
  <si>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</si>
  <si>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</si>
  <si>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</si>
  <si>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</si>
  <si>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</si>
  <si>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</si>
  <si>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</si>
  <si>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</si>
  <si>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</si>
  <si>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</si>
  <si>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</si>
  <si>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</si>
  <si>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</si>
  <si>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</si>
  <si>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</si>
  <si>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</si>
  <si>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</si>
  <si>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</si>
  <si>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</si>
  <si>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</si>
  <si>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</si>
  <si>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</si>
  <si>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</si>
  <si>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</si>
  <si>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</si>
  <si>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</si>
  <si>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</si>
  <si>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</si>
  <si>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</si>
  <si>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</si>
  <si>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</si>
  <si>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</si>
  <si>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</si>
  <si>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</si>
  <si>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</si>
  <si>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</si>
  <si>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</si>
  <si>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</si>
  <si>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</si>
  <si>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</si>
  <si>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</si>
  <si>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</si>
  <si>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</si>
  <si>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</si>
  <si>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</si>
  <si>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</si>
  <si>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</si>
  <si>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</si>
  <si>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</si>
  <si>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</si>
  <si>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</si>
  <si>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</si>
  <si>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</si>
  <si>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</si>
  <si>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</si>
  <si>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</si>
  <si>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</si>
  <si>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</si>
  <si>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</si>
  <si>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</si>
  <si>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</si>
  <si>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</si>
  <si>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</si>
  <si>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</si>
  <si>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</si>
  <si>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</si>
  <si>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</si>
  <si>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</si>
  <si>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</si>
  <si>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</si>
  <si>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</si>
  <si>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CONTADO</t>
  </si>
  <si>
    <t>NO</t>
  </si>
  <si>
    <t>FRANCO DONOSO</t>
  </si>
  <si>
    <t>CUB C/R 90°</t>
  </si>
  <si>
    <t>VAINILLA 2109 LG</t>
  </si>
  <si>
    <t>FRANCISCO BAEZA</t>
  </si>
  <si>
    <t>+569 9789 9304</t>
  </si>
  <si>
    <t>N° 11372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</si>
</sst>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32" xfId="0" quotePrefix="1" applyFont="1" applyBorder="1" applyAlignment="1">
      <alignment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right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right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right" vertical="center"/>
    </xf>
    <xf numFmtId="166" fontId="3" fillId="0" borderId="34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27</xdr:row>
      <xdr:rowOff>15240</xdr:rowOff>
    </xdr:from>
    <xdr:to>
      <xdr:col>5</xdr:col>
      <xdr:colOff>1390650</xdr:colOff>
      <xdr:row>29</xdr:row>
      <xdr:rowOff>200025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9075" y="5577840"/>
          <a:ext cx="5295900" cy="5848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$200.000 </a:t>
          </a:r>
          <a:r>
            <a:rPr lang="es-CL" sz="900" b="1" i="1" baseline="0"/>
            <a:t>TRANSFERENCIA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54</xdr:row>
      <xdr:rowOff>171450</xdr:rowOff>
    </xdr:from>
    <xdr:to>
      <xdr:col>5</xdr:col>
      <xdr:colOff>1685924</xdr:colOff>
      <xdr:row>56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38100</xdr:rowOff>
    </xdr:from>
    <xdr:to>
      <xdr:col>6</xdr:col>
      <xdr:colOff>0</xdr:colOff>
      <xdr:row>51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38100</xdr:colOff>
      <xdr:row>66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65</xdr:row>
      <xdr:rowOff>0</xdr:rowOff>
    </xdr:from>
    <xdr:to>
      <xdr:col>2</xdr:col>
      <xdr:colOff>1019175</xdr:colOff>
      <xdr:row>65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0</xdr:rowOff>
    </xdr:from>
    <xdr:to>
      <xdr:col>3</xdr:col>
      <xdr:colOff>352425</xdr:colOff>
      <xdr:row>66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0</xdr:rowOff>
    </xdr:from>
    <xdr:to>
      <xdr:col>4</xdr:col>
      <xdr:colOff>257175</xdr:colOff>
      <xdr:row>66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0</xdr:rowOff>
    </xdr:from>
    <xdr:to>
      <xdr:col>5</xdr:col>
      <xdr:colOff>447675</xdr:colOff>
      <xdr:row>65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0</xdr:rowOff>
    </xdr:from>
    <xdr:to>
      <xdr:col>6</xdr:col>
      <xdr:colOff>0</xdr:colOff>
      <xdr:row>65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65</xdr:row>
      <xdr:rowOff>190500</xdr:rowOff>
    </xdr:from>
    <xdr:to>
      <xdr:col>2</xdr:col>
      <xdr:colOff>304800</xdr:colOff>
      <xdr:row>67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65</xdr:row>
      <xdr:rowOff>190500</xdr:rowOff>
    </xdr:from>
    <xdr:to>
      <xdr:col>2</xdr:col>
      <xdr:colOff>1276350</xdr:colOff>
      <xdr:row>67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190500</xdr:rowOff>
    </xdr:from>
    <xdr:to>
      <xdr:col>3</xdr:col>
      <xdr:colOff>619125</xdr:colOff>
      <xdr:row>67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190500</xdr:rowOff>
    </xdr:from>
    <xdr:to>
      <xdr:col>4</xdr:col>
      <xdr:colOff>523875</xdr:colOff>
      <xdr:row>67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190500</xdr:rowOff>
    </xdr:from>
    <xdr:to>
      <xdr:col>5</xdr:col>
      <xdr:colOff>723900</xdr:colOff>
      <xdr:row>67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190500</xdr:rowOff>
    </xdr:from>
    <xdr:to>
      <xdr:col>6</xdr:col>
      <xdr:colOff>0</xdr:colOff>
      <xdr:row>67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41</xdr:row>
      <xdr:rowOff>15239</xdr:rowOff>
    </xdr:from>
    <xdr:to>
      <xdr:col>6</xdr:col>
      <xdr:colOff>68580</xdr:colOff>
      <xdr:row>45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68</xdr:row>
      <xdr:rowOff>32385</xdr:rowOff>
    </xdr:from>
    <xdr:to>
      <xdr:col>6</xdr:col>
      <xdr:colOff>19050</xdr:colOff>
      <xdr:row>72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48</xdr:row>
      <xdr:rowOff>41910</xdr:rowOff>
    </xdr:from>
    <xdr:to>
      <xdr:col>1</xdr:col>
      <xdr:colOff>801763</xdr:colOff>
      <xdr:row>54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4163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140</v>
      </c>
      <c r="D10" s="55"/>
      <c r="E10" s="55"/>
      <c r="F10" s="56" t="s">
        <v>28</v>
      </c>
      <c r="G10" s="57">
        <v>45744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45750</v>
      </c>
      <c r="H11" s="62"/>
      <c r="I11" s="1"/>
    </row>
    <row r="12" spans="1:17" ht="16.2" thickBot="1" x14ac:dyDescent="0.35">
      <c r="A12" s="1"/>
      <c r="B12" s="63" t="s">
        <v>131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/>
      <c r="D13" s="43"/>
      <c r="E13" s="43"/>
      <c r="F13" s="43" t="s">
        <v>128</v>
      </c>
      <c r="G13" s="64" t="s">
        <v>137</v>
      </c>
      <c r="H13" s="65"/>
      <c r="I13" s="1"/>
    </row>
    <row r="14" spans="1:17" ht="15.6" x14ac:dyDescent="0.3">
      <c r="A14" s="1"/>
      <c r="B14" s="59" t="s">
        <v>17</v>
      </c>
      <c r="C14" s="106" t="s">
        <v>141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22">
        <v>1</v>
      </c>
      <c r="C21" s="123" t="s">
        <v>138</v>
      </c>
      <c r="D21" s="124">
        <v>2925</v>
      </c>
      <c r="E21" s="124">
        <v>610</v>
      </c>
      <c r="F21" s="123" t="s">
        <v>139</v>
      </c>
      <c r="G21" s="125">
        <v>107718</v>
      </c>
      <c r="H21" s="126">
        <f>G21*B21</f>
        <v>107718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7">
        <v>1</v>
      </c>
      <c r="C22" s="105" t="s">
        <v>138</v>
      </c>
      <c r="D22" s="108">
        <v>1790</v>
      </c>
      <c r="E22" s="108">
        <v>610</v>
      </c>
      <c r="F22" s="105" t="s">
        <v>139</v>
      </c>
      <c r="G22" s="107">
        <v>171276</v>
      </c>
      <c r="H22" s="128">
        <f t="shared" ref="H22:H25" si="0">G22*B22</f>
        <v>171276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27">
        <v>1</v>
      </c>
      <c r="C23" s="105" t="s">
        <v>138</v>
      </c>
      <c r="D23" s="108">
        <v>430</v>
      </c>
      <c r="E23" s="108">
        <v>610</v>
      </c>
      <c r="F23" s="105" t="s">
        <v>139</v>
      </c>
      <c r="G23" s="107">
        <v>31559</v>
      </c>
      <c r="H23" s="128">
        <f t="shared" si="0"/>
        <v>31559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27">
        <v>1</v>
      </c>
      <c r="C24" s="105" t="s">
        <v>138</v>
      </c>
      <c r="D24" s="108">
        <v>1465</v>
      </c>
      <c r="E24" s="108">
        <v>520</v>
      </c>
      <c r="F24" s="105" t="s">
        <v>139</v>
      </c>
      <c r="G24" s="107">
        <v>76753</v>
      </c>
      <c r="H24" s="128">
        <f t="shared" si="0"/>
        <v>76753</v>
      </c>
      <c r="I24" s="1"/>
      <c r="K24" s="17"/>
      <c r="L24" s="26"/>
      <c r="M24" s="17"/>
      <c r="N24" s="17"/>
      <c r="O24" s="26"/>
      <c r="P24" s="33"/>
    </row>
    <row r="25" spans="1:16" ht="18" customHeight="1" thickBot="1" x14ac:dyDescent="0.35">
      <c r="A25" s="1"/>
      <c r="B25" s="129">
        <v>1</v>
      </c>
      <c r="C25" s="130" t="s">
        <v>138</v>
      </c>
      <c r="D25" s="131">
        <v>545</v>
      </c>
      <c r="E25" s="131">
        <v>350</v>
      </c>
      <c r="F25" s="130" t="s">
        <v>139</v>
      </c>
      <c r="G25" s="132">
        <v>23082</v>
      </c>
      <c r="H25" s="133">
        <f t="shared" si="0"/>
        <v>23082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7"/>
      <c r="C26" s="97"/>
      <c r="D26" s="97"/>
      <c r="E26" s="97"/>
      <c r="F26" s="98"/>
      <c r="G26" s="99"/>
      <c r="H26" s="99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410388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/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410388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100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6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6"/>
  <sheetViews>
    <sheetView topLeftCell="A56" zoomScaleNormal="100" workbookViewId="0">
      <selection activeCell="G49" sqref="A49:G7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40" t="s">
        <v>27</v>
      </c>
      <c r="D4" s="14">
        <f>'4637'!G8</f>
        <v>4163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FRANCISCO BAEZA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45750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2975</v>
      </c>
      <c r="E14" s="35">
        <f>K14+E$13</f>
        <v>580</v>
      </c>
      <c r="F14" s="103" t="str">
        <f>C35</f>
        <v>CUB C/R 90°</v>
      </c>
      <c r="G14" s="1"/>
      <c r="I14" s="3">
        <f>I25</f>
        <v>1</v>
      </c>
      <c r="J14" s="4">
        <f>D35</f>
        <v>2925</v>
      </c>
      <c r="K14" s="4">
        <f>E35</f>
        <v>610</v>
      </c>
    </row>
    <row r="15" spans="1:14" ht="15.6" x14ac:dyDescent="0.3">
      <c r="A15" s="96"/>
      <c r="B15" s="25">
        <f t="shared" ref="B15:B18" si="2">I15</f>
        <v>1</v>
      </c>
      <c r="C15" s="25"/>
      <c r="D15" s="25">
        <f t="shared" ref="D15:D17" si="3">J15+D$13</f>
        <v>1840</v>
      </c>
      <c r="E15" s="35">
        <f t="shared" ref="E15:E18" si="4">K15+E$13</f>
        <v>580</v>
      </c>
      <c r="F15" s="103" t="str">
        <f t="shared" ref="F15:F18" si="5">C36</f>
        <v>CUB C/R 90°</v>
      </c>
      <c r="G15" s="1"/>
      <c r="I15" s="3">
        <f t="shared" ref="I15:I18" si="6">I26</f>
        <v>1</v>
      </c>
      <c r="J15" s="4">
        <f t="shared" ref="J15:K15" si="7">D36</f>
        <v>1790</v>
      </c>
      <c r="K15" s="4">
        <f t="shared" si="7"/>
        <v>610</v>
      </c>
    </row>
    <row r="16" spans="1:14" ht="15.6" x14ac:dyDescent="0.3">
      <c r="A16" s="96"/>
      <c r="B16" s="25">
        <f t="shared" si="2"/>
        <v>1</v>
      </c>
      <c r="C16" s="25"/>
      <c r="D16" s="25">
        <f t="shared" si="3"/>
        <v>480</v>
      </c>
      <c r="E16" s="35">
        <f t="shared" si="4"/>
        <v>580</v>
      </c>
      <c r="F16" s="103" t="str">
        <f t="shared" si="5"/>
        <v>CUB C/R 90°</v>
      </c>
      <c r="G16" s="1"/>
      <c r="I16" s="3">
        <f t="shared" si="6"/>
        <v>1</v>
      </c>
      <c r="J16" s="4">
        <f t="shared" ref="J16:K16" si="8">D37</f>
        <v>430</v>
      </c>
      <c r="K16" s="4">
        <f t="shared" si="8"/>
        <v>610</v>
      </c>
    </row>
    <row r="17" spans="1:11" ht="15.6" x14ac:dyDescent="0.3">
      <c r="A17" s="96"/>
      <c r="B17" s="25">
        <f t="shared" si="2"/>
        <v>1</v>
      </c>
      <c r="C17" s="25"/>
      <c r="D17" s="25">
        <f t="shared" si="3"/>
        <v>1515</v>
      </c>
      <c r="E17" s="35">
        <f t="shared" si="4"/>
        <v>490</v>
      </c>
      <c r="F17" s="103" t="str">
        <f t="shared" si="5"/>
        <v>CUB C/R 90°</v>
      </c>
      <c r="G17" s="1"/>
      <c r="I17" s="3">
        <f t="shared" si="6"/>
        <v>1</v>
      </c>
      <c r="J17" s="4">
        <f t="shared" ref="J17:K17" si="9">D38</f>
        <v>1465</v>
      </c>
      <c r="K17" s="4">
        <f t="shared" si="9"/>
        <v>520</v>
      </c>
    </row>
    <row r="18" spans="1:11" ht="15.6" x14ac:dyDescent="0.3">
      <c r="A18" s="96"/>
      <c r="B18" s="25">
        <f t="shared" si="2"/>
        <v>1</v>
      </c>
      <c r="C18" s="25"/>
      <c r="D18" s="25">
        <f>J18+D$13</f>
        <v>595</v>
      </c>
      <c r="E18" s="35">
        <f t="shared" si="4"/>
        <v>320</v>
      </c>
      <c r="F18" s="103" t="str">
        <f t="shared" si="5"/>
        <v>CUB C/R 90°</v>
      </c>
      <c r="G18" s="1"/>
      <c r="I18" s="3">
        <f t="shared" si="6"/>
        <v>1</v>
      </c>
      <c r="J18" s="4">
        <f t="shared" ref="J18:K18" si="10">D39</f>
        <v>545</v>
      </c>
      <c r="K18" s="4">
        <f t="shared" si="10"/>
        <v>350</v>
      </c>
    </row>
    <row r="19" spans="1:11" ht="15.6" x14ac:dyDescent="0.3">
      <c r="A19" s="52"/>
      <c r="B19" s="6"/>
      <c r="C19" s="6"/>
      <c r="D19" s="6"/>
      <c r="E19" s="89"/>
      <c r="F19" s="6"/>
      <c r="G19" s="1"/>
      <c r="I19" s="90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17" t="s">
        <v>14</v>
      </c>
      <c r="B21" s="117"/>
      <c r="C21" s="117"/>
      <c r="D21" s="117"/>
      <c r="E21" s="117"/>
      <c r="F21" s="117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1" ht="15.6" x14ac:dyDescent="0.3">
      <c r="A24" s="52" t="s">
        <v>9</v>
      </c>
      <c r="B24" s="36" t="s">
        <v>10</v>
      </c>
      <c r="C24" s="36" t="s">
        <v>11</v>
      </c>
      <c r="D24" s="21">
        <v>40</v>
      </c>
      <c r="E24" s="21">
        <v>130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6" t="s">
        <v>130</v>
      </c>
      <c r="B25" s="16">
        <f t="shared" ref="B25:B29" si="11">I25</f>
        <v>1</v>
      </c>
      <c r="C25" s="16"/>
      <c r="D25" s="16">
        <f>J25+D$24</f>
        <v>2965</v>
      </c>
      <c r="E25" s="16">
        <f>K25+E$24</f>
        <v>740</v>
      </c>
      <c r="F25" s="104" t="str">
        <f>C35</f>
        <v>CUB C/R 90°</v>
      </c>
      <c r="G25" s="1"/>
      <c r="I25" s="3">
        <f>B35</f>
        <v>1</v>
      </c>
      <c r="J25" s="4">
        <f t="shared" ref="J25:K25" si="12">D35</f>
        <v>2925</v>
      </c>
      <c r="K25" s="4">
        <f t="shared" si="12"/>
        <v>610</v>
      </c>
    </row>
    <row r="26" spans="1:11" ht="15.6" x14ac:dyDescent="0.3">
      <c r="A26" s="96"/>
      <c r="B26" s="16">
        <f t="shared" si="11"/>
        <v>1</v>
      </c>
      <c r="C26" s="16"/>
      <c r="D26" s="16">
        <f t="shared" ref="D26:D29" si="13">J26+D$24</f>
        <v>1830</v>
      </c>
      <c r="E26" s="16">
        <f t="shared" ref="E26:E29" si="14">K26+E$24</f>
        <v>740</v>
      </c>
      <c r="F26" s="104" t="str">
        <f t="shared" ref="F26:F29" si="15">C36</f>
        <v>CUB C/R 90°</v>
      </c>
      <c r="G26" s="1"/>
      <c r="I26" s="3">
        <f t="shared" ref="I26:I29" si="16">B36</f>
        <v>1</v>
      </c>
      <c r="J26" s="4">
        <f t="shared" ref="J26:J29" si="17">D36</f>
        <v>1790</v>
      </c>
      <c r="K26" s="4">
        <f t="shared" ref="K26:K29" si="18">E36</f>
        <v>610</v>
      </c>
    </row>
    <row r="27" spans="1:11" ht="15.6" x14ac:dyDescent="0.3">
      <c r="A27" s="96"/>
      <c r="B27" s="16">
        <f t="shared" si="11"/>
        <v>1</v>
      </c>
      <c r="C27" s="16"/>
      <c r="D27" s="16">
        <f t="shared" si="13"/>
        <v>470</v>
      </c>
      <c r="E27" s="16">
        <f t="shared" si="14"/>
        <v>740</v>
      </c>
      <c r="F27" s="104" t="str">
        <f t="shared" si="15"/>
        <v>CUB C/R 90°</v>
      </c>
      <c r="G27" s="1"/>
      <c r="I27" s="3">
        <f t="shared" si="16"/>
        <v>1</v>
      </c>
      <c r="J27" s="4">
        <f t="shared" si="17"/>
        <v>430</v>
      </c>
      <c r="K27" s="4">
        <f t="shared" si="18"/>
        <v>610</v>
      </c>
    </row>
    <row r="28" spans="1:11" ht="15.6" x14ac:dyDescent="0.3">
      <c r="A28" s="96"/>
      <c r="B28" s="16">
        <f t="shared" si="11"/>
        <v>1</v>
      </c>
      <c r="C28" s="16"/>
      <c r="D28" s="16">
        <f t="shared" si="13"/>
        <v>1505</v>
      </c>
      <c r="E28" s="16">
        <f t="shared" si="14"/>
        <v>650</v>
      </c>
      <c r="F28" s="104" t="str">
        <f t="shared" si="15"/>
        <v>CUB C/R 90°</v>
      </c>
      <c r="G28" s="1"/>
      <c r="I28" s="3">
        <f t="shared" si="16"/>
        <v>1</v>
      </c>
      <c r="J28" s="4">
        <f t="shared" si="17"/>
        <v>1465</v>
      </c>
      <c r="K28" s="4">
        <f t="shared" si="18"/>
        <v>520</v>
      </c>
    </row>
    <row r="29" spans="1:11" ht="15.6" x14ac:dyDescent="0.3">
      <c r="A29" s="96"/>
      <c r="B29" s="16">
        <f t="shared" si="11"/>
        <v>1</v>
      </c>
      <c r="C29" s="16"/>
      <c r="D29" s="16">
        <f t="shared" si="13"/>
        <v>585</v>
      </c>
      <c r="E29" s="16">
        <f t="shared" si="14"/>
        <v>480</v>
      </c>
      <c r="F29" s="104" t="str">
        <f t="shared" si="15"/>
        <v>CUB C/R 90°</v>
      </c>
      <c r="G29" s="1"/>
      <c r="I29" s="3">
        <f t="shared" si="16"/>
        <v>1</v>
      </c>
      <c r="J29" s="4">
        <f t="shared" si="17"/>
        <v>545</v>
      </c>
      <c r="K29" s="4">
        <f t="shared" si="18"/>
        <v>350</v>
      </c>
    </row>
    <row r="30" spans="1:11" ht="15.6" x14ac:dyDescent="0.3">
      <c r="A30" s="96"/>
      <c r="B30" s="6"/>
      <c r="C30" s="6"/>
      <c r="D30" s="6"/>
      <c r="E30" s="6"/>
      <c r="F30" s="6"/>
      <c r="G30" s="1"/>
      <c r="I30" s="90"/>
      <c r="J30" s="2"/>
      <c r="K30" s="2"/>
    </row>
    <row r="31" spans="1:11" ht="16.2" thickBot="1" x14ac:dyDescent="0.35">
      <c r="A31" s="52"/>
      <c r="B31" s="6"/>
      <c r="C31" s="6"/>
      <c r="D31" s="6"/>
      <c r="E31" s="6"/>
      <c r="F31" s="6"/>
      <c r="G31" s="1"/>
      <c r="I31" s="2"/>
      <c r="J31" s="2"/>
      <c r="K31" s="2"/>
    </row>
    <row r="32" spans="1:11" ht="16.2" thickBot="1" x14ac:dyDescent="0.35">
      <c r="A32" s="52"/>
      <c r="B32" s="22" t="s">
        <v>107</v>
      </c>
      <c r="C32" s="23"/>
      <c r="D32" s="23"/>
      <c r="E32" s="23"/>
      <c r="F32" s="24"/>
      <c r="G32" s="1"/>
      <c r="I32" s="2"/>
      <c r="J32" s="2"/>
      <c r="K32" s="2"/>
    </row>
    <row r="33" spans="1:7" ht="10.5" customHeight="1" x14ac:dyDescent="0.3">
      <c r="A33" s="1"/>
      <c r="B33" s="1"/>
      <c r="C33" s="1"/>
      <c r="D33" s="1"/>
      <c r="E33" s="1"/>
      <c r="F33" s="1"/>
      <c r="G33" s="1"/>
    </row>
    <row r="34" spans="1:7" ht="15.6" x14ac:dyDescent="0.3">
      <c r="A34" s="52" t="s">
        <v>9</v>
      </c>
      <c r="B34" s="88" t="s">
        <v>10</v>
      </c>
      <c r="C34" s="88" t="s">
        <v>110</v>
      </c>
      <c r="D34" s="88" t="s">
        <v>7</v>
      </c>
      <c r="E34" s="88" t="s">
        <v>8</v>
      </c>
      <c r="F34" s="88" t="s">
        <v>23</v>
      </c>
      <c r="G34" s="1"/>
    </row>
    <row r="35" spans="1:7" ht="15.6" x14ac:dyDescent="0.3">
      <c r="A35" s="96" t="s">
        <v>134</v>
      </c>
      <c r="B35" s="25">
        <f>'4637'!B21</f>
        <v>1</v>
      </c>
      <c r="C35" s="103" t="str">
        <f>'4637'!C21</f>
        <v>CUB C/R 90°</v>
      </c>
      <c r="D35" s="25">
        <f>'4637'!D21</f>
        <v>2925</v>
      </c>
      <c r="E35" s="25">
        <f>'4637'!E21</f>
        <v>610</v>
      </c>
      <c r="F35" s="25" t="str">
        <f>'4637'!F21</f>
        <v>VAINILLA 2109 LG</v>
      </c>
      <c r="G35" s="1"/>
    </row>
    <row r="36" spans="1:7" ht="15.6" x14ac:dyDescent="0.3">
      <c r="A36" s="96"/>
      <c r="B36" s="25">
        <f>'4637'!B22</f>
        <v>1</v>
      </c>
      <c r="C36" s="103" t="str">
        <f>'4637'!C22</f>
        <v>CUB C/R 90°</v>
      </c>
      <c r="D36" s="25">
        <f>'4637'!D22</f>
        <v>1790</v>
      </c>
      <c r="E36" s="25">
        <f>'4637'!E22</f>
        <v>610</v>
      </c>
      <c r="F36" s="25" t="str">
        <f>'4637'!F22</f>
        <v>VAINILLA 2109 LG</v>
      </c>
      <c r="G36" s="1"/>
    </row>
    <row r="37" spans="1:7" ht="15.6" x14ac:dyDescent="0.3">
      <c r="A37" s="96"/>
      <c r="B37" s="25">
        <f>'4637'!B23</f>
        <v>1</v>
      </c>
      <c r="C37" s="103" t="str">
        <f>'4637'!C23</f>
        <v>CUB C/R 90°</v>
      </c>
      <c r="D37" s="25">
        <f>'4637'!D23</f>
        <v>430</v>
      </c>
      <c r="E37" s="25">
        <f>'4637'!E23</f>
        <v>610</v>
      </c>
      <c r="F37" s="25" t="str">
        <f>'4637'!F23</f>
        <v>VAINILLA 2109 LG</v>
      </c>
      <c r="G37" s="1"/>
    </row>
    <row r="38" spans="1:7" ht="15.6" x14ac:dyDescent="0.3">
      <c r="A38" s="96"/>
      <c r="B38" s="25">
        <f>'4637'!B24</f>
        <v>1</v>
      </c>
      <c r="C38" s="103" t="str">
        <f>'4637'!C24</f>
        <v>CUB C/R 90°</v>
      </c>
      <c r="D38" s="25">
        <f>'4637'!D24</f>
        <v>1465</v>
      </c>
      <c r="E38" s="25">
        <f>'4637'!E24</f>
        <v>520</v>
      </c>
      <c r="F38" s="25" t="str">
        <f>'4637'!F24</f>
        <v>VAINILLA 2109 LG</v>
      </c>
      <c r="G38" s="1"/>
    </row>
    <row r="39" spans="1:7" ht="15.6" x14ac:dyDescent="0.3">
      <c r="A39" s="96"/>
      <c r="B39" s="25">
        <f>'4637'!B25</f>
        <v>1</v>
      </c>
      <c r="C39" s="103" t="str">
        <f>'4637'!C25</f>
        <v>CUB C/R 90°</v>
      </c>
      <c r="D39" s="25">
        <f>'4637'!D25</f>
        <v>545</v>
      </c>
      <c r="E39" s="25">
        <f>'4637'!E25</f>
        <v>350</v>
      </c>
      <c r="F39" s="25" t="str">
        <f>'4637'!F25</f>
        <v>VAINILLA 2109 LG</v>
      </c>
      <c r="G39" s="1"/>
    </row>
    <row r="40" spans="1:7" ht="15.6" x14ac:dyDescent="0.3">
      <c r="A40" s="52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40" t="s">
        <v>27</v>
      </c>
      <c r="D50" s="14">
        <f>'4637'!G8</f>
        <v>4163</v>
      </c>
      <c r="E50" s="1"/>
      <c r="F50" s="1"/>
      <c r="G50" s="1"/>
    </row>
    <row r="51" spans="1:7" ht="17.25" customHeight="1" x14ac:dyDescent="0.3">
      <c r="A51" s="1"/>
      <c r="B51" s="1"/>
      <c r="C51" s="41" t="s">
        <v>67</v>
      </c>
      <c r="D51" s="42" t="str">
        <f>'4637'!C10</f>
        <v>FRANCISCO BAEZA</v>
      </c>
      <c r="E51" s="43"/>
      <c r="F51" s="43"/>
      <c r="G51" s="1"/>
    </row>
    <row r="52" spans="1:7" ht="4.5" customHeight="1" x14ac:dyDescent="0.3">
      <c r="A52" s="1"/>
      <c r="B52" s="1"/>
      <c r="C52" s="44"/>
      <c r="D52" s="45"/>
      <c r="E52" s="1"/>
      <c r="F52" s="1"/>
      <c r="G52" s="1"/>
    </row>
    <row r="53" spans="1:7" ht="15.6" x14ac:dyDescent="0.3">
      <c r="A53" s="1"/>
      <c r="B53" s="1"/>
      <c r="C53" s="46" t="str">
        <f>'4637'!F11</f>
        <v>FECHA LIMITE :</v>
      </c>
      <c r="D53" s="13">
        <f>'4637'!G11</f>
        <v>45750</v>
      </c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17" t="s">
        <v>68</v>
      </c>
      <c r="B56" s="117"/>
      <c r="C56" s="117"/>
      <c r="D56" s="117"/>
      <c r="E56" s="117"/>
      <c r="F56" s="117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75" customHeight="1" x14ac:dyDescent="0.3">
      <c r="A58" s="1"/>
      <c r="B58" s="118" t="s">
        <v>69</v>
      </c>
      <c r="C58" s="119"/>
      <c r="D58" s="120"/>
      <c r="E58" s="120"/>
      <c r="F58" s="121"/>
      <c r="G58" s="1"/>
    </row>
    <row r="59" spans="1:7" s="15" customFormat="1" ht="12.75" customHeight="1" x14ac:dyDescent="0.3">
      <c r="A59" s="1"/>
      <c r="B59" s="36" t="s">
        <v>10</v>
      </c>
      <c r="C59" s="47" t="s">
        <v>11</v>
      </c>
      <c r="D59" s="48" t="s">
        <v>7</v>
      </c>
      <c r="E59" s="48" t="s">
        <v>8</v>
      </c>
      <c r="F59" s="49" t="s">
        <v>12</v>
      </c>
      <c r="G59" s="1"/>
    </row>
    <row r="60" spans="1:7" s="15" customFormat="1" ht="15" customHeight="1" x14ac:dyDescent="0.3">
      <c r="A60" s="96"/>
      <c r="B60" s="38">
        <f>'4637'!B21</f>
        <v>1</v>
      </c>
      <c r="C60" s="102" t="str">
        <f>'4637'!C21</f>
        <v>CUB C/R 90°</v>
      </c>
      <c r="D60" s="39">
        <f>'4637'!D21</f>
        <v>2925</v>
      </c>
      <c r="E60" s="39">
        <f>'4637'!E21</f>
        <v>610</v>
      </c>
      <c r="F60" s="38" t="str">
        <f>'4637'!F21</f>
        <v>VAINILLA 2109 LG</v>
      </c>
      <c r="G60" s="1"/>
    </row>
    <row r="61" spans="1:7" s="15" customFormat="1" ht="15" customHeight="1" x14ac:dyDescent="0.3">
      <c r="A61" s="96"/>
      <c r="B61" s="38">
        <f>'4637'!B22</f>
        <v>1</v>
      </c>
      <c r="C61" s="102" t="str">
        <f>'4637'!C22</f>
        <v>CUB C/R 90°</v>
      </c>
      <c r="D61" s="39">
        <f>'4637'!D22</f>
        <v>1790</v>
      </c>
      <c r="E61" s="39">
        <f>'4637'!E22</f>
        <v>610</v>
      </c>
      <c r="F61" s="38" t="str">
        <f>'4637'!F22</f>
        <v>VAINILLA 2109 LG</v>
      </c>
      <c r="G61" s="1"/>
    </row>
    <row r="62" spans="1:7" s="15" customFormat="1" ht="15" customHeight="1" x14ac:dyDescent="0.3">
      <c r="A62" s="96"/>
      <c r="B62" s="38">
        <f>'4637'!B23</f>
        <v>1</v>
      </c>
      <c r="C62" s="102" t="str">
        <f>'4637'!C23</f>
        <v>CUB C/R 90°</v>
      </c>
      <c r="D62" s="39">
        <f>'4637'!D23</f>
        <v>430</v>
      </c>
      <c r="E62" s="39">
        <f>'4637'!E23</f>
        <v>610</v>
      </c>
      <c r="F62" s="38" t="str">
        <f>'4637'!F23</f>
        <v>VAINILLA 2109 LG</v>
      </c>
      <c r="G62" s="1"/>
    </row>
    <row r="63" spans="1:7" s="15" customFormat="1" ht="15" customHeight="1" x14ac:dyDescent="0.3">
      <c r="A63" s="96"/>
      <c r="B63" s="38">
        <f>'4637'!B24</f>
        <v>1</v>
      </c>
      <c r="C63" s="102" t="str">
        <f>'4637'!C24</f>
        <v>CUB C/R 90°</v>
      </c>
      <c r="D63" s="39">
        <f>'4637'!D24</f>
        <v>1465</v>
      </c>
      <c r="E63" s="39">
        <f>'4637'!E24</f>
        <v>520</v>
      </c>
      <c r="F63" s="38" t="str">
        <f>'4637'!F24</f>
        <v>VAINILLA 2109 LG</v>
      </c>
      <c r="G63" s="1"/>
    </row>
    <row r="64" spans="1:7" s="15" customFormat="1" ht="15" customHeight="1" x14ac:dyDescent="0.3">
      <c r="A64" s="96"/>
      <c r="B64" s="38">
        <f>'4637'!B25</f>
        <v>1</v>
      </c>
      <c r="C64" s="102" t="str">
        <f>'4637'!C25</f>
        <v>CUB C/R 90°</v>
      </c>
      <c r="D64" s="39">
        <f>'4637'!D25</f>
        <v>545</v>
      </c>
      <c r="E64" s="39">
        <f>'4637'!E25</f>
        <v>350</v>
      </c>
      <c r="F64" s="38" t="str">
        <f>'4637'!F25</f>
        <v>VAINILLA 2109 LG</v>
      </c>
      <c r="G64" s="1"/>
    </row>
    <row r="65" spans="1:7" s="15" customFormat="1" ht="15" customHeight="1" x14ac:dyDescent="0.3">
      <c r="A65" s="50"/>
      <c r="B65" s="52"/>
      <c r="C65" s="52"/>
      <c r="D65" s="52"/>
      <c r="E65" s="52"/>
      <c r="F65" s="52"/>
      <c r="G65" s="1"/>
    </row>
    <row r="66" spans="1:7" ht="15.6" x14ac:dyDescent="0.3">
      <c r="A66" s="6"/>
      <c r="B66" s="6"/>
      <c r="C66" s="1"/>
      <c r="D66" s="6"/>
      <c r="E66" s="6"/>
      <c r="F66" s="44"/>
      <c r="G66" s="1"/>
    </row>
    <row r="67" spans="1:7" ht="15.6" x14ac:dyDescent="0.3">
      <c r="A67" s="6"/>
      <c r="B67" s="6"/>
      <c r="C67" s="1"/>
      <c r="D67" s="6"/>
      <c r="E67" s="6"/>
      <c r="F67" s="6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" customHeight="1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6"/>
      <c r="B73" s="5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x14ac:dyDescent="0.3">
      <c r="B75" s="20"/>
      <c r="C75" s="20"/>
      <c r="D75" s="20"/>
      <c r="E75" s="20"/>
      <c r="F75" s="20"/>
    </row>
    <row r="76" spans="1:7" x14ac:dyDescent="0.3">
      <c r="B76" s="20"/>
      <c r="C76" s="20"/>
      <c r="E76" s="20"/>
      <c r="F76" s="20"/>
    </row>
  </sheetData>
  <mergeCells count="6">
    <mergeCell ref="M3:N3"/>
    <mergeCell ref="A21:F21"/>
    <mergeCell ref="A10:F10"/>
    <mergeCell ref="A56:F56"/>
    <mergeCell ref="B58:F5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2025-03-31T18:38:14Z</cp:lastPrinted>
  <dcterms:created xsi:type="dcterms:W3CDTF">2013-03-19T12:54:14Z</dcterms:created>
  <dcterms:modified xsi:type="dcterms:W3CDTF">2025-03-31T18:38:20Z</dcterms:modified>
</cp:coreProperties>
</file>