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A882EE25-B6CF-4575-84A9-719FE0EC6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3" i="4"/>
  <c r="H22" i="4"/>
  <c r="H21" i="4"/>
  <c r="B24" i="4" l="1"/>
  <c r="J14" i="3" l="1"/>
  <c r="C14" i="3" s="1"/>
  <c r="D50" i="3" l="1"/>
  <c r="L21" i="4" l="1"/>
  <c r="K21" i="4"/>
  <c r="M21" i="4" l="1"/>
  <c r="N21" i="4" s="1"/>
  <c r="C28" i="3" l="1"/>
  <c r="J22" i="3" s="1"/>
  <c r="C22" i="3" s="1"/>
  <c r="D28" i="3"/>
  <c r="G22" i="3" s="1"/>
  <c r="E28" i="3"/>
  <c r="F28" i="3"/>
  <c r="L22" i="3" s="1"/>
  <c r="F22" i="3" s="1"/>
  <c r="G28" i="3"/>
  <c r="C50" i="3"/>
  <c r="E50" i="3"/>
  <c r="F50" i="3"/>
  <c r="G50" i="3"/>
  <c r="I28" i="3" l="1"/>
  <c r="J28" i="3" s="1"/>
  <c r="K22" i="3"/>
  <c r="E22" i="3" s="1"/>
  <c r="I50" i="3"/>
  <c r="J50" i="3" s="1"/>
  <c r="K14" i="3"/>
  <c r="E14" i="3" s="1"/>
  <c r="G14" i="3"/>
  <c r="L14" i="3"/>
  <c r="F14" i="3" s="1"/>
  <c r="J31" i="3" l="1"/>
  <c r="K50" i="3"/>
  <c r="J54" i="3"/>
  <c r="H27" i="4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<sst xmlns="http://schemas.openxmlformats.org/spreadsheetml/2006/main" count="251" uniqueCount="148">
  <si>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</si>
  <si>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</si>
  <si>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</si>
  <si>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</si>
  <si>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</si>
  <si>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</si>
  <si>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</si>
  <si>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</si>
  <si>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</si>
  <si>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</si>
  <si>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</si>
  <si>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</si>
  <si>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</si>
  <si>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</si>
  <si>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</si>
  <si>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</si>
  <si>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</si>
  <si>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</si>
  <si>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</si>
  <si>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</si>
  <si>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</si>
  <si>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</si>
  <si>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</si>
  <si>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</si>
  <si>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</si>
  <si>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</si>
  <si>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</si>
  <si>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</si>
  <si>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</si>
  <si>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</si>
  <si>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</si>
  <si>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</si>
  <si>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</si>
  <si>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</si>
  <si>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</si>
  <si>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</si>
  <si>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</si>
  <si>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</si>
  <si>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</si>
  <si>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</si>
  <si>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</si>
  <si>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</si>
  <si>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</si>
  <si>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</si>
  <si>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</si>
  <si>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</si>
  <si>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</si>
  <si>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</si>
  <si>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</si>
  <si>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</si>
  <si>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</si>
  <si>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</si>
  <si>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</si>
  <si>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</si>
  <si>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</si>
  <si>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</si>
  <si>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</si>
  <si>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</si>
  <si>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</si>
  <si>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</si>
  <si>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</si>
  <si>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</si>
  <si>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</si>
  <si>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</si>
  <si>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</si>
  <si>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</si>
  <si>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</si>
  <si>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</si>
  <si>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</si>
  <si>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</si>
  <si>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</si>
  <si>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</si>
  <si>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</si>
  <si>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</si>
  <si>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</si>
  <si>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</si>
  <si>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</si>
  <si>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</si>
  <si>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</si>
  <si>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</si>
  <si>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</si>
  <si>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</si>
  <si>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</si>
  <si>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</si>
  <si>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</si>
  <si>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</si>
  <si>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</si>
  <si>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</si>
  <si>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</si>
  <si>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</si>
  <si>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</si>
  <si>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</si>
  <si>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</si>
  <si>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</si>
  <si>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</si>
  <si>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</si>
  <si>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</si>
  <si>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</si>
  <si>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</si>
  <si>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</si>
  <si>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</si>
  <si>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</si>
  <si>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</si>
  <si>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</si>
  <si>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</si>
  <si>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</si>
  <si>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</si>
  <si>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</si>
  <si>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</si>
  <si>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</si>
  <si>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</si>
  <si>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</si>
  <si>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</si>
  <si>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</si>
  <si>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</si>
  <si>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</si>
  <si>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</si>
  <si>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</si>
  <si>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</si>
  <si>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</si>
  <si>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</si>
  <si>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</si>
  <si>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</si>
  <si>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</si>
  <si>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</si>
  <si>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</si>
  <si>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</si>
  <si>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</si>
  <si>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</si>
  <si>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</si>
  <si>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</si>
  <si>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</si>
  <si>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</si>
  <si>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</si>
  <si>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</si>
  <si>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</si>
  <si>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</si>
  <si>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</si>
  <si>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MARIA GALLEGUILLOS</t>
  </si>
  <si>
    <t>+569 98712672</t>
  </si>
  <si>
    <t>DIAGONAL LOS LAGOS 7284 D/1731 TORRE 5 PUDAHUEL</t>
  </si>
  <si>
    <t>ALEXANDRA NOVOA CELULAR 978540781</t>
  </si>
  <si>
    <t>CUB C/R FRENTE 90° R6</t>
  </si>
  <si>
    <t>GALAXIA GRAFITO 0491 MT</t>
  </si>
  <si>
    <t>DESPACHO MAS INSTALACION</t>
  </si>
  <si>
    <t>MUEBLE BANDEJERO</t>
  </si>
  <si>
    <t>MDF15MM</t>
  </si>
  <si>
    <t>MDF 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</si>
</sst>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5" fontId="9" fillId="0" borderId="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200.000.- 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220979</xdr:rowOff>
    </xdr:from>
    <xdr:to>
      <xdr:col>7</xdr:col>
      <xdr:colOff>0</xdr:colOff>
      <xdr:row>34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73580" y="6256019"/>
          <a:ext cx="851154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PARA INSTALACION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LLEVA PESTAÑA DE AJUNTE DE 12MM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54</xdr:row>
      <xdr:rowOff>222885</xdr:rowOff>
    </xdr:from>
    <xdr:to>
      <xdr:col>7</xdr:col>
      <xdr:colOff>0</xdr:colOff>
      <xdr:row>59</xdr:row>
      <xdr:rowOff>123825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86915" y="1183576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ES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INSTALACION</a:t>
          </a:r>
        </a:p>
        <a:p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LLEVA PESTAÑA DE AJUSTE DE 12MM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8" zoomScale="98" zoomScaleNormal="98" workbookViewId="0">
      <selection activeCell="K20" sqref="K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21875" customWidth="1"/>
    <col min="4" max="5" width="11.109375" customWidth="1"/>
    <col min="6" max="6" width="28.332031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11310</v>
      </c>
      <c r="E8" s="30"/>
      <c r="F8" s="35" t="s">
        <v>25</v>
      </c>
      <c r="G8" s="36">
        <v>4157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138</v>
      </c>
      <c r="D10" s="38"/>
      <c r="E10" s="38"/>
      <c r="F10" s="39" t="s">
        <v>26</v>
      </c>
      <c r="G10" s="40">
        <v>45727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45729</v>
      </c>
      <c r="H11" s="44"/>
      <c r="I11" s="30"/>
    </row>
    <row r="12" spans="1:17" ht="18.600000000000001" x14ac:dyDescent="0.4">
      <c r="A12" s="30"/>
      <c r="B12" s="45" t="s">
        <v>126</v>
      </c>
      <c r="C12" s="116" t="s">
        <v>141</v>
      </c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C13" s="6"/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139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C15" t="s">
        <v>140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137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142</v>
      </c>
      <c r="D21" s="98">
        <v>3260</v>
      </c>
      <c r="E21" s="98">
        <v>600</v>
      </c>
      <c r="F21" s="97" t="s">
        <v>143</v>
      </c>
      <c r="G21" s="112">
        <v>216848</v>
      </c>
      <c r="H21" s="112">
        <f t="shared" ref="H21:H23" si="0">G21*B21</f>
        <v>216848</v>
      </c>
      <c r="I21" s="30"/>
      <c r="K21" s="11">
        <f>D21/1000</f>
        <v>3.26</v>
      </c>
      <c r="L21" s="15">
        <f>E21/1000</f>
        <v>0.6</v>
      </c>
      <c r="M21" s="11">
        <f>K21*L21</f>
        <v>1.9559999999999997</v>
      </c>
      <c r="N21" s="11">
        <f>M21*N$20</f>
        <v>127139.99999999999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144</v>
      </c>
      <c r="D22" s="136"/>
      <c r="E22" s="136"/>
      <c r="F22" s="97"/>
      <c r="G22" s="112">
        <v>150000</v>
      </c>
      <c r="H22" s="112">
        <f t="shared" si="0"/>
        <v>150000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145</v>
      </c>
      <c r="D23" s="136"/>
      <c r="E23" s="136"/>
      <c r="F23" s="97"/>
      <c r="G23" s="112">
        <v>35000</v>
      </c>
      <c r="H23" s="112">
        <f t="shared" si="0"/>
        <v>35000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99">
        <f>SUM(B21:B21)</f>
        <v>1</v>
      </c>
      <c r="C24" s="99"/>
      <c r="D24" s="111"/>
      <c r="E24" s="111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4" t="s">
        <v>5</v>
      </c>
      <c r="H25" s="55">
        <f>SUM(H21:H24)</f>
        <v>401848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1"/>
      <c r="E26" s="111"/>
      <c r="F26" s="99"/>
      <c r="G26" s="56" t="s">
        <v>136</v>
      </c>
      <c r="H26" s="57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/>
      <c r="C27" s="99"/>
      <c r="D27" s="111"/>
      <c r="E27" s="111"/>
      <c r="F27" s="99"/>
      <c r="G27" s="58" t="s">
        <v>4</v>
      </c>
      <c r="H27" s="59">
        <f>H25+H26</f>
        <v>401848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3"/>
      <c r="C33" s="53"/>
      <c r="D33" s="53"/>
      <c r="E33" s="53"/>
      <c r="F33" s="53"/>
      <c r="G33" s="52"/>
      <c r="H33" s="52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0"/>
      <c r="H37" s="61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2" t="s">
        <v>133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62" t="s">
        <v>119</v>
      </c>
      <c r="C40" s="63"/>
      <c r="D40" s="64"/>
      <c r="E40" s="64"/>
      <c r="F40" s="53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65" t="s">
        <v>24</v>
      </c>
      <c r="C42" s="65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65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66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opLeftCell="A3" zoomScaleNormal="100" workbookViewId="0">
      <selection activeCell="A32" sqref="A3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4157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MARIA GALLEGUILLOS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45729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146</v>
      </c>
      <c r="C14" s="88">
        <f>J14</f>
        <v>1</v>
      </c>
      <c r="D14" s="88"/>
      <c r="E14" s="88">
        <f>K14+E$13</f>
        <v>3340</v>
      </c>
      <c r="F14" s="88">
        <f>L14+$F$13</f>
        <v>570</v>
      </c>
      <c r="G14" s="88" t="str">
        <f>D28</f>
        <v>CUB C/R FRENTE 90° R6</v>
      </c>
      <c r="H14" s="30"/>
      <c r="J14" s="3">
        <f>'4637'!B21</f>
        <v>1</v>
      </c>
      <c r="K14" s="4">
        <f t="shared" ref="K14:L14" si="0">E28</f>
        <v>3260</v>
      </c>
      <c r="L14" s="4">
        <f t="shared" si="0"/>
        <v>600</v>
      </c>
    </row>
    <row r="15" spans="1:15" ht="18" x14ac:dyDescent="0.35">
      <c r="A15" s="108"/>
      <c r="B15" s="96"/>
      <c r="C15" s="67"/>
      <c r="D15" s="67"/>
      <c r="E15" s="67"/>
      <c r="F15" s="67"/>
      <c r="G15" s="67"/>
      <c r="H15" s="30"/>
      <c r="J15" s="23"/>
      <c r="K15" s="2"/>
      <c r="L15" s="2"/>
    </row>
    <row r="16" spans="1:15" ht="18" x14ac:dyDescent="0.35">
      <c r="A16" s="2"/>
      <c r="B16" s="77"/>
      <c r="C16" s="67"/>
      <c r="D16" s="67"/>
      <c r="E16" s="67"/>
      <c r="F16" s="67"/>
      <c r="G16" s="67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30" t="s">
        <v>13</v>
      </c>
      <c r="C18" s="130"/>
      <c r="D18" s="130"/>
      <c r="E18" s="130"/>
      <c r="F18" s="130"/>
      <c r="G18" s="130"/>
      <c r="H18" s="30"/>
    </row>
    <row r="19" spans="1:12" ht="10.5" customHeight="1" x14ac:dyDescent="0.35">
      <c r="A19" s="2"/>
      <c r="B19" s="30"/>
      <c r="C19" s="30"/>
      <c r="D19" s="85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0" t="s">
        <v>6</v>
      </c>
      <c r="F20" s="60" t="s">
        <v>7</v>
      </c>
      <c r="G20" s="30"/>
      <c r="H20" s="30"/>
    </row>
    <row r="21" spans="1:12" ht="18" x14ac:dyDescent="0.35">
      <c r="A21" s="2"/>
      <c r="B21" s="60" t="s">
        <v>8</v>
      </c>
      <c r="C21" s="76" t="s">
        <v>9</v>
      </c>
      <c r="D21" s="76" t="s">
        <v>10</v>
      </c>
      <c r="E21" s="89">
        <v>40</v>
      </c>
      <c r="F21" s="89">
        <v>130</v>
      </c>
      <c r="G21" s="76" t="s">
        <v>107</v>
      </c>
      <c r="H21" s="30"/>
      <c r="K21" s="5" t="s">
        <v>6</v>
      </c>
      <c r="L21" s="5" t="s">
        <v>7</v>
      </c>
    </row>
    <row r="22" spans="1:12" ht="18" x14ac:dyDescent="0.35">
      <c r="A22" s="108">
        <v>1</v>
      </c>
      <c r="B22" s="96"/>
      <c r="C22" s="90">
        <f t="shared" ref="C22" si="1">J22</f>
        <v>1</v>
      </c>
      <c r="D22" s="90"/>
      <c r="E22" s="90">
        <f>K22+$E$21</f>
        <v>3300</v>
      </c>
      <c r="F22" s="90">
        <f>L22+F$21</f>
        <v>730</v>
      </c>
      <c r="G22" s="90" t="str">
        <f>D28</f>
        <v>CUB C/R FRENTE 90° R6</v>
      </c>
      <c r="H22" s="30"/>
      <c r="J22" s="3">
        <f>C28</f>
        <v>1</v>
      </c>
      <c r="K22" s="102">
        <f>E28</f>
        <v>3260</v>
      </c>
      <c r="L22" s="102">
        <f>F28</f>
        <v>600</v>
      </c>
    </row>
    <row r="23" spans="1:12" ht="18" x14ac:dyDescent="0.35">
      <c r="A23" s="108"/>
      <c r="B23" s="96"/>
      <c r="C23" s="67"/>
      <c r="D23" s="67"/>
      <c r="E23" s="67"/>
      <c r="F23" s="67"/>
      <c r="G23" s="67"/>
      <c r="H23" s="30"/>
      <c r="J23" s="23"/>
      <c r="K23" s="110"/>
      <c r="L23" s="110"/>
    </row>
    <row r="24" spans="1:12" ht="18.600000000000001" thickBot="1" x14ac:dyDescent="0.4">
      <c r="A24" s="2"/>
      <c r="B24" s="77"/>
      <c r="C24" s="67"/>
      <c r="D24" s="67"/>
      <c r="E24" s="67"/>
      <c r="F24" s="67"/>
      <c r="G24" s="67"/>
      <c r="H24" s="30"/>
      <c r="I24" s="106"/>
      <c r="J24" s="107"/>
      <c r="K24" s="107"/>
      <c r="L24" s="107"/>
    </row>
    <row r="25" spans="1:12" ht="18.600000000000001" thickBot="1" x14ac:dyDescent="0.4">
      <c r="A25" s="2"/>
      <c r="B25" s="60"/>
      <c r="C25" s="91" t="s">
        <v>104</v>
      </c>
      <c r="D25" s="33"/>
      <c r="E25" s="33"/>
      <c r="F25" s="33"/>
      <c r="G25" s="92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0" t="s">
        <v>8</v>
      </c>
      <c r="C27" s="93" t="s">
        <v>9</v>
      </c>
      <c r="D27" s="93" t="s">
        <v>107</v>
      </c>
      <c r="E27" s="93" t="s">
        <v>6</v>
      </c>
      <c r="F27" s="93" t="s">
        <v>7</v>
      </c>
      <c r="G27" s="93" t="s">
        <v>21</v>
      </c>
      <c r="H27" s="30"/>
    </row>
    <row r="28" spans="1:12" ht="18" x14ac:dyDescent="0.35">
      <c r="A28" s="108">
        <v>1</v>
      </c>
      <c r="B28" s="96" t="s">
        <v>146</v>
      </c>
      <c r="C28" s="88">
        <f>'4637'!B21</f>
        <v>1</v>
      </c>
      <c r="D28" s="88" t="str">
        <f>'4637'!C21</f>
        <v>CUB C/R FRENTE 90° R6</v>
      </c>
      <c r="E28" s="88">
        <f>'4637'!D21</f>
        <v>3260</v>
      </c>
      <c r="F28" s="88">
        <f>'4637'!E21</f>
        <v>600</v>
      </c>
      <c r="G28" s="88" t="str">
        <f>'4637'!F21</f>
        <v>GALAXIA GRAFITO 0491 MT</v>
      </c>
      <c r="H28" s="30"/>
      <c r="I28" s="28">
        <f>E28*F28/1000000</f>
        <v>1.956</v>
      </c>
      <c r="J28" s="28">
        <f>I28*C28</f>
        <v>1.956</v>
      </c>
    </row>
    <row r="29" spans="1:12" ht="18" x14ac:dyDescent="0.35">
      <c r="A29" s="2"/>
      <c r="B29" s="77"/>
      <c r="C29" s="67"/>
      <c r="D29" s="67"/>
      <c r="E29" s="67"/>
      <c r="F29" s="67"/>
      <c r="G29" s="67"/>
      <c r="H29" s="30"/>
      <c r="I29" s="28"/>
      <c r="J29" s="28"/>
    </row>
    <row r="30" spans="1:12" ht="18" x14ac:dyDescent="0.35">
      <c r="A30" s="2"/>
      <c r="B30" s="30"/>
      <c r="C30" s="67"/>
      <c r="D30" s="67"/>
      <c r="E30" s="67"/>
      <c r="F30" s="67"/>
      <c r="G30" s="67"/>
      <c r="H30" s="30"/>
    </row>
    <row r="31" spans="1:12" ht="18" x14ac:dyDescent="0.35">
      <c r="A31" s="2"/>
      <c r="B31" s="30"/>
      <c r="C31" s="67"/>
      <c r="D31" s="67"/>
      <c r="E31" s="67"/>
      <c r="F31" s="67"/>
      <c r="G31" s="67"/>
      <c r="H31" s="30"/>
      <c r="J31" s="28">
        <f>SUM(J28:J28)*2</f>
        <v>3.9119999999999999</v>
      </c>
    </row>
    <row r="32" spans="1:12" ht="18" x14ac:dyDescent="0.35">
      <c r="A32" s="2"/>
      <c r="B32" s="30"/>
      <c r="C32" s="67"/>
      <c r="D32" s="67"/>
      <c r="E32" s="67"/>
      <c r="F32" s="67"/>
      <c r="G32" s="67"/>
      <c r="H32" s="30"/>
    </row>
    <row r="33" spans="1:9" ht="18" x14ac:dyDescent="0.35">
      <c r="A33" s="2"/>
      <c r="B33" s="30"/>
      <c r="C33" s="67"/>
      <c r="D33" s="67"/>
      <c r="E33" s="67"/>
      <c r="F33" s="67"/>
      <c r="G33" s="67"/>
      <c r="H33" s="30"/>
    </row>
    <row r="34" spans="1:9" ht="18" x14ac:dyDescent="0.35">
      <c r="A34" s="2"/>
      <c r="B34" s="30"/>
      <c r="C34" s="67"/>
      <c r="D34" s="67"/>
      <c r="E34" s="67"/>
      <c r="F34" s="67"/>
      <c r="G34" s="67"/>
      <c r="H34" s="30"/>
    </row>
    <row r="35" spans="1:9" ht="18" x14ac:dyDescent="0.35">
      <c r="A35" s="2"/>
      <c r="B35" s="30"/>
      <c r="C35" s="67"/>
      <c r="D35" s="67"/>
      <c r="E35" s="67"/>
      <c r="F35" s="67"/>
      <c r="G35" s="67"/>
      <c r="H35" s="30"/>
    </row>
    <row r="36" spans="1:9" ht="18" x14ac:dyDescent="0.35">
      <c r="A36" s="2"/>
      <c r="B36" s="30"/>
      <c r="C36" s="67"/>
      <c r="D36" s="67"/>
      <c r="E36" s="67"/>
      <c r="F36" s="67"/>
      <c r="G36" s="67"/>
      <c r="H36" s="30"/>
    </row>
    <row r="37" spans="1:9" ht="18" x14ac:dyDescent="0.35">
      <c r="A37" s="2"/>
      <c r="B37" s="30"/>
      <c r="C37" s="67"/>
      <c r="D37" s="67"/>
      <c r="E37" s="67"/>
      <c r="F37" s="67"/>
      <c r="G37" s="67"/>
      <c r="H37" s="30"/>
    </row>
    <row r="38" spans="1:9" ht="18" x14ac:dyDescent="0.35">
      <c r="A38" s="2"/>
      <c r="B38" s="30"/>
      <c r="C38" s="67"/>
      <c r="D38" s="67"/>
      <c r="E38" s="67"/>
      <c r="F38" s="67"/>
      <c r="G38" s="67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68" t="s">
        <v>25</v>
      </c>
      <c r="E40" s="69">
        <f>'4637'!G8</f>
        <v>4157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0" t="s">
        <v>64</v>
      </c>
      <c r="E41" s="71" t="str">
        <f>'4637'!C10</f>
        <v>MARIA GALLEGUILLOS</v>
      </c>
      <c r="F41" s="46"/>
      <c r="G41" s="46"/>
      <c r="H41" s="30"/>
    </row>
    <row r="42" spans="1:9" ht="4.5" customHeight="1" x14ac:dyDescent="0.35">
      <c r="A42" s="2"/>
      <c r="B42" s="30"/>
      <c r="C42" s="30"/>
      <c r="D42" s="72"/>
      <c r="E42" s="73"/>
      <c r="F42" s="30"/>
      <c r="G42" s="30"/>
      <c r="H42" s="30"/>
    </row>
    <row r="43" spans="1:9" ht="18" x14ac:dyDescent="0.35">
      <c r="A43" s="2"/>
      <c r="B43" s="30"/>
      <c r="C43" s="30"/>
      <c r="D43" s="74" t="str">
        <f>'4637'!F11</f>
        <v>FECHA LIMITE :</v>
      </c>
      <c r="E43" s="75">
        <f>'4637'!G11</f>
        <v>45729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1" t="s">
        <v>65</v>
      </c>
      <c r="C46" s="131"/>
      <c r="D46" s="131"/>
      <c r="E46" s="131"/>
      <c r="F46" s="131"/>
      <c r="G46" s="131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2" t="s">
        <v>66</v>
      </c>
      <c r="D48" s="133"/>
      <c r="E48" s="134"/>
      <c r="F48" s="134"/>
      <c r="G48" s="135"/>
      <c r="H48" s="30"/>
      <c r="I48" s="25" t="s">
        <v>130</v>
      </c>
    </row>
    <row r="49" spans="1:13" s="10" customFormat="1" ht="20.100000000000001" customHeight="1" x14ac:dyDescent="0.35">
      <c r="A49" s="109"/>
      <c r="B49" s="30"/>
      <c r="C49" s="78" t="s">
        <v>9</v>
      </c>
      <c r="D49" s="79" t="s">
        <v>10</v>
      </c>
      <c r="E49" s="82" t="s">
        <v>6</v>
      </c>
      <c r="F49" s="82" t="s">
        <v>7</v>
      </c>
      <c r="G49" s="80" t="s">
        <v>11</v>
      </c>
      <c r="H49" s="30"/>
      <c r="K49" s="10">
        <v>15000</v>
      </c>
    </row>
    <row r="50" spans="1:13" s="10" customFormat="1" ht="20.100000000000001" customHeight="1" x14ac:dyDescent="0.35">
      <c r="A50" s="108">
        <v>1</v>
      </c>
      <c r="B50" s="95" t="s">
        <v>147</v>
      </c>
      <c r="C50" s="90">
        <f>'4637'!B21</f>
        <v>1</v>
      </c>
      <c r="D50" s="90" t="str">
        <f>'4637'!C21</f>
        <v>CUB C/R FRENTE 90° R6</v>
      </c>
      <c r="E50" s="94">
        <f>'4637'!D21</f>
        <v>3260</v>
      </c>
      <c r="F50" s="94">
        <f>'4637'!E21</f>
        <v>600</v>
      </c>
      <c r="G50" s="90" t="str">
        <f>'4637'!F21</f>
        <v>GALAXIA GRAFITO 0491 MT</v>
      </c>
      <c r="H50" s="30"/>
      <c r="I50" s="10">
        <f>E50*F50/1000000</f>
        <v>1.956</v>
      </c>
      <c r="J50" s="10">
        <f>I50*C50</f>
        <v>1.956</v>
      </c>
      <c r="K50" s="26">
        <f>J50*K$49</f>
        <v>29340</v>
      </c>
      <c r="M50" s="24">
        <v>12096</v>
      </c>
    </row>
    <row r="51" spans="1:13" s="10" customFormat="1" ht="20.100000000000001" customHeight="1" x14ac:dyDescent="0.35">
      <c r="A51" s="108"/>
      <c r="C51" s="67"/>
      <c r="D51" s="67"/>
      <c r="E51" s="67"/>
      <c r="F51" s="67"/>
      <c r="G51" s="67"/>
      <c r="H51" s="30"/>
      <c r="K51" s="26"/>
      <c r="M51" s="29"/>
    </row>
    <row r="52" spans="1:13" s="10" customFormat="1" ht="15" customHeight="1" x14ac:dyDescent="0.35">
      <c r="B52" s="77"/>
      <c r="C52" s="60"/>
      <c r="D52" s="60"/>
      <c r="E52" s="60"/>
      <c r="F52" s="60"/>
      <c r="G52" s="60"/>
      <c r="H52" s="30"/>
    </row>
    <row r="53" spans="1:13" ht="18" x14ac:dyDescent="0.35">
      <c r="B53" s="67"/>
      <c r="C53" s="67"/>
      <c r="D53" s="30"/>
      <c r="E53" s="67"/>
      <c r="F53" s="67"/>
      <c r="G53" s="72"/>
      <c r="H53" s="30"/>
    </row>
    <row r="54" spans="1:13" ht="18" x14ac:dyDescent="0.35">
      <c r="B54" s="67"/>
      <c r="C54" s="67"/>
      <c r="D54" s="30"/>
      <c r="E54" s="67"/>
      <c r="F54" s="67"/>
      <c r="G54" s="67"/>
      <c r="H54" s="30"/>
      <c r="J54" s="10">
        <f>SUM(J50:J50)</f>
        <v>1.956</v>
      </c>
      <c r="K54" s="27">
        <f>SUM(K50:K50)</f>
        <v>29340</v>
      </c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5" customHeight="1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67"/>
      <c r="C60" s="81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2025-03-06T21:29:41Z</cp:lastPrinted>
  <dcterms:created xsi:type="dcterms:W3CDTF">2013-03-19T12:54:14Z</dcterms:created>
  <dcterms:modified xsi:type="dcterms:W3CDTF">2025-03-17T19:24:31Z</dcterms:modified>
</cp:coreProperties>
</file>