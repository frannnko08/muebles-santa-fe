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DE36B6C9-C815-479B-ABFA-CC09C28E92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'4637'!$B$1:$H$65</definedName>
    <definedName name="_xlnm.Print_Area" localSheetId="2">CUBIERTA!$A$2:$H$86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F22" i="3"/>
  <c r="F23" i="3"/>
  <c r="F24" i="3"/>
  <c r="F25" i="3"/>
  <c r="F26" i="3"/>
  <c r="F27" i="3"/>
  <c r="F28" i="3"/>
  <c r="F29" i="3"/>
  <c r="F20" i="3"/>
  <c r="C21" i="3"/>
  <c r="E21" i="3"/>
  <c r="G21" i="3"/>
  <c r="C22" i="3"/>
  <c r="E22" i="3"/>
  <c r="G22" i="3"/>
  <c r="C23" i="3"/>
  <c r="E23" i="3"/>
  <c r="G23" i="3"/>
  <c r="C24" i="3"/>
  <c r="E24" i="3"/>
  <c r="G24" i="3"/>
  <c r="C25" i="3"/>
  <c r="E25" i="3"/>
  <c r="G25" i="3"/>
  <c r="C26" i="3"/>
  <c r="E26" i="3"/>
  <c r="G26" i="3"/>
  <c r="C27" i="3"/>
  <c r="E27" i="3"/>
  <c r="G27" i="3"/>
  <c r="C28" i="3"/>
  <c r="E28" i="3"/>
  <c r="G28" i="3"/>
  <c r="C29" i="3"/>
  <c r="E29" i="3"/>
  <c r="G29" i="3"/>
  <c r="C30" i="3"/>
  <c r="E30" i="3"/>
  <c r="G30" i="3"/>
  <c r="K21" i="3"/>
  <c r="L21" i="3"/>
  <c r="J22" i="3"/>
  <c r="K22" i="3"/>
  <c r="L22" i="3"/>
  <c r="J23" i="3"/>
  <c r="K23" i="3"/>
  <c r="L23" i="3"/>
  <c r="K24" i="3"/>
  <c r="L24" i="3"/>
  <c r="K25" i="3"/>
  <c r="L25" i="3"/>
  <c r="J26" i="3"/>
  <c r="K26" i="3"/>
  <c r="L26" i="3"/>
  <c r="J27" i="3"/>
  <c r="K27" i="3"/>
  <c r="L27" i="3"/>
  <c r="K28" i="3"/>
  <c r="L28" i="3"/>
  <c r="K29" i="3"/>
  <c r="L29" i="3"/>
  <c r="J30" i="3"/>
  <c r="K30" i="3"/>
  <c r="L30" i="3"/>
  <c r="K14" i="3"/>
  <c r="L14" i="3"/>
  <c r="K15" i="3"/>
  <c r="L15" i="3"/>
  <c r="K16" i="3"/>
  <c r="L16" i="3"/>
  <c r="K17" i="3"/>
  <c r="L17" i="3"/>
  <c r="F17" i="3" s="1"/>
  <c r="K20" i="3"/>
  <c r="L20" i="3"/>
  <c r="E18" i="3"/>
  <c r="C18" i="3"/>
  <c r="F18" i="3"/>
  <c r="G54" i="3"/>
  <c r="J54" i="3"/>
  <c r="C54" i="3" s="1"/>
  <c r="K54" i="3"/>
  <c r="L54" i="3"/>
  <c r="G53" i="3"/>
  <c r="J53" i="3"/>
  <c r="C53" i="3" s="1"/>
  <c r="K53" i="3"/>
  <c r="E53" i="3" s="1"/>
  <c r="L53" i="3"/>
  <c r="G44" i="3"/>
  <c r="J44" i="3"/>
  <c r="C44" i="3" s="1"/>
  <c r="K44" i="3"/>
  <c r="E44" i="3" s="1"/>
  <c r="L44" i="3"/>
  <c r="F44" i="3" s="1"/>
  <c r="G45" i="3"/>
  <c r="J45" i="3"/>
  <c r="C45" i="3" s="1"/>
  <c r="K45" i="3"/>
  <c r="E45" i="3" s="1"/>
  <c r="L45" i="3"/>
  <c r="F45" i="3" s="1"/>
  <c r="G46" i="3"/>
  <c r="J46" i="3"/>
  <c r="C46" i="3" s="1"/>
  <c r="K46" i="3"/>
  <c r="E46" i="3" s="1"/>
  <c r="L46" i="3"/>
  <c r="F46" i="3" s="1"/>
  <c r="G47" i="3"/>
  <c r="J47" i="3"/>
  <c r="C47" i="3" s="1"/>
  <c r="K47" i="3"/>
  <c r="E47" i="3" s="1"/>
  <c r="L47" i="3"/>
  <c r="F47" i="3" s="1"/>
  <c r="G48" i="3"/>
  <c r="J48" i="3"/>
  <c r="C48" i="3" s="1"/>
  <c r="K48" i="3"/>
  <c r="E48" i="3" s="1"/>
  <c r="L48" i="3"/>
  <c r="F48" i="3" s="1"/>
  <c r="G49" i="3"/>
  <c r="J49" i="3"/>
  <c r="C49" i="3" s="1"/>
  <c r="K49" i="3"/>
  <c r="E49" i="3" s="1"/>
  <c r="L49" i="3"/>
  <c r="F49" i="3" s="1"/>
  <c r="G50" i="3"/>
  <c r="J50" i="3"/>
  <c r="C50" i="3" s="1"/>
  <c r="K50" i="3"/>
  <c r="E50" i="3" s="1"/>
  <c r="L50" i="3"/>
  <c r="F50" i="3" s="1"/>
  <c r="G51" i="3"/>
  <c r="J51" i="3"/>
  <c r="C51" i="3" s="1"/>
  <c r="K51" i="3"/>
  <c r="E51" i="3" s="1"/>
  <c r="L51" i="3"/>
  <c r="F51" i="3" s="1"/>
  <c r="G52" i="3"/>
  <c r="J52" i="3"/>
  <c r="C52" i="3" s="1"/>
  <c r="K52" i="3"/>
  <c r="E52" i="3" s="1"/>
  <c r="L52" i="3"/>
  <c r="D60" i="3"/>
  <c r="J28" i="3" l="1"/>
  <c r="J24" i="3"/>
  <c r="J29" i="3"/>
  <c r="J25" i="3"/>
  <c r="E101" i="3"/>
  <c r="D101" i="3"/>
  <c r="D61" i="3" s="1"/>
  <c r="C101" i="3"/>
  <c r="C61" i="3" s="1"/>
  <c r="C100" i="3"/>
  <c r="C60" i="3" s="1"/>
  <c r="H41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J40" i="3" l="1"/>
  <c r="G40" i="3"/>
  <c r="K40" i="3"/>
  <c r="E40" i="3" s="1"/>
  <c r="L40" i="3"/>
  <c r="F40" i="3" s="1"/>
  <c r="J41" i="3"/>
  <c r="G41" i="3"/>
  <c r="K41" i="3"/>
  <c r="E41" i="3" s="1"/>
  <c r="L41" i="3"/>
  <c r="F41" i="3" s="1"/>
  <c r="J42" i="3"/>
  <c r="G42" i="3"/>
  <c r="K42" i="3"/>
  <c r="E42" i="3" s="1"/>
  <c r="L42" i="3"/>
  <c r="F42" i="3" s="1"/>
  <c r="J43" i="3"/>
  <c r="G43" i="3"/>
  <c r="K43" i="3"/>
  <c r="E43" i="3" s="1"/>
  <c r="L43" i="3"/>
  <c r="F43" i="3" s="1"/>
  <c r="C43" i="3" l="1"/>
  <c r="J21" i="3"/>
  <c r="C42" i="3"/>
  <c r="J20" i="3"/>
  <c r="C20" i="3" s="1"/>
  <c r="C41" i="3"/>
  <c r="J17" i="3"/>
  <c r="C17" i="3" s="1"/>
  <c r="C40" i="3"/>
  <c r="J16" i="3"/>
  <c r="C16" i="3" s="1"/>
  <c r="E17" i="3"/>
  <c r="E20" i="3"/>
  <c r="G20" i="3"/>
  <c r="G17" i="3"/>
  <c r="G16" i="3"/>
  <c r="E16" i="3"/>
  <c r="F16" i="3"/>
  <c r="J39" i="3"/>
  <c r="C39" i="3" l="1"/>
  <c r="J15" i="3"/>
  <c r="C15" i="3" s="1"/>
  <c r="G39" i="3"/>
  <c r="G15" i="3"/>
  <c r="L39" i="3"/>
  <c r="F39" i="3" s="1"/>
  <c r="F15" i="3"/>
  <c r="K39" i="3"/>
  <c r="E39" i="3" s="1"/>
  <c r="E15" i="3"/>
  <c r="L21" i="4" l="1"/>
  <c r="K21" i="4"/>
  <c r="M21" i="4" l="1"/>
  <c r="N21" i="4" s="1"/>
  <c r="G38" i="3" l="1"/>
  <c r="L38" i="3"/>
  <c r="F38" i="3" s="1"/>
  <c r="J38" i="3" l="1"/>
  <c r="I60" i="3"/>
  <c r="J60" i="3" s="1"/>
  <c r="K38" i="3"/>
  <c r="E38" i="3" s="1"/>
  <c r="I100" i="3"/>
  <c r="J100" i="3" s="1"/>
  <c r="E14" i="3"/>
  <c r="G14" i="3"/>
  <c r="F14" i="3"/>
  <c r="C38" i="3" l="1"/>
  <c r="J14" i="3"/>
  <c r="C14" i="3" s="1"/>
  <c r="J81" i="3"/>
  <c r="K100" i="3"/>
  <c r="J121" i="3"/>
  <c r="H43" i="4"/>
  <c r="O5" i="3"/>
  <c r="K121" i="3" l="1"/>
  <c r="N5" i="3"/>
  <c r="M5" i="3"/>
  <c r="L5" i="3"/>
  <c r="D93" i="3" l="1"/>
  <c r="D7" i="3"/>
  <c r="E91" i="3"/>
  <c r="E5" i="3"/>
  <c r="E93" i="3"/>
  <c r="E7" i="3"/>
  <c r="E90" i="3"/>
  <c r="E4" i="3"/>
</calcChain>
</file>

<file path=xl/sharedStrings.xml><?xml version="1.0" encoding="utf-8"?>
<sst xmlns="http://schemas.openxmlformats.org/spreadsheetml/2006/main" count="355" uniqueCount="156">
  <si>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</si>
  <si>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</si>
  <si>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</si>
  <si>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</si>
  <si>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</si>
  <si>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</si>
  <si>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</si>
  <si>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</si>
  <si>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</si>
  <si>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</si>
  <si>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</si>
  <si>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</si>
  <si>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</si>
  <si>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</si>
  <si>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</si>
  <si>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</si>
  <si>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</si>
  <si>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</si>
  <si>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</si>
  <si>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</si>
  <si>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</si>
  <si>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</si>
  <si>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</si>
  <si>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</si>
  <si>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</si>
  <si>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</si>
  <si>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</si>
  <si>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</si>
  <si>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</si>
  <si>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</si>
  <si>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</si>
  <si>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</si>
  <si>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</si>
  <si>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</si>
  <si>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</si>
  <si>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</si>
  <si>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</si>
  <si>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</si>
  <si>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</si>
  <si>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</si>
  <si>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</si>
  <si>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</si>
  <si>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</si>
  <si>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</si>
  <si>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</si>
  <si>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</si>
  <si>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</si>
  <si>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</si>
  <si>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</si>
  <si>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</si>
  <si>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</si>
  <si>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</si>
  <si>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</si>
  <si>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</si>
  <si>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</si>
  <si>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</si>
  <si>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</si>
  <si>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</si>
  <si>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</si>
  <si>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</si>
  <si>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</si>
  <si>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</si>
  <si>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</si>
  <si>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</si>
  <si>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</si>
  <si>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</si>
  <si>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</si>
  <si>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</si>
  <si>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</si>
  <si>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</si>
  <si>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</si>
  <si>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</si>
  <si>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</si>
  <si>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</si>
  <si>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</si>
  <si>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</si>
  <si>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</si>
  <si>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</si>
  <si>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</si>
  <si>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</si>
  <si>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</si>
  <si>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</si>
  <si>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</si>
  <si>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</si>
  <si>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</si>
  <si>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</si>
  <si>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</si>
  <si>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</si>
  <si>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</si>
  <si>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</si>
  <si>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</si>
  <si>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</si>
  <si>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</si>
  <si>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</si>
  <si>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</si>
  <si>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</si>
  <si>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</si>
  <si>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</si>
  <si>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</si>
  <si>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</si>
  <si>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</si>
  <si>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</si>
  <si>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</si>
  <si>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</si>
  <si>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</si>
  <si>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</si>
  <si>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</si>
  <si>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</si>
  <si>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</si>
  <si>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</si>
  <si>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</si>
  <si>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</si>
  <si>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</si>
  <si>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</si>
  <si>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</si>
  <si>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</si>
  <si>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</si>
  <si>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</si>
  <si>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</si>
  <si>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</si>
  <si>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</si>
  <si>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</si>
  <si>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</si>
  <si>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</si>
  <si>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</si>
  <si>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</si>
  <si>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</si>
  <si>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</si>
  <si>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</si>
  <si>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</si>
  <si>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</si>
  <si>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</si>
  <si>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</si>
  <si>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</si>
  <si>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</si>
  <si>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</si>
  <si>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</si>
  <si>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</si>
  <si>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</si>
  <si>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</si>
  <si>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</si>
  <si>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</si>
  <si>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</si>
  <si>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 xml:space="preserve">ZOCALOS </t>
  </si>
  <si>
    <t>SILVERY 99981 MT</t>
  </si>
  <si>
    <t>CUB C/R R8</t>
  </si>
  <si>
    <t>CUB S/R R8</t>
  </si>
  <si>
    <t>MARMORE CARRARA 3151 PL</t>
  </si>
  <si>
    <t>CARBON 2192 MT</t>
  </si>
  <si>
    <t>PR6 / 3 FTES DE 230</t>
  </si>
  <si>
    <t>NIEBLA 2191 MT</t>
  </si>
  <si>
    <t>CEN R6 1V</t>
  </si>
  <si>
    <t>CEN R6 1V MDF DESNUDO</t>
  </si>
  <si>
    <t>DESPACHO</t>
  </si>
  <si>
    <t>MDF18MM</t>
  </si>
  <si>
    <t>CORTAR 3 DE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</si>
</sst>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40</xdr:row>
      <xdr:rowOff>23327</xdr:rowOff>
    </xdr:from>
    <xdr:to>
      <xdr:col>5</xdr:col>
      <xdr:colOff>1539552</xdr:colOff>
      <xdr:row>43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$ 510.000.- MENOS SALDO ANTERIOR DE $ 20.593.-</a:t>
          </a:r>
        </a:p>
        <a:p>
          <a:pPr algn="l"/>
          <a:r>
            <a:rPr lang="es-CL" sz="900" b="1" i="0" baseline="0"/>
            <a:t>ABONO $ 489.407.-, SALDO POR PAGAR DE $ 486.636.-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60</xdr:row>
      <xdr:rowOff>0</xdr:rowOff>
    </xdr:from>
    <xdr:to>
      <xdr:col>4</xdr:col>
      <xdr:colOff>369336</xdr:colOff>
      <xdr:row>60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62</xdr:row>
      <xdr:rowOff>1</xdr:rowOff>
    </xdr:from>
    <xdr:to>
      <xdr:col>4</xdr:col>
      <xdr:colOff>349897</xdr:colOff>
      <xdr:row>62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32</xdr:row>
      <xdr:rowOff>66674</xdr:rowOff>
    </xdr:from>
    <xdr:to>
      <xdr:col>6</xdr:col>
      <xdr:colOff>2914649</xdr:colOff>
      <xdr:row>34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94</xdr:row>
      <xdr:rowOff>190500</xdr:rowOff>
    </xdr:from>
    <xdr:to>
      <xdr:col>7</xdr:col>
      <xdr:colOff>9524</xdr:colOff>
      <xdr:row>96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91</xdr:row>
      <xdr:rowOff>30479</xdr:rowOff>
    </xdr:from>
    <xdr:to>
      <xdr:col>6</xdr:col>
      <xdr:colOff>2912745</xdr:colOff>
      <xdr:row>92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89</xdr:row>
      <xdr:rowOff>209549</xdr:rowOff>
    </xdr:from>
    <xdr:to>
      <xdr:col>7</xdr:col>
      <xdr:colOff>0</xdr:colOff>
      <xdr:row>91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88</xdr:row>
      <xdr:rowOff>171450</xdr:rowOff>
    </xdr:from>
    <xdr:to>
      <xdr:col>7</xdr:col>
      <xdr:colOff>19050</xdr:colOff>
      <xdr:row>89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38100</xdr:colOff>
      <xdr:row>120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119</xdr:row>
      <xdr:rowOff>0</xdr:rowOff>
    </xdr:from>
    <xdr:to>
      <xdr:col>3</xdr:col>
      <xdr:colOff>1019175</xdr:colOff>
      <xdr:row>120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119</xdr:row>
      <xdr:rowOff>0</xdr:rowOff>
    </xdr:from>
    <xdr:to>
      <xdr:col>4</xdr:col>
      <xdr:colOff>352425</xdr:colOff>
      <xdr:row>120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119</xdr:row>
      <xdr:rowOff>0</xdr:rowOff>
    </xdr:from>
    <xdr:to>
      <xdr:col>5</xdr:col>
      <xdr:colOff>257175</xdr:colOff>
      <xdr:row>120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119</xdr:row>
      <xdr:rowOff>0</xdr:rowOff>
    </xdr:from>
    <xdr:to>
      <xdr:col>6</xdr:col>
      <xdr:colOff>447675</xdr:colOff>
      <xdr:row>120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119</xdr:row>
      <xdr:rowOff>0</xdr:rowOff>
    </xdr:from>
    <xdr:to>
      <xdr:col>7</xdr:col>
      <xdr:colOff>0</xdr:colOff>
      <xdr:row>120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304800</xdr:colOff>
      <xdr:row>121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120</xdr:row>
      <xdr:rowOff>0</xdr:rowOff>
    </xdr:from>
    <xdr:to>
      <xdr:col>3</xdr:col>
      <xdr:colOff>1276350</xdr:colOff>
      <xdr:row>121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120</xdr:row>
      <xdr:rowOff>0</xdr:rowOff>
    </xdr:from>
    <xdr:to>
      <xdr:col>4</xdr:col>
      <xdr:colOff>619125</xdr:colOff>
      <xdr:row>121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120</xdr:row>
      <xdr:rowOff>0</xdr:rowOff>
    </xdr:from>
    <xdr:to>
      <xdr:col>5</xdr:col>
      <xdr:colOff>523875</xdr:colOff>
      <xdr:row>121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120</xdr:row>
      <xdr:rowOff>0</xdr:rowOff>
    </xdr:from>
    <xdr:to>
      <xdr:col>6</xdr:col>
      <xdr:colOff>723900</xdr:colOff>
      <xdr:row>121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120</xdr:row>
      <xdr:rowOff>0</xdr:rowOff>
    </xdr:from>
    <xdr:to>
      <xdr:col>7</xdr:col>
      <xdr:colOff>0</xdr:colOff>
      <xdr:row>121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80</xdr:row>
      <xdr:rowOff>15239</xdr:rowOff>
    </xdr:from>
    <xdr:to>
      <xdr:col>7</xdr:col>
      <xdr:colOff>0</xdr:colOff>
      <xdr:row>84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56</xdr:row>
      <xdr:rowOff>1</xdr:rowOff>
    </xdr:from>
    <xdr:to>
      <xdr:col>7</xdr:col>
      <xdr:colOff>19048</xdr:colOff>
      <xdr:row>57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122</xdr:row>
      <xdr:rowOff>32385</xdr:rowOff>
    </xdr:from>
    <xdr:to>
      <xdr:col>7</xdr:col>
      <xdr:colOff>0</xdr:colOff>
      <xdr:row>126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88</xdr:row>
      <xdr:rowOff>146685</xdr:rowOff>
    </xdr:from>
    <xdr:to>
      <xdr:col>2</xdr:col>
      <xdr:colOff>786523</xdr:colOff>
      <xdr:row>94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128</xdr:row>
      <xdr:rowOff>0</xdr:rowOff>
    </xdr:from>
    <xdr:to>
      <xdr:col>4</xdr:col>
      <xdr:colOff>304800</xdr:colOff>
      <xdr:row>129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6"/>
  <sheetViews>
    <sheetView topLeftCell="A19" zoomScale="98" zoomScaleNormal="98" workbookViewId="0">
      <selection activeCell="B23" sqref="B23:F3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11355</v>
      </c>
      <c r="E8" s="30">
        <v>0</v>
      </c>
      <c r="F8" s="35" t="s">
        <v>25</v>
      </c>
      <c r="G8" s="36">
        <v>4159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45736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45744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8" t="s">
        <v>128</v>
      </c>
      <c r="C20" s="138" t="s">
        <v>19</v>
      </c>
      <c r="D20" s="138" t="s">
        <v>20</v>
      </c>
      <c r="E20" s="138" t="s">
        <v>7</v>
      </c>
      <c r="F20" s="139" t="s">
        <v>21</v>
      </c>
      <c r="G20" s="58" t="s">
        <v>22</v>
      </c>
      <c r="H20" s="139" t="s">
        <v>4</v>
      </c>
      <c r="I20" s="30"/>
      <c r="N20">
        <v>65000</v>
      </c>
    </row>
    <row r="21" spans="1:16" ht="20.100000000000001" customHeight="1" x14ac:dyDescent="0.35">
      <c r="A21" s="30"/>
      <c r="B21" s="4">
        <v>1</v>
      </c>
      <c r="C21" s="4" t="s">
        <v>145</v>
      </c>
      <c r="D21" s="140">
        <v>1500</v>
      </c>
      <c r="E21" s="140">
        <v>600</v>
      </c>
      <c r="F21" s="4" t="s">
        <v>147</v>
      </c>
      <c r="G21" s="119">
        <v>88531</v>
      </c>
      <c r="H21" s="119">
        <f>G21*B21</f>
        <v>88531</v>
      </c>
      <c r="I21" s="30"/>
      <c r="K21" s="11">
        <f>D25/1000</f>
        <v>0.69799999999999995</v>
      </c>
      <c r="L21" s="15">
        <f>E25/1000</f>
        <v>0.42799999999999999</v>
      </c>
      <c r="M21" s="11">
        <f>K21*L21</f>
        <v>0.29874399999999995</v>
      </c>
      <c r="N21" s="11">
        <f>M21*N$20</f>
        <v>19418.359999999997</v>
      </c>
      <c r="O21" s="15"/>
      <c r="P21" s="21"/>
    </row>
    <row r="22" spans="1:16" ht="20.100000000000001" customHeight="1" x14ac:dyDescent="0.35">
      <c r="A22" s="30"/>
      <c r="B22" s="4">
        <v>1</v>
      </c>
      <c r="C22" s="4" t="s">
        <v>145</v>
      </c>
      <c r="D22" s="140">
        <v>2100</v>
      </c>
      <c r="E22" s="140">
        <v>600</v>
      </c>
      <c r="F22" s="4" t="s">
        <v>147</v>
      </c>
      <c r="G22" s="119">
        <v>122801</v>
      </c>
      <c r="H22" s="119">
        <f t="shared" ref="H22:H38" si="0">G22*B22</f>
        <v>122801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4">
        <v>1</v>
      </c>
      <c r="C23" s="4" t="s">
        <v>145</v>
      </c>
      <c r="D23" s="140">
        <v>1400</v>
      </c>
      <c r="E23" s="140">
        <v>550</v>
      </c>
      <c r="F23" s="4" t="s">
        <v>147</v>
      </c>
      <c r="G23" s="119">
        <v>75918</v>
      </c>
      <c r="H23" s="119">
        <f t="shared" si="0"/>
        <v>75918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4">
        <v>1</v>
      </c>
      <c r="C24" s="141" t="s">
        <v>146</v>
      </c>
      <c r="D24" s="140">
        <v>800</v>
      </c>
      <c r="E24" s="140">
        <v>340</v>
      </c>
      <c r="F24" s="4" t="s">
        <v>147</v>
      </c>
      <c r="G24" s="119">
        <v>27511</v>
      </c>
      <c r="H24" s="119">
        <f t="shared" si="0"/>
        <v>27511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36">
        <v>1</v>
      </c>
      <c r="C25" s="136" t="s">
        <v>60</v>
      </c>
      <c r="D25" s="137">
        <v>698</v>
      </c>
      <c r="E25" s="137">
        <v>428</v>
      </c>
      <c r="F25" s="136" t="s">
        <v>148</v>
      </c>
      <c r="G25" s="119">
        <v>31585</v>
      </c>
      <c r="H25" s="119">
        <f t="shared" si="0"/>
        <v>31585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2</v>
      </c>
      <c r="C26" s="103" t="s">
        <v>149</v>
      </c>
      <c r="D26" s="104">
        <v>698</v>
      </c>
      <c r="E26" s="104">
        <v>448</v>
      </c>
      <c r="F26" s="103" t="s">
        <v>148</v>
      </c>
      <c r="G26" s="119">
        <v>32968</v>
      </c>
      <c r="H26" s="119">
        <f t="shared" si="0"/>
        <v>65936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4</v>
      </c>
      <c r="C27" s="103" t="s">
        <v>60</v>
      </c>
      <c r="D27" s="104">
        <v>698</v>
      </c>
      <c r="E27" s="104">
        <v>398</v>
      </c>
      <c r="F27" s="103" t="s">
        <v>148</v>
      </c>
      <c r="G27" s="119">
        <v>29512</v>
      </c>
      <c r="H27" s="119">
        <f t="shared" si="0"/>
        <v>118048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1</v>
      </c>
      <c r="C28" s="103" t="s">
        <v>60</v>
      </c>
      <c r="D28" s="104">
        <v>698</v>
      </c>
      <c r="E28" s="104">
        <v>378</v>
      </c>
      <c r="F28" s="103" t="s">
        <v>148</v>
      </c>
      <c r="G28" s="119">
        <v>28129</v>
      </c>
      <c r="H28" s="119">
        <f t="shared" si="0"/>
        <v>28129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1</v>
      </c>
      <c r="C29" s="103" t="s">
        <v>60</v>
      </c>
      <c r="D29" s="104">
        <v>698</v>
      </c>
      <c r="E29" s="104">
        <v>223</v>
      </c>
      <c r="F29" s="103" t="s">
        <v>148</v>
      </c>
      <c r="G29" s="119">
        <v>17415</v>
      </c>
      <c r="H29" s="119">
        <f t="shared" si="0"/>
        <v>17415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2</v>
      </c>
      <c r="C30" s="103" t="s">
        <v>60</v>
      </c>
      <c r="D30" s="104">
        <v>698</v>
      </c>
      <c r="E30" s="104">
        <v>388</v>
      </c>
      <c r="F30" s="103" t="s">
        <v>148</v>
      </c>
      <c r="G30" s="119">
        <v>28820</v>
      </c>
      <c r="H30" s="119">
        <f t="shared" si="0"/>
        <v>57640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1</v>
      </c>
      <c r="C31" s="103" t="s">
        <v>60</v>
      </c>
      <c r="D31" s="104">
        <v>677</v>
      </c>
      <c r="E31" s="104">
        <v>378</v>
      </c>
      <c r="F31" s="103" t="s">
        <v>150</v>
      </c>
      <c r="G31" s="119">
        <v>29565</v>
      </c>
      <c r="H31" s="119">
        <f t="shared" si="0"/>
        <v>29565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2</v>
      </c>
      <c r="C32" s="103" t="s">
        <v>60</v>
      </c>
      <c r="D32" s="104">
        <v>677</v>
      </c>
      <c r="E32" s="104">
        <v>398</v>
      </c>
      <c r="F32" s="103" t="s">
        <v>150</v>
      </c>
      <c r="G32" s="119">
        <v>31023</v>
      </c>
      <c r="H32" s="119">
        <f t="shared" si="0"/>
        <v>62046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4</v>
      </c>
      <c r="C33" s="103" t="s">
        <v>60</v>
      </c>
      <c r="D33" s="104">
        <v>327</v>
      </c>
      <c r="E33" s="104">
        <v>305</v>
      </c>
      <c r="F33" s="103" t="s">
        <v>150</v>
      </c>
      <c r="G33" s="119">
        <v>13534</v>
      </c>
      <c r="H33" s="119">
        <f t="shared" si="0"/>
        <v>54136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2</v>
      </c>
      <c r="C34" s="103" t="s">
        <v>60</v>
      </c>
      <c r="D34" s="104">
        <v>667</v>
      </c>
      <c r="E34" s="104">
        <v>413</v>
      </c>
      <c r="F34" s="103" t="s">
        <v>150</v>
      </c>
      <c r="G34" s="119">
        <v>31990</v>
      </c>
      <c r="H34" s="119">
        <f t="shared" si="0"/>
        <v>63980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3">
        <v>2</v>
      </c>
      <c r="C35" s="103" t="s">
        <v>151</v>
      </c>
      <c r="D35" s="104">
        <v>2000</v>
      </c>
      <c r="E35" s="104">
        <v>60</v>
      </c>
      <c r="F35" s="103" t="s">
        <v>150</v>
      </c>
      <c r="G35" s="119">
        <v>14338</v>
      </c>
      <c r="H35" s="119">
        <f t="shared" si="0"/>
        <v>28676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3">
        <v>2</v>
      </c>
      <c r="C36" s="103" t="s">
        <v>152</v>
      </c>
      <c r="D36" s="104">
        <v>2500</v>
      </c>
      <c r="E36" s="104">
        <v>100</v>
      </c>
      <c r="F36" s="103" t="s">
        <v>150</v>
      </c>
      <c r="G36" s="119">
        <v>22563</v>
      </c>
      <c r="H36" s="119">
        <f t="shared" si="0"/>
        <v>45126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36">
        <v>2</v>
      </c>
      <c r="C37" s="136" t="s">
        <v>143</v>
      </c>
      <c r="D37" s="137">
        <v>3000</v>
      </c>
      <c r="E37" s="137">
        <v>120</v>
      </c>
      <c r="F37" s="136" t="s">
        <v>144</v>
      </c>
      <c r="G37" s="119">
        <v>14500</v>
      </c>
      <c r="H37" s="119">
        <f t="shared" si="0"/>
        <v>29000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3">
        <v>1</v>
      </c>
      <c r="C38" s="103" t="s">
        <v>153</v>
      </c>
      <c r="D38" s="104"/>
      <c r="E38" s="104"/>
      <c r="F38" s="103"/>
      <c r="G38" s="119">
        <v>30000</v>
      </c>
      <c r="H38" s="119">
        <f t="shared" si="0"/>
        <v>30000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34"/>
      <c r="C39" s="134"/>
      <c r="D39" s="135"/>
      <c r="E39" s="135"/>
      <c r="F39" s="134"/>
      <c r="G39" s="107"/>
      <c r="H39" s="107"/>
      <c r="I39" s="30"/>
      <c r="K39" s="11"/>
      <c r="L39" s="15"/>
      <c r="M39" s="11"/>
      <c r="N39" s="11"/>
      <c r="O39" s="15"/>
      <c r="P39" s="21"/>
    </row>
    <row r="40" spans="1:16" ht="20.100000000000001" customHeight="1" thickBot="1" x14ac:dyDescent="0.4">
      <c r="A40" s="30"/>
      <c r="B40" s="105"/>
      <c r="C40" s="105"/>
      <c r="D40" s="118"/>
      <c r="E40" s="118"/>
      <c r="F40" s="105"/>
      <c r="G40" s="107"/>
      <c r="H40" s="107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5"/>
      <c r="C41" s="105"/>
      <c r="D41" s="118"/>
      <c r="E41" s="118"/>
      <c r="F41" s="105"/>
      <c r="G41" s="61" t="s">
        <v>5</v>
      </c>
      <c r="H41" s="62">
        <f>SUM(H21:H40)</f>
        <v>976043</v>
      </c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18"/>
      <c r="E42" s="118"/>
      <c r="F42" s="105"/>
      <c r="G42" s="63" t="s">
        <v>139</v>
      </c>
      <c r="H42" s="64"/>
      <c r="I42" s="30"/>
      <c r="K42" s="11"/>
      <c r="L42" s="15"/>
      <c r="M42" s="11"/>
      <c r="N42" s="11"/>
      <c r="O42" s="15"/>
      <c r="P42" s="21"/>
    </row>
    <row r="43" spans="1:16" ht="20.100000000000001" customHeight="1" thickBot="1" x14ac:dyDescent="0.4">
      <c r="A43" s="30"/>
      <c r="B43" s="105"/>
      <c r="C43" s="105"/>
      <c r="D43" s="118"/>
      <c r="E43" s="118"/>
      <c r="F43" s="105"/>
      <c r="G43" s="65" t="s">
        <v>4</v>
      </c>
      <c r="H43" s="66">
        <f>H41+H42</f>
        <v>976043</v>
      </c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18"/>
      <c r="E44" s="118"/>
      <c r="F44" s="105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5"/>
      <c r="C45" s="105"/>
      <c r="D45" s="118"/>
      <c r="E45" s="118"/>
      <c r="F45" s="105"/>
      <c r="G45" s="107"/>
      <c r="H45" s="107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5"/>
      <c r="C46" s="105"/>
      <c r="D46" s="118"/>
      <c r="E46" s="118"/>
      <c r="F46" s="105"/>
      <c r="G46" s="107"/>
      <c r="H46" s="107"/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105"/>
      <c r="C47" s="105"/>
      <c r="D47" s="106"/>
      <c r="E47" s="106"/>
      <c r="F47" s="105"/>
      <c r="G47" s="107"/>
      <c r="H47" s="107"/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5"/>
      <c r="C48" s="105"/>
      <c r="D48" s="106"/>
      <c r="E48" s="106"/>
      <c r="F48" s="105"/>
      <c r="G48" s="107"/>
      <c r="H48" s="107"/>
      <c r="I48" s="30"/>
      <c r="K48" s="11"/>
      <c r="L48" s="15"/>
      <c r="M48" s="11"/>
      <c r="N48" s="11"/>
      <c r="O48" s="15"/>
      <c r="P48" s="21"/>
    </row>
    <row r="49" spans="1:9" ht="13.2" customHeight="1" x14ac:dyDescent="0.35">
      <c r="A49" s="30"/>
      <c r="B49" s="60"/>
      <c r="C49" s="60"/>
      <c r="D49" s="60"/>
      <c r="E49" s="60"/>
      <c r="F49" s="60"/>
      <c r="G49" s="59"/>
      <c r="H49" s="59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I50" s="30"/>
    </row>
    <row r="51" spans="1:9" ht="20.100000000000001" customHeight="1" x14ac:dyDescent="0.35">
      <c r="A51" s="30"/>
      <c r="B51" s="30"/>
      <c r="C51" s="30"/>
      <c r="D51" s="30"/>
      <c r="E51" s="30"/>
      <c r="F51" s="30"/>
      <c r="I51" s="30"/>
    </row>
    <row r="52" spans="1:9" ht="20.100000000000001" customHeight="1" x14ac:dyDescent="0.35">
      <c r="A52" s="30"/>
      <c r="B52" s="30"/>
      <c r="C52" s="30"/>
      <c r="D52" s="30"/>
      <c r="E52" s="30"/>
      <c r="F52" s="30"/>
      <c r="I52" s="30"/>
    </row>
    <row r="53" spans="1:9" ht="20.100000000000001" customHeight="1" x14ac:dyDescent="0.35">
      <c r="A53" s="30"/>
      <c r="B53" s="30"/>
      <c r="C53" s="30"/>
      <c r="D53" s="30"/>
      <c r="E53" s="30"/>
      <c r="F53" s="30"/>
      <c r="G53" s="67"/>
      <c r="H53" s="68"/>
      <c r="I53" s="30"/>
    </row>
    <row r="54" spans="1:9" ht="18" x14ac:dyDescent="0.35">
      <c r="A54" s="30"/>
      <c r="B54" s="30"/>
      <c r="C54" s="30"/>
      <c r="D54" s="30"/>
      <c r="E54" s="30"/>
      <c r="F54" s="30"/>
      <c r="G54" s="30"/>
      <c r="H54" s="30"/>
      <c r="I54" s="30"/>
    </row>
    <row r="55" spans="1:9" ht="18" x14ac:dyDescent="0.35">
      <c r="A55" s="30"/>
      <c r="B55" s="69" t="s">
        <v>133</v>
      </c>
      <c r="C55" s="70"/>
      <c r="D55" s="71"/>
      <c r="E55" s="71"/>
      <c r="F55" s="60"/>
      <c r="G55" s="30"/>
      <c r="H55" s="30"/>
      <c r="I55" s="30"/>
    </row>
    <row r="56" spans="1:9" ht="18" x14ac:dyDescent="0.35">
      <c r="A56" s="30"/>
      <c r="B56" s="69" t="s">
        <v>119</v>
      </c>
      <c r="C56" s="70"/>
      <c r="D56" s="71"/>
      <c r="E56" s="71"/>
      <c r="F56" s="60"/>
      <c r="G56" s="30"/>
      <c r="H56" s="30"/>
      <c r="I56" s="30"/>
    </row>
    <row r="57" spans="1:9" ht="18" x14ac:dyDescent="0.35">
      <c r="A57" s="30"/>
      <c r="B57" s="30" t="s">
        <v>23</v>
      </c>
      <c r="C57" s="30"/>
      <c r="D57" s="30"/>
      <c r="E57" s="30"/>
      <c r="F57" s="30"/>
      <c r="G57" s="30"/>
      <c r="H57" s="30"/>
      <c r="I57" s="30"/>
    </row>
    <row r="58" spans="1:9" ht="18" x14ac:dyDescent="0.35">
      <c r="A58" s="30"/>
      <c r="B58" s="72" t="s">
        <v>24</v>
      </c>
      <c r="C58" s="72"/>
      <c r="D58" s="30"/>
      <c r="E58" s="30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72"/>
      <c r="F59" s="30"/>
      <c r="G59" s="30"/>
      <c r="H59" s="30"/>
      <c r="I59" s="30"/>
    </row>
    <row r="60" spans="1:9" ht="18" x14ac:dyDescent="0.35">
      <c r="A60" s="30"/>
      <c r="B60" s="31" t="s">
        <v>131</v>
      </c>
      <c r="C60" s="31"/>
      <c r="D60" s="31"/>
      <c r="E60" s="73"/>
      <c r="F60" s="30"/>
      <c r="G60" s="30"/>
      <c r="H60" s="30"/>
      <c r="I60" s="30"/>
    </row>
    <row r="61" spans="1:9" ht="18" x14ac:dyDescent="0.35">
      <c r="A61" s="30"/>
      <c r="B61" s="31"/>
      <c r="C61" s="31"/>
      <c r="D61" s="31"/>
      <c r="E61" s="73"/>
      <c r="F61" s="30"/>
      <c r="G61" s="30"/>
      <c r="H61" s="30"/>
      <c r="I61" s="30"/>
    </row>
    <row r="62" spans="1:9" ht="18" x14ac:dyDescent="0.35">
      <c r="A62" s="30"/>
      <c r="B62" s="31" t="s">
        <v>132</v>
      </c>
      <c r="C62" s="30"/>
      <c r="D62" s="30"/>
      <c r="E62" s="72"/>
      <c r="F62" s="30"/>
      <c r="G62" s="30"/>
      <c r="H62" s="30"/>
      <c r="I62" s="30"/>
    </row>
    <row r="63" spans="1:9" ht="18" x14ac:dyDescent="0.35">
      <c r="A63" s="30"/>
      <c r="B63" s="30"/>
      <c r="C63" s="30"/>
      <c r="D63" s="30"/>
      <c r="E63" s="72"/>
      <c r="F63" s="30"/>
      <c r="G63" s="30"/>
      <c r="H63" s="30"/>
      <c r="I63" s="30"/>
    </row>
    <row r="64" spans="1:9" ht="18" x14ac:dyDescent="0.35">
      <c r="A64" s="30"/>
      <c r="B64" s="30"/>
      <c r="C64" s="30"/>
      <c r="D64" s="30"/>
      <c r="E64" s="30"/>
      <c r="F64" s="30"/>
      <c r="G64" s="30"/>
      <c r="H64" s="30"/>
      <c r="I64" s="30"/>
    </row>
    <row r="65" spans="1:9" ht="18" x14ac:dyDescent="0.35">
      <c r="A65" s="30"/>
      <c r="B65" s="30"/>
      <c r="C65" s="30"/>
      <c r="D65" s="30"/>
      <c r="E65" s="30"/>
      <c r="F65" s="30"/>
      <c r="G65" s="30"/>
      <c r="H65" s="30"/>
      <c r="I65" s="30"/>
    </row>
    <row r="66" spans="1:9" ht="15.6" x14ac:dyDescent="0.3">
      <c r="C66" s="1"/>
    </row>
  </sheetData>
  <sortState xmlns:xlrd2="http://schemas.microsoft.com/office/spreadsheetml/2017/richdata2" ref="B67">
    <sortCondition sortBy="fontColor" ref="B67" dxfId="0"/>
  </sortState>
  <mergeCells count="2">
    <mergeCell ref="F16:H16"/>
    <mergeCell ref="B19:H19"/>
  </mergeCells>
  <phoneticPr fontId="8" type="noConversion"/>
  <hyperlinks>
    <hyperlink ref="B5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0"/>
  <sheetViews>
    <sheetView tabSelected="1" topLeftCell="A36" zoomScaleNormal="100" workbookViewId="0">
      <selection activeCell="D22" sqref="D2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5" t="s">
        <v>25</v>
      </c>
      <c r="E4" s="76">
        <f>'4637'!G8</f>
        <v>4159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45744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C14" s="95">
        <f>J14</f>
        <v>1</v>
      </c>
      <c r="D14" s="95"/>
      <c r="E14" s="95">
        <f>K14+E$13</f>
        <v>1580</v>
      </c>
      <c r="F14" s="95">
        <f>L14+F$13</f>
        <v>570</v>
      </c>
      <c r="G14" s="95" t="str">
        <f>D60</f>
        <v>CUB C/R R8</v>
      </c>
      <c r="H14" s="30"/>
      <c r="J14" s="3">
        <f>J38</f>
        <v>1</v>
      </c>
      <c r="K14" s="4">
        <f t="shared" ref="K14:L14" si="0">E60</f>
        <v>1500</v>
      </c>
      <c r="L14" s="4">
        <f t="shared" si="0"/>
        <v>600</v>
      </c>
    </row>
    <row r="15" spans="1:15" ht="18" x14ac:dyDescent="0.35">
      <c r="A15" s="115">
        <v>2</v>
      </c>
      <c r="B15" s="102"/>
      <c r="C15" s="95">
        <f t="shared" ref="C15:C20" si="1">J15</f>
        <v>1</v>
      </c>
      <c r="D15" s="95"/>
      <c r="E15" s="95">
        <f t="shared" ref="E15:E20" si="2">K15+E$13</f>
        <v>2180</v>
      </c>
      <c r="F15" s="95">
        <f>L15+F$13</f>
        <v>570</v>
      </c>
      <c r="G15" s="95" t="str">
        <f>D61</f>
        <v>CUB C/R R8</v>
      </c>
      <c r="H15" s="30"/>
      <c r="J15" s="3">
        <f t="shared" ref="J15:J17" si="3">J39</f>
        <v>1</v>
      </c>
      <c r="K15" s="4">
        <f>E61</f>
        <v>2100</v>
      </c>
      <c r="L15" s="4">
        <f>F61</f>
        <v>600</v>
      </c>
    </row>
    <row r="16" spans="1:15" ht="18" x14ac:dyDescent="0.35">
      <c r="A16" s="115">
        <v>3</v>
      </c>
      <c r="C16" s="95">
        <f t="shared" si="1"/>
        <v>1</v>
      </c>
      <c r="D16" s="95"/>
      <c r="E16" s="95">
        <f t="shared" si="2"/>
        <v>1480</v>
      </c>
      <c r="F16" s="95">
        <f t="shared" ref="F16:F29" si="4">L16+F$13</f>
        <v>520</v>
      </c>
      <c r="G16" s="95" t="str">
        <f>D62</f>
        <v>CUB C/R R8</v>
      </c>
      <c r="H16" s="30"/>
      <c r="J16" s="3">
        <f t="shared" si="3"/>
        <v>1</v>
      </c>
      <c r="K16" s="4">
        <f>E62</f>
        <v>1400</v>
      </c>
      <c r="L16" s="4">
        <f>F62</f>
        <v>550</v>
      </c>
    </row>
    <row r="17" spans="1:12" ht="18" x14ac:dyDescent="0.35">
      <c r="A17" s="115">
        <v>4</v>
      </c>
      <c r="B17" s="102"/>
      <c r="C17" s="95">
        <f t="shared" si="1"/>
        <v>1</v>
      </c>
      <c r="D17" s="95"/>
      <c r="E17" s="95">
        <f t="shared" si="2"/>
        <v>880</v>
      </c>
      <c r="F17" s="95">
        <f>L17</f>
        <v>340</v>
      </c>
      <c r="G17" s="95" t="str">
        <f>D63</f>
        <v>CUB S/R R8</v>
      </c>
      <c r="H17" s="30"/>
      <c r="J17" s="3">
        <f t="shared" si="3"/>
        <v>1</v>
      </c>
      <c r="K17" s="4">
        <f>E63</f>
        <v>800</v>
      </c>
      <c r="L17" s="4">
        <f>F63</f>
        <v>340</v>
      </c>
    </row>
    <row r="18" spans="1:12" ht="18" x14ac:dyDescent="0.35">
      <c r="A18" s="115">
        <v>16</v>
      </c>
      <c r="B18" s="102"/>
      <c r="C18" s="95">
        <f t="shared" ref="C18" si="5">J18</f>
        <v>2</v>
      </c>
      <c r="D18" s="95"/>
      <c r="E18" s="95">
        <f t="shared" ref="E18" si="6">K18+E$13</f>
        <v>2580</v>
      </c>
      <c r="F18" s="95">
        <f>L18</f>
        <v>100</v>
      </c>
      <c r="G18" s="103" t="s">
        <v>152</v>
      </c>
      <c r="H18" s="30"/>
      <c r="J18" s="3">
        <v>2</v>
      </c>
      <c r="K18" s="4">
        <v>2500</v>
      </c>
      <c r="L18" s="4">
        <v>100</v>
      </c>
    </row>
    <row r="19" spans="1:12" ht="18" x14ac:dyDescent="0.35">
      <c r="A19" s="115"/>
      <c r="B19" s="67" t="s">
        <v>8</v>
      </c>
      <c r="C19" s="93" t="s">
        <v>9</v>
      </c>
      <c r="D19" s="93" t="s">
        <v>10</v>
      </c>
      <c r="E19" s="94">
        <v>50</v>
      </c>
      <c r="F19" s="94">
        <v>-2</v>
      </c>
      <c r="G19" s="93" t="s">
        <v>107</v>
      </c>
      <c r="H19" s="30"/>
      <c r="J19" s="3"/>
      <c r="K19" s="4"/>
      <c r="L19" s="4"/>
    </row>
    <row r="20" spans="1:12" ht="18" x14ac:dyDescent="0.35">
      <c r="A20" s="115">
        <v>5</v>
      </c>
      <c r="B20" s="102" t="s">
        <v>138</v>
      </c>
      <c r="C20" s="95">
        <f t="shared" si="1"/>
        <v>1</v>
      </c>
      <c r="D20" s="95"/>
      <c r="E20" s="95">
        <f t="shared" si="2"/>
        <v>778</v>
      </c>
      <c r="F20" s="95">
        <f>L20+F$19</f>
        <v>426</v>
      </c>
      <c r="G20" s="95" t="str">
        <f>D64</f>
        <v>PR6</v>
      </c>
      <c r="H20" s="30"/>
      <c r="J20" s="3">
        <f>J42</f>
        <v>1</v>
      </c>
      <c r="K20" s="4">
        <f t="shared" ref="K20:L20" si="7">E64</f>
        <v>698</v>
      </c>
      <c r="L20" s="4">
        <f t="shared" si="7"/>
        <v>428</v>
      </c>
    </row>
    <row r="21" spans="1:12" ht="18" x14ac:dyDescent="0.35">
      <c r="A21" s="115">
        <v>6</v>
      </c>
      <c r="B21" s="102"/>
      <c r="C21" s="95">
        <f t="shared" ref="C21:C30" si="8">J21</f>
        <v>2</v>
      </c>
      <c r="D21" s="95" t="s">
        <v>155</v>
      </c>
      <c r="E21" s="95">
        <f t="shared" ref="E21:E30" si="9">K21+E$13</f>
        <v>778</v>
      </c>
      <c r="F21" s="95">
        <f t="shared" ref="F21:F29" si="10">L21+F$19</f>
        <v>446</v>
      </c>
      <c r="G21" s="95" t="str">
        <f t="shared" ref="G21:G30" si="11">D65</f>
        <v>PR6 / 3 FTES DE 230</v>
      </c>
      <c r="H21" s="30"/>
      <c r="J21" s="3">
        <f>J43</f>
        <v>2</v>
      </c>
      <c r="K21" s="4">
        <f>E65</f>
        <v>698</v>
      </c>
      <c r="L21" s="4">
        <f>F65</f>
        <v>448</v>
      </c>
    </row>
    <row r="22" spans="1:12" ht="18" x14ac:dyDescent="0.35">
      <c r="A22" s="115">
        <v>7</v>
      </c>
      <c r="B22" s="102"/>
      <c r="C22" s="95">
        <f t="shared" si="8"/>
        <v>4</v>
      </c>
      <c r="D22" s="95"/>
      <c r="E22" s="95">
        <f t="shared" si="9"/>
        <v>778</v>
      </c>
      <c r="F22" s="95">
        <f t="shared" si="10"/>
        <v>396</v>
      </c>
      <c r="G22" s="95" t="str">
        <f t="shared" si="11"/>
        <v>PR6</v>
      </c>
      <c r="H22" s="30"/>
      <c r="J22" s="3">
        <f>J44</f>
        <v>4</v>
      </c>
      <c r="K22" s="4">
        <f>E66</f>
        <v>698</v>
      </c>
      <c r="L22" s="4">
        <f>F66</f>
        <v>398</v>
      </c>
    </row>
    <row r="23" spans="1:12" ht="18" x14ac:dyDescent="0.35">
      <c r="A23" s="115">
        <v>8</v>
      </c>
      <c r="B23" s="102"/>
      <c r="C23" s="95">
        <f t="shared" si="8"/>
        <v>1</v>
      </c>
      <c r="D23" s="95"/>
      <c r="E23" s="95">
        <f t="shared" si="9"/>
        <v>778</v>
      </c>
      <c r="F23" s="95">
        <f t="shared" si="10"/>
        <v>376</v>
      </c>
      <c r="G23" s="95" t="str">
        <f t="shared" si="11"/>
        <v>PR6</v>
      </c>
      <c r="H23" s="30"/>
      <c r="J23" s="3">
        <f>J45</f>
        <v>1</v>
      </c>
      <c r="K23" s="4">
        <f>E67</f>
        <v>698</v>
      </c>
      <c r="L23" s="4">
        <f>F67</f>
        <v>378</v>
      </c>
    </row>
    <row r="24" spans="1:12" ht="18" x14ac:dyDescent="0.35">
      <c r="A24" s="115">
        <v>9</v>
      </c>
      <c r="B24" s="102"/>
      <c r="C24" s="95">
        <f t="shared" si="8"/>
        <v>1</v>
      </c>
      <c r="D24" s="95"/>
      <c r="E24" s="95">
        <f t="shared" si="9"/>
        <v>778</v>
      </c>
      <c r="F24" s="95">
        <f t="shared" si="10"/>
        <v>221</v>
      </c>
      <c r="G24" s="95" t="str">
        <f t="shared" si="11"/>
        <v>PR6</v>
      </c>
      <c r="H24" s="30"/>
      <c r="J24" s="3">
        <f>J46</f>
        <v>1</v>
      </c>
      <c r="K24" s="4">
        <f>E68</f>
        <v>698</v>
      </c>
      <c r="L24" s="4">
        <f>F68</f>
        <v>223</v>
      </c>
    </row>
    <row r="25" spans="1:12" ht="18" x14ac:dyDescent="0.35">
      <c r="A25" s="115">
        <v>10</v>
      </c>
      <c r="B25" s="102"/>
      <c r="C25" s="95">
        <f t="shared" si="8"/>
        <v>2</v>
      </c>
      <c r="D25" s="95"/>
      <c r="E25" s="95">
        <f t="shared" si="9"/>
        <v>778</v>
      </c>
      <c r="F25" s="95">
        <f t="shared" si="10"/>
        <v>386</v>
      </c>
      <c r="G25" s="95" t="str">
        <f t="shared" si="11"/>
        <v>PR6</v>
      </c>
      <c r="H25" s="30"/>
      <c r="J25" s="3">
        <f>J47</f>
        <v>2</v>
      </c>
      <c r="K25" s="4">
        <f>E69</f>
        <v>698</v>
      </c>
      <c r="L25" s="4">
        <f>F69</f>
        <v>388</v>
      </c>
    </row>
    <row r="26" spans="1:12" ht="18" x14ac:dyDescent="0.35">
      <c r="A26" s="115">
        <v>11</v>
      </c>
      <c r="B26" s="102"/>
      <c r="C26" s="95">
        <f t="shared" si="8"/>
        <v>1</v>
      </c>
      <c r="D26" s="95"/>
      <c r="E26" s="95">
        <f t="shared" si="9"/>
        <v>757</v>
      </c>
      <c r="F26" s="95">
        <f t="shared" si="10"/>
        <v>376</v>
      </c>
      <c r="G26" s="95" t="str">
        <f t="shared" si="11"/>
        <v>PR6</v>
      </c>
      <c r="H26" s="30"/>
      <c r="J26" s="3">
        <f>J48</f>
        <v>1</v>
      </c>
      <c r="K26" s="4">
        <f>E70</f>
        <v>677</v>
      </c>
      <c r="L26" s="4">
        <f>F70</f>
        <v>378</v>
      </c>
    </row>
    <row r="27" spans="1:12" ht="18" x14ac:dyDescent="0.35">
      <c r="A27" s="115">
        <v>12</v>
      </c>
      <c r="B27" s="102"/>
      <c r="C27" s="95">
        <f t="shared" si="8"/>
        <v>2</v>
      </c>
      <c r="D27" s="95"/>
      <c r="E27" s="95">
        <f t="shared" si="9"/>
        <v>757</v>
      </c>
      <c r="F27" s="95">
        <f t="shared" si="10"/>
        <v>396</v>
      </c>
      <c r="G27" s="95" t="str">
        <f t="shared" si="11"/>
        <v>PR6</v>
      </c>
      <c r="H27" s="30"/>
      <c r="J27" s="3">
        <f>J49</f>
        <v>2</v>
      </c>
      <c r="K27" s="4">
        <f>E71</f>
        <v>677</v>
      </c>
      <c r="L27" s="4">
        <f>F71</f>
        <v>398</v>
      </c>
    </row>
    <row r="28" spans="1:12" ht="18" x14ac:dyDescent="0.35">
      <c r="A28" s="115">
        <v>13</v>
      </c>
      <c r="B28" s="102"/>
      <c r="C28" s="95">
        <f t="shared" si="8"/>
        <v>4</v>
      </c>
      <c r="D28" s="95"/>
      <c r="E28" s="95">
        <f t="shared" si="9"/>
        <v>407</v>
      </c>
      <c r="F28" s="95">
        <f t="shared" si="10"/>
        <v>303</v>
      </c>
      <c r="G28" s="95" t="str">
        <f t="shared" si="11"/>
        <v>PR6</v>
      </c>
      <c r="H28" s="30"/>
      <c r="J28" s="3">
        <f>J50</f>
        <v>4</v>
      </c>
      <c r="K28" s="4">
        <f>E72</f>
        <v>327</v>
      </c>
      <c r="L28" s="4">
        <f>F72</f>
        <v>305</v>
      </c>
    </row>
    <row r="29" spans="1:12" ht="18" x14ac:dyDescent="0.35">
      <c r="A29" s="115">
        <v>14</v>
      </c>
      <c r="B29" s="102"/>
      <c r="C29" s="95">
        <f t="shared" si="8"/>
        <v>2</v>
      </c>
      <c r="D29" s="95"/>
      <c r="E29" s="95">
        <f t="shared" si="9"/>
        <v>747</v>
      </c>
      <c r="F29" s="95">
        <f t="shared" si="10"/>
        <v>411</v>
      </c>
      <c r="G29" s="95" t="str">
        <f t="shared" si="11"/>
        <v>PR6</v>
      </c>
      <c r="H29" s="30"/>
      <c r="J29" s="3">
        <f>J51</f>
        <v>2</v>
      </c>
      <c r="K29" s="4">
        <f>E73</f>
        <v>667</v>
      </c>
      <c r="L29" s="4">
        <f>F73</f>
        <v>413</v>
      </c>
    </row>
    <row r="30" spans="1:12" ht="18" x14ac:dyDescent="0.35">
      <c r="A30" s="115">
        <v>15</v>
      </c>
      <c r="B30" s="102"/>
      <c r="C30" s="95">
        <f t="shared" si="8"/>
        <v>2</v>
      </c>
      <c r="D30" s="95"/>
      <c r="E30" s="95">
        <f t="shared" si="9"/>
        <v>2080</v>
      </c>
      <c r="F30" s="95">
        <v>100</v>
      </c>
      <c r="G30" s="95" t="str">
        <f t="shared" si="11"/>
        <v>CEN R6 1V</v>
      </c>
      <c r="H30" s="30"/>
      <c r="J30" s="3">
        <f>J52</f>
        <v>2</v>
      </c>
      <c r="K30" s="4">
        <f>E74</f>
        <v>2000</v>
      </c>
      <c r="L30" s="4">
        <f>F74</f>
        <v>60</v>
      </c>
    </row>
    <row r="31" spans="1:12" ht="18" x14ac:dyDescent="0.35">
      <c r="A31" s="115"/>
      <c r="B31" s="102"/>
      <c r="C31" s="142"/>
      <c r="D31" s="142"/>
      <c r="E31" s="142"/>
      <c r="F31" s="142"/>
      <c r="G31" s="142"/>
      <c r="H31" s="30"/>
      <c r="J31" s="144"/>
      <c r="K31" s="145"/>
      <c r="L31" s="145"/>
    </row>
    <row r="32" spans="1:12" ht="18" x14ac:dyDescent="0.35">
      <c r="A32" s="2"/>
      <c r="B32" s="84"/>
      <c r="C32" s="74"/>
      <c r="D32" s="74"/>
      <c r="E32" s="74"/>
      <c r="F32" s="74"/>
      <c r="G32" s="74"/>
      <c r="H32" s="30"/>
      <c r="J32" s="23"/>
      <c r="K32" s="2"/>
      <c r="L32" s="2"/>
    </row>
    <row r="33" spans="1:13" ht="6.7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3" ht="18" x14ac:dyDescent="0.35">
      <c r="A34" s="2"/>
      <c r="B34" s="128" t="s">
        <v>13</v>
      </c>
      <c r="C34" s="128"/>
      <c r="D34" s="128"/>
      <c r="E34" s="128"/>
      <c r="F34" s="128"/>
      <c r="G34" s="128"/>
      <c r="H34" s="30"/>
    </row>
    <row r="35" spans="1:13" ht="10.5" customHeight="1" x14ac:dyDescent="0.35">
      <c r="A35" s="2"/>
      <c r="B35" s="30"/>
      <c r="C35" s="30"/>
      <c r="D35" s="92"/>
      <c r="E35" s="30"/>
      <c r="F35" s="30"/>
      <c r="G35" s="30"/>
      <c r="H35" s="30"/>
    </row>
    <row r="36" spans="1:13" ht="18" x14ac:dyDescent="0.35">
      <c r="A36" s="2"/>
      <c r="B36" s="30"/>
      <c r="C36" s="30"/>
      <c r="D36" s="30"/>
      <c r="E36" s="67" t="s">
        <v>6</v>
      </c>
      <c r="F36" s="67" t="s">
        <v>7</v>
      </c>
      <c r="G36" s="30"/>
      <c r="H36" s="30"/>
    </row>
    <row r="37" spans="1:13" ht="18" x14ac:dyDescent="0.35">
      <c r="A37" s="2"/>
      <c r="B37" s="67" t="s">
        <v>8</v>
      </c>
      <c r="C37" s="83" t="s">
        <v>9</v>
      </c>
      <c r="D37" s="83" t="s">
        <v>10</v>
      </c>
      <c r="E37" s="96">
        <v>40</v>
      </c>
      <c r="F37" s="96">
        <v>130</v>
      </c>
      <c r="G37" s="83" t="s">
        <v>107</v>
      </c>
      <c r="H37" s="30"/>
      <c r="K37" s="5" t="s">
        <v>6</v>
      </c>
      <c r="L37" s="5" t="s">
        <v>7</v>
      </c>
    </row>
    <row r="38" spans="1:13" ht="18" x14ac:dyDescent="0.35">
      <c r="A38" s="115">
        <v>1</v>
      </c>
      <c r="B38" s="102"/>
      <c r="C38" s="97">
        <f t="shared" ref="C38" si="12">J38</f>
        <v>1</v>
      </c>
      <c r="D38" s="97"/>
      <c r="E38" s="97">
        <f t="shared" ref="E38:E43" si="13">K38+E$37</f>
        <v>1540</v>
      </c>
      <c r="F38" s="97">
        <f>L38+F$37</f>
        <v>730</v>
      </c>
      <c r="G38" s="97" t="str">
        <f>D60</f>
        <v>CUB C/R R8</v>
      </c>
      <c r="H38" s="30"/>
      <c r="J38" s="3">
        <f>C60</f>
        <v>1</v>
      </c>
      <c r="K38" s="111">
        <f>E60</f>
        <v>1500</v>
      </c>
      <c r="L38" s="111">
        <f>F60</f>
        <v>600</v>
      </c>
    </row>
    <row r="39" spans="1:13" ht="18" x14ac:dyDescent="0.35">
      <c r="A39" s="115">
        <v>2</v>
      </c>
      <c r="B39" s="102"/>
      <c r="C39" s="97">
        <f t="shared" ref="C39:C43" si="14">J39</f>
        <v>1</v>
      </c>
      <c r="D39" s="97"/>
      <c r="E39" s="97">
        <f t="shared" si="13"/>
        <v>2140</v>
      </c>
      <c r="F39" s="97">
        <f>L39+F$37</f>
        <v>730</v>
      </c>
      <c r="G39" s="97" t="str">
        <f t="shared" ref="G39:G43" si="15">D61</f>
        <v>CUB C/R R8</v>
      </c>
      <c r="H39" s="30"/>
      <c r="J39" s="3">
        <f t="shared" ref="J39:J43" si="16">C61</f>
        <v>1</v>
      </c>
      <c r="K39" s="108">
        <f t="shared" ref="K39:L39" si="17">E61</f>
        <v>2100</v>
      </c>
      <c r="L39" s="108">
        <f t="shared" si="17"/>
        <v>600</v>
      </c>
    </row>
    <row r="40" spans="1:13" ht="18" x14ac:dyDescent="0.35">
      <c r="A40" s="115">
        <v>3</v>
      </c>
      <c r="B40" s="102"/>
      <c r="C40" s="97">
        <f t="shared" si="14"/>
        <v>1</v>
      </c>
      <c r="D40" s="97"/>
      <c r="E40" s="97">
        <f t="shared" si="13"/>
        <v>1440</v>
      </c>
      <c r="F40" s="97">
        <f>L40+F$37</f>
        <v>680</v>
      </c>
      <c r="G40" s="97" t="str">
        <f t="shared" si="15"/>
        <v>CUB C/R R8</v>
      </c>
      <c r="H40" s="30"/>
      <c r="J40" s="3">
        <f t="shared" si="16"/>
        <v>1</v>
      </c>
      <c r="K40" s="110">
        <f t="shared" ref="K40:L40" si="18">E62</f>
        <v>1400</v>
      </c>
      <c r="L40" s="110">
        <f t="shared" si="18"/>
        <v>550</v>
      </c>
    </row>
    <row r="41" spans="1:13" ht="18" x14ac:dyDescent="0.35">
      <c r="A41" s="115">
        <v>4</v>
      </c>
      <c r="B41" s="102"/>
      <c r="C41" s="97">
        <f t="shared" si="14"/>
        <v>1</v>
      </c>
      <c r="D41" s="97"/>
      <c r="E41" s="97">
        <f t="shared" si="13"/>
        <v>840</v>
      </c>
      <c r="F41" s="97">
        <f>L41+60</f>
        <v>400</v>
      </c>
      <c r="G41" s="97" t="str">
        <f t="shared" si="15"/>
        <v>CUB S/R R8</v>
      </c>
      <c r="H41" s="30"/>
      <c r="J41" s="3">
        <f t="shared" si="16"/>
        <v>1</v>
      </c>
      <c r="K41" s="108">
        <f t="shared" ref="K41:L41" si="19">E63</f>
        <v>800</v>
      </c>
      <c r="L41" s="108">
        <f t="shared" si="19"/>
        <v>340</v>
      </c>
      <c r="M41" s="109">
        <v>2</v>
      </c>
    </row>
    <row r="42" spans="1:13" ht="18" x14ac:dyDescent="0.35">
      <c r="A42" s="115">
        <v>5</v>
      </c>
      <c r="B42" s="102"/>
      <c r="C42" s="97">
        <f t="shared" si="14"/>
        <v>1</v>
      </c>
      <c r="D42" s="97"/>
      <c r="E42" s="97">
        <f t="shared" si="13"/>
        <v>738</v>
      </c>
      <c r="F42" s="97">
        <f>L42+90</f>
        <v>518</v>
      </c>
      <c r="G42" s="97" t="str">
        <f t="shared" si="15"/>
        <v>PR6</v>
      </c>
      <c r="H42" s="30"/>
      <c r="J42" s="3">
        <f t="shared" si="16"/>
        <v>1</v>
      </c>
      <c r="K42" s="111">
        <f t="shared" ref="K42:L42" si="20">E64</f>
        <v>698</v>
      </c>
      <c r="L42" s="111">
        <f t="shared" si="20"/>
        <v>428</v>
      </c>
    </row>
    <row r="43" spans="1:13" ht="18" x14ac:dyDescent="0.35">
      <c r="A43" s="115">
        <v>6</v>
      </c>
      <c r="B43" s="102"/>
      <c r="C43" s="97">
        <f t="shared" si="14"/>
        <v>2</v>
      </c>
      <c r="D43" s="97"/>
      <c r="E43" s="97">
        <f t="shared" si="13"/>
        <v>738</v>
      </c>
      <c r="F43" s="97">
        <f t="shared" ref="F43:F51" si="21">L43+90</f>
        <v>538</v>
      </c>
      <c r="G43" s="97" t="str">
        <f t="shared" si="15"/>
        <v>PR6 / 3 FTES DE 230</v>
      </c>
      <c r="H43" s="30"/>
      <c r="J43" s="3">
        <f t="shared" si="16"/>
        <v>2</v>
      </c>
      <c r="K43" s="108">
        <f t="shared" ref="K43:L43" si="22">E65</f>
        <v>698</v>
      </c>
      <c r="L43" s="108">
        <f t="shared" si="22"/>
        <v>448</v>
      </c>
      <c r="M43" s="109">
        <v>2</v>
      </c>
    </row>
    <row r="44" spans="1:13" ht="18" x14ac:dyDescent="0.35">
      <c r="A44" s="115">
        <v>7</v>
      </c>
      <c r="B44" s="102"/>
      <c r="C44" s="97">
        <f t="shared" ref="C44:C52" si="23">J44</f>
        <v>4</v>
      </c>
      <c r="D44" s="97"/>
      <c r="E44" s="97">
        <f t="shared" ref="E44:E52" si="24">K44+E$37</f>
        <v>738</v>
      </c>
      <c r="F44" s="97">
        <f t="shared" si="21"/>
        <v>488</v>
      </c>
      <c r="G44" s="97" t="str">
        <f t="shared" ref="G44:G52" si="25">D66</f>
        <v>PR6</v>
      </c>
      <c r="H44" s="30"/>
      <c r="J44" s="3">
        <f t="shared" ref="J44:J52" si="26">C66</f>
        <v>4</v>
      </c>
      <c r="K44" s="108">
        <f t="shared" ref="K44:K52" si="27">E66</f>
        <v>698</v>
      </c>
      <c r="L44" s="108">
        <f t="shared" ref="L44:L52" si="28">F66</f>
        <v>398</v>
      </c>
      <c r="M44" s="109"/>
    </row>
    <row r="45" spans="1:13" ht="18" x14ac:dyDescent="0.35">
      <c r="A45" s="115">
        <v>8</v>
      </c>
      <c r="B45" s="102"/>
      <c r="C45" s="97">
        <f t="shared" si="23"/>
        <v>1</v>
      </c>
      <c r="D45" s="97"/>
      <c r="E45" s="97">
        <f t="shared" si="24"/>
        <v>738</v>
      </c>
      <c r="F45" s="97">
        <f t="shared" si="21"/>
        <v>468</v>
      </c>
      <c r="G45" s="97" t="str">
        <f t="shared" si="25"/>
        <v>PR6</v>
      </c>
      <c r="H45" s="30"/>
      <c r="J45" s="3">
        <f t="shared" si="26"/>
        <v>1</v>
      </c>
      <c r="K45" s="108">
        <f t="shared" si="27"/>
        <v>698</v>
      </c>
      <c r="L45" s="108">
        <f t="shared" si="28"/>
        <v>378</v>
      </c>
      <c r="M45" s="109"/>
    </row>
    <row r="46" spans="1:13" ht="18" x14ac:dyDescent="0.35">
      <c r="A46" s="115">
        <v>9</v>
      </c>
      <c r="B46" s="102"/>
      <c r="C46" s="97">
        <f t="shared" si="23"/>
        <v>1</v>
      </c>
      <c r="D46" s="97"/>
      <c r="E46" s="97">
        <f t="shared" si="24"/>
        <v>738</v>
      </c>
      <c r="F46" s="97">
        <f t="shared" si="21"/>
        <v>313</v>
      </c>
      <c r="G46" s="97" t="str">
        <f t="shared" si="25"/>
        <v>PR6</v>
      </c>
      <c r="H46" s="30"/>
      <c r="J46" s="3">
        <f t="shared" si="26"/>
        <v>1</v>
      </c>
      <c r="K46" s="108">
        <f t="shared" si="27"/>
        <v>698</v>
      </c>
      <c r="L46" s="108">
        <f t="shared" si="28"/>
        <v>223</v>
      </c>
      <c r="M46" s="109"/>
    </row>
    <row r="47" spans="1:13" ht="18" x14ac:dyDescent="0.35">
      <c r="A47" s="115">
        <v>10</v>
      </c>
      <c r="B47" s="102"/>
      <c r="C47" s="97">
        <f t="shared" si="23"/>
        <v>2</v>
      </c>
      <c r="D47" s="97"/>
      <c r="E47" s="97">
        <f t="shared" si="24"/>
        <v>738</v>
      </c>
      <c r="F47" s="97">
        <f t="shared" si="21"/>
        <v>478</v>
      </c>
      <c r="G47" s="97" t="str">
        <f t="shared" si="25"/>
        <v>PR6</v>
      </c>
      <c r="H47" s="30"/>
      <c r="J47" s="3">
        <f t="shared" si="26"/>
        <v>2</v>
      </c>
      <c r="K47" s="108">
        <f t="shared" si="27"/>
        <v>698</v>
      </c>
      <c r="L47" s="108">
        <f t="shared" si="28"/>
        <v>388</v>
      </c>
      <c r="M47" s="109"/>
    </row>
    <row r="48" spans="1:13" ht="18" x14ac:dyDescent="0.35">
      <c r="A48" s="115">
        <v>11</v>
      </c>
      <c r="B48" s="102"/>
      <c r="C48" s="97">
        <f t="shared" si="23"/>
        <v>1</v>
      </c>
      <c r="D48" s="97"/>
      <c r="E48" s="97">
        <f t="shared" si="24"/>
        <v>717</v>
      </c>
      <c r="F48" s="97">
        <f t="shared" si="21"/>
        <v>468</v>
      </c>
      <c r="G48" s="97" t="str">
        <f t="shared" si="25"/>
        <v>PR6</v>
      </c>
      <c r="H48" s="30"/>
      <c r="J48" s="3">
        <f t="shared" si="26"/>
        <v>1</v>
      </c>
      <c r="K48" s="108">
        <f t="shared" si="27"/>
        <v>677</v>
      </c>
      <c r="L48" s="108">
        <f t="shared" si="28"/>
        <v>378</v>
      </c>
      <c r="M48" s="109"/>
    </row>
    <row r="49" spans="1:13" ht="18" x14ac:dyDescent="0.35">
      <c r="A49" s="115">
        <v>12</v>
      </c>
      <c r="B49" s="102"/>
      <c r="C49" s="97">
        <f t="shared" si="23"/>
        <v>2</v>
      </c>
      <c r="D49" s="97"/>
      <c r="E49" s="97">
        <f t="shared" si="24"/>
        <v>717</v>
      </c>
      <c r="F49" s="97">
        <f t="shared" si="21"/>
        <v>488</v>
      </c>
      <c r="G49" s="97" t="str">
        <f t="shared" si="25"/>
        <v>PR6</v>
      </c>
      <c r="H49" s="30"/>
      <c r="J49" s="3">
        <f t="shared" si="26"/>
        <v>2</v>
      </c>
      <c r="K49" s="108">
        <f t="shared" si="27"/>
        <v>677</v>
      </c>
      <c r="L49" s="108">
        <f t="shared" si="28"/>
        <v>398</v>
      </c>
      <c r="M49" s="109"/>
    </row>
    <row r="50" spans="1:13" ht="18" x14ac:dyDescent="0.35">
      <c r="A50" s="115">
        <v>13</v>
      </c>
      <c r="B50" s="102"/>
      <c r="C50" s="97">
        <f t="shared" si="23"/>
        <v>4</v>
      </c>
      <c r="D50" s="97"/>
      <c r="E50" s="97">
        <f t="shared" si="24"/>
        <v>367</v>
      </c>
      <c r="F50" s="97">
        <f t="shared" si="21"/>
        <v>395</v>
      </c>
      <c r="G50" s="97" t="str">
        <f t="shared" si="25"/>
        <v>PR6</v>
      </c>
      <c r="H50" s="30"/>
      <c r="J50" s="3">
        <f t="shared" si="26"/>
        <v>4</v>
      </c>
      <c r="K50" s="108">
        <f t="shared" si="27"/>
        <v>327</v>
      </c>
      <c r="L50" s="108">
        <f t="shared" si="28"/>
        <v>305</v>
      </c>
      <c r="M50" s="109"/>
    </row>
    <row r="51" spans="1:13" ht="18" x14ac:dyDescent="0.35">
      <c r="A51" s="115">
        <v>14</v>
      </c>
      <c r="B51" s="102"/>
      <c r="C51" s="97">
        <f t="shared" si="23"/>
        <v>2</v>
      </c>
      <c r="D51" s="97"/>
      <c r="E51" s="97">
        <f t="shared" si="24"/>
        <v>707</v>
      </c>
      <c r="F51" s="97">
        <f t="shared" si="21"/>
        <v>503</v>
      </c>
      <c r="G51" s="97" t="str">
        <f t="shared" si="25"/>
        <v>PR6</v>
      </c>
      <c r="H51" s="30"/>
      <c r="J51" s="3">
        <f t="shared" si="26"/>
        <v>2</v>
      </c>
      <c r="K51" s="108">
        <f t="shared" si="27"/>
        <v>667</v>
      </c>
      <c r="L51" s="108">
        <f t="shared" si="28"/>
        <v>413</v>
      </c>
      <c r="M51" s="109"/>
    </row>
    <row r="52" spans="1:13" ht="18" x14ac:dyDescent="0.35">
      <c r="A52" s="115">
        <v>15</v>
      </c>
      <c r="B52" s="102"/>
      <c r="C52" s="97">
        <f t="shared" si="23"/>
        <v>2</v>
      </c>
      <c r="D52" s="97"/>
      <c r="E52" s="97">
        <f t="shared" si="24"/>
        <v>2040</v>
      </c>
      <c r="F52" s="97">
        <v>130</v>
      </c>
      <c r="G52" s="97" t="str">
        <f t="shared" si="25"/>
        <v>CEN R6 1V</v>
      </c>
      <c r="H52" s="30"/>
      <c r="J52" s="3">
        <f t="shared" si="26"/>
        <v>2</v>
      </c>
      <c r="K52" s="108">
        <f t="shared" si="27"/>
        <v>2000</v>
      </c>
      <c r="L52" s="108">
        <f t="shared" si="28"/>
        <v>60</v>
      </c>
      <c r="M52" s="109"/>
    </row>
    <row r="53" spans="1:13" ht="18" x14ac:dyDescent="0.35">
      <c r="A53" s="115">
        <v>16</v>
      </c>
      <c r="B53" s="102"/>
      <c r="C53" s="97">
        <f t="shared" ref="C53" si="29">J53</f>
        <v>2</v>
      </c>
      <c r="D53" s="97"/>
      <c r="E53" s="97">
        <f t="shared" ref="E53" si="30">K53+E$37</f>
        <v>2540</v>
      </c>
      <c r="F53" s="97">
        <v>160</v>
      </c>
      <c r="G53" s="97" t="str">
        <f t="shared" ref="G53" si="31">D75</f>
        <v>CEN R6 1V MDF DESNUDO</v>
      </c>
      <c r="H53" s="30"/>
      <c r="J53" s="3">
        <f t="shared" ref="J53" si="32">C75</f>
        <v>2</v>
      </c>
      <c r="K53" s="108">
        <f t="shared" ref="K53" si="33">E75</f>
        <v>2500</v>
      </c>
      <c r="L53" s="108">
        <f t="shared" ref="L53" si="34">F75</f>
        <v>100</v>
      </c>
      <c r="M53" s="109"/>
    </row>
    <row r="54" spans="1:13" ht="18" x14ac:dyDescent="0.35">
      <c r="A54" s="115">
        <v>17</v>
      </c>
      <c r="B54" s="102"/>
      <c r="C54" s="97">
        <f t="shared" ref="C54" si="35">J54</f>
        <v>2</v>
      </c>
      <c r="D54" s="97"/>
      <c r="E54" s="97">
        <v>3080</v>
      </c>
      <c r="F54" s="97">
        <v>120</v>
      </c>
      <c r="G54" s="97" t="str">
        <f t="shared" ref="G54" si="36">D76</f>
        <v xml:space="preserve">ZOCALOS </v>
      </c>
      <c r="H54" s="30"/>
      <c r="J54" s="3">
        <f t="shared" ref="J54" si="37">C76</f>
        <v>2</v>
      </c>
      <c r="K54" s="108">
        <f t="shared" ref="K54" si="38">E76</f>
        <v>3000</v>
      </c>
      <c r="L54" s="108">
        <f t="shared" ref="L54" si="39">F76</f>
        <v>120</v>
      </c>
      <c r="M54" s="109"/>
    </row>
    <row r="55" spans="1:13" ht="18" x14ac:dyDescent="0.35">
      <c r="A55" s="115"/>
      <c r="B55" s="102"/>
      <c r="C55" s="74"/>
      <c r="D55" s="74"/>
      <c r="E55" s="74"/>
      <c r="F55" s="74"/>
      <c r="G55" s="74"/>
      <c r="H55" s="30"/>
      <c r="J55" s="23"/>
      <c r="K55" s="117"/>
      <c r="L55" s="117"/>
    </row>
    <row r="56" spans="1:13" ht="18.600000000000001" thickBot="1" x14ac:dyDescent="0.4">
      <c r="A56" s="2"/>
      <c r="B56" s="84"/>
      <c r="C56" s="74"/>
      <c r="D56" s="74"/>
      <c r="E56" s="74"/>
      <c r="F56" s="74"/>
      <c r="G56" s="74"/>
      <c r="H56" s="30"/>
      <c r="I56" s="113"/>
      <c r="J56" s="114"/>
      <c r="K56" s="114"/>
      <c r="L56" s="114"/>
    </row>
    <row r="57" spans="1:13" ht="18.600000000000001" thickBot="1" x14ac:dyDescent="0.4">
      <c r="A57" s="2"/>
      <c r="B57" s="67"/>
      <c r="C57" s="98" t="s">
        <v>104</v>
      </c>
      <c r="D57" s="33"/>
      <c r="E57" s="33"/>
      <c r="F57" s="33"/>
      <c r="G57" s="99"/>
      <c r="H57" s="30"/>
      <c r="J57" s="2"/>
      <c r="K57" s="2"/>
      <c r="L57" s="2"/>
    </row>
    <row r="58" spans="1:13" ht="10.5" customHeight="1" x14ac:dyDescent="0.35">
      <c r="A58" s="2"/>
      <c r="B58" s="30"/>
      <c r="C58" s="30"/>
      <c r="D58" s="30"/>
      <c r="E58" s="30"/>
      <c r="F58" s="30"/>
      <c r="G58" s="30"/>
      <c r="H58" s="30"/>
    </row>
    <row r="59" spans="1:13" ht="18" x14ac:dyDescent="0.35">
      <c r="A59" s="2"/>
      <c r="B59" s="67" t="s">
        <v>8</v>
      </c>
      <c r="C59" s="100" t="s">
        <v>9</v>
      </c>
      <c r="D59" s="100" t="s">
        <v>107</v>
      </c>
      <c r="E59" s="100" t="s">
        <v>6</v>
      </c>
      <c r="F59" s="100" t="s">
        <v>7</v>
      </c>
      <c r="G59" s="100" t="s">
        <v>21</v>
      </c>
      <c r="H59" s="30"/>
    </row>
    <row r="60" spans="1:13" ht="18" x14ac:dyDescent="0.35">
      <c r="A60" s="115">
        <v>1</v>
      </c>
      <c r="B60" s="2" t="s">
        <v>154</v>
      </c>
      <c r="C60" s="95">
        <f>C100</f>
        <v>1</v>
      </c>
      <c r="D60" s="95" t="str">
        <f>D100</f>
        <v>CUB C/R R8</v>
      </c>
      <c r="E60" s="140">
        <v>1500</v>
      </c>
      <c r="F60" s="140">
        <v>600</v>
      </c>
      <c r="G60" s="4" t="s">
        <v>147</v>
      </c>
      <c r="H60" s="30"/>
      <c r="I60" s="28">
        <f>E60*F60/1000000</f>
        <v>0.9</v>
      </c>
      <c r="J60" s="28">
        <f>I60*C60</f>
        <v>0.9</v>
      </c>
    </row>
    <row r="61" spans="1:13" ht="18" x14ac:dyDescent="0.35">
      <c r="A61" s="115">
        <v>2</v>
      </c>
      <c r="B61" s="102"/>
      <c r="C61" s="95">
        <f>C101</f>
        <v>1</v>
      </c>
      <c r="D61" s="95" t="str">
        <f>D101</f>
        <v>CUB C/R R8</v>
      </c>
      <c r="E61" s="140">
        <v>2100</v>
      </c>
      <c r="F61" s="140">
        <v>600</v>
      </c>
      <c r="G61" s="4" t="s">
        <v>147</v>
      </c>
      <c r="H61" s="30"/>
      <c r="I61" s="28"/>
      <c r="J61" s="28"/>
    </row>
    <row r="62" spans="1:13" ht="18" x14ac:dyDescent="0.35">
      <c r="A62" s="115">
        <v>3</v>
      </c>
      <c r="C62" s="4">
        <v>1</v>
      </c>
      <c r="D62" s="95" t="s">
        <v>145</v>
      </c>
      <c r="E62" s="140">
        <v>1400</v>
      </c>
      <c r="F62" s="140">
        <v>550</v>
      </c>
      <c r="G62" s="4" t="s">
        <v>147</v>
      </c>
      <c r="H62" s="30"/>
      <c r="I62" s="28"/>
      <c r="J62" s="28"/>
    </row>
    <row r="63" spans="1:13" ht="18" x14ac:dyDescent="0.35">
      <c r="A63" s="115">
        <v>4</v>
      </c>
      <c r="B63" s="102"/>
      <c r="C63" s="4">
        <v>1</v>
      </c>
      <c r="D63" s="143" t="s">
        <v>146</v>
      </c>
      <c r="E63" s="140">
        <v>800</v>
      </c>
      <c r="F63" s="140">
        <v>340</v>
      </c>
      <c r="G63" s="4" t="s">
        <v>147</v>
      </c>
      <c r="H63" s="30"/>
      <c r="I63" s="28"/>
      <c r="J63" s="28"/>
    </row>
    <row r="64" spans="1:13" ht="18" x14ac:dyDescent="0.35">
      <c r="A64" s="115">
        <v>5</v>
      </c>
      <c r="B64" s="102" t="s">
        <v>135</v>
      </c>
      <c r="C64" s="136">
        <v>1</v>
      </c>
      <c r="D64" s="136" t="s">
        <v>60</v>
      </c>
      <c r="E64" s="137">
        <v>698</v>
      </c>
      <c r="F64" s="137">
        <v>428</v>
      </c>
      <c r="G64" s="136" t="s">
        <v>148</v>
      </c>
      <c r="H64" s="30"/>
      <c r="I64" s="28"/>
      <c r="J64" s="28"/>
    </row>
    <row r="65" spans="1:10" ht="18" x14ac:dyDescent="0.35">
      <c r="A65" s="115">
        <v>6</v>
      </c>
      <c r="B65" s="102"/>
      <c r="C65" s="103">
        <v>2</v>
      </c>
      <c r="D65" s="103" t="s">
        <v>149</v>
      </c>
      <c r="E65" s="104">
        <v>698</v>
      </c>
      <c r="F65" s="104">
        <v>448</v>
      </c>
      <c r="G65" s="103" t="s">
        <v>148</v>
      </c>
      <c r="H65" s="30"/>
      <c r="I65" s="28"/>
      <c r="J65" s="28"/>
    </row>
    <row r="66" spans="1:10" ht="18" x14ac:dyDescent="0.35">
      <c r="A66" s="115">
        <v>7</v>
      </c>
      <c r="B66" s="102"/>
      <c r="C66" s="103">
        <v>4</v>
      </c>
      <c r="D66" s="103" t="s">
        <v>60</v>
      </c>
      <c r="E66" s="104">
        <v>698</v>
      </c>
      <c r="F66" s="104">
        <v>398</v>
      </c>
      <c r="G66" s="103" t="s">
        <v>148</v>
      </c>
      <c r="H66" s="30"/>
      <c r="I66" s="28"/>
      <c r="J66" s="28"/>
    </row>
    <row r="67" spans="1:10" ht="18" x14ac:dyDescent="0.35">
      <c r="A67" s="115">
        <v>8</v>
      </c>
      <c r="B67" s="102"/>
      <c r="C67" s="103">
        <v>1</v>
      </c>
      <c r="D67" s="103" t="s">
        <v>60</v>
      </c>
      <c r="E67" s="104">
        <v>698</v>
      </c>
      <c r="F67" s="104">
        <v>378</v>
      </c>
      <c r="G67" s="103" t="s">
        <v>148</v>
      </c>
      <c r="H67" s="30"/>
      <c r="I67" s="28"/>
      <c r="J67" s="28"/>
    </row>
    <row r="68" spans="1:10" ht="18" x14ac:dyDescent="0.35">
      <c r="A68" s="115">
        <v>9</v>
      </c>
      <c r="B68" s="102"/>
      <c r="C68" s="103">
        <v>1</v>
      </c>
      <c r="D68" s="103" t="s">
        <v>60</v>
      </c>
      <c r="E68" s="104">
        <v>698</v>
      </c>
      <c r="F68" s="104">
        <v>223</v>
      </c>
      <c r="G68" s="103" t="s">
        <v>148</v>
      </c>
      <c r="H68" s="30"/>
      <c r="I68" s="28"/>
      <c r="J68" s="28"/>
    </row>
    <row r="69" spans="1:10" ht="18" x14ac:dyDescent="0.35">
      <c r="A69" s="115">
        <v>10</v>
      </c>
      <c r="B69" s="102"/>
      <c r="C69" s="103">
        <v>2</v>
      </c>
      <c r="D69" s="103" t="s">
        <v>60</v>
      </c>
      <c r="E69" s="104">
        <v>698</v>
      </c>
      <c r="F69" s="104">
        <v>388</v>
      </c>
      <c r="G69" s="103" t="s">
        <v>148</v>
      </c>
      <c r="H69" s="30"/>
      <c r="I69" s="28"/>
      <c r="J69" s="28"/>
    </row>
    <row r="70" spans="1:10" ht="18" x14ac:dyDescent="0.35">
      <c r="A70" s="115">
        <v>11</v>
      </c>
      <c r="B70" s="102"/>
      <c r="C70" s="103">
        <v>1</v>
      </c>
      <c r="D70" s="103" t="s">
        <v>60</v>
      </c>
      <c r="E70" s="104">
        <v>677</v>
      </c>
      <c r="F70" s="104">
        <v>378</v>
      </c>
      <c r="G70" s="103" t="s">
        <v>150</v>
      </c>
      <c r="H70" s="30"/>
      <c r="I70" s="28"/>
      <c r="J70" s="28"/>
    </row>
    <row r="71" spans="1:10" ht="18" x14ac:dyDescent="0.35">
      <c r="A71" s="115">
        <v>12</v>
      </c>
      <c r="B71" s="102"/>
      <c r="C71" s="103">
        <v>2</v>
      </c>
      <c r="D71" s="103" t="s">
        <v>60</v>
      </c>
      <c r="E71" s="104">
        <v>677</v>
      </c>
      <c r="F71" s="104">
        <v>398</v>
      </c>
      <c r="G71" s="103" t="s">
        <v>150</v>
      </c>
      <c r="H71" s="30"/>
      <c r="I71" s="28"/>
      <c r="J71" s="28"/>
    </row>
    <row r="72" spans="1:10" ht="18" x14ac:dyDescent="0.35">
      <c r="A72" s="115">
        <v>13</v>
      </c>
      <c r="B72" s="102"/>
      <c r="C72" s="103">
        <v>4</v>
      </c>
      <c r="D72" s="103" t="s">
        <v>60</v>
      </c>
      <c r="E72" s="104">
        <v>327</v>
      </c>
      <c r="F72" s="104">
        <v>305</v>
      </c>
      <c r="G72" s="103" t="s">
        <v>150</v>
      </c>
      <c r="H72" s="30"/>
      <c r="I72" s="28"/>
      <c r="J72" s="28"/>
    </row>
    <row r="73" spans="1:10" ht="18" x14ac:dyDescent="0.35">
      <c r="A73" s="115">
        <v>14</v>
      </c>
      <c r="B73" s="102"/>
      <c r="C73" s="103">
        <v>2</v>
      </c>
      <c r="D73" s="103" t="s">
        <v>60</v>
      </c>
      <c r="E73" s="104">
        <v>667</v>
      </c>
      <c r="F73" s="104">
        <v>413</v>
      </c>
      <c r="G73" s="103" t="s">
        <v>150</v>
      </c>
      <c r="H73" s="30"/>
      <c r="I73" s="28"/>
      <c r="J73" s="28"/>
    </row>
    <row r="74" spans="1:10" ht="18" x14ac:dyDescent="0.35">
      <c r="A74" s="115">
        <v>15</v>
      </c>
      <c r="B74" s="102"/>
      <c r="C74" s="103">
        <v>2</v>
      </c>
      <c r="D74" s="103" t="s">
        <v>151</v>
      </c>
      <c r="E74" s="104">
        <v>2000</v>
      </c>
      <c r="F74" s="104">
        <v>60</v>
      </c>
      <c r="G74" s="103" t="s">
        <v>150</v>
      </c>
      <c r="H74" s="30"/>
      <c r="I74" s="28"/>
      <c r="J74" s="28"/>
    </row>
    <row r="75" spans="1:10" ht="18" x14ac:dyDescent="0.35">
      <c r="A75" s="115">
        <v>16</v>
      </c>
      <c r="B75" s="102"/>
      <c r="C75" s="103">
        <v>2</v>
      </c>
      <c r="D75" s="103" t="s">
        <v>152</v>
      </c>
      <c r="E75" s="104">
        <v>2500</v>
      </c>
      <c r="F75" s="104">
        <v>100</v>
      </c>
      <c r="G75" s="103" t="s">
        <v>150</v>
      </c>
      <c r="H75" s="30"/>
      <c r="I75" s="28"/>
      <c r="J75" s="28"/>
    </row>
    <row r="76" spans="1:10" ht="18" x14ac:dyDescent="0.35">
      <c r="A76" s="115">
        <v>17</v>
      </c>
      <c r="B76" s="102"/>
      <c r="C76" s="136">
        <v>2</v>
      </c>
      <c r="D76" s="136" t="s">
        <v>143</v>
      </c>
      <c r="E76" s="137">
        <v>3000</v>
      </c>
      <c r="F76" s="137">
        <v>120</v>
      </c>
      <c r="G76" s="136" t="s">
        <v>144</v>
      </c>
      <c r="H76" s="30"/>
      <c r="I76" s="28"/>
      <c r="J76" s="28"/>
    </row>
    <row r="77" spans="1:10" ht="18" x14ac:dyDescent="0.35">
      <c r="A77" s="115"/>
      <c r="B77" s="102"/>
      <c r="C77" s="103">
        <v>1</v>
      </c>
      <c r="D77" s="103" t="s">
        <v>153</v>
      </c>
      <c r="E77" s="104"/>
      <c r="F77" s="104"/>
      <c r="G77" s="103"/>
      <c r="H77" s="30"/>
      <c r="I77" s="28"/>
      <c r="J77" s="28"/>
    </row>
    <row r="78" spans="1:10" ht="18" x14ac:dyDescent="0.35">
      <c r="A78" s="115"/>
      <c r="B78" s="102"/>
      <c r="C78" s="142"/>
      <c r="D78" s="142"/>
      <c r="E78" s="142"/>
      <c r="F78" s="142"/>
      <c r="G78" s="142"/>
      <c r="H78" s="30"/>
      <c r="I78" s="28"/>
      <c r="J78" s="28"/>
    </row>
    <row r="79" spans="1:10" ht="18" x14ac:dyDescent="0.35">
      <c r="A79" s="2"/>
      <c r="B79" s="84"/>
      <c r="C79" s="74"/>
      <c r="D79" s="74"/>
      <c r="E79" s="74"/>
      <c r="F79" s="74"/>
      <c r="G79" s="74"/>
      <c r="H79" s="30"/>
      <c r="I79" s="28"/>
      <c r="J79" s="28"/>
    </row>
    <row r="80" spans="1:10" ht="18" x14ac:dyDescent="0.35">
      <c r="A80" s="2"/>
      <c r="B80" s="30"/>
      <c r="C80" s="74"/>
      <c r="D80" s="74"/>
      <c r="E80" s="74"/>
      <c r="F80" s="74"/>
      <c r="G80" s="74"/>
      <c r="H80" s="30"/>
    </row>
    <row r="81" spans="1:10" ht="18" x14ac:dyDescent="0.35">
      <c r="A81" s="2"/>
      <c r="B81" s="30"/>
      <c r="C81" s="74"/>
      <c r="D81" s="74"/>
      <c r="E81" s="74"/>
      <c r="F81" s="74"/>
      <c r="G81" s="74"/>
      <c r="H81" s="30"/>
      <c r="J81" s="28">
        <f>SUM(J60:J60)*2</f>
        <v>1.8</v>
      </c>
    </row>
    <row r="82" spans="1:10" ht="18" x14ac:dyDescent="0.35">
      <c r="A82" s="2"/>
      <c r="B82" s="30"/>
      <c r="C82" s="74"/>
      <c r="D82" s="74"/>
      <c r="E82" s="74"/>
      <c r="F82" s="74"/>
      <c r="G82" s="74"/>
      <c r="H82" s="30"/>
    </row>
    <row r="83" spans="1:10" ht="18" x14ac:dyDescent="0.35">
      <c r="A83" s="2"/>
      <c r="B83" s="30"/>
      <c r="C83" s="74"/>
      <c r="D83" s="74"/>
      <c r="E83" s="74"/>
      <c r="F83" s="74"/>
      <c r="G83" s="74"/>
      <c r="H83" s="30"/>
    </row>
    <row r="84" spans="1:10" ht="18" x14ac:dyDescent="0.35">
      <c r="A84" s="2"/>
      <c r="B84" s="30"/>
      <c r="C84" s="74"/>
      <c r="D84" s="74"/>
      <c r="E84" s="74"/>
      <c r="F84" s="74"/>
      <c r="G84" s="74"/>
      <c r="H84" s="30"/>
    </row>
    <row r="85" spans="1:10" ht="18" x14ac:dyDescent="0.35">
      <c r="A85" s="2"/>
      <c r="B85" s="30"/>
      <c r="C85" s="74"/>
      <c r="D85" s="74"/>
      <c r="E85" s="74"/>
      <c r="F85" s="74"/>
      <c r="G85" s="74"/>
      <c r="H85" s="30"/>
    </row>
    <row r="86" spans="1:10" ht="18" x14ac:dyDescent="0.35">
      <c r="A86" s="2"/>
      <c r="B86" s="30"/>
      <c r="C86" s="74"/>
      <c r="D86" s="74"/>
      <c r="E86" s="74"/>
      <c r="F86" s="74"/>
      <c r="G86" s="74"/>
      <c r="H86" s="30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</row>
    <row r="89" spans="1:10" ht="18" x14ac:dyDescent="0.35">
      <c r="A89" s="2"/>
      <c r="B89" s="30"/>
      <c r="C89" s="30"/>
      <c r="D89" s="30"/>
      <c r="E89" s="30"/>
      <c r="F89" s="30"/>
      <c r="G89" s="30"/>
      <c r="H89" s="30"/>
    </row>
    <row r="90" spans="1:10" ht="18" x14ac:dyDescent="0.35">
      <c r="A90" s="2"/>
      <c r="B90" s="30"/>
      <c r="C90" s="30"/>
      <c r="D90" s="75" t="s">
        <v>25</v>
      </c>
      <c r="E90" s="76">
        <f>'4637'!G8</f>
        <v>4159</v>
      </c>
      <c r="F90" s="30"/>
      <c r="G90" s="30"/>
      <c r="H90" s="30"/>
    </row>
    <row r="91" spans="1:10" ht="17.25" customHeight="1" x14ac:dyDescent="0.35">
      <c r="A91" s="2"/>
      <c r="B91" s="30"/>
      <c r="C91" s="30"/>
      <c r="D91" s="77" t="s">
        <v>64</v>
      </c>
      <c r="E91" s="78" t="str">
        <f>'4637'!C10</f>
        <v>MIGUEL ESTAY</v>
      </c>
      <c r="F91" s="48"/>
      <c r="G91" s="48"/>
      <c r="H91" s="30"/>
    </row>
    <row r="92" spans="1:10" ht="4.5" customHeight="1" x14ac:dyDescent="0.35">
      <c r="A92" s="2"/>
      <c r="B92" s="30"/>
      <c r="C92" s="30"/>
      <c r="D92" s="79"/>
      <c r="E92" s="80"/>
      <c r="F92" s="30"/>
      <c r="G92" s="30"/>
      <c r="H92" s="30"/>
    </row>
    <row r="93" spans="1:10" ht="18" x14ac:dyDescent="0.35">
      <c r="A93" s="2"/>
      <c r="B93" s="30"/>
      <c r="C93" s="30"/>
      <c r="D93" s="81" t="str">
        <f>'4637'!F11</f>
        <v>FECHA LIMITE :</v>
      </c>
      <c r="E93" s="82">
        <f>'4637'!G11</f>
        <v>45744</v>
      </c>
      <c r="F93" s="30"/>
      <c r="G93" s="30"/>
      <c r="H93" s="30"/>
    </row>
    <row r="94" spans="1:10" ht="18" x14ac:dyDescent="0.35">
      <c r="A94" s="2"/>
      <c r="B94" s="30"/>
      <c r="C94" s="30"/>
      <c r="D94" s="30"/>
      <c r="E94" s="30"/>
      <c r="F94" s="30"/>
      <c r="G94" s="30" t="s">
        <v>137</v>
      </c>
      <c r="H94" s="30"/>
    </row>
    <row r="95" spans="1:10" ht="18" x14ac:dyDescent="0.35">
      <c r="A95" s="2"/>
      <c r="B95" s="30"/>
      <c r="C95" s="30"/>
      <c r="D95" s="30"/>
      <c r="E95" s="30"/>
      <c r="F95" s="30"/>
      <c r="G95" s="30"/>
      <c r="H95" s="30"/>
    </row>
    <row r="96" spans="1:10" ht="18" x14ac:dyDescent="0.35">
      <c r="A96" s="2"/>
      <c r="B96" s="129" t="s">
        <v>65</v>
      </c>
      <c r="C96" s="129"/>
      <c r="D96" s="129"/>
      <c r="E96" s="129"/>
      <c r="F96" s="129"/>
      <c r="G96" s="129"/>
      <c r="H96" s="30"/>
    </row>
    <row r="97" spans="1:13" ht="18" x14ac:dyDescent="0.35">
      <c r="A97" s="2"/>
      <c r="B97" s="30"/>
      <c r="C97" s="30"/>
      <c r="D97" s="30"/>
      <c r="E97" s="30"/>
      <c r="F97" s="30"/>
      <c r="G97" s="30"/>
      <c r="H97" s="30"/>
    </row>
    <row r="98" spans="1:13" ht="20.100000000000001" customHeight="1" x14ac:dyDescent="0.35">
      <c r="A98" s="2"/>
      <c r="B98" s="30"/>
      <c r="C98" s="130" t="s">
        <v>66</v>
      </c>
      <c r="D98" s="131"/>
      <c r="E98" s="132"/>
      <c r="F98" s="132"/>
      <c r="G98" s="133"/>
      <c r="H98" s="30"/>
      <c r="I98" s="25" t="s">
        <v>130</v>
      </c>
    </row>
    <row r="99" spans="1:13" s="10" customFormat="1" ht="20.100000000000001" customHeight="1" x14ac:dyDescent="0.35">
      <c r="A99" s="116"/>
      <c r="B99" s="30"/>
      <c r="C99" s="85" t="s">
        <v>9</v>
      </c>
      <c r="D99" s="86" t="s">
        <v>10</v>
      </c>
      <c r="E99" s="89" t="s">
        <v>6</v>
      </c>
      <c r="F99" s="89" t="s">
        <v>7</v>
      </c>
      <c r="G99" s="87" t="s">
        <v>11</v>
      </c>
      <c r="H99" s="30"/>
      <c r="K99" s="10">
        <v>15000</v>
      </c>
    </row>
    <row r="100" spans="1:13" s="10" customFormat="1" ht="20.100000000000001" customHeight="1" x14ac:dyDescent="0.35">
      <c r="A100" s="115">
        <v>1</v>
      </c>
      <c r="B100" s="116" t="s">
        <v>154</v>
      </c>
      <c r="C100" s="97">
        <f>'4637'!B21</f>
        <v>1</v>
      </c>
      <c r="D100" s="4" t="s">
        <v>145</v>
      </c>
      <c r="E100" s="140">
        <v>1500</v>
      </c>
      <c r="F100" s="140">
        <v>600</v>
      </c>
      <c r="G100" s="4" t="s">
        <v>147</v>
      </c>
      <c r="H100" s="30"/>
      <c r="I100" s="10">
        <f>E100*F100/1000000</f>
        <v>0.9</v>
      </c>
      <c r="J100" s="10">
        <f>I100*C100</f>
        <v>0.9</v>
      </c>
      <c r="K100" s="26">
        <f>J100*K$99</f>
        <v>13500</v>
      </c>
      <c r="M100" s="24">
        <v>12096</v>
      </c>
    </row>
    <row r="101" spans="1:13" s="10" customFormat="1" ht="20.100000000000001" customHeight="1" x14ac:dyDescent="0.35">
      <c r="A101" s="115">
        <v>2</v>
      </c>
      <c r="B101" s="101"/>
      <c r="C101" s="97">
        <f>'4637'!B22</f>
        <v>1</v>
      </c>
      <c r="D101" s="4" t="str">
        <f>'4637'!C22</f>
        <v>CUB C/R R8</v>
      </c>
      <c r="E101" s="140">
        <f>'4637'!D22</f>
        <v>2100</v>
      </c>
      <c r="F101" s="140">
        <v>600</v>
      </c>
      <c r="G101" s="4" t="s">
        <v>147</v>
      </c>
      <c r="H101" s="30"/>
      <c r="K101" s="26"/>
      <c r="M101" s="29"/>
    </row>
    <row r="102" spans="1:13" s="10" customFormat="1" ht="20.100000000000001" customHeight="1" x14ac:dyDescent="0.35">
      <c r="A102" s="115">
        <v>3</v>
      </c>
      <c r="C102" s="4">
        <v>1</v>
      </c>
      <c r="D102" s="4" t="s">
        <v>145</v>
      </c>
      <c r="E102" s="140">
        <v>1400</v>
      </c>
      <c r="F102" s="140">
        <v>550</v>
      </c>
      <c r="G102" s="4" t="s">
        <v>147</v>
      </c>
      <c r="H102" s="30"/>
      <c r="K102" s="26"/>
      <c r="M102" s="29"/>
    </row>
    <row r="103" spans="1:13" s="10" customFormat="1" ht="20.100000000000001" customHeight="1" x14ac:dyDescent="0.35">
      <c r="A103" s="115">
        <v>4</v>
      </c>
      <c r="B103" s="101"/>
      <c r="C103" s="4">
        <v>1</v>
      </c>
      <c r="D103" s="141" t="s">
        <v>146</v>
      </c>
      <c r="E103" s="140">
        <v>800</v>
      </c>
      <c r="F103" s="140">
        <v>340</v>
      </c>
      <c r="G103" s="4" t="s">
        <v>147</v>
      </c>
      <c r="H103" s="30"/>
      <c r="K103" s="26"/>
      <c r="M103" s="29"/>
    </row>
    <row r="104" spans="1:13" s="10" customFormat="1" ht="20.100000000000001" customHeight="1" x14ac:dyDescent="0.35">
      <c r="A104" s="115">
        <v>5</v>
      </c>
      <c r="B104" s="101" t="s">
        <v>134</v>
      </c>
      <c r="C104" s="136">
        <v>1</v>
      </c>
      <c r="D104" s="136" t="s">
        <v>60</v>
      </c>
      <c r="E104" s="137">
        <v>698</v>
      </c>
      <c r="F104" s="137">
        <v>428</v>
      </c>
      <c r="G104" s="136" t="s">
        <v>148</v>
      </c>
      <c r="H104" s="30"/>
      <c r="K104" s="26"/>
      <c r="M104" s="29"/>
    </row>
    <row r="105" spans="1:13" s="10" customFormat="1" ht="20.100000000000001" customHeight="1" x14ac:dyDescent="0.35">
      <c r="A105" s="115">
        <v>6</v>
      </c>
      <c r="B105" s="101"/>
      <c r="C105" s="103">
        <v>2</v>
      </c>
      <c r="D105" s="103" t="s">
        <v>149</v>
      </c>
      <c r="E105" s="104">
        <v>698</v>
      </c>
      <c r="F105" s="104">
        <v>448</v>
      </c>
      <c r="G105" s="103" t="s">
        <v>148</v>
      </c>
      <c r="H105" s="30"/>
      <c r="K105" s="26"/>
      <c r="M105" s="29"/>
    </row>
    <row r="106" spans="1:13" s="10" customFormat="1" ht="20.100000000000001" customHeight="1" x14ac:dyDescent="0.35">
      <c r="A106" s="115">
        <v>7</v>
      </c>
      <c r="B106" s="101"/>
      <c r="C106" s="103">
        <v>4</v>
      </c>
      <c r="D106" s="103" t="s">
        <v>60</v>
      </c>
      <c r="E106" s="104">
        <v>698</v>
      </c>
      <c r="F106" s="104">
        <v>398</v>
      </c>
      <c r="G106" s="103" t="s">
        <v>148</v>
      </c>
      <c r="H106" s="30"/>
      <c r="K106" s="26"/>
      <c r="M106" s="29"/>
    </row>
    <row r="107" spans="1:13" s="10" customFormat="1" ht="20.100000000000001" customHeight="1" x14ac:dyDescent="0.35">
      <c r="A107" s="115">
        <v>8</v>
      </c>
      <c r="B107" s="101"/>
      <c r="C107" s="103">
        <v>1</v>
      </c>
      <c r="D107" s="103" t="s">
        <v>60</v>
      </c>
      <c r="E107" s="104">
        <v>698</v>
      </c>
      <c r="F107" s="104">
        <v>378</v>
      </c>
      <c r="G107" s="103" t="s">
        <v>148</v>
      </c>
      <c r="H107" s="30"/>
      <c r="K107" s="26"/>
      <c r="M107" s="29"/>
    </row>
    <row r="108" spans="1:13" s="10" customFormat="1" ht="20.100000000000001" customHeight="1" x14ac:dyDescent="0.35">
      <c r="A108" s="115">
        <v>9</v>
      </c>
      <c r="B108" s="101"/>
      <c r="C108" s="103">
        <v>1</v>
      </c>
      <c r="D108" s="103" t="s">
        <v>60</v>
      </c>
      <c r="E108" s="104">
        <v>698</v>
      </c>
      <c r="F108" s="104">
        <v>223</v>
      </c>
      <c r="G108" s="103" t="s">
        <v>148</v>
      </c>
      <c r="H108" s="30"/>
      <c r="K108" s="26"/>
      <c r="M108" s="29"/>
    </row>
    <row r="109" spans="1:13" s="10" customFormat="1" ht="20.100000000000001" customHeight="1" x14ac:dyDescent="0.35">
      <c r="A109" s="115">
        <v>10</v>
      </c>
      <c r="B109" s="101"/>
      <c r="C109" s="103">
        <v>2</v>
      </c>
      <c r="D109" s="103" t="s">
        <v>60</v>
      </c>
      <c r="E109" s="104">
        <v>698</v>
      </c>
      <c r="F109" s="104">
        <v>388</v>
      </c>
      <c r="G109" s="103" t="s">
        <v>148</v>
      </c>
      <c r="H109" s="30"/>
      <c r="K109" s="26"/>
      <c r="M109" s="29"/>
    </row>
    <row r="110" spans="1:13" s="10" customFormat="1" ht="20.100000000000001" customHeight="1" x14ac:dyDescent="0.35">
      <c r="A110" s="115">
        <v>11</v>
      </c>
      <c r="B110" s="101"/>
      <c r="C110" s="103">
        <v>1</v>
      </c>
      <c r="D110" s="103" t="s">
        <v>60</v>
      </c>
      <c r="E110" s="104">
        <v>677</v>
      </c>
      <c r="F110" s="104">
        <v>378</v>
      </c>
      <c r="G110" s="103" t="s">
        <v>150</v>
      </c>
      <c r="H110" s="30"/>
      <c r="K110" s="26"/>
      <c r="M110" s="29"/>
    </row>
    <row r="111" spans="1:13" s="10" customFormat="1" ht="20.100000000000001" customHeight="1" x14ac:dyDescent="0.35">
      <c r="A111" s="115">
        <v>12</v>
      </c>
      <c r="B111" s="101"/>
      <c r="C111" s="103">
        <v>2</v>
      </c>
      <c r="D111" s="103" t="s">
        <v>60</v>
      </c>
      <c r="E111" s="104">
        <v>677</v>
      </c>
      <c r="F111" s="104">
        <v>398</v>
      </c>
      <c r="G111" s="103" t="s">
        <v>150</v>
      </c>
      <c r="H111" s="30"/>
      <c r="K111" s="26"/>
      <c r="M111" s="29"/>
    </row>
    <row r="112" spans="1:13" s="10" customFormat="1" ht="20.100000000000001" customHeight="1" x14ac:dyDescent="0.35">
      <c r="A112" s="115">
        <v>13</v>
      </c>
      <c r="B112" s="101"/>
      <c r="C112" s="103">
        <v>4</v>
      </c>
      <c r="D112" s="103" t="s">
        <v>60</v>
      </c>
      <c r="E112" s="104">
        <v>327</v>
      </c>
      <c r="F112" s="104">
        <v>305</v>
      </c>
      <c r="G112" s="103" t="s">
        <v>150</v>
      </c>
      <c r="H112" s="30"/>
      <c r="K112" s="26"/>
      <c r="M112" s="29"/>
    </row>
    <row r="113" spans="1:13" s="10" customFormat="1" ht="20.100000000000001" customHeight="1" x14ac:dyDescent="0.35">
      <c r="A113" s="115">
        <v>14</v>
      </c>
      <c r="B113" s="101"/>
      <c r="C113" s="103">
        <v>2</v>
      </c>
      <c r="D113" s="103" t="s">
        <v>60</v>
      </c>
      <c r="E113" s="104">
        <v>667</v>
      </c>
      <c r="F113" s="104">
        <v>413</v>
      </c>
      <c r="G113" s="103" t="s">
        <v>150</v>
      </c>
      <c r="H113" s="30"/>
      <c r="K113" s="26"/>
      <c r="M113" s="29"/>
    </row>
    <row r="114" spans="1:13" s="10" customFormat="1" ht="20.100000000000001" customHeight="1" x14ac:dyDescent="0.35">
      <c r="A114" s="115">
        <v>15</v>
      </c>
      <c r="B114" s="101"/>
      <c r="C114" s="103">
        <v>2</v>
      </c>
      <c r="D114" s="103" t="s">
        <v>151</v>
      </c>
      <c r="E114" s="104">
        <v>2000</v>
      </c>
      <c r="F114" s="104">
        <v>60</v>
      </c>
      <c r="G114" s="103" t="s">
        <v>150</v>
      </c>
      <c r="H114" s="30"/>
      <c r="K114" s="26"/>
      <c r="M114" s="29"/>
    </row>
    <row r="115" spans="1:13" s="10" customFormat="1" ht="20.100000000000001" customHeight="1" x14ac:dyDescent="0.35">
      <c r="A115" s="115">
        <v>16</v>
      </c>
      <c r="B115" s="101"/>
      <c r="C115" s="103">
        <v>2</v>
      </c>
      <c r="D115" s="103" t="s">
        <v>152</v>
      </c>
      <c r="E115" s="104">
        <v>2500</v>
      </c>
      <c r="F115" s="104">
        <v>100</v>
      </c>
      <c r="G115" s="103" t="s">
        <v>150</v>
      </c>
      <c r="H115" s="30"/>
      <c r="K115" s="26"/>
      <c r="M115" s="29"/>
    </row>
    <row r="116" spans="1:13" s="10" customFormat="1" ht="20.100000000000001" customHeight="1" x14ac:dyDescent="0.35">
      <c r="A116" s="115"/>
      <c r="B116" s="101"/>
      <c r="C116" s="136">
        <v>2</v>
      </c>
      <c r="D116" s="136" t="s">
        <v>143</v>
      </c>
      <c r="E116" s="137">
        <v>3000</v>
      </c>
      <c r="F116" s="137">
        <v>120</v>
      </c>
      <c r="G116" s="136" t="s">
        <v>144</v>
      </c>
      <c r="H116" s="30"/>
      <c r="K116" s="26"/>
      <c r="M116" s="29"/>
    </row>
    <row r="117" spans="1:13" s="10" customFormat="1" ht="20.100000000000001" customHeight="1" x14ac:dyDescent="0.35">
      <c r="A117" s="115"/>
      <c r="B117" s="101"/>
      <c r="C117" s="103">
        <v>1</v>
      </c>
      <c r="D117" s="103" t="s">
        <v>153</v>
      </c>
      <c r="E117" s="104"/>
      <c r="F117" s="104"/>
      <c r="G117" s="103"/>
      <c r="H117" s="30"/>
      <c r="K117" s="26"/>
      <c r="M117" s="29"/>
    </row>
    <row r="118" spans="1:13" s="10" customFormat="1" ht="20.100000000000001" customHeight="1" x14ac:dyDescent="0.35">
      <c r="A118" s="115"/>
      <c r="B118" s="101"/>
      <c r="C118" s="142"/>
      <c r="D118" s="142"/>
      <c r="E118" s="142"/>
      <c r="F118" s="142"/>
      <c r="G118" s="142"/>
      <c r="H118" s="30"/>
      <c r="K118" s="26"/>
      <c r="M118" s="29"/>
    </row>
    <row r="119" spans="1:13" s="10" customFormat="1" ht="15" customHeight="1" x14ac:dyDescent="0.35">
      <c r="B119" s="84"/>
      <c r="C119" s="67"/>
      <c r="D119" s="67"/>
      <c r="E119" s="67"/>
      <c r="F119" s="67"/>
      <c r="G119" s="67"/>
      <c r="H119" s="30"/>
    </row>
    <row r="120" spans="1:13" ht="18" x14ac:dyDescent="0.35">
      <c r="B120" s="74"/>
      <c r="C120" s="74"/>
      <c r="D120" s="30"/>
      <c r="E120" s="74"/>
      <c r="F120" s="74"/>
      <c r="G120" s="79"/>
      <c r="H120" s="30"/>
    </row>
    <row r="121" spans="1:13" ht="18" x14ac:dyDescent="0.35">
      <c r="B121" s="74"/>
      <c r="C121" s="74"/>
      <c r="D121" s="30"/>
      <c r="E121" s="74"/>
      <c r="F121" s="74"/>
      <c r="G121" s="74"/>
      <c r="H121" s="30"/>
      <c r="J121" s="10">
        <f>SUM(J100:J100)</f>
        <v>0.9</v>
      </c>
      <c r="K121" s="27">
        <f>SUM(K100:K100)</f>
        <v>13500</v>
      </c>
    </row>
    <row r="122" spans="1:13" ht="18" x14ac:dyDescent="0.35">
      <c r="B122" s="30"/>
      <c r="C122" s="30"/>
      <c r="D122" s="30"/>
      <c r="E122" s="30"/>
      <c r="F122" s="30"/>
      <c r="G122" s="30"/>
      <c r="H122" s="30"/>
    </row>
    <row r="123" spans="1:13" ht="18" x14ac:dyDescent="0.35">
      <c r="B123" s="30"/>
      <c r="C123" s="30"/>
      <c r="D123" s="30"/>
      <c r="E123" s="30"/>
      <c r="F123" s="30"/>
      <c r="G123" s="30"/>
      <c r="H123" s="30"/>
    </row>
    <row r="124" spans="1:13" ht="18" x14ac:dyDescent="0.35">
      <c r="B124" s="30"/>
      <c r="C124" s="30"/>
      <c r="D124" s="30"/>
      <c r="E124" s="30"/>
      <c r="F124" s="30"/>
      <c r="G124" s="30"/>
      <c r="H124" s="30"/>
    </row>
    <row r="125" spans="1:13" ht="15" customHeight="1" x14ac:dyDescent="0.35">
      <c r="B125" s="30"/>
      <c r="C125" s="30"/>
      <c r="D125" s="30"/>
      <c r="E125" s="30"/>
      <c r="F125" s="30"/>
      <c r="G125" s="30"/>
      <c r="H125" s="30"/>
    </row>
    <row r="126" spans="1:13" ht="18" x14ac:dyDescent="0.35">
      <c r="B126" s="30"/>
      <c r="C126" s="30"/>
      <c r="D126" s="30"/>
      <c r="E126" s="30"/>
      <c r="F126" s="30"/>
      <c r="G126" s="30"/>
      <c r="H126" s="30"/>
    </row>
    <row r="127" spans="1:13" ht="18" x14ac:dyDescent="0.35">
      <c r="B127" s="74"/>
      <c r="C127" s="88"/>
      <c r="D127" s="30"/>
      <c r="E127" s="30"/>
      <c r="F127" s="30"/>
      <c r="G127" s="30"/>
      <c r="H127" s="30"/>
    </row>
    <row r="128" spans="1:13" ht="18" x14ac:dyDescent="0.35">
      <c r="B128" s="30"/>
      <c r="C128" s="30"/>
      <c r="D128" s="30"/>
      <c r="E128" s="30"/>
      <c r="F128" s="30"/>
      <c r="G128" s="30"/>
      <c r="H128" s="30"/>
    </row>
    <row r="129" spans="3:7" x14ac:dyDescent="0.3">
      <c r="C129" s="14"/>
      <c r="D129" s="14"/>
      <c r="F129" s="14"/>
      <c r="G129" s="14"/>
    </row>
    <row r="130" spans="3:7" x14ac:dyDescent="0.3">
      <c r="C130" s="14"/>
      <c r="D130" s="14"/>
      <c r="F130" s="14"/>
      <c r="G130" s="14"/>
    </row>
  </sheetData>
  <mergeCells count="6">
    <mergeCell ref="N3:O3"/>
    <mergeCell ref="B34:G34"/>
    <mergeCell ref="B10:G10"/>
    <mergeCell ref="B96:G96"/>
    <mergeCell ref="C98:G9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4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2024-10-14T12:39:53Z</cp:lastPrinted>
  <dcterms:created xsi:type="dcterms:W3CDTF">2013-03-19T12:54:14Z</dcterms:created>
  <dcterms:modified xsi:type="dcterms:W3CDTF">2025-03-20T18:02:37Z</dcterms:modified>
</cp:coreProperties>
</file>