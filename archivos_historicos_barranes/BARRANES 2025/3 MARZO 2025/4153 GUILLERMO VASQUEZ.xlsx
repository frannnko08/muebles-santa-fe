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3 MARZO 2025\"/>
    </mc:Choice>
  </mc:AlternateContent>
  <xr:revisionPtr revIDLastSave="0" documentId="13_ncr:1_{195D4F7B-6111-40C2-8CB6-E6E4A64EF1A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'4637'!$B$1:$H$49</definedName>
    <definedName name="_xlnm.Print_Area" localSheetId="2">CUBIERTA!$A$1:$G$39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H21" i="4"/>
  <c r="J15" i="3"/>
  <c r="C15" i="3" s="1"/>
  <c r="C31" i="3"/>
  <c r="J24" i="3" s="1"/>
  <c r="C24" i="3" s="1"/>
  <c r="D31" i="3"/>
  <c r="G24" i="3" s="1"/>
  <c r="E31" i="3"/>
  <c r="K24" i="3" s="1"/>
  <c r="E24" i="3" s="1"/>
  <c r="F31" i="3"/>
  <c r="L24" i="3" s="1"/>
  <c r="F24" i="3" s="1"/>
  <c r="G31" i="3"/>
  <c r="C54" i="3"/>
  <c r="D54" i="3"/>
  <c r="E54" i="3"/>
  <c r="F54" i="3"/>
  <c r="G54" i="3"/>
  <c r="L15" i="3" l="1"/>
  <c r="F15" i="3" s="1"/>
  <c r="K15" i="3"/>
  <c r="E15" i="3" s="1"/>
  <c r="G15" i="3"/>
  <c r="B24" i="4"/>
  <c r="J14" i="3" l="1"/>
  <c r="C14" i="3" s="1"/>
  <c r="D53" i="3" l="1"/>
  <c r="L21" i="4" l="1"/>
  <c r="K21" i="4"/>
  <c r="M21" i="4" l="1"/>
  <c r="N21" i="4" s="1"/>
  <c r="C30" i="3" l="1"/>
  <c r="J23" i="3" s="1"/>
  <c r="C23" i="3" s="1"/>
  <c r="D30" i="3"/>
  <c r="G23" i="3" s="1"/>
  <c r="E30" i="3"/>
  <c r="F30" i="3"/>
  <c r="L23" i="3" s="1"/>
  <c r="F23" i="3" s="1"/>
  <c r="G30" i="3"/>
  <c r="C53" i="3"/>
  <c r="E53" i="3"/>
  <c r="F53" i="3"/>
  <c r="G53" i="3"/>
  <c r="I30" i="3" l="1"/>
  <c r="J30" i="3" s="1"/>
  <c r="K23" i="3"/>
  <c r="E23" i="3" s="1"/>
  <c r="I53" i="3"/>
  <c r="J53" i="3" s="1"/>
  <c r="K14" i="3"/>
  <c r="E14" i="3" s="1"/>
  <c r="G14" i="3"/>
  <c r="L14" i="3"/>
  <c r="F14" i="3" s="1"/>
  <c r="J34" i="3" l="1"/>
  <c r="K53" i="3"/>
  <c r="J58" i="3"/>
  <c r="H27" i="4"/>
  <c r="O5" i="3"/>
  <c r="K58" i="3" l="1"/>
  <c r="N5" i="3"/>
  <c r="M5" i="3"/>
  <c r="L5" i="3"/>
  <c r="D46" i="3" l="1"/>
  <c r="D7" i="3"/>
  <c r="E44" i="3"/>
  <c r="E5" i="3"/>
  <c r="E46" i="3"/>
  <c r="E7" i="3"/>
  <c r="E43" i="3"/>
  <c r="E4" i="3"/>
</calcChain>
</file>

<file path=xl/sharedStrings.xml><?xml version="1.0" encoding="utf-8"?>
<sst xmlns="http://schemas.openxmlformats.org/spreadsheetml/2006/main" count="249" uniqueCount="143">
  <si>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</si>
  <si>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</si>
  <si>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</si>
  <si>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</si>
  <si>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</si>
  <si>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</si>
  <si>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</si>
  <si>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</si>
  <si>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</si>
  <si>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</si>
  <si>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</si>
  <si>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</si>
  <si>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</si>
  <si>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</si>
  <si>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</si>
  <si>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</si>
  <si>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</si>
  <si>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</si>
  <si>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</si>
  <si>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</si>
  <si>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</si>
  <si>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</si>
  <si>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</si>
  <si>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</si>
  <si>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</si>
  <si>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</si>
  <si>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</si>
  <si>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</si>
  <si>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</si>
  <si>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</si>
  <si>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</si>
  <si>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</si>
  <si>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</si>
  <si>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</si>
  <si>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</si>
  <si>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</si>
  <si>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</si>
  <si>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</si>
  <si>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</si>
  <si>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</si>
  <si>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</si>
  <si>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</si>
  <si>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</si>
  <si>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</si>
  <si>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</si>
  <si>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</si>
  <si>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</si>
  <si>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</si>
  <si>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</si>
  <si>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</si>
  <si>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</si>
  <si>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</si>
  <si>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</si>
  <si>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</si>
  <si>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</si>
  <si>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</si>
  <si>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</si>
  <si>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</si>
  <si>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</si>
  <si>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</si>
  <si>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</si>
  <si>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</si>
  <si>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</si>
  <si>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</si>
  <si>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</si>
  <si>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</si>
  <si>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</si>
  <si>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</si>
  <si>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</si>
  <si>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</si>
  <si>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</si>
  <si>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</si>
  <si>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</si>
  <si>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</si>
  <si>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</si>
  <si>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</si>
  <si>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</si>
  <si>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</si>
  <si>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</si>
  <si>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</si>
  <si>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</si>
  <si>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</si>
  <si>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</si>
  <si>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</si>
  <si>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</si>
  <si>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</si>
  <si>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</si>
  <si>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</si>
  <si>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</si>
  <si>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</si>
  <si>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</si>
  <si>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</si>
  <si>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</si>
  <si>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</si>
  <si>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</si>
  <si>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</si>
  <si>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</si>
  <si>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</si>
  <si>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</si>
  <si>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</si>
  <si>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</si>
  <si>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</si>
  <si>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</si>
  <si>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</si>
  <si>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</si>
  <si>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</si>
  <si>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</si>
  <si>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</si>
  <si>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</si>
  <si>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</si>
  <si>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</si>
  <si>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</si>
  <si>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</si>
  <si>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</si>
  <si>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</si>
  <si>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</si>
  <si>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</si>
  <si>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</si>
  <si>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</si>
  <si>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</si>
  <si>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</si>
  <si>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</si>
  <si>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</si>
  <si>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</si>
  <si>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</si>
  <si>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</si>
  <si>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</si>
  <si>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</si>
  <si>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</si>
  <si>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</si>
  <si>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</si>
  <si>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</si>
  <si>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</si>
  <si>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</si>
  <si>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</si>
  <si>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</si>
  <si>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</si>
  <si>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MDF18MM</t>
  </si>
  <si>
    <t>SANTIAGO</t>
  </si>
  <si>
    <t>CUBIERTA C/R 90° R8</t>
  </si>
  <si>
    <t>BLANCO MT</t>
  </si>
  <si>
    <t>GUILLERMO VASQUEZ</t>
  </si>
  <si>
    <t>+569 7253 6592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</si>
</sst>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7" xfId="0" applyFont="1" applyFill="1" applyBorder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4" fillId="3" borderId="4" xfId="0" applyFont="1" applyFill="1" applyBorder="1"/>
    <xf numFmtId="0" fontId="18" fillId="0" borderId="0" xfId="0" applyFont="1"/>
    <xf numFmtId="0" fontId="10" fillId="4" borderId="0" xfId="0" applyFont="1" applyFill="1"/>
    <xf numFmtId="0" fontId="18" fillId="3" borderId="0" xfId="0" applyFont="1" applyFill="1"/>
    <xf numFmtId="0" fontId="10" fillId="3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8" fillId="3" borderId="9" xfId="0" applyFont="1" applyFill="1" applyBorder="1"/>
    <xf numFmtId="0" fontId="19" fillId="3" borderId="0" xfId="0" quotePrefix="1" applyFont="1" applyFill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19592</xdr:colOff>
      <xdr:row>24</xdr:row>
      <xdr:rowOff>23327</xdr:rowOff>
    </xdr:from>
    <xdr:to>
      <xdr:col>5</xdr:col>
      <xdr:colOff>1562878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980" y="985934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</a:t>
          </a:r>
          <a:r>
            <a:rPr lang="es-CL" sz="1200" b="1" i="0" baseline="0"/>
            <a:t> 100.000.-</a:t>
          </a:r>
          <a:endParaRPr lang="es-CL" sz="1200" b="1" i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17</xdr:row>
      <xdr:rowOff>66674</xdr:rowOff>
    </xdr:from>
    <xdr:to>
      <xdr:col>6</xdr:col>
      <xdr:colOff>2914649</xdr:colOff>
      <xdr:row>19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47</xdr:row>
      <xdr:rowOff>190500</xdr:rowOff>
    </xdr:from>
    <xdr:to>
      <xdr:col>7</xdr:col>
      <xdr:colOff>9524</xdr:colOff>
      <xdr:row>49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44</xdr:row>
      <xdr:rowOff>30479</xdr:rowOff>
    </xdr:from>
    <xdr:to>
      <xdr:col>6</xdr:col>
      <xdr:colOff>2912745</xdr:colOff>
      <xdr:row>45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42</xdr:row>
      <xdr:rowOff>209549</xdr:rowOff>
    </xdr:from>
    <xdr:to>
      <xdr:col>7</xdr:col>
      <xdr:colOff>0</xdr:colOff>
      <xdr:row>44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41</xdr:row>
      <xdr:rowOff>171450</xdr:rowOff>
    </xdr:from>
    <xdr:to>
      <xdr:col>7</xdr:col>
      <xdr:colOff>19050</xdr:colOff>
      <xdr:row>42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56</xdr:row>
      <xdr:rowOff>0</xdr:rowOff>
    </xdr:from>
    <xdr:to>
      <xdr:col>3</xdr:col>
      <xdr:colOff>38100</xdr:colOff>
      <xdr:row>57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56</xdr:row>
      <xdr:rowOff>0</xdr:rowOff>
    </xdr:from>
    <xdr:to>
      <xdr:col>3</xdr:col>
      <xdr:colOff>1019175</xdr:colOff>
      <xdr:row>57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56</xdr:row>
      <xdr:rowOff>0</xdr:rowOff>
    </xdr:from>
    <xdr:to>
      <xdr:col>4</xdr:col>
      <xdr:colOff>352425</xdr:colOff>
      <xdr:row>57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56</xdr:row>
      <xdr:rowOff>0</xdr:rowOff>
    </xdr:from>
    <xdr:to>
      <xdr:col>5</xdr:col>
      <xdr:colOff>257175</xdr:colOff>
      <xdr:row>57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56</xdr:row>
      <xdr:rowOff>0</xdr:rowOff>
    </xdr:from>
    <xdr:to>
      <xdr:col>6</xdr:col>
      <xdr:colOff>447675</xdr:colOff>
      <xdr:row>57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56</xdr:row>
      <xdr:rowOff>0</xdr:rowOff>
    </xdr:from>
    <xdr:to>
      <xdr:col>7</xdr:col>
      <xdr:colOff>0</xdr:colOff>
      <xdr:row>57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57</xdr:row>
      <xdr:rowOff>0</xdr:rowOff>
    </xdr:from>
    <xdr:to>
      <xdr:col>3</xdr:col>
      <xdr:colOff>304800</xdr:colOff>
      <xdr:row>58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57</xdr:row>
      <xdr:rowOff>0</xdr:rowOff>
    </xdr:from>
    <xdr:to>
      <xdr:col>3</xdr:col>
      <xdr:colOff>1276350</xdr:colOff>
      <xdr:row>58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57</xdr:row>
      <xdr:rowOff>0</xdr:rowOff>
    </xdr:from>
    <xdr:to>
      <xdr:col>4</xdr:col>
      <xdr:colOff>619125</xdr:colOff>
      <xdr:row>58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57</xdr:row>
      <xdr:rowOff>0</xdr:rowOff>
    </xdr:from>
    <xdr:to>
      <xdr:col>5</xdr:col>
      <xdr:colOff>523875</xdr:colOff>
      <xdr:row>58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57</xdr:row>
      <xdr:rowOff>0</xdr:rowOff>
    </xdr:from>
    <xdr:to>
      <xdr:col>6</xdr:col>
      <xdr:colOff>723900</xdr:colOff>
      <xdr:row>58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57</xdr:row>
      <xdr:rowOff>0</xdr:rowOff>
    </xdr:from>
    <xdr:to>
      <xdr:col>7</xdr:col>
      <xdr:colOff>0</xdr:colOff>
      <xdr:row>58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33</xdr:row>
      <xdr:rowOff>15239</xdr:rowOff>
    </xdr:from>
    <xdr:to>
      <xdr:col>7</xdr:col>
      <xdr:colOff>0</xdr:colOff>
      <xdr:row>37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26</xdr:row>
      <xdr:rowOff>1</xdr:rowOff>
    </xdr:from>
    <xdr:to>
      <xdr:col>7</xdr:col>
      <xdr:colOff>19048</xdr:colOff>
      <xdr:row>27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59</xdr:row>
      <xdr:rowOff>32385</xdr:rowOff>
    </xdr:from>
    <xdr:to>
      <xdr:col>7</xdr:col>
      <xdr:colOff>0</xdr:colOff>
      <xdr:row>63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41</xdr:row>
      <xdr:rowOff>146685</xdr:rowOff>
    </xdr:from>
    <xdr:to>
      <xdr:col>2</xdr:col>
      <xdr:colOff>786523</xdr:colOff>
      <xdr:row>47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304800</xdr:colOff>
      <xdr:row>66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opLeftCell="A5" zoomScale="98" zoomScaleNormal="98" workbookViewId="0">
      <selection activeCell="D25" sqref="D2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1.21875" customWidth="1"/>
    <col min="4" max="5" width="11.109375" customWidth="1"/>
    <col min="6" max="6" width="25.4414062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11303</v>
      </c>
      <c r="E8" s="30"/>
      <c r="F8" s="35" t="s">
        <v>25</v>
      </c>
      <c r="G8" s="36">
        <v>4153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113" t="s">
        <v>141</v>
      </c>
      <c r="D10" s="38"/>
      <c r="E10" s="38"/>
      <c r="F10" s="39" t="s">
        <v>26</v>
      </c>
      <c r="G10" s="40">
        <v>45721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30"/>
      <c r="B11" s="42" t="s">
        <v>2</v>
      </c>
      <c r="C11" s="114"/>
      <c r="D11" s="115"/>
      <c r="E11" s="115"/>
      <c r="F11" s="115" t="s">
        <v>120</v>
      </c>
      <c r="G11" s="43">
        <v>45723</v>
      </c>
      <c r="H11" s="44"/>
      <c r="I11" s="30"/>
    </row>
    <row r="12" spans="1:17" ht="18.600000000000001" x14ac:dyDescent="0.4">
      <c r="A12" s="30"/>
      <c r="B12" s="45" t="s">
        <v>126</v>
      </c>
      <c r="C12" s="116"/>
      <c r="D12" s="46"/>
      <c r="E12" s="46"/>
      <c r="F12" s="46" t="s">
        <v>27</v>
      </c>
      <c r="G12" s="117"/>
      <c r="H12" s="47"/>
      <c r="I12" s="30"/>
    </row>
    <row r="13" spans="1:17" ht="18" x14ac:dyDescent="0.35">
      <c r="A13" s="30"/>
      <c r="B13" s="45" t="s">
        <v>127</v>
      </c>
      <c r="C13" s="6"/>
      <c r="D13" s="46"/>
      <c r="E13" s="46"/>
      <c r="F13" s="46" t="s">
        <v>124</v>
      </c>
      <c r="G13" s="117" t="s">
        <v>134</v>
      </c>
      <c r="H13" s="47"/>
      <c r="I13" s="30"/>
    </row>
    <row r="14" spans="1:17" ht="18" x14ac:dyDescent="0.35">
      <c r="A14" s="30"/>
      <c r="B14" s="42" t="s">
        <v>16</v>
      </c>
      <c r="C14" s="121" t="s">
        <v>142</v>
      </c>
      <c r="D14" s="118"/>
      <c r="E14" s="115"/>
      <c r="F14" s="115"/>
      <c r="G14" s="115"/>
      <c r="H14" s="44"/>
      <c r="I14" s="30"/>
    </row>
    <row r="15" spans="1:17" ht="18" x14ac:dyDescent="0.35">
      <c r="A15" s="30"/>
      <c r="B15" s="45" t="s">
        <v>1</v>
      </c>
      <c r="D15" s="46"/>
      <c r="E15" s="46"/>
      <c r="F15" s="119" t="s">
        <v>72</v>
      </c>
      <c r="G15" s="119" t="s">
        <v>129</v>
      </c>
      <c r="H15" s="47"/>
      <c r="I15" s="30"/>
    </row>
    <row r="16" spans="1:17" ht="19.2" thickBot="1" x14ac:dyDescent="0.45">
      <c r="A16" s="30"/>
      <c r="B16" s="48" t="s">
        <v>3</v>
      </c>
      <c r="C16" s="120" t="s">
        <v>138</v>
      </c>
      <c r="D16" s="49"/>
      <c r="E16" s="50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1" t="s">
        <v>128</v>
      </c>
      <c r="C20" s="103" t="s">
        <v>19</v>
      </c>
      <c r="D20" s="103" t="s">
        <v>20</v>
      </c>
      <c r="E20" s="103" t="s">
        <v>7</v>
      </c>
      <c r="F20" s="104" t="s">
        <v>21</v>
      </c>
      <c r="G20" s="105" t="s">
        <v>22</v>
      </c>
      <c r="H20" s="104" t="s">
        <v>4</v>
      </c>
      <c r="I20" s="30"/>
      <c r="N20">
        <v>65000</v>
      </c>
    </row>
    <row r="21" spans="1:16" ht="20.100000000000001" customHeight="1" x14ac:dyDescent="0.35">
      <c r="A21" s="30"/>
      <c r="B21" s="97">
        <v>1</v>
      </c>
      <c r="C21" s="97" t="s">
        <v>139</v>
      </c>
      <c r="D21" s="98">
        <v>3300</v>
      </c>
      <c r="E21" s="98">
        <v>600</v>
      </c>
      <c r="F21" s="97" t="s">
        <v>140</v>
      </c>
      <c r="G21" s="112">
        <v>118903</v>
      </c>
      <c r="H21" s="112">
        <f t="shared" ref="H21:H22" si="0">G21*B21</f>
        <v>118903</v>
      </c>
      <c r="I21" s="30"/>
      <c r="K21" s="11">
        <f>D21/1000</f>
        <v>3.3</v>
      </c>
      <c r="L21" s="15">
        <f>E21/1000</f>
        <v>0.6</v>
      </c>
      <c r="M21" s="11">
        <f>K21*L21</f>
        <v>1.9799999999999998</v>
      </c>
      <c r="N21" s="11">
        <f>M21*N$20</f>
        <v>128699.99999999999</v>
      </c>
      <c r="O21" s="15"/>
      <c r="P21" s="21"/>
    </row>
    <row r="22" spans="1:16" ht="20.100000000000001" customHeight="1" x14ac:dyDescent="0.35">
      <c r="A22" s="30"/>
      <c r="B22" s="97">
        <v>1</v>
      </c>
      <c r="C22" s="97" t="s">
        <v>139</v>
      </c>
      <c r="D22" s="98">
        <v>3100</v>
      </c>
      <c r="E22" s="98">
        <v>600</v>
      </c>
      <c r="F22" s="97" t="s">
        <v>140</v>
      </c>
      <c r="G22" s="112">
        <v>112045</v>
      </c>
      <c r="H22" s="112">
        <f t="shared" si="0"/>
        <v>112045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99"/>
      <c r="C23" s="99"/>
      <c r="D23" s="100"/>
      <c r="E23" s="100"/>
      <c r="F23" s="99"/>
      <c r="G23" s="101"/>
      <c r="H23" s="101"/>
      <c r="I23" s="30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30"/>
      <c r="B24" s="99">
        <f>SUM(B21:B21)</f>
        <v>1</v>
      </c>
      <c r="C24" s="99"/>
      <c r="D24" s="111"/>
      <c r="E24" s="111"/>
      <c r="F24" s="99"/>
      <c r="G24" s="101"/>
      <c r="H24" s="101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99"/>
      <c r="C25" s="99"/>
      <c r="D25" s="111"/>
      <c r="E25" s="111"/>
      <c r="F25" s="99"/>
      <c r="G25" s="54" t="s">
        <v>5</v>
      </c>
      <c r="H25" s="55">
        <v>231000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99"/>
      <c r="C26" s="99"/>
      <c r="D26" s="111"/>
      <c r="E26" s="111"/>
      <c r="F26" s="99"/>
      <c r="G26" s="56" t="s">
        <v>136</v>
      </c>
      <c r="H26" s="57"/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99"/>
      <c r="C27" s="99"/>
      <c r="D27" s="111"/>
      <c r="E27" s="111"/>
      <c r="F27" s="99"/>
      <c r="G27" s="58" t="s">
        <v>4</v>
      </c>
      <c r="H27" s="59">
        <f>H25+H26</f>
        <v>231000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99"/>
      <c r="C28" s="99"/>
      <c r="D28" s="111"/>
      <c r="E28" s="111"/>
      <c r="F28" s="99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99"/>
      <c r="C29" s="99"/>
      <c r="D29" s="111"/>
      <c r="E29" s="111"/>
      <c r="F29" s="99"/>
      <c r="G29" s="101"/>
      <c r="H29" s="101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99"/>
      <c r="C30" s="99"/>
      <c r="D30" s="111"/>
      <c r="E30" s="111"/>
      <c r="F30" s="99"/>
      <c r="G30" s="101"/>
      <c r="H30" s="101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99"/>
      <c r="C31" s="99"/>
      <c r="D31" s="100"/>
      <c r="E31" s="100"/>
      <c r="F31" s="99"/>
      <c r="G31" s="101"/>
      <c r="H31" s="101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99"/>
      <c r="C32" s="99"/>
      <c r="D32" s="100"/>
      <c r="E32" s="100"/>
      <c r="F32" s="99"/>
      <c r="G32" s="101"/>
      <c r="H32" s="101"/>
      <c r="I32" s="30"/>
      <c r="K32" s="11"/>
      <c r="L32" s="15"/>
      <c r="M32" s="11"/>
      <c r="N32" s="11"/>
      <c r="O32" s="15"/>
      <c r="P32" s="21"/>
    </row>
    <row r="33" spans="1:9" ht="13.2" customHeight="1" x14ac:dyDescent="0.35">
      <c r="A33" s="30"/>
      <c r="B33" s="53"/>
      <c r="C33" s="53"/>
      <c r="D33" s="53"/>
      <c r="E33" s="53"/>
      <c r="F33" s="53"/>
      <c r="G33" s="52"/>
      <c r="H33" s="52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9" ht="20.100000000000001" customHeight="1" x14ac:dyDescent="0.35">
      <c r="A37" s="30"/>
      <c r="B37" s="30"/>
      <c r="C37" s="30"/>
      <c r="D37" s="30"/>
      <c r="E37" s="30"/>
      <c r="F37" s="30"/>
      <c r="G37" s="60"/>
      <c r="H37" s="61"/>
      <c r="I37" s="30"/>
    </row>
    <row r="38" spans="1:9" ht="18" x14ac:dyDescent="0.35">
      <c r="A38" s="30"/>
      <c r="B38" s="30"/>
      <c r="C38" s="30"/>
      <c r="D38" s="30"/>
      <c r="E38" s="30"/>
      <c r="F38" s="30"/>
      <c r="G38" s="30"/>
      <c r="H38" s="30"/>
      <c r="I38" s="30"/>
    </row>
    <row r="39" spans="1:9" ht="18" x14ac:dyDescent="0.35">
      <c r="A39" s="30"/>
      <c r="B39" s="62" t="s">
        <v>133</v>
      </c>
      <c r="C39" s="63"/>
      <c r="D39" s="64"/>
      <c r="E39" s="64"/>
      <c r="F39" s="53"/>
      <c r="G39" s="30"/>
      <c r="H39" s="30"/>
      <c r="I39" s="30"/>
    </row>
    <row r="40" spans="1:9" ht="18" x14ac:dyDescent="0.35">
      <c r="A40" s="30"/>
      <c r="B40" s="62" t="s">
        <v>119</v>
      </c>
      <c r="C40" s="63"/>
      <c r="D40" s="64"/>
      <c r="E40" s="64"/>
      <c r="F40" s="53"/>
      <c r="G40" s="30"/>
      <c r="H40" s="30"/>
      <c r="I40" s="30"/>
    </row>
    <row r="41" spans="1:9" ht="18" x14ac:dyDescent="0.35">
      <c r="A41" s="30"/>
      <c r="B41" s="30" t="s">
        <v>23</v>
      </c>
      <c r="C41" s="30"/>
      <c r="D41" s="30"/>
      <c r="E41" s="30"/>
      <c r="F41" s="30"/>
      <c r="G41" s="30"/>
      <c r="H41" s="30"/>
      <c r="I41" s="30"/>
    </row>
    <row r="42" spans="1:9" ht="18" x14ac:dyDescent="0.35">
      <c r="A42" s="30"/>
      <c r="B42" s="65" t="s">
        <v>24</v>
      </c>
      <c r="C42" s="65"/>
      <c r="D42" s="30"/>
      <c r="E42" s="30"/>
      <c r="F42" s="30"/>
      <c r="G42" s="30"/>
      <c r="H42" s="30"/>
      <c r="I42" s="30"/>
    </row>
    <row r="43" spans="1:9" ht="18" x14ac:dyDescent="0.35">
      <c r="A43" s="30"/>
      <c r="B43" s="30"/>
      <c r="C43" s="30"/>
      <c r="D43" s="30"/>
      <c r="E43" s="65"/>
      <c r="F43" s="30"/>
      <c r="G43" s="30"/>
      <c r="H43" s="30"/>
      <c r="I43" s="30"/>
    </row>
    <row r="44" spans="1:9" ht="18" x14ac:dyDescent="0.35">
      <c r="A44" s="30"/>
      <c r="B44" s="31" t="s">
        <v>131</v>
      </c>
      <c r="C44" s="31"/>
      <c r="D44" s="31"/>
      <c r="E44" s="66"/>
      <c r="F44" s="30"/>
      <c r="G44" s="30"/>
      <c r="H44" s="30"/>
      <c r="I44" s="30"/>
    </row>
    <row r="45" spans="1:9" ht="18" x14ac:dyDescent="0.35">
      <c r="A45" s="30"/>
      <c r="B45" s="31"/>
      <c r="C45" s="31"/>
      <c r="D45" s="31"/>
      <c r="E45" s="66"/>
      <c r="F45" s="30"/>
      <c r="G45" s="30"/>
      <c r="H45" s="30"/>
      <c r="I45" s="30"/>
    </row>
    <row r="46" spans="1:9" ht="18" x14ac:dyDescent="0.35">
      <c r="A46" s="30"/>
      <c r="B46" s="31" t="s">
        <v>132</v>
      </c>
      <c r="C46" s="30"/>
      <c r="D46" s="30"/>
      <c r="E46" s="65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65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0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7"/>
  <sheetViews>
    <sheetView tabSelected="1" zoomScaleNormal="100" workbookViewId="0">
      <selection sqref="A1:G39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68" t="s">
        <v>25</v>
      </c>
      <c r="E4" s="69">
        <f>'4637'!G8</f>
        <v>4153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0" t="s">
        <v>64</v>
      </c>
      <c r="E5" s="71" t="str">
        <f>'4637'!C10</f>
        <v>GUILLERMO VASQUEZ</v>
      </c>
      <c r="F5" s="46"/>
      <c r="G5" s="46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2"/>
      <c r="E6" s="73"/>
      <c r="F6" s="30"/>
      <c r="G6" s="30"/>
      <c r="H6" s="30"/>
    </row>
    <row r="7" spans="1:15" ht="18" x14ac:dyDescent="0.35">
      <c r="B7" s="30"/>
      <c r="C7" s="30"/>
      <c r="D7" s="83" t="str">
        <f>'4637'!F11</f>
        <v>FECHA LIMITE :</v>
      </c>
      <c r="E7" s="75">
        <f>'4637'!G11</f>
        <v>45723</v>
      </c>
      <c r="F7" s="30"/>
      <c r="G7" s="30" t="s">
        <v>135</v>
      </c>
      <c r="H7" s="30"/>
    </row>
    <row r="8" spans="1:15" ht="18" x14ac:dyDescent="0.35">
      <c r="B8" s="30"/>
      <c r="C8" s="30"/>
      <c r="D8" s="84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85"/>
      <c r="E11" s="30"/>
      <c r="F11" s="30"/>
      <c r="G11" s="30"/>
      <c r="H11" s="30"/>
    </row>
    <row r="12" spans="1:15" ht="18" x14ac:dyDescent="0.35">
      <c r="B12" s="30"/>
      <c r="C12" s="30"/>
      <c r="D12" s="30"/>
      <c r="E12" s="60" t="s">
        <v>6</v>
      </c>
      <c r="F12" s="60" t="s">
        <v>7</v>
      </c>
      <c r="G12" s="30"/>
      <c r="H12" s="30"/>
    </row>
    <row r="13" spans="1:15" ht="18" x14ac:dyDescent="0.35">
      <c r="B13" s="60" t="s">
        <v>8</v>
      </c>
      <c r="C13" s="86" t="s">
        <v>9</v>
      </c>
      <c r="D13" s="86" t="s">
        <v>10</v>
      </c>
      <c r="E13" s="87">
        <v>50</v>
      </c>
      <c r="F13" s="87">
        <v>-30</v>
      </c>
      <c r="G13" s="86" t="s">
        <v>107</v>
      </c>
      <c r="H13" s="30"/>
      <c r="K13" s="5" t="s">
        <v>6</v>
      </c>
      <c r="L13" s="5" t="s">
        <v>7</v>
      </c>
    </row>
    <row r="14" spans="1:15" ht="18" x14ac:dyDescent="0.35">
      <c r="A14" s="108">
        <v>1</v>
      </c>
      <c r="B14" s="96" t="s">
        <v>137</v>
      </c>
      <c r="C14" s="88">
        <f>J14</f>
        <v>1</v>
      </c>
      <c r="D14" s="88"/>
      <c r="E14" s="88">
        <f>K14+E$13</f>
        <v>3350</v>
      </c>
      <c r="F14" s="88">
        <f>L14+$F$13</f>
        <v>570</v>
      </c>
      <c r="G14" s="88" t="str">
        <f>D30</f>
        <v>CUBIERTA C/R 90° R8</v>
      </c>
      <c r="H14" s="30"/>
      <c r="J14" s="3">
        <f>'4637'!B21</f>
        <v>1</v>
      </c>
      <c r="K14" s="4">
        <f t="shared" ref="K14:L14" si="0">E30</f>
        <v>3300</v>
      </c>
      <c r="L14" s="4">
        <f t="shared" si="0"/>
        <v>600</v>
      </c>
    </row>
    <row r="15" spans="1:15" ht="18" x14ac:dyDescent="0.35">
      <c r="A15" s="108"/>
      <c r="B15" s="96"/>
      <c r="C15" s="88">
        <f t="shared" ref="C15" si="1">J15</f>
        <v>1</v>
      </c>
      <c r="D15" s="88"/>
      <c r="E15" s="88">
        <f t="shared" ref="E15" si="2">K15+E$13</f>
        <v>3150</v>
      </c>
      <c r="F15" s="88">
        <f>L15+$F$13</f>
        <v>570</v>
      </c>
      <c r="G15" s="88" t="str">
        <f t="shared" ref="G15" si="3">D31</f>
        <v>CUBIERTA C/R 90° R8</v>
      </c>
      <c r="H15" s="30"/>
      <c r="J15" s="3">
        <f>'4637'!B22</f>
        <v>1</v>
      </c>
      <c r="K15" s="4">
        <f t="shared" ref="K15" si="4">E31</f>
        <v>3100</v>
      </c>
      <c r="L15" s="4">
        <f t="shared" ref="L15" si="5">F31</f>
        <v>600</v>
      </c>
    </row>
    <row r="16" spans="1:15" ht="18" x14ac:dyDescent="0.35">
      <c r="A16" s="108"/>
      <c r="B16" s="96"/>
      <c r="C16" s="67"/>
      <c r="D16" s="67"/>
      <c r="E16" s="67"/>
      <c r="F16" s="67"/>
      <c r="G16" s="67"/>
      <c r="H16" s="30"/>
      <c r="J16" s="23"/>
      <c r="K16" s="2"/>
      <c r="L16" s="2"/>
    </row>
    <row r="17" spans="1:12" ht="18" x14ac:dyDescent="0.35">
      <c r="A17" s="2"/>
      <c r="B17" s="77"/>
      <c r="C17" s="67"/>
      <c r="D17" s="67"/>
      <c r="E17" s="67"/>
      <c r="F17" s="67"/>
      <c r="G17" s="67"/>
      <c r="H17" s="30"/>
      <c r="J17" s="23"/>
      <c r="K17" s="2"/>
      <c r="L17" s="2"/>
    </row>
    <row r="18" spans="1:12" ht="6.75" customHeight="1" x14ac:dyDescent="0.35">
      <c r="A18" s="2"/>
      <c r="B18" s="30"/>
      <c r="C18" s="30"/>
      <c r="D18" s="30"/>
      <c r="E18" s="30"/>
      <c r="F18" s="30"/>
      <c r="G18" s="30"/>
      <c r="H18" s="30"/>
    </row>
    <row r="19" spans="1:12" ht="18" x14ac:dyDescent="0.35">
      <c r="A19" s="2"/>
      <c r="B19" s="130" t="s">
        <v>13</v>
      </c>
      <c r="C19" s="130"/>
      <c r="D19" s="130"/>
      <c r="E19" s="130"/>
      <c r="F19" s="130"/>
      <c r="G19" s="130"/>
      <c r="H19" s="30"/>
    </row>
    <row r="20" spans="1:12" ht="10.5" customHeight="1" x14ac:dyDescent="0.35">
      <c r="A20" s="2"/>
      <c r="B20" s="30"/>
      <c r="C20" s="30"/>
      <c r="D20" s="85"/>
      <c r="E20" s="30"/>
      <c r="F20" s="30"/>
      <c r="G20" s="30"/>
      <c r="H20" s="30"/>
    </row>
    <row r="21" spans="1:12" ht="18" x14ac:dyDescent="0.35">
      <c r="A21" s="2"/>
      <c r="B21" s="30"/>
      <c r="C21" s="30"/>
      <c r="D21" s="30"/>
      <c r="E21" s="60" t="s">
        <v>6</v>
      </c>
      <c r="F21" s="60" t="s">
        <v>7</v>
      </c>
      <c r="G21" s="30"/>
      <c r="H21" s="30"/>
    </row>
    <row r="22" spans="1:12" ht="18" x14ac:dyDescent="0.35">
      <c r="A22" s="2"/>
      <c r="B22" s="60" t="s">
        <v>8</v>
      </c>
      <c r="C22" s="76" t="s">
        <v>9</v>
      </c>
      <c r="D22" s="76" t="s">
        <v>10</v>
      </c>
      <c r="E22" s="89">
        <v>40</v>
      </c>
      <c r="F22" s="89">
        <v>130</v>
      </c>
      <c r="G22" s="76" t="s">
        <v>107</v>
      </c>
      <c r="H22" s="30"/>
      <c r="K22" s="5" t="s">
        <v>6</v>
      </c>
      <c r="L22" s="5" t="s">
        <v>7</v>
      </c>
    </row>
    <row r="23" spans="1:12" ht="18" x14ac:dyDescent="0.35">
      <c r="A23" s="108">
        <v>1</v>
      </c>
      <c r="B23" s="96"/>
      <c r="C23" s="90">
        <f t="shared" ref="C23" si="6">J23</f>
        <v>1</v>
      </c>
      <c r="D23" s="90"/>
      <c r="E23" s="90">
        <f>K23+$E$22</f>
        <v>3340</v>
      </c>
      <c r="F23" s="90">
        <f>L23+F$22</f>
        <v>730</v>
      </c>
      <c r="G23" s="90" t="str">
        <f>D30</f>
        <v>CUBIERTA C/R 90° R8</v>
      </c>
      <c r="H23" s="30"/>
      <c r="J23" s="3">
        <f>C30</f>
        <v>1</v>
      </c>
      <c r="K23" s="102">
        <f>E30</f>
        <v>3300</v>
      </c>
      <c r="L23" s="102">
        <f>F30</f>
        <v>600</v>
      </c>
    </row>
    <row r="24" spans="1:12" ht="18" x14ac:dyDescent="0.35">
      <c r="A24" s="108"/>
      <c r="B24" s="96"/>
      <c r="C24" s="90">
        <f t="shared" ref="C24" si="7">J24</f>
        <v>1</v>
      </c>
      <c r="D24" s="90"/>
      <c r="E24" s="90">
        <f>K24+$E$22</f>
        <v>3140</v>
      </c>
      <c r="F24" s="90">
        <f>L24+F$22</f>
        <v>730</v>
      </c>
      <c r="G24" s="90" t="str">
        <f t="shared" ref="G24" si="8">D31</f>
        <v>CUBIERTA C/R 90° R8</v>
      </c>
      <c r="H24" s="30"/>
      <c r="J24" s="3">
        <f t="shared" ref="J24" si="9">C31</f>
        <v>1</v>
      </c>
      <c r="K24" s="102">
        <f t="shared" ref="K24:L24" si="10">E31</f>
        <v>3100</v>
      </c>
      <c r="L24" s="102">
        <f t="shared" si="10"/>
        <v>600</v>
      </c>
    </row>
    <row r="25" spans="1:12" ht="18" x14ac:dyDescent="0.35">
      <c r="A25" s="108"/>
      <c r="B25" s="96"/>
      <c r="C25" s="67"/>
      <c r="D25" s="67"/>
      <c r="E25" s="67"/>
      <c r="F25" s="67"/>
      <c r="G25" s="67"/>
      <c r="H25" s="30"/>
      <c r="J25" s="23"/>
      <c r="K25" s="110"/>
      <c r="L25" s="110"/>
    </row>
    <row r="26" spans="1:12" ht="18.600000000000001" thickBot="1" x14ac:dyDescent="0.4">
      <c r="A26" s="2"/>
      <c r="B26" s="77"/>
      <c r="C26" s="67"/>
      <c r="D26" s="67"/>
      <c r="E26" s="67"/>
      <c r="F26" s="67"/>
      <c r="G26" s="67"/>
      <c r="H26" s="30"/>
      <c r="I26" s="106"/>
      <c r="J26" s="107"/>
      <c r="K26" s="107"/>
      <c r="L26" s="107"/>
    </row>
    <row r="27" spans="1:12" ht="18.600000000000001" thickBot="1" x14ac:dyDescent="0.4">
      <c r="A27" s="2"/>
      <c r="B27" s="60"/>
      <c r="C27" s="91" t="s">
        <v>104</v>
      </c>
      <c r="D27" s="33"/>
      <c r="E27" s="33"/>
      <c r="F27" s="33"/>
      <c r="G27" s="92"/>
      <c r="H27" s="30"/>
      <c r="J27" s="2"/>
      <c r="K27" s="2"/>
      <c r="L27" s="2"/>
    </row>
    <row r="28" spans="1:12" ht="10.5" customHeight="1" x14ac:dyDescent="0.35">
      <c r="A28" s="2"/>
      <c r="B28" s="30"/>
      <c r="C28" s="30"/>
      <c r="D28" s="30"/>
      <c r="E28" s="30"/>
      <c r="F28" s="30"/>
      <c r="G28" s="30"/>
      <c r="H28" s="30"/>
    </row>
    <row r="29" spans="1:12" ht="18" x14ac:dyDescent="0.35">
      <c r="A29" s="2"/>
      <c r="B29" s="60" t="s">
        <v>8</v>
      </c>
      <c r="C29" s="93" t="s">
        <v>9</v>
      </c>
      <c r="D29" s="93" t="s">
        <v>107</v>
      </c>
      <c r="E29" s="93" t="s">
        <v>6</v>
      </c>
      <c r="F29" s="93" t="s">
        <v>7</v>
      </c>
      <c r="G29" s="93" t="s">
        <v>21</v>
      </c>
      <c r="H29" s="30"/>
    </row>
    <row r="30" spans="1:12" ht="18" x14ac:dyDescent="0.35">
      <c r="A30" s="108">
        <v>1</v>
      </c>
      <c r="B30" s="96" t="s">
        <v>137</v>
      </c>
      <c r="C30" s="88">
        <f>'4637'!B21</f>
        <v>1</v>
      </c>
      <c r="D30" s="88" t="str">
        <f>'4637'!C21</f>
        <v>CUBIERTA C/R 90° R8</v>
      </c>
      <c r="E30" s="88">
        <f>'4637'!D21</f>
        <v>3300</v>
      </c>
      <c r="F30" s="88">
        <f>'4637'!E21</f>
        <v>600</v>
      </c>
      <c r="G30" s="88" t="str">
        <f>'4637'!F21</f>
        <v>BLANCO MT</v>
      </c>
      <c r="H30" s="30"/>
      <c r="I30" s="28">
        <f>E30*F30/1000000</f>
        <v>1.98</v>
      </c>
      <c r="J30" s="28">
        <f>I30*C30</f>
        <v>1.98</v>
      </c>
    </row>
    <row r="31" spans="1:12" ht="18" x14ac:dyDescent="0.35">
      <c r="A31" s="108"/>
      <c r="B31" s="96"/>
      <c r="C31" s="88">
        <f>'4637'!B22</f>
        <v>1</v>
      </c>
      <c r="D31" s="88" t="str">
        <f>'4637'!C22</f>
        <v>CUBIERTA C/R 90° R8</v>
      </c>
      <c r="E31" s="88">
        <f>'4637'!D22</f>
        <v>3100</v>
      </c>
      <c r="F31" s="88">
        <f>'4637'!E22</f>
        <v>600</v>
      </c>
      <c r="G31" s="88" t="str">
        <f>'4637'!F22</f>
        <v>BLANCO MT</v>
      </c>
      <c r="H31" s="30"/>
      <c r="I31" s="28"/>
      <c r="J31" s="28"/>
    </row>
    <row r="32" spans="1:12" ht="18" x14ac:dyDescent="0.35">
      <c r="A32" s="2"/>
      <c r="B32" s="77"/>
      <c r="C32" s="67"/>
      <c r="D32" s="67"/>
      <c r="E32" s="67"/>
      <c r="F32" s="67"/>
      <c r="G32" s="67"/>
      <c r="H32" s="30"/>
      <c r="I32" s="28"/>
      <c r="J32" s="28"/>
    </row>
    <row r="33" spans="1:10" ht="18" x14ac:dyDescent="0.35">
      <c r="A33" s="2"/>
      <c r="B33" s="30"/>
      <c r="C33" s="67"/>
      <c r="D33" s="67"/>
      <c r="E33" s="67"/>
      <c r="F33" s="67"/>
      <c r="G33" s="67"/>
      <c r="H33" s="30"/>
    </row>
    <row r="34" spans="1:10" ht="18" x14ac:dyDescent="0.35">
      <c r="A34" s="2"/>
      <c r="B34" s="30"/>
      <c r="C34" s="67"/>
      <c r="D34" s="67"/>
      <c r="E34" s="67"/>
      <c r="F34" s="67"/>
      <c r="G34" s="67"/>
      <c r="H34" s="30"/>
      <c r="J34" s="28">
        <f>SUM(J30:J30)*2</f>
        <v>3.96</v>
      </c>
    </row>
    <row r="35" spans="1:10" ht="18" x14ac:dyDescent="0.35">
      <c r="A35" s="2"/>
      <c r="B35" s="30"/>
      <c r="C35" s="67"/>
      <c r="D35" s="67"/>
      <c r="E35" s="67"/>
      <c r="F35" s="67"/>
      <c r="G35" s="67"/>
      <c r="H35" s="30"/>
    </row>
    <row r="36" spans="1:10" ht="18" x14ac:dyDescent="0.35">
      <c r="A36" s="2"/>
      <c r="B36" s="30"/>
      <c r="C36" s="67"/>
      <c r="D36" s="67"/>
      <c r="E36" s="67"/>
      <c r="F36" s="67"/>
      <c r="G36" s="67"/>
      <c r="H36" s="30"/>
    </row>
    <row r="37" spans="1:10" ht="18" x14ac:dyDescent="0.35">
      <c r="A37" s="2"/>
      <c r="B37" s="30"/>
      <c r="C37" s="67"/>
      <c r="D37" s="67"/>
      <c r="E37" s="67"/>
      <c r="F37" s="67"/>
      <c r="G37" s="67"/>
      <c r="H37" s="30"/>
    </row>
    <row r="38" spans="1:10" ht="18" x14ac:dyDescent="0.35">
      <c r="A38" s="2"/>
      <c r="B38" s="30"/>
      <c r="C38" s="67"/>
      <c r="D38" s="67"/>
      <c r="E38" s="67"/>
      <c r="F38" s="67"/>
      <c r="G38" s="67"/>
      <c r="H38" s="30"/>
    </row>
    <row r="39" spans="1:10" ht="18" x14ac:dyDescent="0.35">
      <c r="A39" s="2"/>
      <c r="B39" s="30"/>
      <c r="C39" s="67"/>
      <c r="D39" s="67"/>
      <c r="E39" s="67"/>
      <c r="F39" s="67"/>
      <c r="G39" s="67"/>
      <c r="H39" s="30"/>
    </row>
    <row r="40" spans="1:10" ht="18" x14ac:dyDescent="0.35">
      <c r="A40" s="2"/>
      <c r="B40" s="30"/>
      <c r="C40" s="67"/>
      <c r="D40" s="67"/>
      <c r="E40" s="67"/>
      <c r="F40" s="67"/>
      <c r="G40" s="67"/>
      <c r="H40" s="30"/>
    </row>
    <row r="41" spans="1:10" ht="18" x14ac:dyDescent="0.35">
      <c r="A41" s="2"/>
      <c r="B41" s="30"/>
      <c r="C41" s="67"/>
      <c r="D41" s="67"/>
      <c r="E41" s="67"/>
      <c r="F41" s="67"/>
      <c r="G41" s="67"/>
      <c r="H41" s="30"/>
    </row>
    <row r="42" spans="1:10" ht="18" x14ac:dyDescent="0.35">
      <c r="A42" s="2"/>
      <c r="B42" s="30"/>
      <c r="C42" s="30"/>
      <c r="D42" s="30"/>
      <c r="E42" s="30"/>
      <c r="F42" s="30"/>
      <c r="G42" s="30"/>
      <c r="H42" s="30"/>
    </row>
    <row r="43" spans="1:10" ht="18" x14ac:dyDescent="0.35">
      <c r="A43" s="2"/>
      <c r="B43" s="30"/>
      <c r="C43" s="30"/>
      <c r="D43" s="68" t="s">
        <v>25</v>
      </c>
      <c r="E43" s="69">
        <f>'4637'!G8</f>
        <v>4153</v>
      </c>
      <c r="F43" s="30"/>
      <c r="G43" s="30"/>
      <c r="H43" s="30"/>
    </row>
    <row r="44" spans="1:10" ht="17.25" customHeight="1" x14ac:dyDescent="0.35">
      <c r="A44" s="2"/>
      <c r="B44" s="30"/>
      <c r="C44" s="30"/>
      <c r="D44" s="70" t="s">
        <v>64</v>
      </c>
      <c r="E44" s="71" t="str">
        <f>'4637'!C10</f>
        <v>GUILLERMO VASQUEZ</v>
      </c>
      <c r="F44" s="46"/>
      <c r="G44" s="46"/>
      <c r="H44" s="30"/>
    </row>
    <row r="45" spans="1:10" ht="4.5" customHeight="1" x14ac:dyDescent="0.35">
      <c r="A45" s="2"/>
      <c r="B45" s="30"/>
      <c r="C45" s="30"/>
      <c r="D45" s="72"/>
      <c r="E45" s="73"/>
      <c r="F45" s="30"/>
      <c r="G45" s="30"/>
      <c r="H45" s="30"/>
    </row>
    <row r="46" spans="1:10" ht="18" x14ac:dyDescent="0.35">
      <c r="A46" s="2"/>
      <c r="B46" s="30"/>
      <c r="C46" s="30"/>
      <c r="D46" s="74" t="str">
        <f>'4637'!F11</f>
        <v>FECHA LIMITE :</v>
      </c>
      <c r="E46" s="75">
        <f>'4637'!G11</f>
        <v>45723</v>
      </c>
      <c r="F46" s="30"/>
      <c r="G46" s="30"/>
      <c r="H46" s="30"/>
    </row>
    <row r="47" spans="1:10" ht="18" x14ac:dyDescent="0.35">
      <c r="A47" s="2"/>
      <c r="B47" s="30"/>
      <c r="C47" s="30"/>
      <c r="D47" s="30"/>
      <c r="E47" s="30"/>
      <c r="F47" s="30"/>
      <c r="G47" s="30" t="s">
        <v>135</v>
      </c>
      <c r="H47" s="30"/>
    </row>
    <row r="48" spans="1:10" ht="18" x14ac:dyDescent="0.35">
      <c r="A48" s="2"/>
      <c r="B48" s="30"/>
      <c r="C48" s="30"/>
      <c r="D48" s="30"/>
      <c r="E48" s="30"/>
      <c r="F48" s="30"/>
      <c r="G48" s="30"/>
      <c r="H48" s="30"/>
    </row>
    <row r="49" spans="1:13" ht="18" x14ac:dyDescent="0.35">
      <c r="A49" s="2"/>
      <c r="B49" s="131" t="s">
        <v>65</v>
      </c>
      <c r="C49" s="131"/>
      <c r="D49" s="131"/>
      <c r="E49" s="131"/>
      <c r="F49" s="131"/>
      <c r="G49" s="131"/>
      <c r="H49" s="30"/>
    </row>
    <row r="50" spans="1:13" ht="18" x14ac:dyDescent="0.35">
      <c r="A50" s="2"/>
      <c r="B50" s="30"/>
      <c r="C50" s="30"/>
      <c r="D50" s="30"/>
      <c r="E50" s="30"/>
      <c r="F50" s="30"/>
      <c r="G50" s="30"/>
      <c r="H50" s="30"/>
    </row>
    <row r="51" spans="1:13" ht="20.100000000000001" customHeight="1" x14ac:dyDescent="0.35">
      <c r="A51" s="2"/>
      <c r="B51" s="30"/>
      <c r="C51" s="132" t="s">
        <v>66</v>
      </c>
      <c r="D51" s="133"/>
      <c r="E51" s="134"/>
      <c r="F51" s="134"/>
      <c r="G51" s="135"/>
      <c r="H51" s="30"/>
      <c r="I51" s="25" t="s">
        <v>130</v>
      </c>
    </row>
    <row r="52" spans="1:13" s="10" customFormat="1" ht="20.100000000000001" customHeight="1" x14ac:dyDescent="0.35">
      <c r="A52" s="109"/>
      <c r="B52" s="30"/>
      <c r="C52" s="78" t="s">
        <v>9</v>
      </c>
      <c r="D52" s="79" t="s">
        <v>10</v>
      </c>
      <c r="E52" s="82" t="s">
        <v>6</v>
      </c>
      <c r="F52" s="82" t="s">
        <v>7</v>
      </c>
      <c r="G52" s="80" t="s">
        <v>11</v>
      </c>
      <c r="H52" s="30"/>
      <c r="K52" s="10">
        <v>15000</v>
      </c>
    </row>
    <row r="53" spans="1:13" s="10" customFormat="1" ht="20.100000000000001" customHeight="1" x14ac:dyDescent="0.35">
      <c r="A53" s="108">
        <v>1</v>
      </c>
      <c r="B53" s="95" t="s">
        <v>137</v>
      </c>
      <c r="C53" s="90">
        <f>'4637'!B21</f>
        <v>1</v>
      </c>
      <c r="D53" s="90" t="str">
        <f>'4637'!C21</f>
        <v>CUBIERTA C/R 90° R8</v>
      </c>
      <c r="E53" s="94">
        <f>'4637'!D21</f>
        <v>3300</v>
      </c>
      <c r="F53" s="94">
        <f>'4637'!E21</f>
        <v>600</v>
      </c>
      <c r="G53" s="90" t="str">
        <f>'4637'!F21</f>
        <v>BLANCO MT</v>
      </c>
      <c r="H53" s="30"/>
      <c r="I53" s="10">
        <f>E53*F53/1000000</f>
        <v>1.98</v>
      </c>
      <c r="J53" s="10">
        <f>I53*C53</f>
        <v>1.98</v>
      </c>
      <c r="K53" s="26">
        <f>J53*K$52</f>
        <v>29700</v>
      </c>
      <c r="M53" s="24">
        <v>12096</v>
      </c>
    </row>
    <row r="54" spans="1:13" s="10" customFormat="1" ht="20.100000000000001" customHeight="1" x14ac:dyDescent="0.35">
      <c r="A54" s="108"/>
      <c r="B54" s="95"/>
      <c r="C54" s="90">
        <f>'4637'!B22</f>
        <v>1</v>
      </c>
      <c r="D54" s="90" t="str">
        <f>'4637'!C22</f>
        <v>CUBIERTA C/R 90° R8</v>
      </c>
      <c r="E54" s="94">
        <f>'4637'!D22</f>
        <v>3100</v>
      </c>
      <c r="F54" s="94">
        <f>'4637'!E22</f>
        <v>600</v>
      </c>
      <c r="G54" s="90" t="str">
        <f>'4637'!F22</f>
        <v>BLANCO MT</v>
      </c>
      <c r="H54" s="30"/>
      <c r="K54" s="26"/>
      <c r="M54" s="29"/>
    </row>
    <row r="55" spans="1:13" s="10" customFormat="1" ht="20.100000000000001" customHeight="1" x14ac:dyDescent="0.35">
      <c r="A55" s="108"/>
      <c r="C55" s="67"/>
      <c r="D55" s="67"/>
      <c r="E55" s="67"/>
      <c r="F55" s="67"/>
      <c r="G55" s="67"/>
      <c r="H55" s="30"/>
      <c r="K55" s="26"/>
      <c r="M55" s="29"/>
    </row>
    <row r="56" spans="1:13" s="10" customFormat="1" ht="15" customHeight="1" x14ac:dyDescent="0.35">
      <c r="B56" s="77"/>
      <c r="C56" s="60"/>
      <c r="D56" s="60"/>
      <c r="E56" s="60"/>
      <c r="F56" s="60"/>
      <c r="G56" s="60"/>
      <c r="H56" s="30"/>
    </row>
    <row r="57" spans="1:13" ht="18" x14ac:dyDescent="0.35">
      <c r="B57" s="67"/>
      <c r="C57" s="67"/>
      <c r="D57" s="30"/>
      <c r="E57" s="67"/>
      <c r="F57" s="67"/>
      <c r="G57" s="72"/>
      <c r="H57" s="30"/>
    </row>
    <row r="58" spans="1:13" ht="18" x14ac:dyDescent="0.35">
      <c r="B58" s="67"/>
      <c r="C58" s="67"/>
      <c r="D58" s="30"/>
      <c r="E58" s="67"/>
      <c r="F58" s="67"/>
      <c r="G58" s="67"/>
      <c r="H58" s="30"/>
      <c r="J58" s="10">
        <f>SUM(J53:J53)</f>
        <v>1.98</v>
      </c>
      <c r="K58" s="27">
        <f>SUM(K53:K53)</f>
        <v>29700</v>
      </c>
    </row>
    <row r="59" spans="1:13" ht="18" x14ac:dyDescent="0.35">
      <c r="B59" s="30"/>
      <c r="C59" s="30"/>
      <c r="D59" s="30"/>
      <c r="E59" s="30"/>
      <c r="F59" s="30"/>
      <c r="G59" s="30"/>
      <c r="H59" s="30"/>
    </row>
    <row r="60" spans="1:13" ht="18" x14ac:dyDescent="0.35">
      <c r="B60" s="30"/>
      <c r="C60" s="30"/>
      <c r="D60" s="30"/>
      <c r="E60" s="30"/>
      <c r="F60" s="30"/>
      <c r="G60" s="30"/>
      <c r="H60" s="30"/>
    </row>
    <row r="61" spans="1:13" ht="18" x14ac:dyDescent="0.35">
      <c r="B61" s="30"/>
      <c r="C61" s="30"/>
      <c r="D61" s="30"/>
      <c r="E61" s="30"/>
      <c r="F61" s="30"/>
      <c r="G61" s="30"/>
      <c r="H61" s="30"/>
    </row>
    <row r="62" spans="1:13" ht="15" customHeight="1" x14ac:dyDescent="0.35">
      <c r="B62" s="30"/>
      <c r="C62" s="30"/>
      <c r="D62" s="30"/>
      <c r="E62" s="30"/>
      <c r="F62" s="30"/>
      <c r="G62" s="30"/>
      <c r="H62" s="30"/>
    </row>
    <row r="63" spans="1:13" ht="18" x14ac:dyDescent="0.35">
      <c r="B63" s="30"/>
      <c r="C63" s="30"/>
      <c r="D63" s="30"/>
      <c r="E63" s="30"/>
      <c r="F63" s="30"/>
      <c r="G63" s="30"/>
      <c r="H63" s="30"/>
    </row>
    <row r="64" spans="1:13" ht="18" x14ac:dyDescent="0.35">
      <c r="B64" s="67"/>
      <c r="C64" s="81"/>
      <c r="D64" s="30"/>
      <c r="E64" s="30"/>
      <c r="F64" s="30"/>
      <c r="G64" s="30"/>
      <c r="H64" s="30"/>
    </row>
    <row r="65" spans="2:8" ht="18" x14ac:dyDescent="0.35">
      <c r="B65" s="30"/>
      <c r="C65" s="30"/>
      <c r="D65" s="30"/>
      <c r="E65" s="30"/>
      <c r="F65" s="30"/>
      <c r="G65" s="30"/>
      <c r="H65" s="30"/>
    </row>
    <row r="66" spans="2:8" x14ac:dyDescent="0.3">
      <c r="C66" s="14"/>
      <c r="D66" s="14"/>
      <c r="F66" s="14"/>
      <c r="G66" s="14"/>
    </row>
    <row r="67" spans="2:8" x14ac:dyDescent="0.3">
      <c r="C67" s="14"/>
      <c r="D67" s="14"/>
      <c r="F67" s="14"/>
      <c r="G67" s="14"/>
    </row>
  </sheetData>
  <mergeCells count="6">
    <mergeCell ref="N3:O3"/>
    <mergeCell ref="B19:G19"/>
    <mergeCell ref="B10:G10"/>
    <mergeCell ref="B49:G49"/>
    <mergeCell ref="C51:G51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2025-03-06T21:29:41Z</cp:lastPrinted>
  <dcterms:created xsi:type="dcterms:W3CDTF">2013-03-19T12:54:14Z</dcterms:created>
  <dcterms:modified xsi:type="dcterms:W3CDTF">2025-03-06T21:29:53Z</dcterms:modified>
</cp:coreProperties>
</file>