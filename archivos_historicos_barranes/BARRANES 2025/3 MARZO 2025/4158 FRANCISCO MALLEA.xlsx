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CFD542FB-EDA1-44AD-A1DA-54A6BD62D6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4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<sst xmlns="http://schemas.openxmlformats.org/spreadsheetml/2006/main" count="246" uniqueCount="144">
  <si>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</si>
  <si>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</si>
  <si>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</si>
  <si>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</si>
  <si>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</si>
  <si>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</si>
  <si>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</si>
  <si>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</si>
  <si>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</si>
  <si>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</si>
  <si>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</si>
  <si>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</si>
  <si>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</si>
  <si>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</si>
  <si>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</si>
  <si>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</si>
  <si>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</si>
  <si>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</si>
  <si>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</si>
  <si>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</si>
  <si>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</si>
  <si>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</si>
  <si>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</si>
  <si>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</si>
  <si>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</si>
  <si>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</si>
  <si>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</si>
  <si>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</si>
  <si>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</si>
  <si>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</si>
  <si>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</si>
  <si>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</si>
  <si>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</si>
  <si>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</si>
  <si>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</si>
  <si>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</si>
  <si>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</si>
  <si>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</si>
  <si>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</si>
  <si>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</si>
  <si>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</si>
  <si>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</si>
  <si>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</si>
  <si>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</si>
  <si>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</si>
  <si>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</si>
  <si>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</si>
  <si>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</si>
  <si>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</si>
  <si>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</si>
  <si>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</si>
  <si>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</si>
  <si>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</si>
  <si>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</si>
  <si>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</si>
  <si>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</si>
  <si>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</si>
  <si>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</si>
  <si>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</si>
  <si>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</si>
  <si>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</si>
  <si>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</si>
  <si>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</si>
  <si>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</si>
  <si>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</si>
  <si>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</si>
  <si>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</si>
  <si>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</si>
  <si>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</si>
  <si>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</si>
  <si>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</si>
  <si>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</si>
  <si>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</si>
  <si>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</si>
  <si>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</si>
  <si>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</si>
  <si>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</si>
  <si>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</si>
  <si>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</si>
  <si>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</si>
  <si>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</si>
  <si>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</si>
  <si>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</si>
  <si>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</si>
  <si>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</si>
  <si>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</si>
  <si>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</si>
  <si>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</si>
  <si>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</si>
  <si>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</si>
  <si>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</si>
  <si>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</si>
  <si>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</si>
  <si>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</si>
  <si>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</si>
  <si>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</si>
  <si>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</si>
  <si>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</si>
  <si>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</si>
  <si>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</si>
  <si>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</si>
  <si>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</si>
  <si>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</si>
  <si>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</si>
  <si>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</si>
  <si>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</si>
  <si>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</si>
  <si>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</si>
  <si>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</si>
  <si>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</si>
  <si>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</si>
  <si>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</si>
  <si>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</si>
  <si>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</si>
  <si>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</si>
  <si>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</si>
  <si>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</si>
  <si>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</si>
  <si>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</si>
  <si>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</si>
  <si>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</si>
  <si>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</si>
  <si>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</si>
  <si>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</si>
  <si>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</si>
  <si>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</si>
  <si>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</si>
  <si>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</si>
  <si>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</si>
  <si>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</si>
  <si>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</si>
  <si>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</si>
  <si>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</si>
  <si>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</si>
  <si>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</si>
  <si>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</si>
  <si>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N° 11334</t>
  </si>
  <si>
    <t>SI</t>
  </si>
  <si>
    <t>CELTIC STAD OAK 14012 SF</t>
  </si>
  <si>
    <t>18.313.958-4</t>
  </si>
  <si>
    <t>569 8451 4974</t>
  </si>
  <si>
    <t>FRANCISCO MELLA BARRIOS</t>
  </si>
  <si>
    <t>CONTADO</t>
  </si>
  <si>
    <t>CUB C/R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</si>
</sst>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15" fillId="0" borderId="32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8" fillId="0" borderId="0" xfId="0" quotePrefix="1" applyFont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PAGADA CON TRANSFERENCIA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REGRUESO DE 36MM ENCHAPAR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 CON REGRUESO DE 36MM,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ENCHAPAR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3" workbookViewId="0">
      <selection activeCell="C21" sqref="C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4158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141</v>
      </c>
      <c r="D10" s="55"/>
      <c r="E10" s="55"/>
      <c r="F10" s="56" t="s">
        <v>28</v>
      </c>
      <c r="G10" s="57">
        <v>45734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124</v>
      </c>
      <c r="G11" s="61">
        <v>45735</v>
      </c>
      <c r="H11" s="62"/>
      <c r="I11" s="1"/>
    </row>
    <row r="12" spans="1:17" ht="16.2" thickBot="1" x14ac:dyDescent="0.35">
      <c r="A12" s="1"/>
      <c r="B12" s="63" t="s">
        <v>131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3" t="s">
        <v>140</v>
      </c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142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143</v>
      </c>
      <c r="D21" s="120">
        <v>1295</v>
      </c>
      <c r="E21" s="120">
        <v>560</v>
      </c>
      <c r="F21" s="121" t="s">
        <v>138</v>
      </c>
      <c r="G21" s="122">
        <v>97782</v>
      </c>
      <c r="H21" s="106">
        <f t="shared" ref="H21" si="0">G21*B21</f>
        <v>97782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97782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/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97782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3" zoomScaleNormal="100" workbookViewId="0">
      <selection activeCell="H51" sqref="H5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40" t="s">
        <v>27</v>
      </c>
      <c r="D4" s="14">
        <f>'4637'!G8</f>
        <v>4158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FRANCISCO MELLA BARRIOS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45735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1375</v>
      </c>
      <c r="E14" s="35">
        <f>K14+E$13</f>
        <v>530</v>
      </c>
      <c r="F14" s="103" t="str">
        <f>C27</f>
        <v>CUB C/R FRENTE RECTO</v>
      </c>
      <c r="G14" s="1"/>
      <c r="I14" s="3">
        <f>I21</f>
        <v>1</v>
      </c>
      <c r="J14" s="4">
        <f>D27</f>
        <v>1295</v>
      </c>
      <c r="K14" s="4">
        <f>E27</f>
        <v>560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5" t="s">
        <v>14</v>
      </c>
      <c r="B17" s="115"/>
      <c r="C17" s="115"/>
      <c r="D17" s="115"/>
      <c r="E17" s="115"/>
      <c r="F17" s="115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1</v>
      </c>
      <c r="C21" s="16"/>
      <c r="D21" s="16">
        <f>J21+D$20</f>
        <v>1335</v>
      </c>
      <c r="E21" s="16">
        <f>K21+E$20</f>
        <v>660</v>
      </c>
      <c r="F21" s="104" t="str">
        <f>C27</f>
        <v>CUB C/R FRENTE RECTO</v>
      </c>
      <c r="G21" s="1"/>
      <c r="I21" s="3">
        <f>B27</f>
        <v>1</v>
      </c>
      <c r="J21" s="4">
        <f t="shared" ref="J21:K21" si="3">D27</f>
        <v>1295</v>
      </c>
      <c r="K21" s="4">
        <f t="shared" si="3"/>
        <v>560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FRENTE RECTO</v>
      </c>
      <c r="D27" s="25">
        <f>'4637'!D21</f>
        <v>1295</v>
      </c>
      <c r="E27" s="25">
        <f>'4637'!E21</f>
        <v>560</v>
      </c>
      <c r="F27" s="25" t="str">
        <f>'4637'!F21</f>
        <v>CELTIC STAD OAK 14012 SF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4158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FRANCISCO MELLA BARRIOS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45735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5" t="s">
        <v>68</v>
      </c>
      <c r="B44" s="115"/>
      <c r="C44" s="115"/>
      <c r="D44" s="115"/>
      <c r="E44" s="115"/>
      <c r="F44" s="115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6" t="s">
        <v>69</v>
      </c>
      <c r="C46" s="117"/>
      <c r="D46" s="118"/>
      <c r="E46" s="118"/>
      <c r="F46" s="119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FRENTE RECTO</v>
      </c>
      <c r="D48" s="39">
        <f>'4637'!D21</f>
        <v>1295</v>
      </c>
      <c r="E48" s="39">
        <f>'4637'!E21</f>
        <v>560</v>
      </c>
      <c r="F48" s="38" t="str">
        <f>'4637'!F21</f>
        <v>CELTIC STAD OAK 14012 SF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2025-03-18T12:01:44Z</dcterms:modified>
</cp:coreProperties>
</file>