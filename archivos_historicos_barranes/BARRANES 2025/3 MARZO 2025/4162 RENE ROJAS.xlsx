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98F1C394-B83D-464D-8AA8-DA062B46E4D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H22" i="4"/>
  <c r="H21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J22" i="3" l="1"/>
  <c r="D22" i="3" s="1"/>
  <c r="K14" i="3"/>
  <c r="E14" i="3" s="1"/>
  <c r="B22" i="3"/>
  <c r="I14" i="3"/>
  <c r="B14" i="3" s="1"/>
  <c r="F22" i="3"/>
  <c r="H25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<sst xmlns="http://schemas.openxmlformats.org/spreadsheetml/2006/main" count="247" uniqueCount="143">
  <si>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</si>
  <si>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</si>
  <si>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</si>
  <si>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</si>
  <si>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</si>
  <si>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</si>
  <si>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</si>
  <si>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</si>
  <si>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</si>
  <si>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</si>
  <si>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</si>
  <si>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</si>
  <si>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</si>
  <si>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</si>
  <si>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</si>
  <si>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</si>
  <si>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</si>
  <si>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</si>
  <si>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</si>
  <si>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</si>
  <si>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</si>
  <si>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</si>
  <si>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</si>
  <si>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</si>
  <si>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</si>
  <si>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</si>
  <si>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</si>
  <si>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</si>
  <si>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</si>
  <si>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</si>
  <si>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</si>
  <si>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</si>
  <si>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</si>
  <si>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</si>
  <si>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</si>
  <si>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</si>
  <si>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</si>
  <si>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</si>
  <si>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</si>
  <si>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</si>
  <si>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</si>
  <si>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</si>
  <si>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</si>
  <si>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</si>
  <si>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</si>
  <si>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</si>
  <si>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</si>
  <si>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</si>
  <si>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</si>
  <si>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</si>
  <si>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</si>
  <si>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</si>
  <si>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</si>
  <si>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</si>
  <si>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</si>
  <si>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</si>
  <si>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</si>
  <si>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</si>
  <si>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</si>
  <si>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</si>
  <si>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</si>
  <si>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</si>
  <si>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</si>
  <si>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</si>
  <si>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</si>
  <si>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</si>
  <si>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</si>
  <si>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</si>
  <si>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</si>
  <si>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</si>
  <si>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</si>
  <si>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</si>
  <si>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</si>
  <si>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</si>
  <si>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</si>
  <si>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</si>
  <si>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</si>
  <si>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</si>
  <si>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</si>
  <si>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</si>
  <si>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</si>
  <si>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</si>
  <si>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</si>
  <si>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</si>
  <si>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</si>
  <si>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</si>
  <si>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</si>
  <si>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</si>
  <si>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</si>
  <si>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</si>
  <si>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</si>
  <si>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</si>
  <si>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</si>
  <si>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</si>
  <si>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</si>
  <si>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</si>
  <si>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</si>
  <si>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</si>
  <si>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</si>
  <si>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</si>
  <si>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</si>
  <si>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</si>
  <si>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</si>
  <si>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</si>
  <si>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</si>
  <si>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</si>
  <si>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</si>
  <si>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</si>
  <si>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</si>
  <si>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</si>
  <si>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</si>
  <si>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</si>
  <si>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</si>
  <si>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</si>
  <si>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</si>
  <si>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</si>
  <si>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</si>
  <si>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</si>
  <si>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</si>
  <si>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</si>
  <si>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</si>
  <si>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</si>
  <si>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</si>
  <si>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</si>
  <si>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</si>
  <si>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</si>
  <si>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</si>
  <si>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</si>
  <si>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</si>
  <si>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</si>
  <si>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</si>
  <si>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</si>
  <si>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</si>
  <si>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</si>
  <si>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</si>
  <si>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CONTADO</t>
  </si>
  <si>
    <t>NO</t>
  </si>
  <si>
    <t>FRANCO DONOSO</t>
  </si>
  <si>
    <t>RENE ROJAS</t>
  </si>
  <si>
    <t>+569 96995548</t>
  </si>
  <si>
    <t>N° 11375</t>
  </si>
  <si>
    <t>CUB C/R 90° R8</t>
  </si>
  <si>
    <t>BLANCO MERINO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</si>
</sst>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32" xfId="0" quotePrefix="1" applyFont="1" applyBorder="1" applyAlignment="1">
      <alignment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right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$55.000</a:t>
          </a:r>
          <a:r>
            <a:rPr lang="es-CL" sz="900" b="1" i="1" baseline="0"/>
            <a:t> TRANSFERENCIA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K25" sqref="K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4162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45740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45747</v>
      </c>
      <c r="H11" s="62"/>
      <c r="I11" s="1"/>
    </row>
    <row r="12" spans="1:17" ht="16.2" thickBot="1" x14ac:dyDescent="0.35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 t="s">
        <v>137</v>
      </c>
      <c r="H13" s="65"/>
      <c r="I13" s="1"/>
    </row>
    <row r="14" spans="1:17" ht="15.6" x14ac:dyDescent="0.3">
      <c r="A14" s="1"/>
      <c r="B14" s="59" t="s">
        <v>17</v>
      </c>
      <c r="C14" s="119" t="s">
        <v>139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06" t="s">
        <v>18</v>
      </c>
      <c r="G16" s="106"/>
      <c r="H16" s="10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8" t="s">
        <v>19</v>
      </c>
      <c r="C19" s="109"/>
      <c r="D19" s="109"/>
      <c r="E19" s="109"/>
      <c r="F19" s="109"/>
      <c r="G19" s="109"/>
      <c r="H19" s="110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21">
        <v>2050</v>
      </c>
      <c r="E21" s="121">
        <v>500</v>
      </c>
      <c r="F21" s="105" t="s">
        <v>142</v>
      </c>
      <c r="G21" s="120">
        <v>75072</v>
      </c>
      <c r="H21" s="120">
        <f>G21*B21</f>
        <v>75072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141</v>
      </c>
      <c r="D22" s="121">
        <v>850</v>
      </c>
      <c r="E22" s="121">
        <v>500</v>
      </c>
      <c r="F22" s="105" t="s">
        <v>142</v>
      </c>
      <c r="G22" s="120">
        <v>33888</v>
      </c>
      <c r="H22" s="120">
        <f t="shared" ref="H22" si="0">G22*B22</f>
        <v>33888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108960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/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108960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31</v>
      </c>
      <c r="C2" s="111"/>
      <c r="D2" s="111"/>
      <c r="E2" s="18"/>
      <c r="G2" s="111" t="s">
        <v>70</v>
      </c>
      <c r="H2" s="111"/>
      <c r="I2" s="111"/>
      <c r="P2" s="112" t="s">
        <v>58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2" t="s">
        <v>58</v>
      </c>
      <c r="M8" s="112"/>
      <c r="N8" s="11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sqref="A1:G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4162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RENE ROJAS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45747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2100</v>
      </c>
      <c r="E14" s="35">
        <f>K14+E$13</f>
        <v>470</v>
      </c>
      <c r="F14" s="103" t="str">
        <f>C29</f>
        <v>CUB C/R 90° R8</v>
      </c>
      <c r="G14" s="1"/>
      <c r="I14" s="3">
        <f>I22</f>
        <v>1</v>
      </c>
      <c r="J14" s="4">
        <f>D29</f>
        <v>2050</v>
      </c>
      <c r="K14" s="4">
        <f>E29</f>
        <v>500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900</v>
      </c>
      <c r="E15" s="35">
        <f>K15+E$13</f>
        <v>470</v>
      </c>
      <c r="F15" s="103" t="str">
        <f>C30</f>
        <v>CUB C/R 90° R8</v>
      </c>
      <c r="G15" s="1"/>
      <c r="I15" s="3">
        <f>I23</f>
        <v>1</v>
      </c>
      <c r="J15" s="4">
        <f>D30</f>
        <v>850</v>
      </c>
      <c r="K15" s="4">
        <f>E30</f>
        <v>500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4" t="s">
        <v>14</v>
      </c>
      <c r="B18" s="114"/>
      <c r="C18" s="114"/>
      <c r="D18" s="114"/>
      <c r="E18" s="114"/>
      <c r="F18" s="11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110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4">I22</f>
        <v>1</v>
      </c>
      <c r="C22" s="16"/>
      <c r="D22" s="16">
        <f>J22+D$21</f>
        <v>2090</v>
      </c>
      <c r="E22" s="16">
        <f>K22+E$21</f>
        <v>610</v>
      </c>
      <c r="F22" s="104" t="str">
        <f>C29</f>
        <v>CUB C/R 90° R8</v>
      </c>
      <c r="G22" s="1"/>
      <c r="I22" s="3">
        <f>B29</f>
        <v>1</v>
      </c>
      <c r="J22" s="4">
        <f t="shared" ref="J22:K22" si="5">D29</f>
        <v>2050</v>
      </c>
      <c r="K22" s="4">
        <f t="shared" si="5"/>
        <v>500</v>
      </c>
    </row>
    <row r="23" spans="1:11" ht="15.6" x14ac:dyDescent="0.3">
      <c r="A23" s="96"/>
      <c r="B23" s="16">
        <f t="shared" ref="B23" si="6">I23</f>
        <v>1</v>
      </c>
      <c r="C23" s="16"/>
      <c r="D23" s="16">
        <f>J23+D$21</f>
        <v>890</v>
      </c>
      <c r="E23" s="16">
        <f>K23+E$21</f>
        <v>610</v>
      </c>
      <c r="F23" s="104" t="str">
        <f>C30</f>
        <v>CUB C/R 90° R8</v>
      </c>
      <c r="G23" s="1"/>
      <c r="I23" s="3">
        <f>B30</f>
        <v>1</v>
      </c>
      <c r="J23" s="4">
        <f t="shared" ref="J23" si="7">D30</f>
        <v>850</v>
      </c>
      <c r="K23" s="4">
        <f t="shared" ref="K23" si="8">E30</f>
        <v>500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C/R 90° R8</v>
      </c>
      <c r="D29" s="25">
        <f>'4637'!D21</f>
        <v>2050</v>
      </c>
      <c r="E29" s="25">
        <f>'4637'!E21</f>
        <v>500</v>
      </c>
      <c r="F29" s="25" t="str">
        <f>'4637'!F21</f>
        <v>BLANCO MERINO OPACO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C/R 90° R8</v>
      </c>
      <c r="D30" s="25">
        <f>'4637'!D22</f>
        <v>850</v>
      </c>
      <c r="E30" s="25">
        <f>'4637'!E22</f>
        <v>500</v>
      </c>
      <c r="F30" s="25" t="str">
        <f>'4637'!F22</f>
        <v>BLANCO MERINO OPACO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4162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RENE ROJAS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45747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4" t="s">
        <v>68</v>
      </c>
      <c r="B47" s="114"/>
      <c r="C47" s="114"/>
      <c r="D47" s="114"/>
      <c r="E47" s="114"/>
      <c r="F47" s="114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5" t="s">
        <v>69</v>
      </c>
      <c r="C49" s="116"/>
      <c r="D49" s="117"/>
      <c r="E49" s="117"/>
      <c r="F49" s="118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90° R8</v>
      </c>
      <c r="D51" s="39">
        <f>'4637'!D21</f>
        <v>2050</v>
      </c>
      <c r="E51" s="39">
        <f>'4637'!E21</f>
        <v>500</v>
      </c>
      <c r="F51" s="38" t="str">
        <f>'4637'!F21</f>
        <v>BLANCO MERINO OPACO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C/R 90° R8</v>
      </c>
      <c r="D52" s="39">
        <f>'4637'!D22</f>
        <v>850</v>
      </c>
      <c r="E52" s="39">
        <f>'4637'!E22</f>
        <v>500</v>
      </c>
      <c r="F52" s="38" t="str">
        <f>'4637'!F22</f>
        <v>BLANCO MERINO OPACO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2025-03-31T13:13:38Z</cp:lastPrinted>
  <dcterms:created xsi:type="dcterms:W3CDTF">2013-03-19T12:54:14Z</dcterms:created>
  <dcterms:modified xsi:type="dcterms:W3CDTF">2025-03-31T13:13:52Z</dcterms:modified>
</cp:coreProperties>
</file>