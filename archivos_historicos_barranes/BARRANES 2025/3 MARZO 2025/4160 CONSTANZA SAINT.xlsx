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3 MARZO 2025\"/>
    </mc:Choice>
  </mc:AlternateContent>
  <xr:revisionPtr revIDLastSave="0" documentId="13_ncr:1_{9B40E426-9FA7-4A8A-9BD7-84579971FA1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'4637'!$B$1:$K$57</definedName>
    <definedName name="_xlnm.Print_Area" localSheetId="2">CUBIERTA!$A$2:$H$64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3" l="1"/>
  <c r="E16" i="3"/>
  <c r="E17" i="3"/>
  <c r="E18" i="3"/>
  <c r="E19" i="3"/>
  <c r="E20" i="3"/>
  <c r="E21" i="3"/>
  <c r="E22" i="3"/>
  <c r="E23" i="3"/>
  <c r="F23" i="3"/>
  <c r="F17" i="3"/>
  <c r="F18" i="3"/>
  <c r="F19" i="3"/>
  <c r="F20" i="3"/>
  <c r="F21" i="3"/>
  <c r="F22" i="3"/>
  <c r="D78" i="3"/>
  <c r="D46" i="3" s="1"/>
  <c r="C87" i="3"/>
  <c r="C55" i="3" s="1"/>
  <c r="J40" i="3" s="1"/>
  <c r="C40" i="3" s="1"/>
  <c r="D87" i="3"/>
  <c r="D55" i="3" s="1"/>
  <c r="E87" i="3"/>
  <c r="E55" i="3" s="1"/>
  <c r="K23" i="3" s="1"/>
  <c r="F87" i="3"/>
  <c r="F55" i="3" s="1"/>
  <c r="L23" i="3" s="1"/>
  <c r="G87" i="3"/>
  <c r="G55" i="3" s="1"/>
  <c r="C79" i="3"/>
  <c r="C47" i="3" s="1"/>
  <c r="D79" i="3"/>
  <c r="D47" i="3" s="1"/>
  <c r="E79" i="3"/>
  <c r="E47" i="3" s="1"/>
  <c r="K15" i="3" s="1"/>
  <c r="F79" i="3"/>
  <c r="F47" i="3" s="1"/>
  <c r="L15" i="3" s="1"/>
  <c r="G79" i="3"/>
  <c r="G47" i="3" s="1"/>
  <c r="C80" i="3"/>
  <c r="C48" i="3" s="1"/>
  <c r="D80" i="3"/>
  <c r="D48" i="3" s="1"/>
  <c r="E80" i="3"/>
  <c r="E48" i="3" s="1"/>
  <c r="K16" i="3" s="1"/>
  <c r="F80" i="3"/>
  <c r="F48" i="3" s="1"/>
  <c r="L16" i="3" s="1"/>
  <c r="G80" i="3"/>
  <c r="G48" i="3" s="1"/>
  <c r="C81" i="3"/>
  <c r="C49" i="3" s="1"/>
  <c r="D81" i="3"/>
  <c r="D49" i="3" s="1"/>
  <c r="E81" i="3"/>
  <c r="E49" i="3" s="1"/>
  <c r="K17" i="3" s="1"/>
  <c r="F81" i="3"/>
  <c r="F49" i="3" s="1"/>
  <c r="L17" i="3" s="1"/>
  <c r="G81" i="3"/>
  <c r="G49" i="3" s="1"/>
  <c r="C82" i="3"/>
  <c r="C50" i="3" s="1"/>
  <c r="D82" i="3"/>
  <c r="D50" i="3" s="1"/>
  <c r="E82" i="3"/>
  <c r="E50" i="3" s="1"/>
  <c r="K18" i="3" s="1"/>
  <c r="F82" i="3"/>
  <c r="F50" i="3" s="1"/>
  <c r="L18" i="3" s="1"/>
  <c r="G82" i="3"/>
  <c r="G50" i="3" s="1"/>
  <c r="C83" i="3"/>
  <c r="C51" i="3" s="1"/>
  <c r="D83" i="3"/>
  <c r="D51" i="3" s="1"/>
  <c r="G19" i="3" s="1"/>
  <c r="E83" i="3"/>
  <c r="E51" i="3" s="1"/>
  <c r="K19" i="3" s="1"/>
  <c r="F83" i="3"/>
  <c r="F51" i="3" s="1"/>
  <c r="L19" i="3" s="1"/>
  <c r="G83" i="3"/>
  <c r="G51" i="3" s="1"/>
  <c r="C84" i="3"/>
  <c r="C52" i="3" s="1"/>
  <c r="J37" i="3" s="1"/>
  <c r="C37" i="3" s="1"/>
  <c r="D84" i="3"/>
  <c r="D52" i="3" s="1"/>
  <c r="G20" i="3" s="1"/>
  <c r="E84" i="3"/>
  <c r="E52" i="3" s="1"/>
  <c r="K20" i="3" s="1"/>
  <c r="F84" i="3"/>
  <c r="F52" i="3" s="1"/>
  <c r="G84" i="3"/>
  <c r="G52" i="3" s="1"/>
  <c r="C85" i="3"/>
  <c r="C53" i="3" s="1"/>
  <c r="J38" i="3" s="1"/>
  <c r="C38" i="3" s="1"/>
  <c r="D85" i="3"/>
  <c r="D53" i="3" s="1"/>
  <c r="G21" i="3" s="1"/>
  <c r="E85" i="3"/>
  <c r="E53" i="3" s="1"/>
  <c r="F85" i="3"/>
  <c r="F53" i="3" s="1"/>
  <c r="G85" i="3"/>
  <c r="G53" i="3" s="1"/>
  <c r="C86" i="3"/>
  <c r="C54" i="3" s="1"/>
  <c r="J39" i="3" s="1"/>
  <c r="C39" i="3" s="1"/>
  <c r="D86" i="3"/>
  <c r="D54" i="3" s="1"/>
  <c r="E86" i="3"/>
  <c r="E54" i="3" s="1"/>
  <c r="F86" i="3"/>
  <c r="F54" i="3" s="1"/>
  <c r="G86" i="3"/>
  <c r="G54" i="3" s="1"/>
  <c r="G78" i="3"/>
  <c r="G46" i="3" s="1"/>
  <c r="F78" i="3"/>
  <c r="F46" i="3" s="1"/>
  <c r="L14" i="3" s="1"/>
  <c r="E78" i="3"/>
  <c r="E46" i="3" s="1"/>
  <c r="K14" i="3" s="1"/>
  <c r="C78" i="3"/>
  <c r="C46" i="3" s="1"/>
  <c r="K30" i="4"/>
  <c r="K29" i="4"/>
  <c r="K28" i="4"/>
  <c r="K27" i="4"/>
  <c r="K26" i="4"/>
  <c r="K25" i="4"/>
  <c r="K24" i="4"/>
  <c r="K23" i="4"/>
  <c r="K22" i="4"/>
  <c r="K21" i="4"/>
  <c r="K39" i="3" l="1"/>
  <c r="E39" i="3" s="1"/>
  <c r="K22" i="3"/>
  <c r="L21" i="3"/>
  <c r="L38" i="3"/>
  <c r="F38" i="3" s="1"/>
  <c r="L39" i="3"/>
  <c r="F39" i="3" s="1"/>
  <c r="L22" i="3"/>
  <c r="K21" i="3"/>
  <c r="K38" i="3"/>
  <c r="E38" i="3" s="1"/>
  <c r="L20" i="3"/>
  <c r="L37" i="3"/>
  <c r="F37" i="3" s="1"/>
  <c r="G39" i="3"/>
  <c r="G22" i="3"/>
  <c r="G23" i="3"/>
  <c r="G40" i="3"/>
  <c r="K40" i="3"/>
  <c r="E40" i="3" s="1"/>
  <c r="G37" i="3"/>
  <c r="L40" i="3"/>
  <c r="F40" i="3" s="1"/>
  <c r="G38" i="3"/>
  <c r="K37" i="3"/>
  <c r="E37" i="3" s="1"/>
  <c r="J20" i="3"/>
  <c r="C20" i="3" s="1"/>
  <c r="J21" i="3"/>
  <c r="C21" i="3" s="1"/>
  <c r="J22" i="3"/>
  <c r="C22" i="3" s="1"/>
  <c r="J23" i="3"/>
  <c r="C23" i="3" s="1"/>
  <c r="K33" i="4" l="1"/>
  <c r="J33" i="3"/>
  <c r="G33" i="3"/>
  <c r="K33" i="3"/>
  <c r="E33" i="3" s="1"/>
  <c r="L33" i="3"/>
  <c r="F33" i="3" s="1"/>
  <c r="J34" i="3"/>
  <c r="G34" i="3"/>
  <c r="K34" i="3"/>
  <c r="E34" i="3" s="1"/>
  <c r="L34" i="3"/>
  <c r="F34" i="3" s="1"/>
  <c r="J35" i="3"/>
  <c r="G35" i="3"/>
  <c r="K35" i="3"/>
  <c r="E35" i="3" s="1"/>
  <c r="L35" i="3"/>
  <c r="F35" i="3" s="1"/>
  <c r="J36" i="3"/>
  <c r="G36" i="3"/>
  <c r="K36" i="3"/>
  <c r="E36" i="3" s="1"/>
  <c r="L36" i="3"/>
  <c r="F36" i="3" s="1"/>
  <c r="C36" i="3" l="1"/>
  <c r="J19" i="3"/>
  <c r="C19" i="3" s="1"/>
  <c r="C35" i="3"/>
  <c r="J18" i="3"/>
  <c r="C18" i="3" s="1"/>
  <c r="C34" i="3"/>
  <c r="J17" i="3"/>
  <c r="C17" i="3" s="1"/>
  <c r="C33" i="3"/>
  <c r="J16" i="3"/>
  <c r="C16" i="3" s="1"/>
  <c r="G18" i="3"/>
  <c r="G17" i="3"/>
  <c r="G16" i="3"/>
  <c r="F16" i="3"/>
  <c r="J32" i="3"/>
  <c r="C32" i="3" l="1"/>
  <c r="J15" i="3"/>
  <c r="C15" i="3" s="1"/>
  <c r="G32" i="3"/>
  <c r="G15" i="3"/>
  <c r="L32" i="3"/>
  <c r="F32" i="3" s="1"/>
  <c r="F15" i="3"/>
  <c r="K32" i="3"/>
  <c r="E32" i="3" s="1"/>
  <c r="O21" i="4" l="1"/>
  <c r="N21" i="4"/>
  <c r="P21" i="4" l="1"/>
  <c r="Q21" i="4" s="1"/>
  <c r="G31" i="3" l="1"/>
  <c r="L31" i="3"/>
  <c r="F31" i="3" s="1"/>
  <c r="J31" i="3" l="1"/>
  <c r="I46" i="3"/>
  <c r="J46" i="3" s="1"/>
  <c r="K31" i="3"/>
  <c r="E31" i="3" s="1"/>
  <c r="I78" i="3"/>
  <c r="J78" i="3" s="1"/>
  <c r="E14" i="3"/>
  <c r="G14" i="3"/>
  <c r="F14" i="3"/>
  <c r="C31" i="3" l="1"/>
  <c r="J14" i="3"/>
  <c r="C14" i="3" s="1"/>
  <c r="J59" i="3"/>
  <c r="K78" i="3"/>
  <c r="J91" i="3"/>
  <c r="K35" i="4"/>
  <c r="O5" i="3"/>
  <c r="K91" i="3" l="1"/>
  <c r="N5" i="3"/>
  <c r="M5" i="3"/>
  <c r="L5" i="3"/>
  <c r="D71" i="3" l="1"/>
  <c r="D7" i="3"/>
  <c r="E69" i="3"/>
  <c r="E5" i="3"/>
  <c r="E71" i="3"/>
  <c r="E7" i="3"/>
  <c r="E68" i="3"/>
  <c r="E4" i="3"/>
</calcChain>
</file>

<file path=xl/sharedStrings.xml><?xml version="1.0" encoding="utf-8"?>
<sst xmlns="http://schemas.openxmlformats.org/spreadsheetml/2006/main" count="298" uniqueCount="152">
  <si>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</si>
  <si>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</si>
  <si>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</si>
  <si>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</si>
  <si>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</si>
  <si>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</si>
  <si>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</si>
  <si>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</si>
  <si>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</si>
  <si>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</si>
  <si>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</si>
  <si>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</si>
  <si>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</si>
  <si>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</si>
  <si>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</si>
  <si>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</si>
  <si>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</si>
  <si>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</si>
  <si>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</si>
  <si>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</si>
  <si>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</si>
  <si>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</si>
  <si>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</si>
  <si>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</si>
  <si>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</si>
  <si>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</si>
  <si>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</si>
  <si>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</si>
  <si>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</si>
  <si>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</si>
  <si>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</si>
  <si>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</si>
  <si>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</si>
  <si>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</si>
  <si>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</si>
  <si>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</si>
  <si>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</si>
  <si>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</si>
  <si>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</si>
  <si>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</si>
  <si>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</si>
  <si>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</si>
  <si>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</si>
  <si>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</si>
  <si>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</si>
  <si>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</si>
  <si>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</si>
  <si>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</si>
  <si>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</si>
  <si>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</si>
  <si>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</si>
  <si>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</si>
  <si>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</si>
  <si>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</si>
  <si>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</si>
  <si>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</si>
  <si>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</si>
  <si>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</si>
  <si>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</si>
  <si>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</si>
  <si>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</si>
  <si>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</si>
  <si>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</si>
  <si>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</si>
  <si>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</si>
  <si>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</si>
  <si>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</si>
  <si>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</si>
  <si>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</si>
  <si>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</si>
  <si>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</si>
  <si>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</si>
  <si>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</si>
  <si>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</si>
  <si>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</si>
  <si>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</si>
  <si>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</si>
  <si>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</si>
  <si>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</si>
  <si>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</si>
  <si>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</si>
  <si>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</si>
  <si>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</si>
  <si>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</si>
  <si>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</si>
  <si>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</si>
  <si>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</si>
  <si>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</si>
  <si>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</si>
  <si>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</si>
  <si>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</si>
  <si>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</si>
  <si>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</si>
  <si>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</si>
  <si>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</si>
  <si>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</si>
  <si>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</si>
  <si>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</si>
  <si>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</si>
  <si>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</si>
  <si>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</si>
  <si>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</si>
  <si>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</si>
  <si>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</si>
  <si>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</si>
  <si>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</si>
  <si>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</si>
  <si>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</si>
  <si>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</si>
  <si>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</si>
  <si>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</si>
  <si>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</si>
  <si>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</si>
  <si>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</si>
  <si>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</si>
  <si>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</si>
  <si>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</si>
  <si>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</si>
  <si>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</si>
  <si>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</si>
  <si>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</si>
  <si>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</si>
  <si>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</si>
  <si>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</si>
  <si>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</si>
  <si>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</si>
  <si>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</si>
  <si>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</si>
  <si>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</si>
  <si>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</si>
  <si>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</si>
  <si>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</si>
  <si>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</si>
  <si>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MELAMIL18 MM</t>
  </si>
  <si>
    <t>MELAMIL18MM</t>
  </si>
  <si>
    <t>FD</t>
  </si>
  <si>
    <t>HECHO POR: FD</t>
  </si>
  <si>
    <t>MELAMIL 18MM</t>
  </si>
  <si>
    <t>ABONO</t>
  </si>
  <si>
    <t>SANTIAGO</t>
  </si>
  <si>
    <t>+569 92196008</t>
  </si>
  <si>
    <t>CONSTANZA SAINT</t>
  </si>
  <si>
    <t>CON PERFORACION</t>
  </si>
  <si>
    <t>MEDIDA</t>
  </si>
  <si>
    <t>ENCHAPE</t>
  </si>
  <si>
    <t xml:space="preserve">E/R 1 CARA </t>
  </si>
  <si>
    <t>SI</t>
  </si>
  <si>
    <t>4 LADOS</t>
  </si>
  <si>
    <t>AZUL PACIFICO 2170 MT</t>
  </si>
  <si>
    <t>NO</t>
  </si>
  <si>
    <t>12,5 CMS AL EJE</t>
  </si>
  <si>
    <t>PERFORACION 1 12,5CMS AL EJE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</si>
</sst>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8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10" borderId="2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19" fillId="0" borderId="0" xfId="2" quotePrefix="1" applyFont="1" applyFill="1" applyBorder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1" borderId="0" xfId="0" applyFill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20" fillId="2" borderId="28" xfId="0" applyFont="1" applyFill="1" applyBorder="1" applyAlignment="1">
      <alignment horizontal="center" vertical="center"/>
    </xf>
    <xf numFmtId="0" fontId="20" fillId="2" borderId="29" xfId="0" applyFont="1" applyFill="1" applyBorder="1" applyAlignment="1">
      <alignment horizontal="center" vertical="center"/>
    </xf>
    <xf numFmtId="0" fontId="20" fillId="2" borderId="29" xfId="0" applyFont="1" applyFill="1" applyBorder="1" applyAlignment="1">
      <alignment horizontal="center" vertical="center" wrapText="1"/>
    </xf>
    <xf numFmtId="0" fontId="20" fillId="2" borderId="30" xfId="0" applyFont="1" applyFill="1" applyBorder="1" applyAlignment="1">
      <alignment horizontal="center" vertical="center"/>
    </xf>
    <xf numFmtId="165" fontId="9" fillId="0" borderId="2" xfId="0" applyNumberFormat="1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32</xdr:row>
      <xdr:rowOff>23327</xdr:rowOff>
    </xdr:from>
    <xdr:to>
      <xdr:col>8</xdr:col>
      <xdr:colOff>1539552</xdr:colOff>
      <xdr:row>35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$ 198.500.-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52</xdr:row>
      <xdr:rowOff>0</xdr:rowOff>
    </xdr:from>
    <xdr:to>
      <xdr:col>4</xdr:col>
      <xdr:colOff>369336</xdr:colOff>
      <xdr:row>52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54</xdr:row>
      <xdr:rowOff>1</xdr:rowOff>
    </xdr:from>
    <xdr:to>
      <xdr:col>4</xdr:col>
      <xdr:colOff>349897</xdr:colOff>
      <xdr:row>54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25</xdr:row>
      <xdr:rowOff>66674</xdr:rowOff>
    </xdr:from>
    <xdr:to>
      <xdr:col>6</xdr:col>
      <xdr:colOff>2914649</xdr:colOff>
      <xdr:row>27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72</xdr:row>
      <xdr:rowOff>190500</xdr:rowOff>
    </xdr:from>
    <xdr:to>
      <xdr:col>7</xdr:col>
      <xdr:colOff>9524</xdr:colOff>
      <xdr:row>74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69</xdr:row>
      <xdr:rowOff>30479</xdr:rowOff>
    </xdr:from>
    <xdr:to>
      <xdr:col>6</xdr:col>
      <xdr:colOff>2912745</xdr:colOff>
      <xdr:row>70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67</xdr:row>
      <xdr:rowOff>209549</xdr:rowOff>
    </xdr:from>
    <xdr:to>
      <xdr:col>7</xdr:col>
      <xdr:colOff>0</xdr:colOff>
      <xdr:row>69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66</xdr:row>
      <xdr:rowOff>171450</xdr:rowOff>
    </xdr:from>
    <xdr:to>
      <xdr:col>7</xdr:col>
      <xdr:colOff>19050</xdr:colOff>
      <xdr:row>67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89</xdr:row>
      <xdr:rowOff>0</xdr:rowOff>
    </xdr:from>
    <xdr:to>
      <xdr:col>3</xdr:col>
      <xdr:colOff>38100</xdr:colOff>
      <xdr:row>90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89</xdr:row>
      <xdr:rowOff>0</xdr:rowOff>
    </xdr:from>
    <xdr:to>
      <xdr:col>3</xdr:col>
      <xdr:colOff>1019175</xdr:colOff>
      <xdr:row>90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89</xdr:row>
      <xdr:rowOff>0</xdr:rowOff>
    </xdr:from>
    <xdr:to>
      <xdr:col>4</xdr:col>
      <xdr:colOff>352425</xdr:colOff>
      <xdr:row>90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89</xdr:row>
      <xdr:rowOff>0</xdr:rowOff>
    </xdr:from>
    <xdr:to>
      <xdr:col>5</xdr:col>
      <xdr:colOff>257175</xdr:colOff>
      <xdr:row>90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89</xdr:row>
      <xdr:rowOff>0</xdr:rowOff>
    </xdr:from>
    <xdr:to>
      <xdr:col>6</xdr:col>
      <xdr:colOff>447675</xdr:colOff>
      <xdr:row>90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89</xdr:row>
      <xdr:rowOff>0</xdr:rowOff>
    </xdr:from>
    <xdr:to>
      <xdr:col>7</xdr:col>
      <xdr:colOff>0</xdr:colOff>
      <xdr:row>90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90</xdr:row>
      <xdr:rowOff>0</xdr:rowOff>
    </xdr:from>
    <xdr:to>
      <xdr:col>3</xdr:col>
      <xdr:colOff>304800</xdr:colOff>
      <xdr:row>91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90</xdr:row>
      <xdr:rowOff>0</xdr:rowOff>
    </xdr:from>
    <xdr:to>
      <xdr:col>3</xdr:col>
      <xdr:colOff>1276350</xdr:colOff>
      <xdr:row>91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90</xdr:row>
      <xdr:rowOff>0</xdr:rowOff>
    </xdr:from>
    <xdr:to>
      <xdr:col>4</xdr:col>
      <xdr:colOff>619125</xdr:colOff>
      <xdr:row>91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90</xdr:row>
      <xdr:rowOff>0</xdr:rowOff>
    </xdr:from>
    <xdr:to>
      <xdr:col>5</xdr:col>
      <xdr:colOff>523875</xdr:colOff>
      <xdr:row>91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90</xdr:row>
      <xdr:rowOff>0</xdr:rowOff>
    </xdr:from>
    <xdr:to>
      <xdr:col>6</xdr:col>
      <xdr:colOff>723900</xdr:colOff>
      <xdr:row>91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90</xdr:row>
      <xdr:rowOff>0</xdr:rowOff>
    </xdr:from>
    <xdr:to>
      <xdr:col>7</xdr:col>
      <xdr:colOff>0</xdr:colOff>
      <xdr:row>91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58</xdr:row>
      <xdr:rowOff>15239</xdr:rowOff>
    </xdr:from>
    <xdr:to>
      <xdr:col>7</xdr:col>
      <xdr:colOff>0</xdr:colOff>
      <xdr:row>62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ENCHAPADAS CON TAPACANTO PVC 1,5MM LO MAS SIMILAR A LA LAMINA, ES MEDIDA TERMINADA, DUDAS PREGUNTAR!!, VAN CON PERFORACION DEL ITEM 1 AL 5 A 12,5CMS AL EJE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42</xdr:row>
      <xdr:rowOff>1</xdr:rowOff>
    </xdr:from>
    <xdr:to>
      <xdr:col>7</xdr:col>
      <xdr:colOff>19048</xdr:colOff>
      <xdr:row>43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92</xdr:row>
      <xdr:rowOff>32385</xdr:rowOff>
    </xdr:from>
    <xdr:to>
      <xdr:col>7</xdr:col>
      <xdr:colOff>0</xdr:colOff>
      <xdr:row>96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ENCHAPADAS CON TAPACANTO PVC 1,5MM,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 DEBE DESCONTAR EL EXPESOR DEL TAPACANTO PARA EL CORTE FINAL DE LAS PUERTAS, LLEVAN PERFORACION DEL ITEM 1 AL 5 A 12,5CMS AL EJE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66</xdr:row>
      <xdr:rowOff>146685</xdr:rowOff>
    </xdr:from>
    <xdr:to>
      <xdr:col>2</xdr:col>
      <xdr:colOff>786523</xdr:colOff>
      <xdr:row>72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98</xdr:row>
      <xdr:rowOff>0</xdr:rowOff>
    </xdr:from>
    <xdr:to>
      <xdr:col>4</xdr:col>
      <xdr:colOff>304800</xdr:colOff>
      <xdr:row>99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8"/>
  <sheetViews>
    <sheetView topLeftCell="A17" zoomScale="98" zoomScaleNormal="98" workbookViewId="0">
      <selection activeCell="N29" sqref="N2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0.109375" customWidth="1"/>
    <col min="4" max="4" width="10.33203125" customWidth="1"/>
    <col min="5" max="5" width="9.33203125" customWidth="1"/>
    <col min="6" max="6" width="7.33203125" customWidth="1"/>
    <col min="7" max="7" width="11.109375" customWidth="1"/>
    <col min="8" max="8" width="10" customWidth="1"/>
    <col min="9" max="9" width="27" customWidth="1"/>
    <col min="10" max="10" width="13.88671875" customWidth="1"/>
    <col min="11" max="11" width="14.88671875" customWidth="1"/>
  </cols>
  <sheetData>
    <row r="1" spans="1:20" ht="18" x14ac:dyDescent="0.3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20" ht="18" x14ac:dyDescent="0.35">
      <c r="A2" s="30"/>
      <c r="B2" s="30"/>
      <c r="C2" s="30"/>
      <c r="D2" s="30"/>
      <c r="E2" s="30"/>
      <c r="F2" s="30"/>
      <c r="G2" s="30"/>
      <c r="H2" s="30"/>
      <c r="I2" s="31" t="s">
        <v>115</v>
      </c>
      <c r="J2" s="30"/>
      <c r="K2" s="30"/>
      <c r="L2" s="30"/>
    </row>
    <row r="3" spans="1:20" ht="18" x14ac:dyDescent="0.35">
      <c r="A3" s="30"/>
      <c r="B3" s="30"/>
      <c r="C3" s="30"/>
      <c r="D3" s="30"/>
      <c r="E3" s="30"/>
      <c r="F3" s="30"/>
      <c r="G3" s="30"/>
      <c r="H3" s="30"/>
      <c r="I3" s="30" t="s">
        <v>116</v>
      </c>
      <c r="J3" s="30"/>
      <c r="K3" s="30"/>
      <c r="L3" s="30"/>
    </row>
    <row r="4" spans="1:20" ht="18" x14ac:dyDescent="0.35">
      <c r="A4" s="30"/>
      <c r="B4" s="30"/>
      <c r="C4" s="30"/>
      <c r="D4" s="30"/>
      <c r="E4" s="30"/>
      <c r="F4" s="30"/>
      <c r="G4" s="30"/>
      <c r="H4" s="30"/>
      <c r="I4" s="30" t="s">
        <v>117</v>
      </c>
      <c r="J4" s="30"/>
      <c r="K4" s="30"/>
      <c r="L4" s="30"/>
    </row>
    <row r="5" spans="1:20" ht="18" x14ac:dyDescent="0.35">
      <c r="A5" s="30"/>
      <c r="B5" s="30"/>
      <c r="C5" s="30"/>
      <c r="D5" s="30"/>
      <c r="E5" s="30"/>
      <c r="F5" s="30"/>
      <c r="G5" s="30"/>
      <c r="H5" s="30"/>
      <c r="I5" s="30" t="s">
        <v>0</v>
      </c>
      <c r="J5" s="30"/>
      <c r="K5" s="30"/>
      <c r="L5" s="30"/>
    </row>
    <row r="6" spans="1:20" ht="18" x14ac:dyDescent="0.35">
      <c r="A6" s="30"/>
      <c r="B6" s="30"/>
      <c r="C6" s="30"/>
      <c r="D6" s="30"/>
      <c r="E6" s="30"/>
      <c r="F6" s="30"/>
      <c r="G6" s="30"/>
      <c r="H6" s="30"/>
      <c r="I6" s="30" t="s">
        <v>14</v>
      </c>
      <c r="J6" s="30"/>
      <c r="K6" s="30"/>
      <c r="L6" s="30"/>
    </row>
    <row r="7" spans="1:20" ht="18.600000000000001" thickBot="1" x14ac:dyDescent="0.4">
      <c r="A7" s="30"/>
      <c r="B7" s="30"/>
      <c r="C7" s="30"/>
      <c r="D7" s="30"/>
      <c r="E7" s="30"/>
      <c r="F7" s="30"/>
      <c r="G7" s="30"/>
      <c r="H7" s="30"/>
      <c r="I7" s="30" t="s">
        <v>12</v>
      </c>
      <c r="J7" s="30"/>
      <c r="K7" s="30"/>
      <c r="L7" s="30"/>
    </row>
    <row r="8" spans="1:20" ht="18.600000000000001" thickBot="1" x14ac:dyDescent="0.4">
      <c r="A8" s="30"/>
      <c r="B8" s="32" t="s">
        <v>15</v>
      </c>
      <c r="C8" s="33"/>
      <c r="D8" s="34">
        <v>11328</v>
      </c>
      <c r="E8" s="30">
        <v>0</v>
      </c>
      <c r="F8" s="30"/>
      <c r="G8" s="30"/>
      <c r="H8" s="30"/>
      <c r="I8" s="35" t="s">
        <v>24</v>
      </c>
      <c r="J8" s="36">
        <v>4160</v>
      </c>
      <c r="K8" s="30"/>
      <c r="L8" s="30"/>
    </row>
    <row r="9" spans="1:20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</row>
    <row r="10" spans="1:20" ht="18.600000000000001" thickBot="1" x14ac:dyDescent="0.4">
      <c r="A10" s="30"/>
      <c r="B10" s="37" t="s">
        <v>124</v>
      </c>
      <c r="C10" s="38" t="s">
        <v>141</v>
      </c>
      <c r="D10" s="39"/>
      <c r="E10" s="39"/>
      <c r="F10" s="39"/>
      <c r="G10" s="39"/>
      <c r="H10" s="39"/>
      <c r="I10" s="40" t="s">
        <v>25</v>
      </c>
      <c r="J10" s="41">
        <v>45740</v>
      </c>
      <c r="K10" s="42"/>
      <c r="L10" s="30"/>
      <c r="M10" s="1"/>
      <c r="N10" s="1"/>
      <c r="O10" s="1"/>
      <c r="P10" s="1"/>
      <c r="Q10" s="1"/>
      <c r="R10" s="1"/>
      <c r="S10" s="1"/>
      <c r="T10" s="1"/>
    </row>
    <row r="11" spans="1:20" ht="18.600000000000001" thickBot="1" x14ac:dyDescent="0.4">
      <c r="A11" s="30"/>
      <c r="B11" s="43" t="s">
        <v>2</v>
      </c>
      <c r="C11" s="30"/>
      <c r="D11" s="44"/>
      <c r="E11" s="44"/>
      <c r="F11" s="44"/>
      <c r="G11" s="44"/>
      <c r="H11" s="44"/>
      <c r="I11" s="44" t="s">
        <v>119</v>
      </c>
      <c r="J11" s="45"/>
      <c r="K11" s="46"/>
      <c r="L11" s="30"/>
    </row>
    <row r="12" spans="1:20" ht="18" x14ac:dyDescent="0.35">
      <c r="A12" s="30"/>
      <c r="B12" s="47" t="s">
        <v>125</v>
      </c>
      <c r="C12" s="30"/>
      <c r="D12" s="48"/>
      <c r="E12" s="48"/>
      <c r="F12" s="48"/>
      <c r="G12" s="48"/>
      <c r="H12" s="48"/>
      <c r="I12" s="48" t="s">
        <v>26</v>
      </c>
      <c r="J12" s="49"/>
      <c r="K12" s="50"/>
      <c r="L12" s="30"/>
    </row>
    <row r="13" spans="1:20" ht="18" x14ac:dyDescent="0.35">
      <c r="A13" s="30"/>
      <c r="B13" s="47" t="s">
        <v>126</v>
      </c>
      <c r="C13" s="51"/>
      <c r="D13" s="48"/>
      <c r="E13" s="48"/>
      <c r="F13" s="48"/>
      <c r="G13" s="48"/>
      <c r="H13" s="48"/>
      <c r="I13" s="48" t="s">
        <v>123</v>
      </c>
      <c r="J13" s="49" t="s">
        <v>135</v>
      </c>
      <c r="K13" s="50"/>
      <c r="L13" s="30"/>
    </row>
    <row r="14" spans="1:20" ht="18" x14ac:dyDescent="0.35">
      <c r="A14" s="30"/>
      <c r="B14" s="43" t="s">
        <v>16</v>
      </c>
      <c r="C14" s="111" t="s">
        <v>140</v>
      </c>
      <c r="D14" s="52"/>
      <c r="E14" s="44"/>
      <c r="F14" s="44"/>
      <c r="G14" s="44"/>
      <c r="H14" s="44"/>
      <c r="I14" s="44"/>
      <c r="J14" s="44"/>
      <c r="K14" s="46"/>
      <c r="L14" s="30"/>
    </row>
    <row r="15" spans="1:20" ht="18" x14ac:dyDescent="0.35">
      <c r="A15" s="30"/>
      <c r="B15" s="47" t="s">
        <v>1</v>
      </c>
      <c r="C15" s="30"/>
      <c r="D15" s="48"/>
      <c r="E15" s="48"/>
      <c r="F15" s="48"/>
      <c r="G15" s="48"/>
      <c r="H15" s="48"/>
      <c r="I15" s="53" t="s">
        <v>71</v>
      </c>
      <c r="J15" s="53" t="s">
        <v>128</v>
      </c>
      <c r="K15" s="50"/>
      <c r="L15" s="30"/>
    </row>
    <row r="16" spans="1:20" ht="18.600000000000001" thickBot="1" x14ac:dyDescent="0.4">
      <c r="A16" s="30"/>
      <c r="B16" s="54" t="s">
        <v>3</v>
      </c>
      <c r="C16" s="55" t="s">
        <v>139</v>
      </c>
      <c r="D16" s="56"/>
      <c r="E16" s="57"/>
      <c r="F16" s="57"/>
      <c r="G16" s="57"/>
      <c r="H16" s="57"/>
      <c r="I16" s="119" t="s">
        <v>17</v>
      </c>
      <c r="J16" s="119"/>
      <c r="K16" s="120"/>
      <c r="L16" s="30"/>
    </row>
    <row r="17" spans="1:19" ht="18" x14ac:dyDescent="0.35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</row>
    <row r="18" spans="1:19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</row>
    <row r="19" spans="1:19" ht="20.100000000000001" customHeight="1" thickBot="1" x14ac:dyDescent="0.4">
      <c r="A19" s="30"/>
      <c r="B19" s="121" t="s">
        <v>18</v>
      </c>
      <c r="C19" s="122"/>
      <c r="D19" s="122"/>
      <c r="E19" s="122"/>
      <c r="F19" s="122"/>
      <c r="G19" s="122"/>
      <c r="H19" s="122"/>
      <c r="I19" s="122"/>
      <c r="J19" s="122"/>
      <c r="K19" s="123"/>
      <c r="L19" s="30"/>
    </row>
    <row r="20" spans="1:19" ht="46.8" customHeight="1" x14ac:dyDescent="0.35">
      <c r="A20" s="30"/>
      <c r="B20" s="133" t="s">
        <v>127</v>
      </c>
      <c r="C20" s="134" t="s">
        <v>19</v>
      </c>
      <c r="D20" s="134" t="s">
        <v>6</v>
      </c>
      <c r="E20" s="134" t="s">
        <v>7</v>
      </c>
      <c r="F20" s="135" t="s">
        <v>142</v>
      </c>
      <c r="G20" s="135" t="s">
        <v>143</v>
      </c>
      <c r="H20" s="135" t="s">
        <v>144</v>
      </c>
      <c r="I20" s="134" t="s">
        <v>20</v>
      </c>
      <c r="J20" s="134" t="s">
        <v>21</v>
      </c>
      <c r="K20" s="136" t="s">
        <v>4</v>
      </c>
      <c r="L20" s="30"/>
      <c r="Q20">
        <v>65000</v>
      </c>
    </row>
    <row r="21" spans="1:19" ht="30.6" customHeight="1" x14ac:dyDescent="0.35">
      <c r="A21" s="30"/>
      <c r="B21" s="102">
        <v>2</v>
      </c>
      <c r="C21" s="102" t="s">
        <v>145</v>
      </c>
      <c r="D21" s="103">
        <v>765</v>
      </c>
      <c r="E21" s="103">
        <v>396</v>
      </c>
      <c r="F21" s="137" t="s">
        <v>146</v>
      </c>
      <c r="G21" s="138" t="s">
        <v>150</v>
      </c>
      <c r="H21" s="137" t="s">
        <v>147</v>
      </c>
      <c r="I21" s="102" t="s">
        <v>148</v>
      </c>
      <c r="J21" s="118">
        <v>33792</v>
      </c>
      <c r="K21" s="118">
        <f>J21*B21</f>
        <v>67584</v>
      </c>
      <c r="L21" s="30"/>
      <c r="N21" s="11">
        <f>D25/1000</f>
        <v>0.42499999999999999</v>
      </c>
      <c r="O21" s="15">
        <f>E25/1000</f>
        <v>0.30099999999999999</v>
      </c>
      <c r="P21" s="11">
        <f>N21*O21</f>
        <v>0.12792499999999998</v>
      </c>
      <c r="Q21" s="11">
        <f>P21*Q$20</f>
        <v>8315.1249999999982</v>
      </c>
      <c r="R21" s="15"/>
      <c r="S21" s="21"/>
    </row>
    <row r="22" spans="1:19" ht="30" customHeight="1" x14ac:dyDescent="0.35">
      <c r="A22" s="30"/>
      <c r="B22" s="102">
        <v>1</v>
      </c>
      <c r="C22" s="102" t="s">
        <v>145</v>
      </c>
      <c r="D22" s="103">
        <v>765</v>
      </c>
      <c r="E22" s="103">
        <v>315</v>
      </c>
      <c r="F22" s="137" t="s">
        <v>146</v>
      </c>
      <c r="G22" s="138" t="s">
        <v>150</v>
      </c>
      <c r="H22" s="137" t="s">
        <v>147</v>
      </c>
      <c r="I22" s="102" t="s">
        <v>148</v>
      </c>
      <c r="J22" s="118">
        <v>29549</v>
      </c>
      <c r="K22" s="118">
        <f>J22*B22</f>
        <v>29549</v>
      </c>
      <c r="L22" s="30"/>
      <c r="N22" s="11"/>
      <c r="O22" s="15"/>
      <c r="P22" s="11"/>
      <c r="Q22" s="11"/>
      <c r="R22" s="15"/>
      <c r="S22" s="21"/>
    </row>
    <row r="23" spans="1:19" ht="30" customHeight="1" x14ac:dyDescent="0.35">
      <c r="A23" s="30"/>
      <c r="B23" s="102">
        <v>1</v>
      </c>
      <c r="C23" s="102" t="s">
        <v>145</v>
      </c>
      <c r="D23" s="103">
        <v>765</v>
      </c>
      <c r="E23" s="103">
        <v>275</v>
      </c>
      <c r="F23" s="137" t="s">
        <v>146</v>
      </c>
      <c r="G23" s="138" t="s">
        <v>150</v>
      </c>
      <c r="H23" s="137" t="s">
        <v>147</v>
      </c>
      <c r="I23" s="102" t="s">
        <v>148</v>
      </c>
      <c r="J23" s="118">
        <v>27454</v>
      </c>
      <c r="K23" s="118">
        <f t="shared" ref="K23:K30" si="0">J23*B23</f>
        <v>27454</v>
      </c>
      <c r="L23" s="30"/>
      <c r="N23" s="11"/>
      <c r="O23" s="15"/>
      <c r="P23" s="11"/>
      <c r="Q23" s="11"/>
      <c r="R23" s="15"/>
      <c r="S23" s="21"/>
    </row>
    <row r="24" spans="1:19" ht="28.2" customHeight="1" x14ac:dyDescent="0.35">
      <c r="A24" s="30"/>
      <c r="B24" s="102">
        <v>2</v>
      </c>
      <c r="C24" s="102" t="s">
        <v>145</v>
      </c>
      <c r="D24" s="103">
        <v>660</v>
      </c>
      <c r="E24" s="103">
        <v>301</v>
      </c>
      <c r="F24" s="137" t="s">
        <v>146</v>
      </c>
      <c r="G24" s="138" t="s">
        <v>150</v>
      </c>
      <c r="H24" s="137" t="s">
        <v>147</v>
      </c>
      <c r="I24" s="102" t="s">
        <v>148</v>
      </c>
      <c r="J24" s="118">
        <v>26567</v>
      </c>
      <c r="K24" s="118">
        <f t="shared" si="0"/>
        <v>53134</v>
      </c>
      <c r="L24" s="30"/>
      <c r="N24" s="11"/>
      <c r="O24" s="15"/>
      <c r="P24" s="11"/>
      <c r="Q24" s="11"/>
      <c r="R24" s="15"/>
      <c r="S24" s="21"/>
    </row>
    <row r="25" spans="1:19" ht="28.2" customHeight="1" x14ac:dyDescent="0.35">
      <c r="A25" s="30"/>
      <c r="B25" s="102">
        <v>2</v>
      </c>
      <c r="C25" s="102" t="s">
        <v>145</v>
      </c>
      <c r="D25" s="103">
        <v>425</v>
      </c>
      <c r="E25" s="103">
        <v>301</v>
      </c>
      <c r="F25" s="137" t="s">
        <v>146</v>
      </c>
      <c r="G25" s="138" t="s">
        <v>150</v>
      </c>
      <c r="H25" s="137" t="s">
        <v>147</v>
      </c>
      <c r="I25" s="102" t="s">
        <v>148</v>
      </c>
      <c r="J25" s="118">
        <v>21533</v>
      </c>
      <c r="K25" s="118">
        <f t="shared" si="0"/>
        <v>43066</v>
      </c>
      <c r="L25" s="30"/>
      <c r="N25" s="11"/>
      <c r="O25" s="15"/>
      <c r="P25" s="11"/>
      <c r="Q25" s="11"/>
      <c r="R25" s="15"/>
      <c r="S25" s="21"/>
    </row>
    <row r="26" spans="1:19" ht="20.100000000000001" customHeight="1" x14ac:dyDescent="0.35">
      <c r="A26" s="30"/>
      <c r="B26" s="102">
        <v>2</v>
      </c>
      <c r="C26" s="102" t="s">
        <v>145</v>
      </c>
      <c r="D26" s="103">
        <v>177</v>
      </c>
      <c r="E26" s="103">
        <v>506</v>
      </c>
      <c r="F26" s="137" t="s">
        <v>149</v>
      </c>
      <c r="G26" s="137"/>
      <c r="H26" s="137" t="s">
        <v>147</v>
      </c>
      <c r="I26" s="102" t="s">
        <v>148</v>
      </c>
      <c r="J26" s="118">
        <v>18915</v>
      </c>
      <c r="K26" s="118">
        <f t="shared" si="0"/>
        <v>37830</v>
      </c>
      <c r="L26" s="30"/>
      <c r="N26" s="11"/>
      <c r="O26" s="15"/>
      <c r="P26" s="11"/>
      <c r="Q26" s="11"/>
      <c r="R26" s="15"/>
      <c r="S26" s="21"/>
    </row>
    <row r="27" spans="1:19" ht="20.100000000000001" customHeight="1" x14ac:dyDescent="0.35">
      <c r="A27" s="30"/>
      <c r="B27" s="102">
        <v>1</v>
      </c>
      <c r="C27" s="102" t="s">
        <v>145</v>
      </c>
      <c r="D27" s="103">
        <v>397</v>
      </c>
      <c r="E27" s="103">
        <v>506</v>
      </c>
      <c r="F27" s="137" t="s">
        <v>149</v>
      </c>
      <c r="G27" s="137"/>
      <c r="H27" s="137" t="s">
        <v>147</v>
      </c>
      <c r="I27" s="102" t="s">
        <v>148</v>
      </c>
      <c r="J27" s="118">
        <v>26637</v>
      </c>
      <c r="K27" s="118">
        <f t="shared" si="0"/>
        <v>26637</v>
      </c>
      <c r="L27" s="30"/>
      <c r="N27" s="11"/>
      <c r="O27" s="15"/>
      <c r="P27" s="11"/>
      <c r="Q27" s="11"/>
      <c r="R27" s="15"/>
      <c r="S27" s="21"/>
    </row>
    <row r="28" spans="1:19" ht="20.100000000000001" customHeight="1" x14ac:dyDescent="0.35">
      <c r="A28" s="30"/>
      <c r="B28" s="102">
        <v>2</v>
      </c>
      <c r="C28" s="102" t="s">
        <v>145</v>
      </c>
      <c r="D28" s="103">
        <v>177</v>
      </c>
      <c r="E28" s="103">
        <v>898</v>
      </c>
      <c r="F28" s="137" t="s">
        <v>149</v>
      </c>
      <c r="G28" s="137"/>
      <c r="H28" s="137" t="s">
        <v>147</v>
      </c>
      <c r="I28" s="102" t="s">
        <v>148</v>
      </c>
      <c r="J28" s="118">
        <v>24068</v>
      </c>
      <c r="K28" s="118">
        <f t="shared" si="0"/>
        <v>48136</v>
      </c>
      <c r="L28" s="30"/>
      <c r="N28" s="11"/>
      <c r="O28" s="15"/>
      <c r="P28" s="11"/>
      <c r="Q28" s="11"/>
      <c r="R28" s="15"/>
      <c r="S28" s="21"/>
    </row>
    <row r="29" spans="1:19" ht="20.100000000000001" customHeight="1" x14ac:dyDescent="0.35">
      <c r="A29" s="30"/>
      <c r="B29" s="102">
        <v>1</v>
      </c>
      <c r="C29" s="102" t="s">
        <v>145</v>
      </c>
      <c r="D29" s="103">
        <v>397</v>
      </c>
      <c r="E29" s="103">
        <v>898</v>
      </c>
      <c r="F29" s="137" t="s">
        <v>149</v>
      </c>
      <c r="G29" s="137"/>
      <c r="H29" s="137" t="s">
        <v>147</v>
      </c>
      <c r="I29" s="102" t="s">
        <v>148</v>
      </c>
      <c r="J29" s="118">
        <v>37546</v>
      </c>
      <c r="K29" s="118">
        <f t="shared" si="0"/>
        <v>37546</v>
      </c>
      <c r="L29" s="30"/>
      <c r="N29" s="11"/>
      <c r="O29" s="15"/>
      <c r="P29" s="11"/>
      <c r="Q29" s="11"/>
      <c r="R29" s="15"/>
      <c r="S29" s="21"/>
    </row>
    <row r="30" spans="1:19" ht="19.8" customHeight="1" x14ac:dyDescent="0.35">
      <c r="A30" s="30"/>
      <c r="B30" s="102">
        <v>1</v>
      </c>
      <c r="C30" s="102" t="s">
        <v>145</v>
      </c>
      <c r="D30" s="103">
        <v>650</v>
      </c>
      <c r="E30" s="103">
        <v>587</v>
      </c>
      <c r="F30" s="137" t="s">
        <v>149</v>
      </c>
      <c r="G30" s="137"/>
      <c r="H30" s="137" t="s">
        <v>147</v>
      </c>
      <c r="I30" s="102" t="s">
        <v>148</v>
      </c>
      <c r="J30" s="118">
        <v>39140</v>
      </c>
      <c r="K30" s="118">
        <f t="shared" si="0"/>
        <v>39140</v>
      </c>
      <c r="L30" s="30"/>
      <c r="N30" s="11"/>
      <c r="O30" s="15"/>
      <c r="P30" s="11"/>
      <c r="Q30" s="11"/>
      <c r="R30" s="15"/>
      <c r="S30" s="21"/>
    </row>
    <row r="31" spans="1:19" ht="20.100000000000001" customHeight="1" x14ac:dyDescent="0.35">
      <c r="A31" s="30"/>
      <c r="B31" s="104"/>
      <c r="C31" s="104"/>
      <c r="D31" s="105"/>
      <c r="E31" s="105"/>
      <c r="F31" s="105"/>
      <c r="G31" s="105"/>
      <c r="H31" s="105"/>
      <c r="I31" s="104"/>
      <c r="J31" s="106"/>
      <c r="K31" s="106"/>
      <c r="L31" s="30"/>
      <c r="N31" s="11"/>
      <c r="O31" s="15"/>
      <c r="P31" s="11"/>
      <c r="Q31" s="11"/>
      <c r="R31" s="15"/>
      <c r="S31" s="21"/>
    </row>
    <row r="32" spans="1:19" ht="20.100000000000001" customHeight="1" thickBot="1" x14ac:dyDescent="0.4">
      <c r="A32" s="30"/>
      <c r="B32" s="104"/>
      <c r="C32" s="104"/>
      <c r="D32" s="117"/>
      <c r="E32" s="117"/>
      <c r="F32" s="117"/>
      <c r="G32" s="117"/>
      <c r="H32" s="117"/>
      <c r="I32" s="104"/>
      <c r="J32" s="106"/>
      <c r="K32" s="106"/>
      <c r="L32" s="30"/>
      <c r="N32" s="11"/>
      <c r="O32" s="15"/>
      <c r="P32" s="11"/>
      <c r="Q32" s="11"/>
      <c r="R32" s="15"/>
      <c r="S32" s="21"/>
    </row>
    <row r="33" spans="1:19" ht="20.100000000000001" customHeight="1" x14ac:dyDescent="0.35">
      <c r="A33" s="30"/>
      <c r="B33" s="104"/>
      <c r="C33" s="104"/>
      <c r="D33" s="117"/>
      <c r="E33" s="117"/>
      <c r="F33" s="117"/>
      <c r="G33" s="117"/>
      <c r="H33" s="117"/>
      <c r="I33" s="104"/>
      <c r="J33" s="60" t="s">
        <v>5</v>
      </c>
      <c r="K33" s="61">
        <f>SUM(K21:K32)</f>
        <v>410076</v>
      </c>
      <c r="L33" s="30"/>
      <c r="N33" s="11"/>
      <c r="O33" s="15"/>
      <c r="P33" s="11"/>
      <c r="Q33" s="11"/>
      <c r="R33" s="15"/>
      <c r="S33" s="21"/>
    </row>
    <row r="34" spans="1:19" ht="20.100000000000001" customHeight="1" x14ac:dyDescent="0.35">
      <c r="A34" s="30"/>
      <c r="B34" s="104"/>
      <c r="C34" s="104"/>
      <c r="D34" s="117"/>
      <c r="E34" s="117"/>
      <c r="F34" s="117"/>
      <c r="G34" s="117"/>
      <c r="H34" s="117"/>
      <c r="I34" s="104"/>
      <c r="J34" s="62" t="s">
        <v>138</v>
      </c>
      <c r="K34" s="63"/>
      <c r="L34" s="30"/>
      <c r="N34" s="11"/>
      <c r="O34" s="15"/>
      <c r="P34" s="11"/>
      <c r="Q34" s="11"/>
      <c r="R34" s="15"/>
      <c r="S34" s="21"/>
    </row>
    <row r="35" spans="1:19" ht="20.100000000000001" customHeight="1" thickBot="1" x14ac:dyDescent="0.4">
      <c r="A35" s="30"/>
      <c r="B35" s="104"/>
      <c r="C35" s="104"/>
      <c r="D35" s="117"/>
      <c r="E35" s="117"/>
      <c r="F35" s="117"/>
      <c r="G35" s="117"/>
      <c r="H35" s="117"/>
      <c r="I35" s="104"/>
      <c r="J35" s="64" t="s">
        <v>4</v>
      </c>
      <c r="K35" s="65">
        <f>K33+K34</f>
        <v>410076</v>
      </c>
      <c r="L35" s="30"/>
      <c r="N35" s="11"/>
      <c r="O35" s="15"/>
      <c r="P35" s="11"/>
      <c r="Q35" s="11"/>
      <c r="R35" s="15"/>
      <c r="S35" s="21"/>
    </row>
    <row r="36" spans="1:19" ht="20.100000000000001" customHeight="1" x14ac:dyDescent="0.35">
      <c r="A36" s="30"/>
      <c r="B36" s="104"/>
      <c r="C36" s="104"/>
      <c r="D36" s="117"/>
      <c r="E36" s="117"/>
      <c r="F36" s="117"/>
      <c r="G36" s="117"/>
      <c r="H36" s="117"/>
      <c r="I36" s="104"/>
      <c r="L36" s="30"/>
      <c r="N36" s="11"/>
      <c r="O36" s="15"/>
      <c r="P36" s="11"/>
      <c r="Q36" s="11"/>
      <c r="R36" s="15"/>
      <c r="S36" s="21"/>
    </row>
    <row r="37" spans="1:19" ht="20.100000000000001" customHeight="1" x14ac:dyDescent="0.35">
      <c r="A37" s="30"/>
      <c r="B37" s="104"/>
      <c r="C37" s="104"/>
      <c r="D37" s="117"/>
      <c r="E37" s="117"/>
      <c r="F37" s="117"/>
      <c r="G37" s="117"/>
      <c r="H37" s="117"/>
      <c r="I37" s="104"/>
      <c r="J37" s="106"/>
      <c r="K37" s="106"/>
      <c r="L37" s="30"/>
      <c r="N37" s="11"/>
      <c r="O37" s="15"/>
      <c r="P37" s="11"/>
      <c r="Q37" s="11"/>
      <c r="R37" s="15"/>
      <c r="S37" s="21"/>
    </row>
    <row r="38" spans="1:19" ht="20.100000000000001" customHeight="1" x14ac:dyDescent="0.35">
      <c r="A38" s="30"/>
      <c r="B38" s="104"/>
      <c r="C38" s="104"/>
      <c r="D38" s="117"/>
      <c r="E38" s="117"/>
      <c r="F38" s="117"/>
      <c r="G38" s="117"/>
      <c r="H38" s="117"/>
      <c r="I38" s="104"/>
      <c r="J38" s="106"/>
      <c r="K38" s="106"/>
      <c r="L38" s="30"/>
      <c r="N38" s="11"/>
      <c r="O38" s="15"/>
      <c r="P38" s="11"/>
      <c r="Q38" s="11"/>
      <c r="R38" s="15"/>
      <c r="S38" s="21"/>
    </row>
    <row r="39" spans="1:19" ht="20.100000000000001" customHeight="1" x14ac:dyDescent="0.35">
      <c r="A39" s="30"/>
      <c r="B39" s="104"/>
      <c r="C39" s="104"/>
      <c r="D39" s="105"/>
      <c r="E39" s="105"/>
      <c r="F39" s="105"/>
      <c r="G39" s="105"/>
      <c r="H39" s="105"/>
      <c r="I39" s="104"/>
      <c r="J39" s="106"/>
      <c r="K39" s="106"/>
      <c r="L39" s="30"/>
      <c r="N39" s="11"/>
      <c r="O39" s="15"/>
      <c r="P39" s="11"/>
      <c r="Q39" s="11"/>
      <c r="R39" s="15"/>
      <c r="S39" s="21"/>
    </row>
    <row r="40" spans="1:19" ht="20.100000000000001" customHeight="1" x14ac:dyDescent="0.35">
      <c r="A40" s="30"/>
      <c r="B40" s="104"/>
      <c r="C40" s="104"/>
      <c r="D40" s="105"/>
      <c r="E40" s="105"/>
      <c r="F40" s="105"/>
      <c r="G40" s="105"/>
      <c r="H40" s="105"/>
      <c r="I40" s="104"/>
      <c r="J40" s="106"/>
      <c r="K40" s="106"/>
      <c r="L40" s="30"/>
      <c r="N40" s="11"/>
      <c r="O40" s="15"/>
      <c r="P40" s="11"/>
      <c r="Q40" s="11"/>
      <c r="R40" s="15"/>
      <c r="S40" s="21"/>
    </row>
    <row r="41" spans="1:19" ht="13.2" customHeight="1" x14ac:dyDescent="0.35">
      <c r="A41" s="30"/>
      <c r="B41" s="59"/>
      <c r="C41" s="59"/>
      <c r="D41" s="59"/>
      <c r="E41" s="59"/>
      <c r="F41" s="59"/>
      <c r="G41" s="59"/>
      <c r="H41" s="59"/>
      <c r="I41" s="59"/>
      <c r="J41" s="58"/>
      <c r="K41" s="58"/>
      <c r="L41" s="30"/>
    </row>
    <row r="42" spans="1:19" ht="20.100000000000001" customHeight="1" x14ac:dyDescent="0.35">
      <c r="A42" s="30"/>
      <c r="B42" s="30"/>
      <c r="C42" s="30"/>
      <c r="D42" s="30"/>
      <c r="E42" s="30"/>
      <c r="F42" s="30"/>
      <c r="G42" s="30"/>
      <c r="H42" s="30"/>
      <c r="I42" s="30"/>
      <c r="L42" s="30"/>
    </row>
    <row r="43" spans="1:19" ht="20.100000000000001" customHeight="1" x14ac:dyDescent="0.35">
      <c r="A43" s="30"/>
      <c r="B43" s="30"/>
      <c r="C43" s="30"/>
      <c r="D43" s="30"/>
      <c r="E43" s="30"/>
      <c r="F43" s="30"/>
      <c r="G43" s="30"/>
      <c r="H43" s="30"/>
      <c r="I43" s="30"/>
      <c r="L43" s="30"/>
    </row>
    <row r="44" spans="1:19" ht="20.100000000000001" customHeight="1" x14ac:dyDescent="0.35">
      <c r="A44" s="30"/>
      <c r="B44" s="30"/>
      <c r="C44" s="30"/>
      <c r="D44" s="30"/>
      <c r="E44" s="30"/>
      <c r="F44" s="30"/>
      <c r="G44" s="30"/>
      <c r="H44" s="30"/>
      <c r="I44" s="30"/>
      <c r="L44" s="30"/>
    </row>
    <row r="45" spans="1:19" ht="20.100000000000001" customHeight="1" x14ac:dyDescent="0.35">
      <c r="A45" s="30"/>
      <c r="B45" s="30"/>
      <c r="C45" s="30"/>
      <c r="D45" s="30"/>
      <c r="E45" s="30"/>
      <c r="F45" s="30"/>
      <c r="G45" s="30"/>
      <c r="H45" s="30"/>
      <c r="I45" s="30"/>
      <c r="J45" s="66"/>
      <c r="K45" s="67"/>
      <c r="L45" s="30"/>
    </row>
    <row r="46" spans="1:19" ht="18" x14ac:dyDescent="0.35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</row>
    <row r="47" spans="1:19" ht="18" x14ac:dyDescent="0.35">
      <c r="A47" s="30"/>
      <c r="B47" s="68" t="s">
        <v>132</v>
      </c>
      <c r="C47" s="69"/>
      <c r="D47" s="70"/>
      <c r="E47" s="70"/>
      <c r="F47" s="70"/>
      <c r="G47" s="70"/>
      <c r="H47" s="70"/>
      <c r="I47" s="59"/>
      <c r="J47" s="30"/>
      <c r="K47" s="30"/>
      <c r="L47" s="30"/>
    </row>
    <row r="48" spans="1:19" ht="18" x14ac:dyDescent="0.35">
      <c r="A48" s="30"/>
      <c r="B48" s="68" t="s">
        <v>118</v>
      </c>
      <c r="C48" s="69"/>
      <c r="D48" s="70"/>
      <c r="E48" s="70"/>
      <c r="F48" s="70"/>
      <c r="G48" s="70"/>
      <c r="H48" s="70"/>
      <c r="I48" s="59"/>
      <c r="J48" s="30"/>
      <c r="K48" s="30"/>
      <c r="L48" s="30"/>
    </row>
    <row r="49" spans="1:12" ht="18" x14ac:dyDescent="0.35">
      <c r="A49" s="30"/>
      <c r="B49" s="30" t="s">
        <v>22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</row>
    <row r="50" spans="1:12" ht="18" x14ac:dyDescent="0.35">
      <c r="A50" s="30"/>
      <c r="B50" s="71" t="s">
        <v>23</v>
      </c>
      <c r="C50" s="71"/>
      <c r="D50" s="30"/>
      <c r="E50" s="30"/>
      <c r="F50" s="30"/>
      <c r="G50" s="30"/>
      <c r="H50" s="30"/>
      <c r="I50" s="30"/>
      <c r="J50" s="30"/>
      <c r="K50" s="30"/>
      <c r="L50" s="30"/>
    </row>
    <row r="51" spans="1:12" ht="18" x14ac:dyDescent="0.35">
      <c r="A51" s="30"/>
      <c r="B51" s="30"/>
      <c r="C51" s="30"/>
      <c r="D51" s="30"/>
      <c r="E51" s="71"/>
      <c r="F51" s="71"/>
      <c r="G51" s="71"/>
      <c r="H51" s="71"/>
      <c r="I51" s="30"/>
      <c r="J51" s="30"/>
      <c r="K51" s="30"/>
      <c r="L51" s="30"/>
    </row>
    <row r="52" spans="1:12" ht="18" x14ac:dyDescent="0.35">
      <c r="A52" s="30"/>
      <c r="B52" s="31" t="s">
        <v>130</v>
      </c>
      <c r="C52" s="31"/>
      <c r="D52" s="31"/>
      <c r="E52" s="72"/>
      <c r="F52" s="72"/>
      <c r="G52" s="72"/>
      <c r="H52" s="72"/>
      <c r="I52" s="30"/>
      <c r="J52" s="30"/>
      <c r="K52" s="30"/>
      <c r="L52" s="30"/>
    </row>
    <row r="53" spans="1:12" ht="18" x14ac:dyDescent="0.35">
      <c r="A53" s="30"/>
      <c r="B53" s="31"/>
      <c r="C53" s="31"/>
      <c r="D53" s="31"/>
      <c r="E53" s="72"/>
      <c r="F53" s="72"/>
      <c r="G53" s="72"/>
      <c r="H53" s="72"/>
      <c r="I53" s="30"/>
      <c r="J53" s="30"/>
      <c r="K53" s="30"/>
      <c r="L53" s="30"/>
    </row>
    <row r="54" spans="1:12" ht="18" x14ac:dyDescent="0.35">
      <c r="A54" s="30"/>
      <c r="B54" s="31" t="s">
        <v>131</v>
      </c>
      <c r="C54" s="30"/>
      <c r="D54" s="30"/>
      <c r="E54" s="71"/>
      <c r="F54" s="71"/>
      <c r="G54" s="71"/>
      <c r="H54" s="71"/>
      <c r="I54" s="30"/>
      <c r="J54" s="30"/>
      <c r="K54" s="30"/>
      <c r="L54" s="30"/>
    </row>
    <row r="55" spans="1:12" ht="18" x14ac:dyDescent="0.35">
      <c r="A55" s="30"/>
      <c r="B55" s="30"/>
      <c r="C55" s="30"/>
      <c r="D55" s="30"/>
      <c r="E55" s="71"/>
      <c r="F55" s="71"/>
      <c r="G55" s="71"/>
      <c r="H55" s="71"/>
      <c r="I55" s="30"/>
      <c r="J55" s="30"/>
      <c r="K55" s="30"/>
      <c r="L55" s="30"/>
    </row>
    <row r="56" spans="1:12" ht="18" x14ac:dyDescent="0.35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</row>
    <row r="57" spans="1:12" ht="18" x14ac:dyDescent="0.35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</row>
    <row r="58" spans="1:12" ht="15.6" x14ac:dyDescent="0.3">
      <c r="C58" s="1"/>
    </row>
  </sheetData>
  <sortState xmlns:xlrd2="http://schemas.microsoft.com/office/spreadsheetml/2017/richdata2" ref="B59">
    <sortCondition sortBy="fontColor" ref="B59" dxfId="0"/>
  </sortState>
  <mergeCells count="2">
    <mergeCell ref="I16:K16"/>
    <mergeCell ref="B19:K19"/>
  </mergeCells>
  <phoneticPr fontId="8" type="noConversion"/>
  <hyperlinks>
    <hyperlink ref="B5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5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4" t="s">
        <v>27</v>
      </c>
      <c r="C2" s="124"/>
      <c r="D2" s="124"/>
      <c r="E2" s="12"/>
      <c r="G2" s="124" t="s">
        <v>66</v>
      </c>
      <c r="H2" s="124"/>
      <c r="I2" s="124"/>
      <c r="P2" s="125" t="s">
        <v>54</v>
      </c>
      <c r="Q2" s="125"/>
      <c r="R2" s="125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109</v>
      </c>
      <c r="E4" s="6" t="s">
        <v>97</v>
      </c>
      <c r="G4" s="18">
        <v>50</v>
      </c>
      <c r="H4" s="18">
        <v>100</v>
      </c>
      <c r="I4" s="19" t="s">
        <v>109</v>
      </c>
      <c r="J4" s="20" t="s">
        <v>105</v>
      </c>
      <c r="K4" s="20"/>
      <c r="L4" s="20"/>
      <c r="M4" s="20"/>
      <c r="P4">
        <v>50</v>
      </c>
      <c r="Q4">
        <v>-30</v>
      </c>
      <c r="R4" t="s">
        <v>28</v>
      </c>
    </row>
    <row r="5" spans="2:18" x14ac:dyDescent="0.3">
      <c r="B5" s="7">
        <v>40</v>
      </c>
      <c r="C5" s="7">
        <v>90</v>
      </c>
      <c r="D5" s="8" t="s">
        <v>110</v>
      </c>
      <c r="E5" s="6" t="s">
        <v>98</v>
      </c>
      <c r="G5" s="18">
        <v>50</v>
      </c>
      <c r="H5" s="18"/>
      <c r="I5" s="19" t="s">
        <v>111</v>
      </c>
      <c r="J5" s="20" t="s">
        <v>113</v>
      </c>
      <c r="K5" s="20"/>
      <c r="L5" s="20"/>
      <c r="M5" s="20"/>
      <c r="P5">
        <v>50</v>
      </c>
      <c r="Q5">
        <v>-30</v>
      </c>
      <c r="R5" t="s">
        <v>28</v>
      </c>
    </row>
    <row r="6" spans="2:18" x14ac:dyDescent="0.3">
      <c r="B6" s="7">
        <v>40</v>
      </c>
      <c r="C6" s="7">
        <v>100</v>
      </c>
      <c r="D6" s="8" t="s">
        <v>52</v>
      </c>
      <c r="E6" s="6" t="s">
        <v>99</v>
      </c>
      <c r="G6" s="7">
        <v>50</v>
      </c>
      <c r="H6" s="7">
        <v>100</v>
      </c>
      <c r="I6" s="8" t="s">
        <v>52</v>
      </c>
      <c r="P6">
        <v>50</v>
      </c>
      <c r="Q6">
        <v>-30</v>
      </c>
      <c r="R6" t="s">
        <v>30</v>
      </c>
    </row>
    <row r="7" spans="2:18" x14ac:dyDescent="0.3">
      <c r="B7" s="7">
        <v>40</v>
      </c>
      <c r="C7" s="7">
        <v>150</v>
      </c>
      <c r="D7" s="8" t="s">
        <v>53</v>
      </c>
      <c r="E7" s="6" t="s">
        <v>100</v>
      </c>
      <c r="G7" s="7">
        <v>50</v>
      </c>
      <c r="H7" s="7"/>
      <c r="I7" s="8" t="s">
        <v>53</v>
      </c>
      <c r="P7">
        <v>50</v>
      </c>
      <c r="Q7">
        <v>-30</v>
      </c>
      <c r="R7" t="s">
        <v>40</v>
      </c>
    </row>
    <row r="8" spans="2:18" x14ac:dyDescent="0.3">
      <c r="B8" s="7">
        <v>40</v>
      </c>
      <c r="C8" s="7">
        <v>100</v>
      </c>
      <c r="D8" s="8" t="s">
        <v>36</v>
      </c>
      <c r="E8" s="6" t="s">
        <v>101</v>
      </c>
      <c r="G8" s="7">
        <v>50</v>
      </c>
      <c r="H8" s="7">
        <v>100</v>
      </c>
      <c r="I8" s="8" t="s">
        <v>36</v>
      </c>
      <c r="L8" s="125" t="s">
        <v>54</v>
      </c>
      <c r="M8" s="125"/>
      <c r="N8" s="125"/>
      <c r="P8">
        <v>50</v>
      </c>
      <c r="Q8">
        <v>-30</v>
      </c>
      <c r="R8" t="s">
        <v>46</v>
      </c>
    </row>
    <row r="9" spans="2:18" x14ac:dyDescent="0.3">
      <c r="B9" s="7">
        <v>40</v>
      </c>
      <c r="C9" s="7">
        <v>50</v>
      </c>
      <c r="D9" s="8" t="s">
        <v>50</v>
      </c>
      <c r="E9" s="6" t="s">
        <v>72</v>
      </c>
      <c r="G9" s="7">
        <v>50</v>
      </c>
      <c r="H9" s="7">
        <v>100</v>
      </c>
      <c r="I9" s="8" t="s">
        <v>35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41</v>
      </c>
    </row>
    <row r="10" spans="2:18" x14ac:dyDescent="0.3">
      <c r="B10" s="7">
        <v>40</v>
      </c>
      <c r="C10" s="7">
        <v>80</v>
      </c>
      <c r="D10" s="8" t="s">
        <v>51</v>
      </c>
      <c r="E10" s="6" t="s">
        <v>73</v>
      </c>
      <c r="G10" s="7">
        <v>50</v>
      </c>
      <c r="H10" s="7"/>
      <c r="I10" s="8" t="s">
        <v>37</v>
      </c>
      <c r="L10" s="7">
        <v>50</v>
      </c>
      <c r="M10" s="7">
        <v>-30</v>
      </c>
      <c r="N10" s="8" t="s">
        <v>28</v>
      </c>
      <c r="P10">
        <v>50</v>
      </c>
      <c r="Q10">
        <v>0</v>
      </c>
      <c r="R10" t="s">
        <v>29</v>
      </c>
    </row>
    <row r="11" spans="2:18" x14ac:dyDescent="0.3">
      <c r="B11" s="7">
        <v>40</v>
      </c>
      <c r="C11" s="7">
        <v>60</v>
      </c>
      <c r="D11" s="8" t="s">
        <v>67</v>
      </c>
      <c r="E11" s="6" t="s">
        <v>74</v>
      </c>
      <c r="G11" s="7">
        <v>50</v>
      </c>
      <c r="H11" s="7">
        <v>100</v>
      </c>
      <c r="I11" s="8" t="s">
        <v>50</v>
      </c>
      <c r="L11" s="7">
        <v>50</v>
      </c>
      <c r="M11" s="7">
        <v>0</v>
      </c>
      <c r="N11" s="8" t="s">
        <v>55</v>
      </c>
      <c r="P11">
        <v>50</v>
      </c>
      <c r="Q11">
        <v>0</v>
      </c>
      <c r="R11" t="s">
        <v>32</v>
      </c>
    </row>
    <row r="12" spans="2:18" x14ac:dyDescent="0.3">
      <c r="B12" s="7">
        <v>40</v>
      </c>
      <c r="C12" s="7">
        <v>100</v>
      </c>
      <c r="D12" s="8" t="s">
        <v>68</v>
      </c>
      <c r="E12" s="6" t="s">
        <v>75</v>
      </c>
      <c r="G12" s="7">
        <v>50</v>
      </c>
      <c r="H12" s="7"/>
      <c r="I12" s="8" t="s">
        <v>51</v>
      </c>
      <c r="L12" s="7">
        <v>50</v>
      </c>
      <c r="M12" s="7">
        <v>-2</v>
      </c>
      <c r="N12" s="8" t="s">
        <v>56</v>
      </c>
      <c r="P12">
        <v>50</v>
      </c>
      <c r="Q12">
        <v>0</v>
      </c>
      <c r="R12" t="s">
        <v>33</v>
      </c>
    </row>
    <row r="13" spans="2:18" x14ac:dyDescent="0.3">
      <c r="B13" s="7">
        <v>40</v>
      </c>
      <c r="C13" s="7">
        <v>130</v>
      </c>
      <c r="D13" s="8" t="s">
        <v>122</v>
      </c>
      <c r="E13" s="6" t="s">
        <v>76</v>
      </c>
      <c r="G13" s="7">
        <v>50</v>
      </c>
      <c r="H13" s="7">
        <v>-30</v>
      </c>
      <c r="I13" s="8" t="s">
        <v>28</v>
      </c>
      <c r="P13">
        <v>50</v>
      </c>
      <c r="Q13">
        <v>0</v>
      </c>
      <c r="R13" t="s">
        <v>34</v>
      </c>
    </row>
    <row r="14" spans="2:18" x14ac:dyDescent="0.3">
      <c r="B14" s="7">
        <v>40</v>
      </c>
      <c r="C14" s="7">
        <v>150</v>
      </c>
      <c r="D14" s="8" t="s">
        <v>30</v>
      </c>
      <c r="E14" s="6"/>
      <c r="G14" s="7">
        <v>50</v>
      </c>
      <c r="H14" s="7">
        <v>-30</v>
      </c>
      <c r="I14" s="8" t="s">
        <v>30</v>
      </c>
    </row>
    <row r="15" spans="2:18" x14ac:dyDescent="0.3">
      <c r="B15" s="7">
        <v>40</v>
      </c>
      <c r="C15" s="7">
        <v>150</v>
      </c>
      <c r="D15" s="8" t="s">
        <v>112</v>
      </c>
      <c r="E15" s="6" t="s">
        <v>77</v>
      </c>
      <c r="G15" s="7">
        <v>50</v>
      </c>
      <c r="H15" s="7">
        <v>-30</v>
      </c>
      <c r="I15" s="8" t="s">
        <v>40</v>
      </c>
      <c r="P15">
        <v>50</v>
      </c>
      <c r="Q15">
        <v>0</v>
      </c>
      <c r="R15" t="s">
        <v>31</v>
      </c>
    </row>
    <row r="16" spans="2:18" x14ac:dyDescent="0.3">
      <c r="B16" s="7">
        <v>40</v>
      </c>
      <c r="C16" s="7">
        <v>130</v>
      </c>
      <c r="D16" s="8" t="s">
        <v>102</v>
      </c>
      <c r="E16" s="6" t="s">
        <v>78</v>
      </c>
      <c r="G16" s="7">
        <v>50</v>
      </c>
      <c r="H16" s="7">
        <v>-30</v>
      </c>
      <c r="I16" s="8" t="s">
        <v>70</v>
      </c>
      <c r="P16">
        <v>50</v>
      </c>
      <c r="Q16">
        <v>0</v>
      </c>
      <c r="R16" t="s">
        <v>42</v>
      </c>
    </row>
    <row r="17" spans="2:18" x14ac:dyDescent="0.3">
      <c r="B17" s="7">
        <v>40</v>
      </c>
      <c r="C17" s="7">
        <v>150</v>
      </c>
      <c r="D17" s="8" t="s">
        <v>32</v>
      </c>
      <c r="E17" s="6" t="s">
        <v>79</v>
      </c>
      <c r="G17" s="7">
        <v>50</v>
      </c>
      <c r="H17" s="7"/>
      <c r="I17" s="8" t="s">
        <v>32</v>
      </c>
      <c r="P17">
        <v>50</v>
      </c>
      <c r="Q17">
        <v>0</v>
      </c>
      <c r="R17" t="s">
        <v>43</v>
      </c>
    </row>
    <row r="18" spans="2:18" x14ac:dyDescent="0.3">
      <c r="B18" s="7">
        <v>140</v>
      </c>
      <c r="C18" s="7">
        <v>150</v>
      </c>
      <c r="D18" s="8" t="s">
        <v>33</v>
      </c>
      <c r="E18" s="6" t="s">
        <v>80</v>
      </c>
      <c r="G18" s="7">
        <v>50</v>
      </c>
      <c r="H18" s="7"/>
      <c r="I18" s="8" t="s">
        <v>33</v>
      </c>
      <c r="P18">
        <v>50</v>
      </c>
      <c r="Q18">
        <v>0</v>
      </c>
      <c r="R18" t="s">
        <v>44</v>
      </c>
    </row>
    <row r="19" spans="2:18" x14ac:dyDescent="0.3">
      <c r="B19" s="7">
        <v>150</v>
      </c>
      <c r="C19" s="7">
        <v>150</v>
      </c>
      <c r="D19" s="8" t="s">
        <v>34</v>
      </c>
      <c r="E19" s="6" t="s">
        <v>81</v>
      </c>
      <c r="G19" s="7">
        <v>50</v>
      </c>
      <c r="H19" s="7"/>
      <c r="I19" s="8" t="s">
        <v>34</v>
      </c>
      <c r="P19">
        <v>50</v>
      </c>
      <c r="Q19">
        <v>0</v>
      </c>
      <c r="R19" t="s">
        <v>47</v>
      </c>
    </row>
    <row r="20" spans="2:18" x14ac:dyDescent="0.3">
      <c r="B20" s="7">
        <v>40</v>
      </c>
      <c r="C20" s="7">
        <v>100</v>
      </c>
      <c r="D20" s="8" t="s">
        <v>114</v>
      </c>
      <c r="E20" s="6" t="s">
        <v>82</v>
      </c>
      <c r="G20" s="7">
        <v>50</v>
      </c>
      <c r="H20" s="7">
        <v>0</v>
      </c>
      <c r="I20" s="8" t="s">
        <v>114</v>
      </c>
      <c r="J20" s="20" t="s">
        <v>107</v>
      </c>
      <c r="K20" s="20"/>
      <c r="L20" s="20"/>
      <c r="M20" s="20"/>
      <c r="P20">
        <v>50</v>
      </c>
      <c r="Q20">
        <v>0</v>
      </c>
      <c r="R20" t="s">
        <v>48</v>
      </c>
    </row>
    <row r="21" spans="2:18" x14ac:dyDescent="0.3">
      <c r="B21" s="7">
        <v>100</v>
      </c>
      <c r="C21" s="7">
        <v>100</v>
      </c>
      <c r="D21" s="8" t="s">
        <v>108</v>
      </c>
      <c r="E21" s="6" t="s">
        <v>83</v>
      </c>
      <c r="G21" s="7">
        <v>50</v>
      </c>
      <c r="H21" s="7">
        <v>0</v>
      </c>
      <c r="I21" s="8" t="s">
        <v>108</v>
      </c>
      <c r="P21">
        <v>50</v>
      </c>
      <c r="Q21">
        <v>0</v>
      </c>
      <c r="R21" t="s">
        <v>49</v>
      </c>
    </row>
    <row r="22" spans="2:18" x14ac:dyDescent="0.3">
      <c r="B22" s="7">
        <v>100</v>
      </c>
      <c r="C22" s="7">
        <v>100</v>
      </c>
      <c r="D22" s="8" t="s">
        <v>31</v>
      </c>
      <c r="E22" s="6" t="s">
        <v>84</v>
      </c>
      <c r="G22" s="18"/>
      <c r="H22" s="18"/>
      <c r="I22" s="19" t="s">
        <v>31</v>
      </c>
      <c r="P22">
        <v>50</v>
      </c>
      <c r="Q22">
        <v>0</v>
      </c>
      <c r="R22" t="s">
        <v>45</v>
      </c>
    </row>
    <row r="23" spans="2:18" x14ac:dyDescent="0.3">
      <c r="B23" s="7">
        <v>40</v>
      </c>
      <c r="C23" s="7">
        <v>150</v>
      </c>
      <c r="D23" s="8" t="s">
        <v>42</v>
      </c>
      <c r="E23" s="6" t="s">
        <v>85</v>
      </c>
      <c r="G23" s="7">
        <v>50</v>
      </c>
      <c r="H23" s="7"/>
      <c r="I23" s="8" t="s">
        <v>42</v>
      </c>
      <c r="R23" t="s">
        <v>38</v>
      </c>
    </row>
    <row r="24" spans="2:18" x14ac:dyDescent="0.3">
      <c r="B24" s="7">
        <v>140</v>
      </c>
      <c r="C24" s="7">
        <v>150</v>
      </c>
      <c r="D24" s="8" t="s">
        <v>43</v>
      </c>
      <c r="E24" s="6" t="s">
        <v>86</v>
      </c>
      <c r="G24" s="7">
        <v>50</v>
      </c>
      <c r="H24" s="7"/>
      <c r="I24" s="8" t="s">
        <v>43</v>
      </c>
      <c r="R24" t="s">
        <v>39</v>
      </c>
    </row>
    <row r="25" spans="2:18" x14ac:dyDescent="0.3">
      <c r="B25" s="7">
        <v>150</v>
      </c>
      <c r="C25" s="7">
        <v>150</v>
      </c>
      <c r="D25" s="8" t="s">
        <v>44</v>
      </c>
      <c r="E25" s="6" t="s">
        <v>87</v>
      </c>
      <c r="G25" s="7">
        <v>50</v>
      </c>
      <c r="H25" s="7"/>
      <c r="I25" s="8" t="s">
        <v>44</v>
      </c>
      <c r="R25" t="s">
        <v>52</v>
      </c>
    </row>
    <row r="26" spans="2:18" x14ac:dyDescent="0.3">
      <c r="B26" s="7">
        <v>40</v>
      </c>
      <c r="C26" s="7">
        <v>77</v>
      </c>
      <c r="D26" s="8" t="s">
        <v>47</v>
      </c>
      <c r="E26" s="6" t="s">
        <v>88</v>
      </c>
      <c r="G26" s="7">
        <v>50</v>
      </c>
      <c r="H26" s="7"/>
      <c r="I26" s="8" t="s">
        <v>47</v>
      </c>
      <c r="R26" t="s">
        <v>53</v>
      </c>
    </row>
    <row r="27" spans="2:18" x14ac:dyDescent="0.3">
      <c r="B27" s="7">
        <v>110</v>
      </c>
      <c r="C27" s="7">
        <v>77</v>
      </c>
      <c r="D27" s="8" t="s">
        <v>48</v>
      </c>
      <c r="E27" s="6" t="s">
        <v>89</v>
      </c>
      <c r="G27" s="7">
        <v>50</v>
      </c>
      <c r="H27" s="7"/>
      <c r="I27" s="8" t="s">
        <v>48</v>
      </c>
      <c r="R27" t="s">
        <v>36</v>
      </c>
    </row>
    <row r="28" spans="2:18" x14ac:dyDescent="0.3">
      <c r="B28" s="7">
        <v>120</v>
      </c>
      <c r="C28" s="7">
        <v>77</v>
      </c>
      <c r="D28" s="8" t="s">
        <v>49</v>
      </c>
      <c r="E28" s="6" t="s">
        <v>90</v>
      </c>
      <c r="G28" s="7">
        <v>50</v>
      </c>
      <c r="H28" s="7"/>
      <c r="I28" s="8" t="s">
        <v>49</v>
      </c>
      <c r="R28" t="s">
        <v>35</v>
      </c>
    </row>
    <row r="29" spans="2:18" x14ac:dyDescent="0.3">
      <c r="B29" s="7">
        <v>40</v>
      </c>
      <c r="C29" s="7">
        <v>50</v>
      </c>
      <c r="D29" s="8" t="s">
        <v>45</v>
      </c>
      <c r="E29" s="6" t="s">
        <v>91</v>
      </c>
      <c r="G29" s="7">
        <v>50</v>
      </c>
      <c r="H29" s="7"/>
      <c r="I29" s="8" t="s">
        <v>45</v>
      </c>
      <c r="R29" t="s">
        <v>37</v>
      </c>
    </row>
    <row r="30" spans="2:18" x14ac:dyDescent="0.3">
      <c r="B30" s="7">
        <v>40</v>
      </c>
      <c r="C30" s="7">
        <v>60</v>
      </c>
      <c r="D30" s="8" t="s">
        <v>69</v>
      </c>
      <c r="E30" s="6" t="s">
        <v>92</v>
      </c>
      <c r="G30" s="7">
        <v>50</v>
      </c>
      <c r="H30" s="7"/>
      <c r="I30" s="8" t="s">
        <v>29</v>
      </c>
      <c r="R30" t="s">
        <v>50</v>
      </c>
    </row>
    <row r="31" spans="2:18" x14ac:dyDescent="0.3">
      <c r="B31" s="7">
        <v>40</v>
      </c>
      <c r="C31" s="7">
        <v>100</v>
      </c>
      <c r="D31" s="8" t="s">
        <v>41</v>
      </c>
      <c r="E31" s="6" t="s">
        <v>93</v>
      </c>
      <c r="G31" s="7">
        <v>50</v>
      </c>
      <c r="H31" s="7"/>
      <c r="I31" s="8" t="s">
        <v>41</v>
      </c>
      <c r="R31" t="s">
        <v>51</v>
      </c>
    </row>
    <row r="32" spans="2:18" x14ac:dyDescent="0.3">
      <c r="B32" s="7">
        <v>40</v>
      </c>
      <c r="C32" s="7">
        <v>60</v>
      </c>
      <c r="D32" s="8" t="s">
        <v>104</v>
      </c>
      <c r="E32" s="6" t="s">
        <v>94</v>
      </c>
      <c r="G32" s="7">
        <v>50</v>
      </c>
      <c r="H32" s="7"/>
      <c r="I32" s="8" t="s">
        <v>104</v>
      </c>
      <c r="R32" t="s">
        <v>58</v>
      </c>
    </row>
    <row r="33" spans="2:18" x14ac:dyDescent="0.3">
      <c r="B33" s="7">
        <v>40</v>
      </c>
      <c r="C33" s="7">
        <v>90</v>
      </c>
      <c r="D33" s="8" t="s">
        <v>61</v>
      </c>
      <c r="E33" s="6" t="s">
        <v>95</v>
      </c>
      <c r="G33" s="7">
        <v>50</v>
      </c>
      <c r="H33" s="7">
        <v>-2</v>
      </c>
      <c r="I33" s="8" t="s">
        <v>61</v>
      </c>
      <c r="R33" t="s">
        <v>59</v>
      </c>
    </row>
    <row r="34" spans="2:18" x14ac:dyDescent="0.3">
      <c r="B34" s="7">
        <v>40</v>
      </c>
      <c r="C34" s="7">
        <v>90</v>
      </c>
      <c r="D34" s="8" t="s">
        <v>62</v>
      </c>
      <c r="E34" s="6"/>
      <c r="G34" s="7">
        <v>50</v>
      </c>
      <c r="H34" s="7">
        <v>-2</v>
      </c>
      <c r="I34" s="8" t="s">
        <v>62</v>
      </c>
    </row>
    <row r="35" spans="2:18" x14ac:dyDescent="0.3">
      <c r="B35" s="7">
        <v>40</v>
      </c>
      <c r="C35" s="7">
        <v>90</v>
      </c>
      <c r="D35" s="8" t="s">
        <v>58</v>
      </c>
      <c r="E35" s="6" t="s">
        <v>96</v>
      </c>
      <c r="G35" s="7">
        <v>50</v>
      </c>
      <c r="H35" s="7">
        <v>-2</v>
      </c>
      <c r="I35" s="8" t="s">
        <v>58</v>
      </c>
      <c r="R35" t="s">
        <v>60</v>
      </c>
    </row>
    <row r="36" spans="2:18" x14ac:dyDescent="0.3">
      <c r="B36" s="16">
        <v>40</v>
      </c>
      <c r="C36" s="16">
        <v>90</v>
      </c>
      <c r="D36" s="17" t="s">
        <v>59</v>
      </c>
      <c r="G36" s="7">
        <v>50</v>
      </c>
      <c r="H36" s="7">
        <v>-2</v>
      </c>
      <c r="I36" s="8" t="s">
        <v>59</v>
      </c>
      <c r="R36" t="s">
        <v>61</v>
      </c>
    </row>
    <row r="37" spans="2:18" x14ac:dyDescent="0.3">
      <c r="B37" s="16">
        <v>40</v>
      </c>
      <c r="C37" s="16">
        <v>90</v>
      </c>
      <c r="D37" s="17" t="s">
        <v>60</v>
      </c>
      <c r="G37" s="7">
        <v>50</v>
      </c>
      <c r="H37" s="7">
        <v>-2</v>
      </c>
      <c r="I37" s="8" t="s">
        <v>60</v>
      </c>
      <c r="R37" t="s">
        <v>62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00"/>
  <sheetViews>
    <sheetView tabSelected="1" zoomScaleNormal="100" workbookViewId="0">
      <selection activeCell="F25" sqref="F25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121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6" t="s">
        <v>57</v>
      </c>
      <c r="M3" s="126"/>
      <c r="N3" s="126" t="s">
        <v>13</v>
      </c>
      <c r="O3" s="126"/>
    </row>
    <row r="4" spans="1:15" ht="15.75" customHeight="1" x14ac:dyDescent="0.35">
      <c r="B4" s="30"/>
      <c r="C4" s="30"/>
      <c r="D4" s="74" t="s">
        <v>24</v>
      </c>
      <c r="E4" s="75">
        <f>'4637'!J8</f>
        <v>4160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63</v>
      </c>
      <c r="E5" s="77" t="str">
        <f>'4637'!C10</f>
        <v>CONSTANZA SAINT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'4637'!I11</f>
        <v>FECHA LIMITE :</v>
      </c>
      <c r="E7" s="81">
        <f>'4637'!J11</f>
        <v>0</v>
      </c>
      <c r="F7" s="30"/>
      <c r="G7" s="30" t="s">
        <v>136</v>
      </c>
      <c r="H7" s="30"/>
    </row>
    <row r="8" spans="1:15" ht="18" x14ac:dyDescent="0.35">
      <c r="B8" s="30"/>
      <c r="C8" s="30"/>
      <c r="D8" s="90" t="s">
        <v>120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27" t="s">
        <v>57</v>
      </c>
      <c r="C10" s="127"/>
      <c r="D10" s="127"/>
      <c r="E10" s="127"/>
      <c r="F10" s="127"/>
      <c r="G10" s="127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20</v>
      </c>
      <c r="F13" s="93">
        <v>20</v>
      </c>
      <c r="G13" s="92" t="s">
        <v>106</v>
      </c>
      <c r="H13" s="30"/>
      <c r="K13" s="5" t="s">
        <v>6</v>
      </c>
      <c r="L13" s="5" t="s">
        <v>7</v>
      </c>
    </row>
    <row r="14" spans="1:15" ht="18" x14ac:dyDescent="0.35">
      <c r="A14" s="114">
        <v>1</v>
      </c>
      <c r="B14" s="101" t="s">
        <v>137</v>
      </c>
      <c r="C14" s="94">
        <f>J14</f>
        <v>2</v>
      </c>
      <c r="D14" s="94"/>
      <c r="E14" s="94">
        <f>K14+E$13</f>
        <v>785</v>
      </c>
      <c r="F14" s="94">
        <f>L14+F$13</f>
        <v>416</v>
      </c>
      <c r="G14" s="94" t="str">
        <f>D46</f>
        <v xml:space="preserve">E/R 1 CARA </v>
      </c>
      <c r="H14" s="30"/>
      <c r="J14" s="3">
        <f>J31</f>
        <v>2</v>
      </c>
      <c r="K14" s="4">
        <f t="shared" ref="K14:L14" si="0">E46</f>
        <v>765</v>
      </c>
      <c r="L14" s="4">
        <f t="shared" si="0"/>
        <v>396</v>
      </c>
    </row>
    <row r="15" spans="1:15" ht="18" x14ac:dyDescent="0.35">
      <c r="A15" s="114">
        <v>2</v>
      </c>
      <c r="B15" s="101"/>
      <c r="C15" s="94">
        <f t="shared" ref="C15:C18" si="1">J15</f>
        <v>1</v>
      </c>
      <c r="D15" s="94"/>
      <c r="E15" s="94">
        <f t="shared" ref="E15:E23" si="2">K15+E$13</f>
        <v>785</v>
      </c>
      <c r="F15" s="94">
        <f>L15+F$13</f>
        <v>335</v>
      </c>
      <c r="G15" s="94" t="str">
        <f>D47</f>
        <v xml:space="preserve">E/R 1 CARA </v>
      </c>
      <c r="H15" s="30"/>
      <c r="J15" s="3">
        <f t="shared" ref="J15:J17" si="3">J32</f>
        <v>1</v>
      </c>
      <c r="K15" s="4">
        <f t="shared" ref="K15:L17" si="4">E47</f>
        <v>765</v>
      </c>
      <c r="L15" s="4">
        <f t="shared" si="4"/>
        <v>315</v>
      </c>
    </row>
    <row r="16" spans="1:15" ht="18" x14ac:dyDescent="0.35">
      <c r="A16" s="114">
        <v>3</v>
      </c>
      <c r="C16" s="94">
        <f t="shared" si="1"/>
        <v>1</v>
      </c>
      <c r="D16" s="94"/>
      <c r="E16" s="94">
        <f t="shared" si="2"/>
        <v>785</v>
      </c>
      <c r="F16" s="94">
        <f t="shared" ref="F16:F23" si="5">L16+F$13</f>
        <v>295</v>
      </c>
      <c r="G16" s="94" t="str">
        <f>D48</f>
        <v xml:space="preserve">E/R 1 CARA </v>
      </c>
      <c r="H16" s="30"/>
      <c r="J16" s="3">
        <f t="shared" si="3"/>
        <v>1</v>
      </c>
      <c r="K16" s="4">
        <f t="shared" si="4"/>
        <v>765</v>
      </c>
      <c r="L16" s="4">
        <f t="shared" si="4"/>
        <v>275</v>
      </c>
    </row>
    <row r="17" spans="1:12" ht="18" x14ac:dyDescent="0.35">
      <c r="A17" s="114">
        <v>4</v>
      </c>
      <c r="B17" s="101"/>
      <c r="C17" s="94">
        <f t="shared" si="1"/>
        <v>2</v>
      </c>
      <c r="D17" s="94"/>
      <c r="E17" s="94">
        <f t="shared" si="2"/>
        <v>680</v>
      </c>
      <c r="F17" s="94">
        <f t="shared" si="5"/>
        <v>321</v>
      </c>
      <c r="G17" s="94" t="str">
        <f>D49</f>
        <v xml:space="preserve">E/R 1 CARA </v>
      </c>
      <c r="H17" s="30"/>
      <c r="J17" s="3">
        <f t="shared" si="3"/>
        <v>2</v>
      </c>
      <c r="K17" s="4">
        <f t="shared" si="4"/>
        <v>660</v>
      </c>
      <c r="L17" s="4">
        <f t="shared" si="4"/>
        <v>301</v>
      </c>
    </row>
    <row r="18" spans="1:12" ht="18" x14ac:dyDescent="0.35">
      <c r="A18" s="114">
        <v>5</v>
      </c>
      <c r="C18" s="94">
        <f t="shared" si="1"/>
        <v>2</v>
      </c>
      <c r="D18" s="94"/>
      <c r="E18" s="94">
        <f t="shared" si="2"/>
        <v>445</v>
      </c>
      <c r="F18" s="94">
        <f t="shared" si="5"/>
        <v>321</v>
      </c>
      <c r="G18" s="94" t="str">
        <f>D50</f>
        <v xml:space="preserve">E/R 1 CARA </v>
      </c>
      <c r="H18" s="30"/>
      <c r="J18" s="3">
        <f t="shared" ref="J18:J23" si="6">J35</f>
        <v>2</v>
      </c>
      <c r="K18" s="4">
        <f t="shared" ref="K18:L18" si="7">E50</f>
        <v>425</v>
      </c>
      <c r="L18" s="4">
        <f t="shared" si="7"/>
        <v>301</v>
      </c>
    </row>
    <row r="19" spans="1:12" ht="18" x14ac:dyDescent="0.35">
      <c r="A19" s="114">
        <v>6</v>
      </c>
      <c r="B19" s="101"/>
      <c r="C19" s="94">
        <f t="shared" ref="C19:C23" si="8">J19</f>
        <v>2</v>
      </c>
      <c r="D19" s="94"/>
      <c r="E19" s="94">
        <f t="shared" si="2"/>
        <v>197</v>
      </c>
      <c r="F19" s="94">
        <f t="shared" si="5"/>
        <v>526</v>
      </c>
      <c r="G19" s="94" t="str">
        <f t="shared" ref="G19:G23" si="9">D51</f>
        <v xml:space="preserve">E/R 1 CARA </v>
      </c>
      <c r="H19" s="30"/>
      <c r="J19" s="3">
        <f t="shared" si="6"/>
        <v>2</v>
      </c>
      <c r="K19" s="4">
        <f t="shared" ref="K19:K23" si="10">E51</f>
        <v>177</v>
      </c>
      <c r="L19" s="4">
        <f t="shared" ref="L19:L23" si="11">F51</f>
        <v>506</v>
      </c>
    </row>
    <row r="20" spans="1:12" ht="18" x14ac:dyDescent="0.35">
      <c r="A20" s="114">
        <v>7</v>
      </c>
      <c r="B20" s="101"/>
      <c r="C20" s="94">
        <f t="shared" si="8"/>
        <v>1</v>
      </c>
      <c r="D20" s="94"/>
      <c r="E20" s="94">
        <f t="shared" si="2"/>
        <v>417</v>
      </c>
      <c r="F20" s="94">
        <f t="shared" si="5"/>
        <v>526</v>
      </c>
      <c r="G20" s="94" t="str">
        <f t="shared" si="9"/>
        <v xml:space="preserve">E/R 1 CARA </v>
      </c>
      <c r="H20" s="30"/>
      <c r="J20" s="3">
        <f t="shared" si="6"/>
        <v>1</v>
      </c>
      <c r="K20" s="4">
        <f t="shared" si="10"/>
        <v>397</v>
      </c>
      <c r="L20" s="4">
        <f t="shared" si="11"/>
        <v>506</v>
      </c>
    </row>
    <row r="21" spans="1:12" ht="18" x14ac:dyDescent="0.35">
      <c r="A21" s="114">
        <v>8</v>
      </c>
      <c r="B21" s="101"/>
      <c r="C21" s="94">
        <f t="shared" si="8"/>
        <v>2</v>
      </c>
      <c r="D21" s="94"/>
      <c r="E21" s="94">
        <f t="shared" si="2"/>
        <v>197</v>
      </c>
      <c r="F21" s="94">
        <f t="shared" si="5"/>
        <v>918</v>
      </c>
      <c r="G21" s="94" t="str">
        <f t="shared" si="9"/>
        <v xml:space="preserve">E/R 1 CARA </v>
      </c>
      <c r="H21" s="30"/>
      <c r="J21" s="3">
        <f t="shared" si="6"/>
        <v>2</v>
      </c>
      <c r="K21" s="4">
        <f t="shared" si="10"/>
        <v>177</v>
      </c>
      <c r="L21" s="4">
        <f t="shared" si="11"/>
        <v>898</v>
      </c>
    </row>
    <row r="22" spans="1:12" ht="18" x14ac:dyDescent="0.35">
      <c r="A22" s="114">
        <v>9</v>
      </c>
      <c r="B22" s="101"/>
      <c r="C22" s="94">
        <f t="shared" si="8"/>
        <v>1</v>
      </c>
      <c r="D22" s="94"/>
      <c r="E22" s="94">
        <f t="shared" si="2"/>
        <v>417</v>
      </c>
      <c r="F22" s="94">
        <f t="shared" si="5"/>
        <v>918</v>
      </c>
      <c r="G22" s="94" t="str">
        <f t="shared" si="9"/>
        <v xml:space="preserve">E/R 1 CARA </v>
      </c>
      <c r="H22" s="30"/>
      <c r="J22" s="3">
        <f t="shared" si="6"/>
        <v>1</v>
      </c>
      <c r="K22" s="4">
        <f t="shared" si="10"/>
        <v>397</v>
      </c>
      <c r="L22" s="4">
        <f t="shared" si="11"/>
        <v>898</v>
      </c>
    </row>
    <row r="23" spans="1:12" ht="18" x14ac:dyDescent="0.35">
      <c r="A23" s="114">
        <v>10</v>
      </c>
      <c r="B23" s="101"/>
      <c r="C23" s="94">
        <f t="shared" si="8"/>
        <v>1</v>
      </c>
      <c r="D23" s="94"/>
      <c r="E23" s="94">
        <f t="shared" si="2"/>
        <v>670</v>
      </c>
      <c r="F23" s="94">
        <f t="shared" si="5"/>
        <v>607</v>
      </c>
      <c r="G23" s="94" t="str">
        <f t="shared" si="9"/>
        <v xml:space="preserve">E/R 1 CARA </v>
      </c>
      <c r="H23" s="30"/>
      <c r="J23" s="3">
        <f t="shared" si="6"/>
        <v>1</v>
      </c>
      <c r="K23" s="4">
        <f t="shared" si="10"/>
        <v>650</v>
      </c>
      <c r="L23" s="4">
        <f t="shared" si="11"/>
        <v>587</v>
      </c>
    </row>
    <row r="24" spans="1:12" ht="18" x14ac:dyDescent="0.35">
      <c r="A24" s="114"/>
      <c r="B24" s="101"/>
      <c r="C24" s="73"/>
      <c r="D24" s="73"/>
      <c r="E24" s="73"/>
      <c r="F24" s="73"/>
      <c r="G24" s="73"/>
      <c r="H24" s="30"/>
      <c r="J24" s="23"/>
      <c r="K24" s="2"/>
      <c r="L24" s="2"/>
    </row>
    <row r="25" spans="1:12" ht="18" x14ac:dyDescent="0.35">
      <c r="A25" s="2"/>
      <c r="B25" s="83"/>
      <c r="C25" s="73"/>
      <c r="D25" s="73"/>
      <c r="E25" s="73"/>
      <c r="F25" s="73"/>
      <c r="G25" s="73"/>
      <c r="H25" s="30"/>
      <c r="J25" s="23"/>
      <c r="K25" s="2"/>
      <c r="L25" s="2"/>
    </row>
    <row r="26" spans="1:12" ht="6.75" customHeight="1" x14ac:dyDescent="0.35">
      <c r="A26" s="2"/>
      <c r="B26" s="30"/>
      <c r="C26" s="30"/>
      <c r="D26" s="30"/>
      <c r="E26" s="30"/>
      <c r="F26" s="30"/>
      <c r="G26" s="30"/>
      <c r="H26" s="30"/>
    </row>
    <row r="27" spans="1:12" ht="18" x14ac:dyDescent="0.35">
      <c r="A27" s="2"/>
      <c r="B27" s="127" t="s">
        <v>13</v>
      </c>
      <c r="C27" s="127"/>
      <c r="D27" s="127"/>
      <c r="E27" s="127"/>
      <c r="F27" s="127"/>
      <c r="G27" s="127"/>
      <c r="H27" s="30"/>
    </row>
    <row r="28" spans="1:12" ht="10.5" customHeight="1" x14ac:dyDescent="0.35">
      <c r="A28" s="2"/>
      <c r="B28" s="30"/>
      <c r="C28" s="30"/>
      <c r="D28" s="91"/>
      <c r="E28" s="30"/>
      <c r="F28" s="30"/>
      <c r="G28" s="30"/>
      <c r="H28" s="30"/>
    </row>
    <row r="29" spans="1:12" ht="18" x14ac:dyDescent="0.35">
      <c r="A29" s="2"/>
      <c r="B29" s="30"/>
      <c r="C29" s="30"/>
      <c r="D29" s="30"/>
      <c r="E29" s="66" t="s">
        <v>6</v>
      </c>
      <c r="F29" s="66" t="s">
        <v>7</v>
      </c>
      <c r="G29" s="30"/>
      <c r="H29" s="30"/>
    </row>
    <row r="30" spans="1:12" ht="18" x14ac:dyDescent="0.35">
      <c r="A30" s="2"/>
      <c r="B30" s="66" t="s">
        <v>8</v>
      </c>
      <c r="C30" s="82" t="s">
        <v>9</v>
      </c>
      <c r="D30" s="82" t="s">
        <v>10</v>
      </c>
      <c r="E30" s="95">
        <v>20</v>
      </c>
      <c r="F30" s="95">
        <v>20</v>
      </c>
      <c r="G30" s="82" t="s">
        <v>106</v>
      </c>
      <c r="H30" s="30"/>
      <c r="K30" s="5" t="s">
        <v>6</v>
      </c>
      <c r="L30" s="5" t="s">
        <v>7</v>
      </c>
    </row>
    <row r="31" spans="1:12" ht="18" x14ac:dyDescent="0.35">
      <c r="A31" s="114">
        <v>1</v>
      </c>
      <c r="B31" s="101"/>
      <c r="C31" s="96">
        <f t="shared" ref="C31" si="12">J31</f>
        <v>2</v>
      </c>
      <c r="D31" s="96" t="s">
        <v>151</v>
      </c>
      <c r="E31" s="96">
        <f t="shared" ref="E31:E36" si="13">K31+E$30</f>
        <v>785</v>
      </c>
      <c r="F31" s="96">
        <f>L31+F$30</f>
        <v>416</v>
      </c>
      <c r="G31" s="96" t="str">
        <f>D46</f>
        <v xml:space="preserve">E/R 1 CARA </v>
      </c>
      <c r="H31" s="30"/>
      <c r="J31" s="3">
        <f>C46</f>
        <v>2</v>
      </c>
      <c r="K31" s="110">
        <f>E46</f>
        <v>765</v>
      </c>
      <c r="L31" s="110">
        <f>F46</f>
        <v>396</v>
      </c>
    </row>
    <row r="32" spans="1:12" ht="18" x14ac:dyDescent="0.35">
      <c r="A32" s="114">
        <v>2</v>
      </c>
      <c r="B32" s="101"/>
      <c r="C32" s="96">
        <f t="shared" ref="C32:C36" si="14">J32</f>
        <v>1</v>
      </c>
      <c r="D32" s="96" t="s">
        <v>151</v>
      </c>
      <c r="E32" s="96">
        <f t="shared" si="13"/>
        <v>785</v>
      </c>
      <c r="F32" s="96">
        <f>L32+F$30</f>
        <v>335</v>
      </c>
      <c r="G32" s="96" t="str">
        <f t="shared" ref="G32:G36" si="15">D47</f>
        <v xml:space="preserve">E/R 1 CARA </v>
      </c>
      <c r="H32" s="30"/>
      <c r="J32" s="3">
        <f t="shared" ref="J32:J36" si="16">C47</f>
        <v>1</v>
      </c>
      <c r="K32" s="107">
        <f t="shared" ref="K32:L32" si="17">E47</f>
        <v>765</v>
      </c>
      <c r="L32" s="107">
        <f t="shared" si="17"/>
        <v>315</v>
      </c>
    </row>
    <row r="33" spans="1:13" ht="18" x14ac:dyDescent="0.35">
      <c r="A33" s="114">
        <v>3</v>
      </c>
      <c r="B33" s="101"/>
      <c r="C33" s="96">
        <f t="shared" si="14"/>
        <v>1</v>
      </c>
      <c r="D33" s="96" t="s">
        <v>151</v>
      </c>
      <c r="E33" s="96">
        <f t="shared" si="13"/>
        <v>785</v>
      </c>
      <c r="F33" s="96">
        <f>L33+F$30</f>
        <v>295</v>
      </c>
      <c r="G33" s="96" t="str">
        <f t="shared" si="15"/>
        <v xml:space="preserve">E/R 1 CARA </v>
      </c>
      <c r="H33" s="30"/>
      <c r="J33" s="3">
        <f t="shared" si="16"/>
        <v>1</v>
      </c>
      <c r="K33" s="109">
        <f t="shared" ref="K33:L33" si="18">E48</f>
        <v>765</v>
      </c>
      <c r="L33" s="109">
        <f t="shared" si="18"/>
        <v>275</v>
      </c>
    </row>
    <row r="34" spans="1:13" ht="18" x14ac:dyDescent="0.35">
      <c r="A34" s="114">
        <v>4</v>
      </c>
      <c r="B34" s="101"/>
      <c r="C34" s="96">
        <f t="shared" si="14"/>
        <v>2</v>
      </c>
      <c r="D34" s="96" t="s">
        <v>151</v>
      </c>
      <c r="E34" s="96">
        <f t="shared" si="13"/>
        <v>680</v>
      </c>
      <c r="F34" s="96">
        <f>L34+60</f>
        <v>361</v>
      </c>
      <c r="G34" s="96" t="str">
        <f t="shared" si="15"/>
        <v xml:space="preserve">E/R 1 CARA </v>
      </c>
      <c r="H34" s="30"/>
      <c r="J34" s="3">
        <f t="shared" si="16"/>
        <v>2</v>
      </c>
      <c r="K34" s="107">
        <f t="shared" ref="K34:L34" si="19">E49</f>
        <v>660</v>
      </c>
      <c r="L34" s="107">
        <f t="shared" si="19"/>
        <v>301</v>
      </c>
      <c r="M34" s="108">
        <v>2</v>
      </c>
    </row>
    <row r="35" spans="1:13" ht="18" x14ac:dyDescent="0.35">
      <c r="A35" s="114">
        <v>5</v>
      </c>
      <c r="B35" s="101"/>
      <c r="C35" s="96">
        <f t="shared" si="14"/>
        <v>2</v>
      </c>
      <c r="D35" s="96" t="s">
        <v>151</v>
      </c>
      <c r="E35" s="96">
        <f t="shared" si="13"/>
        <v>445</v>
      </c>
      <c r="F35" s="96">
        <f>L35+90</f>
        <v>391</v>
      </c>
      <c r="G35" s="96" t="str">
        <f t="shared" si="15"/>
        <v xml:space="preserve">E/R 1 CARA </v>
      </c>
      <c r="H35" s="30"/>
      <c r="J35" s="3">
        <f t="shared" si="16"/>
        <v>2</v>
      </c>
      <c r="K35" s="110">
        <f t="shared" ref="K35:L35" si="20">E50</f>
        <v>425</v>
      </c>
      <c r="L35" s="110">
        <f t="shared" si="20"/>
        <v>301</v>
      </c>
    </row>
    <row r="36" spans="1:13" ht="18" x14ac:dyDescent="0.35">
      <c r="A36" s="114">
        <v>6</v>
      </c>
      <c r="B36" s="101"/>
      <c r="C36" s="96">
        <f t="shared" si="14"/>
        <v>2</v>
      </c>
      <c r="D36" s="96"/>
      <c r="E36" s="96">
        <f t="shared" si="13"/>
        <v>197</v>
      </c>
      <c r="F36" s="96">
        <f t="shared" ref="F36:F40" si="21">L36+90</f>
        <v>596</v>
      </c>
      <c r="G36" s="96" t="str">
        <f t="shared" si="15"/>
        <v xml:space="preserve">E/R 1 CARA </v>
      </c>
      <c r="H36" s="30"/>
      <c r="J36" s="3">
        <f t="shared" si="16"/>
        <v>2</v>
      </c>
      <c r="K36" s="107">
        <f t="shared" ref="K36:L36" si="22">E51</f>
        <v>177</v>
      </c>
      <c r="L36" s="107">
        <f t="shared" si="22"/>
        <v>506</v>
      </c>
      <c r="M36" s="108">
        <v>2</v>
      </c>
    </row>
    <row r="37" spans="1:13" ht="18" x14ac:dyDescent="0.35">
      <c r="A37" s="114">
        <v>7</v>
      </c>
      <c r="B37" s="101"/>
      <c r="C37" s="96">
        <f t="shared" ref="C37:C40" si="23">J37</f>
        <v>1</v>
      </c>
      <c r="D37" s="96"/>
      <c r="E37" s="96">
        <f>K37+E$30</f>
        <v>417</v>
      </c>
      <c r="F37" s="96">
        <f t="shared" si="21"/>
        <v>596</v>
      </c>
      <c r="G37" s="96" t="str">
        <f t="shared" ref="G37:G40" si="24">D52</f>
        <v xml:space="preserve">E/R 1 CARA </v>
      </c>
      <c r="H37" s="30"/>
      <c r="J37" s="3">
        <f t="shared" ref="J37:J40" si="25">C52</f>
        <v>1</v>
      </c>
      <c r="K37" s="107">
        <f t="shared" ref="K37:K40" si="26">E52</f>
        <v>397</v>
      </c>
      <c r="L37" s="107">
        <f t="shared" ref="L37:L40" si="27">F52</f>
        <v>506</v>
      </c>
      <c r="M37" s="108"/>
    </row>
    <row r="38" spans="1:13" ht="18" x14ac:dyDescent="0.35">
      <c r="A38" s="114">
        <v>8</v>
      </c>
      <c r="B38" s="101"/>
      <c r="C38" s="96">
        <f t="shared" si="23"/>
        <v>2</v>
      </c>
      <c r="D38" s="96"/>
      <c r="E38" s="96">
        <f>K38+E$30</f>
        <v>197</v>
      </c>
      <c r="F38" s="96">
        <f t="shared" si="21"/>
        <v>988</v>
      </c>
      <c r="G38" s="96" t="str">
        <f t="shared" si="24"/>
        <v xml:space="preserve">E/R 1 CARA </v>
      </c>
      <c r="H38" s="30"/>
      <c r="J38" s="3">
        <f t="shared" si="25"/>
        <v>2</v>
      </c>
      <c r="K38" s="107">
        <f t="shared" si="26"/>
        <v>177</v>
      </c>
      <c r="L38" s="107">
        <f t="shared" si="27"/>
        <v>898</v>
      </c>
      <c r="M38" s="108"/>
    </row>
    <row r="39" spans="1:13" ht="18" x14ac:dyDescent="0.35">
      <c r="A39" s="114">
        <v>9</v>
      </c>
      <c r="B39" s="101"/>
      <c r="C39" s="96">
        <f t="shared" si="23"/>
        <v>1</v>
      </c>
      <c r="D39" s="96"/>
      <c r="E39" s="96">
        <f>K39+E$30</f>
        <v>417</v>
      </c>
      <c r="F39" s="96">
        <f t="shared" si="21"/>
        <v>988</v>
      </c>
      <c r="G39" s="96" t="str">
        <f t="shared" si="24"/>
        <v xml:space="preserve">E/R 1 CARA </v>
      </c>
      <c r="H39" s="30"/>
      <c r="J39" s="3">
        <f t="shared" si="25"/>
        <v>1</v>
      </c>
      <c r="K39" s="107">
        <f t="shared" si="26"/>
        <v>397</v>
      </c>
      <c r="L39" s="107">
        <f t="shared" si="27"/>
        <v>898</v>
      </c>
      <c r="M39" s="108"/>
    </row>
    <row r="40" spans="1:13" ht="18" x14ac:dyDescent="0.35">
      <c r="A40" s="114">
        <v>10</v>
      </c>
      <c r="B40" s="101"/>
      <c r="C40" s="96">
        <f t="shared" si="23"/>
        <v>1</v>
      </c>
      <c r="D40" s="96"/>
      <c r="E40" s="96">
        <f>K40+E$30</f>
        <v>670</v>
      </c>
      <c r="F40" s="96">
        <f t="shared" si="21"/>
        <v>677</v>
      </c>
      <c r="G40" s="96" t="str">
        <f t="shared" si="24"/>
        <v xml:space="preserve">E/R 1 CARA </v>
      </c>
      <c r="H40" s="30"/>
      <c r="J40" s="3">
        <f t="shared" si="25"/>
        <v>1</v>
      </c>
      <c r="K40" s="107">
        <f t="shared" si="26"/>
        <v>650</v>
      </c>
      <c r="L40" s="107">
        <f t="shared" si="27"/>
        <v>587</v>
      </c>
      <c r="M40" s="108"/>
    </row>
    <row r="41" spans="1:13" ht="18" x14ac:dyDescent="0.35">
      <c r="A41" s="114"/>
      <c r="B41" s="101"/>
      <c r="C41" s="73"/>
      <c r="D41" s="73"/>
      <c r="E41" s="73"/>
      <c r="F41" s="73"/>
      <c r="G41" s="73"/>
      <c r="H41" s="30"/>
      <c r="J41" s="23"/>
      <c r="K41" s="116"/>
      <c r="L41" s="116"/>
    </row>
    <row r="42" spans="1:13" ht="18.600000000000001" thickBot="1" x14ac:dyDescent="0.4">
      <c r="A42" s="2"/>
      <c r="B42" s="83"/>
      <c r="C42" s="73"/>
      <c r="D42" s="73"/>
      <c r="E42" s="73"/>
      <c r="F42" s="73"/>
      <c r="G42" s="73"/>
      <c r="H42" s="30"/>
      <c r="I42" s="112"/>
      <c r="J42" s="113"/>
      <c r="K42" s="113"/>
      <c r="L42" s="113"/>
    </row>
    <row r="43" spans="1:13" ht="18.600000000000001" thickBot="1" x14ac:dyDescent="0.4">
      <c r="A43" s="2"/>
      <c r="B43" s="66"/>
      <c r="C43" s="97" t="s">
        <v>103</v>
      </c>
      <c r="D43" s="33"/>
      <c r="E43" s="33"/>
      <c r="F43" s="33"/>
      <c r="G43" s="98"/>
      <c r="H43" s="30"/>
      <c r="J43" s="2"/>
      <c r="K43" s="2"/>
      <c r="L43" s="2"/>
    </row>
    <row r="44" spans="1:13" ht="10.5" customHeight="1" x14ac:dyDescent="0.35">
      <c r="A44" s="2"/>
      <c r="B44" s="30"/>
      <c r="C44" s="30"/>
      <c r="D44" s="30"/>
      <c r="E44" s="30"/>
      <c r="F44" s="30"/>
      <c r="G44" s="30"/>
      <c r="H44" s="30"/>
    </row>
    <row r="45" spans="1:13" ht="18" x14ac:dyDescent="0.35">
      <c r="A45" s="2"/>
      <c r="B45" s="66" t="s">
        <v>8</v>
      </c>
      <c r="C45" s="99" t="s">
        <v>9</v>
      </c>
      <c r="D45" s="99" t="s">
        <v>106</v>
      </c>
      <c r="E45" s="99" t="s">
        <v>6</v>
      </c>
      <c r="F45" s="99" t="s">
        <v>7</v>
      </c>
      <c r="G45" s="99" t="s">
        <v>20</v>
      </c>
      <c r="H45" s="30"/>
    </row>
    <row r="46" spans="1:13" ht="18" x14ac:dyDescent="0.35">
      <c r="A46" s="114">
        <v>1</v>
      </c>
      <c r="B46" s="101" t="s">
        <v>134</v>
      </c>
      <c r="C46" s="94">
        <f>C78</f>
        <v>2</v>
      </c>
      <c r="D46" s="94" t="str">
        <f>D78</f>
        <v xml:space="preserve">E/R 1 CARA </v>
      </c>
      <c r="E46" s="139">
        <f>E78</f>
        <v>765</v>
      </c>
      <c r="F46" s="139">
        <f>F78</f>
        <v>396</v>
      </c>
      <c r="G46" s="4" t="str">
        <f>G78</f>
        <v>AZUL PACIFICO 2170 MT</v>
      </c>
      <c r="H46" s="30"/>
      <c r="I46" s="28">
        <f>E46*F46/1000000</f>
        <v>0.30293999999999999</v>
      </c>
      <c r="J46" s="28">
        <f>I46*C46</f>
        <v>0.60587999999999997</v>
      </c>
    </row>
    <row r="47" spans="1:13" ht="18" x14ac:dyDescent="0.35">
      <c r="A47" s="114">
        <v>2</v>
      </c>
      <c r="B47" s="101"/>
      <c r="C47" s="94">
        <f t="shared" ref="C47:G47" si="28">C79</f>
        <v>1</v>
      </c>
      <c r="D47" s="94" t="str">
        <f t="shared" si="28"/>
        <v xml:space="preserve">E/R 1 CARA </v>
      </c>
      <c r="E47" s="139">
        <f t="shared" si="28"/>
        <v>765</v>
      </c>
      <c r="F47" s="139">
        <f t="shared" si="28"/>
        <v>315</v>
      </c>
      <c r="G47" s="4" t="str">
        <f t="shared" si="28"/>
        <v>AZUL PACIFICO 2170 MT</v>
      </c>
      <c r="H47" s="30"/>
      <c r="I47" s="28"/>
      <c r="J47" s="28"/>
    </row>
    <row r="48" spans="1:13" ht="18" x14ac:dyDescent="0.35">
      <c r="A48" s="114">
        <v>3</v>
      </c>
      <c r="C48" s="94">
        <f t="shared" ref="C48:G48" si="29">C80</f>
        <v>1</v>
      </c>
      <c r="D48" s="94" t="str">
        <f t="shared" si="29"/>
        <v xml:space="preserve">E/R 1 CARA </v>
      </c>
      <c r="E48" s="139">
        <f t="shared" si="29"/>
        <v>765</v>
      </c>
      <c r="F48" s="139">
        <f t="shared" si="29"/>
        <v>275</v>
      </c>
      <c r="G48" s="4" t="str">
        <f t="shared" si="29"/>
        <v>AZUL PACIFICO 2170 MT</v>
      </c>
      <c r="H48" s="30"/>
      <c r="I48" s="28"/>
      <c r="J48" s="28"/>
    </row>
    <row r="49" spans="1:10" ht="18" x14ac:dyDescent="0.35">
      <c r="A49" s="114">
        <v>4</v>
      </c>
      <c r="B49" s="101"/>
      <c r="C49" s="94">
        <f t="shared" ref="C49:G49" si="30">C81</f>
        <v>2</v>
      </c>
      <c r="D49" s="94" t="str">
        <f t="shared" si="30"/>
        <v xml:space="preserve">E/R 1 CARA </v>
      </c>
      <c r="E49" s="139">
        <f t="shared" si="30"/>
        <v>660</v>
      </c>
      <c r="F49" s="139">
        <f t="shared" si="30"/>
        <v>301</v>
      </c>
      <c r="G49" s="4" t="str">
        <f t="shared" si="30"/>
        <v>AZUL PACIFICO 2170 MT</v>
      </c>
      <c r="H49" s="30"/>
      <c r="I49" s="28"/>
      <c r="J49" s="28"/>
    </row>
    <row r="50" spans="1:10" ht="18" x14ac:dyDescent="0.35">
      <c r="A50" s="114">
        <v>5</v>
      </c>
      <c r="C50" s="94">
        <f t="shared" ref="C50:G50" si="31">C82</f>
        <v>2</v>
      </c>
      <c r="D50" s="94" t="str">
        <f t="shared" si="31"/>
        <v xml:space="preserve">E/R 1 CARA </v>
      </c>
      <c r="E50" s="139">
        <f t="shared" si="31"/>
        <v>425</v>
      </c>
      <c r="F50" s="139">
        <f t="shared" si="31"/>
        <v>301</v>
      </c>
      <c r="G50" s="4" t="str">
        <f t="shared" si="31"/>
        <v>AZUL PACIFICO 2170 MT</v>
      </c>
      <c r="H50" s="30"/>
      <c r="I50" s="28"/>
      <c r="J50" s="28"/>
    </row>
    <row r="51" spans="1:10" ht="18" x14ac:dyDescent="0.35">
      <c r="A51" s="114">
        <v>6</v>
      </c>
      <c r="B51" s="101"/>
      <c r="C51" s="94">
        <f t="shared" ref="C51:G51" si="32">C83</f>
        <v>2</v>
      </c>
      <c r="D51" s="94" t="str">
        <f t="shared" si="32"/>
        <v xml:space="preserve">E/R 1 CARA </v>
      </c>
      <c r="E51" s="139">
        <f t="shared" si="32"/>
        <v>177</v>
      </c>
      <c r="F51" s="139">
        <f t="shared" si="32"/>
        <v>506</v>
      </c>
      <c r="G51" s="4" t="str">
        <f t="shared" si="32"/>
        <v>AZUL PACIFICO 2170 MT</v>
      </c>
      <c r="H51" s="30"/>
      <c r="I51" s="28"/>
      <c r="J51" s="28"/>
    </row>
    <row r="52" spans="1:10" ht="18" x14ac:dyDescent="0.35">
      <c r="A52" s="114">
        <v>7</v>
      </c>
      <c r="B52" s="101"/>
      <c r="C52" s="94">
        <f t="shared" ref="C52:G52" si="33">C84</f>
        <v>1</v>
      </c>
      <c r="D52" s="94" t="str">
        <f t="shared" si="33"/>
        <v xml:space="preserve">E/R 1 CARA </v>
      </c>
      <c r="E52" s="139">
        <f t="shared" si="33"/>
        <v>397</v>
      </c>
      <c r="F52" s="139">
        <f t="shared" si="33"/>
        <v>506</v>
      </c>
      <c r="G52" s="4" t="str">
        <f t="shared" si="33"/>
        <v>AZUL PACIFICO 2170 MT</v>
      </c>
      <c r="H52" s="30"/>
      <c r="I52" s="28"/>
      <c r="J52" s="28"/>
    </row>
    <row r="53" spans="1:10" ht="18" x14ac:dyDescent="0.35">
      <c r="A53" s="114">
        <v>8</v>
      </c>
      <c r="B53" s="101"/>
      <c r="C53" s="94">
        <f t="shared" ref="C53:G53" si="34">C85</f>
        <v>2</v>
      </c>
      <c r="D53" s="94" t="str">
        <f t="shared" si="34"/>
        <v xml:space="preserve">E/R 1 CARA </v>
      </c>
      <c r="E53" s="139">
        <f t="shared" si="34"/>
        <v>177</v>
      </c>
      <c r="F53" s="139">
        <f t="shared" si="34"/>
        <v>898</v>
      </c>
      <c r="G53" s="4" t="str">
        <f t="shared" si="34"/>
        <v>AZUL PACIFICO 2170 MT</v>
      </c>
      <c r="H53" s="30"/>
      <c r="I53" s="28"/>
      <c r="J53" s="28"/>
    </row>
    <row r="54" spans="1:10" ht="18" x14ac:dyDescent="0.35">
      <c r="A54" s="114">
        <v>9</v>
      </c>
      <c r="B54" s="101"/>
      <c r="C54" s="94">
        <f t="shared" ref="C54:G55" si="35">C86</f>
        <v>1</v>
      </c>
      <c r="D54" s="94" t="str">
        <f t="shared" si="35"/>
        <v xml:space="preserve">E/R 1 CARA </v>
      </c>
      <c r="E54" s="139">
        <f t="shared" si="35"/>
        <v>397</v>
      </c>
      <c r="F54" s="139">
        <f t="shared" si="35"/>
        <v>898</v>
      </c>
      <c r="G54" s="4" t="str">
        <f t="shared" si="35"/>
        <v>AZUL PACIFICO 2170 MT</v>
      </c>
      <c r="H54" s="30"/>
      <c r="I54" s="28"/>
      <c r="J54" s="28"/>
    </row>
    <row r="55" spans="1:10" ht="18" x14ac:dyDescent="0.35">
      <c r="A55" s="114">
        <v>10</v>
      </c>
      <c r="B55" s="101"/>
      <c r="C55" s="94">
        <f t="shared" si="35"/>
        <v>1</v>
      </c>
      <c r="D55" s="94" t="str">
        <f t="shared" si="35"/>
        <v xml:space="preserve">E/R 1 CARA </v>
      </c>
      <c r="E55" s="139">
        <f t="shared" si="35"/>
        <v>650</v>
      </c>
      <c r="F55" s="139">
        <f t="shared" si="35"/>
        <v>587</v>
      </c>
      <c r="G55" s="4" t="str">
        <f t="shared" si="35"/>
        <v>AZUL PACIFICO 2170 MT</v>
      </c>
      <c r="H55" s="30"/>
      <c r="I55" s="28"/>
      <c r="J55" s="28"/>
    </row>
    <row r="56" spans="1:10" ht="18" x14ac:dyDescent="0.35">
      <c r="A56" s="114"/>
      <c r="B56" s="101"/>
      <c r="C56" s="73"/>
      <c r="D56" s="73"/>
      <c r="E56" s="73"/>
      <c r="F56" s="73"/>
      <c r="G56" s="73"/>
      <c r="H56" s="30"/>
      <c r="I56" s="28"/>
      <c r="J56" s="28"/>
    </row>
    <row r="57" spans="1:10" ht="18" x14ac:dyDescent="0.35">
      <c r="A57" s="2"/>
      <c r="B57" s="83"/>
      <c r="C57" s="73"/>
      <c r="D57" s="73"/>
      <c r="E57" s="73"/>
      <c r="F57" s="73"/>
      <c r="G57" s="73"/>
      <c r="H57" s="30"/>
      <c r="I57" s="28"/>
      <c r="J57" s="28"/>
    </row>
    <row r="58" spans="1:10" ht="18" x14ac:dyDescent="0.35">
      <c r="A58" s="2"/>
      <c r="B58" s="30"/>
      <c r="C58" s="73"/>
      <c r="D58" s="73"/>
      <c r="E58" s="73"/>
      <c r="F58" s="73"/>
      <c r="G58" s="73"/>
      <c r="H58" s="30"/>
    </row>
    <row r="59" spans="1:10" ht="18" x14ac:dyDescent="0.35">
      <c r="A59" s="2"/>
      <c r="B59" s="30"/>
      <c r="C59" s="73"/>
      <c r="D59" s="73"/>
      <c r="E59" s="73"/>
      <c r="F59" s="73"/>
      <c r="G59" s="73"/>
      <c r="H59" s="30"/>
      <c r="J59" s="28">
        <f>SUM(J46:J46)*2</f>
        <v>1.2117599999999999</v>
      </c>
    </row>
    <row r="60" spans="1:10" ht="18" x14ac:dyDescent="0.35">
      <c r="A60" s="2"/>
      <c r="B60" s="30"/>
      <c r="C60" s="73"/>
      <c r="D60" s="73"/>
      <c r="E60" s="73"/>
      <c r="F60" s="73"/>
      <c r="G60" s="73"/>
      <c r="H60" s="30"/>
    </row>
    <row r="61" spans="1:10" ht="18" x14ac:dyDescent="0.35">
      <c r="A61" s="2"/>
      <c r="B61" s="30"/>
      <c r="C61" s="73"/>
      <c r="D61" s="73"/>
      <c r="E61" s="73"/>
      <c r="F61" s="73"/>
      <c r="G61" s="73"/>
      <c r="H61" s="30"/>
    </row>
    <row r="62" spans="1:10" ht="18" x14ac:dyDescent="0.35">
      <c r="A62" s="2"/>
      <c r="B62" s="30"/>
      <c r="C62" s="73"/>
      <c r="D62" s="73"/>
      <c r="E62" s="73"/>
      <c r="F62" s="73"/>
      <c r="G62" s="73"/>
      <c r="H62" s="30"/>
    </row>
    <row r="63" spans="1:10" ht="18" x14ac:dyDescent="0.35">
      <c r="A63" s="2"/>
      <c r="B63" s="30"/>
      <c r="C63" s="73"/>
      <c r="D63" s="73"/>
      <c r="E63" s="73"/>
      <c r="F63" s="73"/>
      <c r="G63" s="73"/>
      <c r="H63" s="30"/>
    </row>
    <row r="64" spans="1:10" ht="18" x14ac:dyDescent="0.35">
      <c r="A64" s="2"/>
      <c r="B64" s="30"/>
      <c r="C64" s="73"/>
      <c r="D64" s="73"/>
      <c r="E64" s="73"/>
      <c r="F64" s="73"/>
      <c r="G64" s="73"/>
      <c r="H64" s="30"/>
    </row>
    <row r="65" spans="1:13" ht="18" x14ac:dyDescent="0.35">
      <c r="A65" s="2"/>
      <c r="B65" s="30"/>
      <c r="C65" s="73"/>
      <c r="D65" s="73"/>
      <c r="E65" s="73"/>
      <c r="F65" s="73"/>
      <c r="G65" s="73"/>
      <c r="H65" s="30"/>
    </row>
    <row r="66" spans="1:13" ht="18" x14ac:dyDescent="0.35">
      <c r="A66" s="2"/>
      <c r="B66" s="30"/>
      <c r="C66" s="73"/>
      <c r="D66" s="73"/>
      <c r="E66" s="73"/>
      <c r="F66" s="73"/>
      <c r="G66" s="73"/>
      <c r="H66" s="30"/>
    </row>
    <row r="67" spans="1:13" ht="18" x14ac:dyDescent="0.35">
      <c r="A67" s="2"/>
      <c r="B67" s="30"/>
      <c r="C67" s="30"/>
      <c r="D67" s="30"/>
      <c r="E67" s="30"/>
      <c r="F67" s="30"/>
      <c r="G67" s="30"/>
      <c r="H67" s="30"/>
    </row>
    <row r="68" spans="1:13" ht="18" x14ac:dyDescent="0.35">
      <c r="A68" s="2"/>
      <c r="B68" s="30"/>
      <c r="C68" s="30"/>
      <c r="D68" s="74" t="s">
        <v>24</v>
      </c>
      <c r="E68" s="75">
        <f>'4637'!J8</f>
        <v>4160</v>
      </c>
      <c r="F68" s="30"/>
      <c r="G68" s="30"/>
      <c r="H68" s="30"/>
    </row>
    <row r="69" spans="1:13" ht="17.25" customHeight="1" x14ac:dyDescent="0.35">
      <c r="A69" s="2"/>
      <c r="B69" s="30"/>
      <c r="C69" s="30"/>
      <c r="D69" s="76" t="s">
        <v>63</v>
      </c>
      <c r="E69" s="77" t="str">
        <f>'4637'!C10</f>
        <v>CONSTANZA SAINT</v>
      </c>
      <c r="F69" s="48"/>
      <c r="G69" s="48"/>
      <c r="H69" s="30"/>
    </row>
    <row r="70" spans="1:13" ht="4.5" customHeight="1" x14ac:dyDescent="0.35">
      <c r="A70" s="2"/>
      <c r="B70" s="30"/>
      <c r="C70" s="30"/>
      <c r="D70" s="78"/>
      <c r="E70" s="79"/>
      <c r="F70" s="30"/>
      <c r="G70" s="30"/>
      <c r="H70" s="30"/>
    </row>
    <row r="71" spans="1:13" ht="18" x14ac:dyDescent="0.35">
      <c r="A71" s="2"/>
      <c r="B71" s="30"/>
      <c r="C71" s="30"/>
      <c r="D71" s="80" t="str">
        <f>'4637'!I11</f>
        <v>FECHA LIMITE :</v>
      </c>
      <c r="E71" s="81">
        <f>'4637'!J11</f>
        <v>0</v>
      </c>
      <c r="F71" s="30"/>
      <c r="G71" s="30"/>
      <c r="H71" s="30"/>
    </row>
    <row r="72" spans="1:13" ht="18" x14ac:dyDescent="0.35">
      <c r="A72" s="2"/>
      <c r="B72" s="30"/>
      <c r="C72" s="30"/>
      <c r="D72" s="30"/>
      <c r="E72" s="30"/>
      <c r="F72" s="30"/>
      <c r="G72" s="30" t="s">
        <v>136</v>
      </c>
      <c r="H72" s="30"/>
    </row>
    <row r="73" spans="1:13" ht="18" x14ac:dyDescent="0.35">
      <c r="A73" s="2"/>
      <c r="B73" s="30"/>
      <c r="C73" s="30"/>
      <c r="D73" s="30"/>
      <c r="E73" s="30"/>
      <c r="F73" s="30"/>
      <c r="G73" s="30"/>
      <c r="H73" s="30"/>
    </row>
    <row r="74" spans="1:13" ht="18" x14ac:dyDescent="0.35">
      <c r="A74" s="2"/>
      <c r="B74" s="128" t="s">
        <v>64</v>
      </c>
      <c r="C74" s="128"/>
      <c r="D74" s="128"/>
      <c r="E74" s="128"/>
      <c r="F74" s="128"/>
      <c r="G74" s="128"/>
      <c r="H74" s="30"/>
    </row>
    <row r="75" spans="1:13" ht="18" x14ac:dyDescent="0.35">
      <c r="A75" s="2"/>
      <c r="B75" s="30"/>
      <c r="C75" s="30"/>
      <c r="D75" s="30"/>
      <c r="E75" s="30"/>
      <c r="F75" s="30"/>
      <c r="G75" s="30"/>
      <c r="H75" s="30"/>
    </row>
    <row r="76" spans="1:13" ht="20.100000000000001" customHeight="1" x14ac:dyDescent="0.35">
      <c r="A76" s="2"/>
      <c r="B76" s="30"/>
      <c r="C76" s="129" t="s">
        <v>65</v>
      </c>
      <c r="D76" s="130"/>
      <c r="E76" s="131"/>
      <c r="F76" s="131"/>
      <c r="G76" s="132"/>
      <c r="H76" s="30"/>
      <c r="I76" s="25" t="s">
        <v>129</v>
      </c>
    </row>
    <row r="77" spans="1:13" s="10" customFormat="1" ht="20.100000000000001" customHeight="1" x14ac:dyDescent="0.35">
      <c r="A77" s="115"/>
      <c r="B77" s="30"/>
      <c r="C77" s="84" t="s">
        <v>9</v>
      </c>
      <c r="D77" s="85" t="s">
        <v>10</v>
      </c>
      <c r="E77" s="88" t="s">
        <v>6</v>
      </c>
      <c r="F77" s="88" t="s">
        <v>7</v>
      </c>
      <c r="G77" s="86" t="s">
        <v>11</v>
      </c>
      <c r="H77" s="30"/>
      <c r="K77" s="10">
        <v>15000</v>
      </c>
    </row>
    <row r="78" spans="1:13" s="10" customFormat="1" ht="20.100000000000001" customHeight="1" x14ac:dyDescent="0.35">
      <c r="A78" s="114">
        <v>1</v>
      </c>
      <c r="B78" s="100" t="s">
        <v>133</v>
      </c>
      <c r="C78" s="96">
        <f>'4637'!B21</f>
        <v>2</v>
      </c>
      <c r="D78" s="4" t="str">
        <f>'4637'!C21</f>
        <v xml:space="preserve">E/R 1 CARA </v>
      </c>
      <c r="E78" s="139">
        <f>'4637'!D21</f>
        <v>765</v>
      </c>
      <c r="F78" s="139">
        <f>'4637'!E21</f>
        <v>396</v>
      </c>
      <c r="G78" s="4" t="str">
        <f>'4637'!I21</f>
        <v>AZUL PACIFICO 2170 MT</v>
      </c>
      <c r="H78" s="30"/>
      <c r="I78" s="10">
        <f>E78*F78/1000000</f>
        <v>0.30293999999999999</v>
      </c>
      <c r="J78" s="10">
        <f>I78*C78</f>
        <v>0.60587999999999997</v>
      </c>
      <c r="K78" s="26">
        <f>J78*K$77</f>
        <v>9088.1999999999989</v>
      </c>
      <c r="M78" s="24">
        <v>12096</v>
      </c>
    </row>
    <row r="79" spans="1:13" s="10" customFormat="1" ht="20.100000000000001" customHeight="1" x14ac:dyDescent="0.35">
      <c r="A79" s="114">
        <v>2</v>
      </c>
      <c r="B79" s="100"/>
      <c r="C79" s="96">
        <f>'4637'!B22</f>
        <v>1</v>
      </c>
      <c r="D79" s="4" t="str">
        <f>'4637'!C22</f>
        <v xml:space="preserve">E/R 1 CARA </v>
      </c>
      <c r="E79" s="139">
        <f>'4637'!D22</f>
        <v>765</v>
      </c>
      <c r="F79" s="139">
        <f>'4637'!E22</f>
        <v>315</v>
      </c>
      <c r="G79" s="4" t="str">
        <f>'4637'!I22</f>
        <v>AZUL PACIFICO 2170 MT</v>
      </c>
      <c r="H79" s="30"/>
      <c r="K79" s="26"/>
      <c r="M79" s="29"/>
    </row>
    <row r="80" spans="1:13" s="10" customFormat="1" ht="20.100000000000001" customHeight="1" x14ac:dyDescent="0.35">
      <c r="A80" s="114">
        <v>3</v>
      </c>
      <c r="C80" s="96">
        <f>'4637'!B23</f>
        <v>1</v>
      </c>
      <c r="D80" s="4" t="str">
        <f>'4637'!C23</f>
        <v xml:space="preserve">E/R 1 CARA </v>
      </c>
      <c r="E80" s="139">
        <f>'4637'!D23</f>
        <v>765</v>
      </c>
      <c r="F80" s="139">
        <f>'4637'!E23</f>
        <v>275</v>
      </c>
      <c r="G80" s="4" t="str">
        <f>'4637'!I23</f>
        <v>AZUL PACIFICO 2170 MT</v>
      </c>
      <c r="H80" s="30"/>
      <c r="K80" s="26"/>
      <c r="M80" s="29"/>
    </row>
    <row r="81" spans="1:13" s="10" customFormat="1" ht="20.100000000000001" customHeight="1" x14ac:dyDescent="0.35">
      <c r="A81" s="114">
        <v>4</v>
      </c>
      <c r="B81" s="100"/>
      <c r="C81" s="96">
        <f>'4637'!B24</f>
        <v>2</v>
      </c>
      <c r="D81" s="4" t="str">
        <f>'4637'!C24</f>
        <v xml:space="preserve">E/R 1 CARA </v>
      </c>
      <c r="E81" s="139">
        <f>'4637'!D24</f>
        <v>660</v>
      </c>
      <c r="F81" s="139">
        <f>'4637'!E24</f>
        <v>301</v>
      </c>
      <c r="G81" s="4" t="str">
        <f>'4637'!I24</f>
        <v>AZUL PACIFICO 2170 MT</v>
      </c>
      <c r="H81" s="30"/>
      <c r="K81" s="26"/>
      <c r="M81" s="29"/>
    </row>
    <row r="82" spans="1:13" s="10" customFormat="1" ht="20.100000000000001" customHeight="1" x14ac:dyDescent="0.35">
      <c r="A82" s="114">
        <v>5</v>
      </c>
      <c r="C82" s="96">
        <f>'4637'!B25</f>
        <v>2</v>
      </c>
      <c r="D82" s="4" t="str">
        <f>'4637'!C25</f>
        <v xml:space="preserve">E/R 1 CARA </v>
      </c>
      <c r="E82" s="139">
        <f>'4637'!D25</f>
        <v>425</v>
      </c>
      <c r="F82" s="139">
        <f>'4637'!E25</f>
        <v>301</v>
      </c>
      <c r="G82" s="4" t="str">
        <f>'4637'!I25</f>
        <v>AZUL PACIFICO 2170 MT</v>
      </c>
      <c r="H82" s="30"/>
      <c r="K82" s="26"/>
      <c r="M82" s="29"/>
    </row>
    <row r="83" spans="1:13" s="10" customFormat="1" ht="20.100000000000001" customHeight="1" x14ac:dyDescent="0.35">
      <c r="A83" s="114">
        <v>6</v>
      </c>
      <c r="B83" s="100"/>
      <c r="C83" s="96">
        <f>'4637'!B26</f>
        <v>2</v>
      </c>
      <c r="D83" s="4" t="str">
        <f>'4637'!C26</f>
        <v xml:space="preserve">E/R 1 CARA </v>
      </c>
      <c r="E83" s="139">
        <f>'4637'!D26</f>
        <v>177</v>
      </c>
      <c r="F83" s="139">
        <f>'4637'!E26</f>
        <v>506</v>
      </c>
      <c r="G83" s="4" t="str">
        <f>'4637'!I26</f>
        <v>AZUL PACIFICO 2170 MT</v>
      </c>
      <c r="H83" s="30"/>
      <c r="K83" s="26"/>
      <c r="M83" s="29"/>
    </row>
    <row r="84" spans="1:13" s="10" customFormat="1" ht="20.100000000000001" customHeight="1" x14ac:dyDescent="0.35">
      <c r="A84" s="114">
        <v>7</v>
      </c>
      <c r="B84" s="100"/>
      <c r="C84" s="96">
        <f>'4637'!B27</f>
        <v>1</v>
      </c>
      <c r="D84" s="4" t="str">
        <f>'4637'!C27</f>
        <v xml:space="preserve">E/R 1 CARA </v>
      </c>
      <c r="E84" s="139">
        <f>'4637'!D27</f>
        <v>397</v>
      </c>
      <c r="F84" s="139">
        <f>'4637'!E27</f>
        <v>506</v>
      </c>
      <c r="G84" s="4" t="str">
        <f>'4637'!I27</f>
        <v>AZUL PACIFICO 2170 MT</v>
      </c>
      <c r="H84" s="30"/>
      <c r="K84" s="26"/>
      <c r="M84" s="29"/>
    </row>
    <row r="85" spans="1:13" s="10" customFormat="1" ht="20.100000000000001" customHeight="1" x14ac:dyDescent="0.35">
      <c r="A85" s="114">
        <v>8</v>
      </c>
      <c r="B85" s="100"/>
      <c r="C85" s="96">
        <f>'4637'!B28</f>
        <v>2</v>
      </c>
      <c r="D85" s="4" t="str">
        <f>'4637'!C28</f>
        <v xml:space="preserve">E/R 1 CARA </v>
      </c>
      <c r="E85" s="139">
        <f>'4637'!D28</f>
        <v>177</v>
      </c>
      <c r="F85" s="139">
        <f>'4637'!E28</f>
        <v>898</v>
      </c>
      <c r="G85" s="4" t="str">
        <f>'4637'!I28</f>
        <v>AZUL PACIFICO 2170 MT</v>
      </c>
      <c r="H85" s="30"/>
      <c r="K85" s="26"/>
      <c r="M85" s="29"/>
    </row>
    <row r="86" spans="1:13" s="10" customFormat="1" ht="20.100000000000001" customHeight="1" x14ac:dyDescent="0.35">
      <c r="A86" s="114">
        <v>9</v>
      </c>
      <c r="B86" s="100"/>
      <c r="C86" s="96">
        <f>'4637'!B29</f>
        <v>1</v>
      </c>
      <c r="D86" s="4" t="str">
        <f>'4637'!C29</f>
        <v xml:space="preserve">E/R 1 CARA </v>
      </c>
      <c r="E86" s="139">
        <f>'4637'!D29</f>
        <v>397</v>
      </c>
      <c r="F86" s="139">
        <f>'4637'!E29</f>
        <v>898</v>
      </c>
      <c r="G86" s="4" t="str">
        <f>'4637'!I29</f>
        <v>AZUL PACIFICO 2170 MT</v>
      </c>
      <c r="H86" s="30"/>
      <c r="K86" s="26"/>
      <c r="M86" s="29"/>
    </row>
    <row r="87" spans="1:13" s="10" customFormat="1" ht="20.100000000000001" customHeight="1" x14ac:dyDescent="0.35">
      <c r="A87" s="114">
        <v>10</v>
      </c>
      <c r="B87" s="100"/>
      <c r="C87" s="96">
        <f>'4637'!B30</f>
        <v>1</v>
      </c>
      <c r="D87" s="4" t="str">
        <f>'4637'!C30</f>
        <v xml:space="preserve">E/R 1 CARA </v>
      </c>
      <c r="E87" s="139">
        <f>'4637'!D30</f>
        <v>650</v>
      </c>
      <c r="F87" s="139">
        <f>'4637'!E30</f>
        <v>587</v>
      </c>
      <c r="G87" s="4" t="str">
        <f>'4637'!I30</f>
        <v>AZUL PACIFICO 2170 MT</v>
      </c>
      <c r="H87" s="30"/>
      <c r="K87" s="26"/>
      <c r="M87" s="29"/>
    </row>
    <row r="88" spans="1:13" s="10" customFormat="1" ht="20.100000000000001" customHeight="1" x14ac:dyDescent="0.35">
      <c r="A88" s="114"/>
      <c r="B88" s="100"/>
      <c r="C88" s="73"/>
      <c r="D88" s="73"/>
      <c r="E88" s="73"/>
      <c r="F88" s="73"/>
      <c r="G88" s="73"/>
      <c r="H88" s="30"/>
      <c r="K88" s="26"/>
      <c r="M88" s="29"/>
    </row>
    <row r="89" spans="1:13" s="10" customFormat="1" ht="15" customHeight="1" x14ac:dyDescent="0.35">
      <c r="B89" s="83"/>
      <c r="C89" s="66"/>
      <c r="D89" s="66"/>
      <c r="E89" s="66"/>
      <c r="F89" s="66"/>
      <c r="G89" s="66"/>
      <c r="H89" s="30"/>
    </row>
    <row r="90" spans="1:13" ht="18" x14ac:dyDescent="0.35">
      <c r="B90" s="73"/>
      <c r="C90" s="73"/>
      <c r="D90" s="30"/>
      <c r="E90" s="73"/>
      <c r="F90" s="73"/>
      <c r="G90" s="78"/>
      <c r="H90" s="30"/>
    </row>
    <row r="91" spans="1:13" ht="18" x14ac:dyDescent="0.35">
      <c r="B91" s="73"/>
      <c r="C91" s="73"/>
      <c r="D91" s="30"/>
      <c r="E91" s="73"/>
      <c r="F91" s="73"/>
      <c r="G91" s="73"/>
      <c r="H91" s="30"/>
      <c r="J91" s="10">
        <f>SUM(J78:J78)</f>
        <v>0.60587999999999997</v>
      </c>
      <c r="K91" s="27">
        <f>SUM(K78:K78)</f>
        <v>9088.1999999999989</v>
      </c>
    </row>
    <row r="92" spans="1:13" ht="18" x14ac:dyDescent="0.35">
      <c r="B92" s="30"/>
      <c r="C92" s="30"/>
      <c r="D92" s="30"/>
      <c r="E92" s="30"/>
      <c r="F92" s="30"/>
      <c r="G92" s="30"/>
      <c r="H92" s="30"/>
    </row>
    <row r="93" spans="1:13" ht="18" x14ac:dyDescent="0.35">
      <c r="B93" s="30"/>
      <c r="C93" s="30"/>
      <c r="D93" s="30"/>
      <c r="E93" s="30"/>
      <c r="F93" s="30"/>
      <c r="G93" s="30"/>
      <c r="H93" s="30"/>
    </row>
    <row r="94" spans="1:13" ht="18" x14ac:dyDescent="0.35">
      <c r="B94" s="30"/>
      <c r="C94" s="30"/>
      <c r="D94" s="30"/>
      <c r="E94" s="30"/>
      <c r="F94" s="30"/>
      <c r="G94" s="30"/>
      <c r="H94" s="30"/>
    </row>
    <row r="95" spans="1:13" ht="15" customHeight="1" x14ac:dyDescent="0.35">
      <c r="B95" s="30"/>
      <c r="C95" s="30"/>
      <c r="D95" s="30"/>
      <c r="E95" s="30"/>
      <c r="F95" s="30"/>
      <c r="G95" s="30"/>
      <c r="H95" s="30"/>
    </row>
    <row r="96" spans="1:13" ht="18" x14ac:dyDescent="0.35">
      <c r="B96" s="30"/>
      <c r="C96" s="30"/>
      <c r="D96" s="30"/>
      <c r="E96" s="30"/>
      <c r="F96" s="30"/>
      <c r="G96" s="30"/>
      <c r="H96" s="30"/>
    </row>
    <row r="97" spans="2:8" ht="18" x14ac:dyDescent="0.35">
      <c r="B97" s="73"/>
      <c r="C97" s="87"/>
      <c r="D97" s="30"/>
      <c r="E97" s="30"/>
      <c r="F97" s="30"/>
      <c r="G97" s="30"/>
      <c r="H97" s="30"/>
    </row>
    <row r="98" spans="2:8" ht="18" x14ac:dyDescent="0.35">
      <c r="B98" s="30"/>
      <c r="C98" s="30"/>
      <c r="D98" s="30"/>
      <c r="E98" s="30"/>
      <c r="F98" s="30"/>
      <c r="G98" s="30"/>
      <c r="H98" s="30"/>
    </row>
    <row r="99" spans="2:8" x14ac:dyDescent="0.3">
      <c r="C99" s="14"/>
      <c r="D99" s="14"/>
      <c r="F99" s="14"/>
      <c r="G99" s="14"/>
    </row>
    <row r="100" spans="2:8" x14ac:dyDescent="0.3">
      <c r="C100" s="14"/>
      <c r="D100" s="14"/>
      <c r="F100" s="14"/>
      <c r="G100" s="14"/>
    </row>
  </sheetData>
  <mergeCells count="6">
    <mergeCell ref="N3:O3"/>
    <mergeCell ref="B27:G27"/>
    <mergeCell ref="B10:G10"/>
    <mergeCell ref="B74:G74"/>
    <mergeCell ref="C76:G76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4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2024-10-14T12:39:53Z</cp:lastPrinted>
  <dcterms:created xsi:type="dcterms:W3CDTF">2013-03-19T12:54:14Z</dcterms:created>
  <dcterms:modified xsi:type="dcterms:W3CDTF">2025-03-24T16:39:08Z</dcterms:modified>
</cp:coreProperties>
</file>