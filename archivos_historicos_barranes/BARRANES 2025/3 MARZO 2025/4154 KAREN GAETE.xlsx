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CB275BA8-E009-4690-AC9C-1405FFC9F2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'4637'!$B$1:$H$53</definedName>
    <definedName name="_xlnm.Print_Area" localSheetId="2">CUBIERTA!$A$1:$G$44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16" i="3"/>
  <c r="J16" i="3"/>
  <c r="C16" i="3" s="1"/>
  <c r="K16" i="3"/>
  <c r="E16" i="3" s="1"/>
  <c r="L16" i="3"/>
  <c r="G25" i="3"/>
  <c r="J25" i="3"/>
  <c r="C25" i="3" s="1"/>
  <c r="K25" i="3"/>
  <c r="L25" i="3"/>
  <c r="F25" i="3" s="1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63" i="3"/>
  <c r="D63" i="3"/>
  <c r="E63" i="3"/>
  <c r="F63" i="3"/>
  <c r="G63" i="3"/>
  <c r="C60" i="3"/>
  <c r="D60" i="3"/>
  <c r="E60" i="3"/>
  <c r="F60" i="3"/>
  <c r="G60" i="3"/>
  <c r="C61" i="3"/>
  <c r="D61" i="3"/>
  <c r="E61" i="3"/>
  <c r="F61" i="3"/>
  <c r="G61" i="3"/>
  <c r="C62" i="3"/>
  <c r="D62" i="3"/>
  <c r="E62" i="3"/>
  <c r="F62" i="3"/>
  <c r="G62" i="3"/>
  <c r="H23" i="4"/>
  <c r="H24" i="4"/>
  <c r="H25" i="4"/>
  <c r="H26" i="4"/>
  <c r="H22" i="4" l="1"/>
  <c r="H21" i="4"/>
  <c r="J15" i="3"/>
  <c r="C15" i="3" s="1"/>
  <c r="C32" i="3"/>
  <c r="J24" i="3" s="1"/>
  <c r="C24" i="3" s="1"/>
  <c r="D32" i="3"/>
  <c r="G24" i="3" s="1"/>
  <c r="E32" i="3"/>
  <c r="K24" i="3" s="1"/>
  <c r="E24" i="3" s="1"/>
  <c r="F32" i="3"/>
  <c r="L24" i="3" s="1"/>
  <c r="F24" i="3" s="1"/>
  <c r="G32" i="3"/>
  <c r="C59" i="3"/>
  <c r="D59" i="3"/>
  <c r="E59" i="3"/>
  <c r="F59" i="3"/>
  <c r="G59" i="3"/>
  <c r="H29" i="4" l="1"/>
  <c r="L15" i="3"/>
  <c r="F15" i="3" s="1"/>
  <c r="K15" i="3"/>
  <c r="E15" i="3" s="1"/>
  <c r="G15" i="3"/>
  <c r="B28" i="4"/>
  <c r="J14" i="3" l="1"/>
  <c r="C14" i="3" s="1"/>
  <c r="D58" i="3" l="1"/>
  <c r="L21" i="4" l="1"/>
  <c r="K21" i="4"/>
  <c r="M21" i="4" l="1"/>
  <c r="N21" i="4" s="1"/>
  <c r="C31" i="3" l="1"/>
  <c r="J23" i="3" s="1"/>
  <c r="C23" i="3" s="1"/>
  <c r="D31" i="3"/>
  <c r="G23" i="3" s="1"/>
  <c r="E31" i="3"/>
  <c r="F31" i="3"/>
  <c r="L23" i="3" s="1"/>
  <c r="F23" i="3" s="1"/>
  <c r="G31" i="3"/>
  <c r="C58" i="3"/>
  <c r="E58" i="3"/>
  <c r="F58" i="3"/>
  <c r="G58" i="3"/>
  <c r="I31" i="3" l="1"/>
  <c r="J31" i="3" s="1"/>
  <c r="K23" i="3"/>
  <c r="E23" i="3" s="1"/>
  <c r="I58" i="3"/>
  <c r="J58" i="3" s="1"/>
  <c r="K14" i="3"/>
  <c r="E14" i="3" s="1"/>
  <c r="G14" i="3"/>
  <c r="L14" i="3"/>
  <c r="F14" i="3" s="1"/>
  <c r="J39" i="3" l="1"/>
  <c r="K58" i="3"/>
  <c r="J66" i="3"/>
  <c r="H31" i="4"/>
  <c r="O5" i="3"/>
  <c r="K66" i="3" l="1"/>
  <c r="N5" i="3"/>
  <c r="M5" i="3"/>
  <c r="L5" i="3"/>
  <c r="D51" i="3" l="1"/>
  <c r="D7" i="3"/>
  <c r="E49" i="3"/>
  <c r="E5" i="3"/>
  <c r="E51" i="3"/>
  <c r="E7" i="3"/>
  <c r="E48" i="3"/>
  <c r="E4" i="3"/>
</calcChain>
</file>

<file path=xl/sharedStrings.xml><?xml version="1.0" encoding="utf-8"?>
<sst xmlns="http://schemas.openxmlformats.org/spreadsheetml/2006/main" count="257" uniqueCount="151">
  <si>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</si>
  <si>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</si>
  <si>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</si>
  <si>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</si>
  <si>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</si>
  <si>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</si>
  <si>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</si>
  <si>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</si>
  <si>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</si>
  <si>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</si>
  <si>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</si>
  <si>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</si>
  <si>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</si>
  <si>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</si>
  <si>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</si>
  <si>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</si>
  <si>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</si>
  <si>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</si>
  <si>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</si>
  <si>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</si>
  <si>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</si>
  <si>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</si>
  <si>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</si>
  <si>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</si>
  <si>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</si>
  <si>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</si>
  <si>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</si>
  <si>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</si>
  <si>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</si>
  <si>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</si>
  <si>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</si>
  <si>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</si>
  <si>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</si>
  <si>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</si>
  <si>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</si>
  <si>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</si>
  <si>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</si>
  <si>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</si>
  <si>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</si>
  <si>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</si>
  <si>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</si>
  <si>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</si>
  <si>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</si>
  <si>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</si>
  <si>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</si>
  <si>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</si>
  <si>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</si>
  <si>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</si>
  <si>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</si>
  <si>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</si>
  <si>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</si>
  <si>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</si>
  <si>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</si>
  <si>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</si>
  <si>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</si>
  <si>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</si>
  <si>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</si>
  <si>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</si>
  <si>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</si>
  <si>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</si>
  <si>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</si>
  <si>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</si>
  <si>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</si>
  <si>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</si>
  <si>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</si>
  <si>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</si>
  <si>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</si>
  <si>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</si>
  <si>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</si>
  <si>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</si>
  <si>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</si>
  <si>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</si>
  <si>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</si>
  <si>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</si>
  <si>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</si>
  <si>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</si>
  <si>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</si>
  <si>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</si>
  <si>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</si>
  <si>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</si>
  <si>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</si>
  <si>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</si>
  <si>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</si>
  <si>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</si>
  <si>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</si>
  <si>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</si>
  <si>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</si>
  <si>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</si>
  <si>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</si>
  <si>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</si>
  <si>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</si>
  <si>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</si>
  <si>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</si>
  <si>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</si>
  <si>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</si>
  <si>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</si>
  <si>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</si>
  <si>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</si>
  <si>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</si>
  <si>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</si>
  <si>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</si>
  <si>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</si>
  <si>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</si>
  <si>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</si>
  <si>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</si>
  <si>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</si>
  <si>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</si>
  <si>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</si>
  <si>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</si>
  <si>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</si>
  <si>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</si>
  <si>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</si>
  <si>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</si>
  <si>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</si>
  <si>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</si>
  <si>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</si>
  <si>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</si>
  <si>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</si>
  <si>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</si>
  <si>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</si>
  <si>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</si>
  <si>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</si>
  <si>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</si>
  <si>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</si>
  <si>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</si>
  <si>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</si>
  <si>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</si>
  <si>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</si>
  <si>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</si>
  <si>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</si>
  <si>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</si>
  <si>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</si>
  <si>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</si>
  <si>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</si>
  <si>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</si>
  <si>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</si>
  <si>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</si>
  <si>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</si>
  <si>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</si>
  <si>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>CUBIERTA C/R 90° R8</t>
  </si>
  <si>
    <t>KAREN VASQUEZ</t>
  </si>
  <si>
    <t>+569 50162158</t>
  </si>
  <si>
    <t>ROSARIO SUR 234 LAS CONDES</t>
  </si>
  <si>
    <t>CLOUD TERRAZO 4001 GLT</t>
  </si>
  <si>
    <t>CUB MESA R8 3 LADOS</t>
  </si>
  <si>
    <t>CUBIERTA C/R R8</t>
  </si>
  <si>
    <t>MUEBLE CAMPANA</t>
  </si>
  <si>
    <t>SERVICIO INSTALACION</t>
  </si>
  <si>
    <t>REPISAS MUEBLE AERERO</t>
  </si>
  <si>
    <t>MELAMINA BLANCA 18MM</t>
  </si>
  <si>
    <t>FRENTE COLOR 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</si>
</sst>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0" fillId="0" borderId="0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28</xdr:row>
      <xdr:rowOff>23327</xdr:rowOff>
    </xdr:from>
    <xdr:to>
      <xdr:col>5</xdr:col>
      <xdr:colOff>1562878</xdr:colOff>
      <xdr:row>31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$ 250.000.-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48</xdr:row>
      <xdr:rowOff>0</xdr:rowOff>
    </xdr:from>
    <xdr:to>
      <xdr:col>4</xdr:col>
      <xdr:colOff>369336</xdr:colOff>
      <xdr:row>48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50</xdr:row>
      <xdr:rowOff>1</xdr:rowOff>
    </xdr:from>
    <xdr:to>
      <xdr:col>4</xdr:col>
      <xdr:colOff>349897</xdr:colOff>
      <xdr:row>50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52</xdr:row>
      <xdr:rowOff>190500</xdr:rowOff>
    </xdr:from>
    <xdr:to>
      <xdr:col>7</xdr:col>
      <xdr:colOff>9524</xdr:colOff>
      <xdr:row>54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49</xdr:row>
      <xdr:rowOff>30479</xdr:rowOff>
    </xdr:from>
    <xdr:to>
      <xdr:col>6</xdr:col>
      <xdr:colOff>2912745</xdr:colOff>
      <xdr:row>50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209549</xdr:rowOff>
    </xdr:from>
    <xdr:to>
      <xdr:col>7</xdr:col>
      <xdr:colOff>0</xdr:colOff>
      <xdr:row>49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46</xdr:row>
      <xdr:rowOff>171450</xdr:rowOff>
    </xdr:from>
    <xdr:to>
      <xdr:col>7</xdr:col>
      <xdr:colOff>19050</xdr:colOff>
      <xdr:row>47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64</xdr:row>
      <xdr:rowOff>0</xdr:rowOff>
    </xdr:from>
    <xdr:to>
      <xdr:col>3</xdr:col>
      <xdr:colOff>38100</xdr:colOff>
      <xdr:row>65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64</xdr:row>
      <xdr:rowOff>0</xdr:rowOff>
    </xdr:from>
    <xdr:to>
      <xdr:col>3</xdr:col>
      <xdr:colOff>1019175</xdr:colOff>
      <xdr:row>65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64</xdr:row>
      <xdr:rowOff>0</xdr:rowOff>
    </xdr:from>
    <xdr:to>
      <xdr:col>4</xdr:col>
      <xdr:colOff>352425</xdr:colOff>
      <xdr:row>65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64</xdr:row>
      <xdr:rowOff>0</xdr:rowOff>
    </xdr:from>
    <xdr:to>
      <xdr:col>5</xdr:col>
      <xdr:colOff>257175</xdr:colOff>
      <xdr:row>65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64</xdr:row>
      <xdr:rowOff>0</xdr:rowOff>
    </xdr:from>
    <xdr:to>
      <xdr:col>6</xdr:col>
      <xdr:colOff>447675</xdr:colOff>
      <xdr:row>65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64</xdr:row>
      <xdr:rowOff>0</xdr:rowOff>
    </xdr:from>
    <xdr:to>
      <xdr:col>7</xdr:col>
      <xdr:colOff>0</xdr:colOff>
      <xdr:row>65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65</xdr:row>
      <xdr:rowOff>0</xdr:rowOff>
    </xdr:from>
    <xdr:to>
      <xdr:col>3</xdr:col>
      <xdr:colOff>304800</xdr:colOff>
      <xdr:row>66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65</xdr:row>
      <xdr:rowOff>0</xdr:rowOff>
    </xdr:from>
    <xdr:to>
      <xdr:col>3</xdr:col>
      <xdr:colOff>1276350</xdr:colOff>
      <xdr:row>66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65</xdr:row>
      <xdr:rowOff>0</xdr:rowOff>
    </xdr:from>
    <xdr:to>
      <xdr:col>4</xdr:col>
      <xdr:colOff>619125</xdr:colOff>
      <xdr:row>66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65</xdr:row>
      <xdr:rowOff>0</xdr:rowOff>
    </xdr:from>
    <xdr:to>
      <xdr:col>5</xdr:col>
      <xdr:colOff>523875</xdr:colOff>
      <xdr:row>66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65</xdr:row>
      <xdr:rowOff>0</xdr:rowOff>
    </xdr:from>
    <xdr:to>
      <xdr:col>6</xdr:col>
      <xdr:colOff>723900</xdr:colOff>
      <xdr:row>66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65</xdr:row>
      <xdr:rowOff>0</xdr:rowOff>
    </xdr:from>
    <xdr:to>
      <xdr:col>7</xdr:col>
      <xdr:colOff>0</xdr:colOff>
      <xdr:row>66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38</xdr:row>
      <xdr:rowOff>15239</xdr:rowOff>
    </xdr:from>
    <xdr:to>
      <xdr:col>7</xdr:col>
      <xdr:colOff>0</xdr:colOff>
      <xdr:row>42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INSTALACION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27</xdr:row>
      <xdr:rowOff>1</xdr:rowOff>
    </xdr:from>
    <xdr:to>
      <xdr:col>7</xdr:col>
      <xdr:colOff>19048</xdr:colOff>
      <xdr:row>28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13335</xdr:colOff>
      <xdr:row>67</xdr:row>
      <xdr:rowOff>9525</xdr:rowOff>
    </xdr:from>
    <xdr:to>
      <xdr:col>6</xdr:col>
      <xdr:colOff>2987040</xdr:colOff>
      <xdr:row>71</xdr:row>
      <xdr:rowOff>139065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79295" y="1354264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SON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PARA INSTALACION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46</xdr:row>
      <xdr:rowOff>146685</xdr:rowOff>
    </xdr:from>
    <xdr:to>
      <xdr:col>2</xdr:col>
      <xdr:colOff>786523</xdr:colOff>
      <xdr:row>52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73</xdr:row>
      <xdr:rowOff>0</xdr:rowOff>
    </xdr:from>
    <xdr:to>
      <xdr:col>4</xdr:col>
      <xdr:colOff>304800</xdr:colOff>
      <xdr:row>74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4"/>
  <sheetViews>
    <sheetView topLeftCell="A9" zoomScale="98" zoomScaleNormal="98" workbookViewId="0">
      <selection activeCell="J28" sqref="J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21875" customWidth="1"/>
    <col min="4" max="5" width="11.109375" customWidth="1"/>
    <col min="6" max="6" width="26.2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11303</v>
      </c>
      <c r="E8" s="30"/>
      <c r="F8" s="35" t="s">
        <v>25</v>
      </c>
      <c r="G8" s="36">
        <v>4154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140</v>
      </c>
      <c r="D10" s="38"/>
      <c r="E10" s="38"/>
      <c r="F10" s="39" t="s">
        <v>26</v>
      </c>
      <c r="G10" s="40">
        <v>45721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45728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C13" s="6"/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141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C15" t="s">
        <v>142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145</v>
      </c>
      <c r="D21" s="98">
        <v>2275</v>
      </c>
      <c r="E21" s="98">
        <v>600</v>
      </c>
      <c r="F21" s="97" t="s">
        <v>143</v>
      </c>
      <c r="G21" s="112">
        <v>91852</v>
      </c>
      <c r="H21" s="112">
        <f t="shared" ref="H21:H26" si="0">G21*B21</f>
        <v>91852</v>
      </c>
      <c r="I21" s="30"/>
      <c r="K21" s="11">
        <f>D21/1000</f>
        <v>2.2749999999999999</v>
      </c>
      <c r="L21" s="15">
        <f>E21/1000</f>
        <v>0.6</v>
      </c>
      <c r="M21" s="11">
        <f>K21*L21</f>
        <v>1.365</v>
      </c>
      <c r="N21" s="11">
        <f>M21*N$20</f>
        <v>88725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139</v>
      </c>
      <c r="D22" s="98">
        <v>3020</v>
      </c>
      <c r="E22" s="98">
        <v>450</v>
      </c>
      <c r="F22" s="97" t="s">
        <v>143</v>
      </c>
      <c r="G22" s="112">
        <v>92162</v>
      </c>
      <c r="H22" s="112">
        <f t="shared" si="0"/>
        <v>92162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144</v>
      </c>
      <c r="D23" s="98">
        <v>900</v>
      </c>
      <c r="E23" s="98">
        <v>500</v>
      </c>
      <c r="F23" s="97" t="s">
        <v>143</v>
      </c>
      <c r="G23" s="112">
        <v>35616</v>
      </c>
      <c r="H23" s="112">
        <f t="shared" si="0"/>
        <v>35616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7">
        <v>1</v>
      </c>
      <c r="C24" s="97" t="s">
        <v>146</v>
      </c>
      <c r="D24" s="98"/>
      <c r="E24" s="98"/>
      <c r="F24" s="97" t="s">
        <v>150</v>
      </c>
      <c r="G24" s="112">
        <v>65000</v>
      </c>
      <c r="H24" s="112">
        <f t="shared" si="0"/>
        <v>65000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97">
        <v>2</v>
      </c>
      <c r="C25" s="97" t="s">
        <v>148</v>
      </c>
      <c r="D25" s="98">
        <v>820</v>
      </c>
      <c r="E25" s="98">
        <v>320</v>
      </c>
      <c r="F25" s="97" t="s">
        <v>149</v>
      </c>
      <c r="G25" s="112">
        <v>7500</v>
      </c>
      <c r="H25" s="112">
        <f t="shared" si="0"/>
        <v>15000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7">
        <v>1</v>
      </c>
      <c r="C26" s="97" t="s">
        <v>147</v>
      </c>
      <c r="D26" s="98"/>
      <c r="E26" s="98"/>
      <c r="F26" s="97"/>
      <c r="G26" s="112">
        <v>150000</v>
      </c>
      <c r="H26" s="112">
        <f t="shared" si="0"/>
        <v>150000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9"/>
      <c r="C27" s="99"/>
      <c r="D27" s="100"/>
      <c r="E27" s="100"/>
      <c r="F27" s="99"/>
      <c r="G27" s="101"/>
      <c r="H27" s="101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99">
        <f>SUM(B21:B21)</f>
        <v>1</v>
      </c>
      <c r="C28" s="99"/>
      <c r="D28" s="111"/>
      <c r="E28" s="111"/>
      <c r="F28" s="99"/>
      <c r="G28" s="101"/>
      <c r="H28" s="101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G29" s="54" t="s">
        <v>5</v>
      </c>
      <c r="H29" s="55">
        <f>SUM(H21:H28)</f>
        <v>449630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56" t="s">
        <v>136</v>
      </c>
      <c r="H30" s="57"/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4">
      <c r="A31" s="30"/>
      <c r="B31" s="99"/>
      <c r="C31" s="99"/>
      <c r="D31" s="111"/>
      <c r="E31" s="111"/>
      <c r="F31" s="99"/>
      <c r="G31" s="58" t="s">
        <v>4</v>
      </c>
      <c r="H31" s="59">
        <f>H29+H30</f>
        <v>449630</v>
      </c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11"/>
      <c r="E32" s="111"/>
      <c r="F32" s="99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11"/>
      <c r="E33" s="111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99"/>
      <c r="C34" s="99"/>
      <c r="D34" s="111"/>
      <c r="E34" s="111"/>
      <c r="F34" s="99"/>
      <c r="G34" s="101"/>
      <c r="H34" s="101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99"/>
      <c r="C35" s="99"/>
      <c r="D35" s="100"/>
      <c r="E35" s="100"/>
      <c r="F35" s="99"/>
      <c r="G35" s="101"/>
      <c r="H35" s="101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99"/>
      <c r="C36" s="99"/>
      <c r="D36" s="100"/>
      <c r="E36" s="100"/>
      <c r="F36" s="99"/>
      <c r="G36" s="101"/>
      <c r="H36" s="101"/>
      <c r="I36" s="30"/>
      <c r="K36" s="11"/>
      <c r="L36" s="15"/>
      <c r="M36" s="11"/>
      <c r="N36" s="11"/>
      <c r="O36" s="15"/>
      <c r="P36" s="21"/>
    </row>
    <row r="37" spans="1:16" ht="13.2" customHeight="1" x14ac:dyDescent="0.35">
      <c r="A37" s="30"/>
      <c r="B37" s="53"/>
      <c r="C37" s="53"/>
      <c r="D37" s="53"/>
      <c r="E37" s="53"/>
      <c r="F37" s="53"/>
      <c r="G37" s="52"/>
      <c r="H37" s="52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I40" s="30"/>
    </row>
    <row r="41" spans="1:16" ht="20.100000000000001" customHeight="1" x14ac:dyDescent="0.35">
      <c r="A41" s="30"/>
      <c r="B41" s="30"/>
      <c r="C41" s="30"/>
      <c r="D41" s="30"/>
      <c r="E41" s="30"/>
      <c r="F41" s="30"/>
      <c r="G41" s="60"/>
      <c r="H41" s="61"/>
      <c r="I41" s="30"/>
    </row>
    <row r="42" spans="1:16" ht="18" x14ac:dyDescent="0.35">
      <c r="A42" s="30"/>
      <c r="B42" s="30"/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62" t="s">
        <v>133</v>
      </c>
      <c r="C43" s="63"/>
      <c r="D43" s="64"/>
      <c r="E43" s="64"/>
      <c r="F43" s="53"/>
      <c r="G43" s="30"/>
      <c r="H43" s="30"/>
      <c r="I43" s="30"/>
    </row>
    <row r="44" spans="1:16" ht="18" x14ac:dyDescent="0.35">
      <c r="A44" s="30"/>
      <c r="B44" s="62" t="s">
        <v>119</v>
      </c>
      <c r="C44" s="63"/>
      <c r="D44" s="64"/>
      <c r="E44" s="64"/>
      <c r="F44" s="53"/>
      <c r="G44" s="30"/>
      <c r="H44" s="30"/>
      <c r="I44" s="30"/>
    </row>
    <row r="45" spans="1:16" ht="18" x14ac:dyDescent="0.35">
      <c r="A45" s="30"/>
      <c r="B45" s="30" t="s">
        <v>23</v>
      </c>
      <c r="C45" s="30"/>
      <c r="D45" s="30"/>
      <c r="E45" s="30"/>
      <c r="F45" s="30"/>
      <c r="G45" s="30"/>
      <c r="H45" s="30"/>
      <c r="I45" s="30"/>
    </row>
    <row r="46" spans="1:16" ht="18" x14ac:dyDescent="0.35">
      <c r="A46" s="30"/>
      <c r="B46" s="65" t="s">
        <v>24</v>
      </c>
      <c r="C46" s="65"/>
      <c r="D46" s="30"/>
      <c r="E46" s="30"/>
      <c r="F46" s="30"/>
      <c r="G46" s="30"/>
      <c r="H46" s="30"/>
      <c r="I46" s="30"/>
    </row>
    <row r="47" spans="1:16" ht="18" x14ac:dyDescent="0.35">
      <c r="A47" s="30"/>
      <c r="B47" s="30"/>
      <c r="C47" s="30"/>
      <c r="D47" s="30"/>
      <c r="E47" s="65"/>
      <c r="F47" s="30"/>
      <c r="G47" s="30"/>
      <c r="H47" s="30"/>
      <c r="I47" s="30"/>
    </row>
    <row r="48" spans="1:16" ht="18" x14ac:dyDescent="0.35">
      <c r="A48" s="30"/>
      <c r="B48" s="31" t="s">
        <v>131</v>
      </c>
      <c r="C48" s="31"/>
      <c r="D48" s="31"/>
      <c r="E48" s="66"/>
      <c r="F48" s="30"/>
      <c r="G48" s="30"/>
      <c r="H48" s="30"/>
      <c r="I48" s="30"/>
    </row>
    <row r="49" spans="1:9" ht="18" x14ac:dyDescent="0.35">
      <c r="A49" s="30"/>
      <c r="B49" s="31"/>
      <c r="C49" s="31"/>
      <c r="D49" s="31"/>
      <c r="E49" s="66"/>
      <c r="F49" s="30"/>
      <c r="G49" s="30"/>
      <c r="H49" s="30"/>
      <c r="I49" s="30"/>
    </row>
    <row r="50" spans="1:9" ht="18" x14ac:dyDescent="0.35">
      <c r="A50" s="30"/>
      <c r="B50" s="31" t="s">
        <v>132</v>
      </c>
      <c r="C50" s="30"/>
      <c r="D50" s="30"/>
      <c r="E50" s="65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65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8" x14ac:dyDescent="0.35">
      <c r="A53" s="30"/>
      <c r="B53" s="30"/>
      <c r="C53" s="30"/>
      <c r="D53" s="30"/>
      <c r="E53" s="30"/>
      <c r="F53" s="30"/>
      <c r="G53" s="30"/>
      <c r="H53" s="30"/>
      <c r="I53" s="30"/>
    </row>
    <row r="54" spans="1:9" ht="15.6" x14ac:dyDescent="0.3">
      <c r="C54" s="1"/>
    </row>
  </sheetData>
  <sortState xmlns:xlrd2="http://schemas.microsoft.com/office/spreadsheetml/2017/richdata2" ref="B55">
    <sortCondition sortBy="fontColor" ref="B55" dxfId="4"/>
  </sortState>
  <mergeCells count="2">
    <mergeCell ref="F16:H16"/>
    <mergeCell ref="B19:H19"/>
  </mergeCells>
  <phoneticPr fontId="8" type="noConversion"/>
  <hyperlinks>
    <hyperlink ref="B4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5"/>
  <sheetViews>
    <sheetView tabSelected="1" zoomScaleNormal="100" workbookViewId="0">
      <selection activeCell="A34" sqref="A34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4154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>KAREN VASQUEZ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45728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80</v>
      </c>
      <c r="F13" s="87">
        <v>-30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2355</v>
      </c>
      <c r="F14" s="88">
        <f>L14+$F$13</f>
        <v>570</v>
      </c>
      <c r="G14" s="88" t="str">
        <f>D31</f>
        <v>CUBIERTA C/R R8</v>
      </c>
      <c r="H14" s="30"/>
      <c r="J14" s="3">
        <f>'4637'!B21</f>
        <v>1</v>
      </c>
      <c r="K14" s="4">
        <f t="shared" ref="K14:L14" si="0">E31</f>
        <v>2275</v>
      </c>
      <c r="L14" s="4">
        <f t="shared" si="0"/>
        <v>600</v>
      </c>
    </row>
    <row r="15" spans="1:15" ht="18" x14ac:dyDescent="0.35">
      <c r="A15" s="108">
        <v>2</v>
      </c>
      <c r="B15" s="96"/>
      <c r="C15" s="88">
        <f t="shared" ref="C15" si="1">J15</f>
        <v>1</v>
      </c>
      <c r="D15" s="88"/>
      <c r="E15" s="88">
        <f t="shared" ref="E15" si="2">K15+E$13</f>
        <v>3100</v>
      </c>
      <c r="F15" s="88">
        <f>L15+$F$13</f>
        <v>420</v>
      </c>
      <c r="G15" s="88" t="str">
        <f t="shared" ref="G15" si="3">D32</f>
        <v>CUBIERTA C/R 90° R8</v>
      </c>
      <c r="H15" s="30"/>
      <c r="J15" s="3">
        <f>'4637'!B22</f>
        <v>1</v>
      </c>
      <c r="K15" s="4">
        <f t="shared" ref="K15" si="4">E32</f>
        <v>3020</v>
      </c>
      <c r="L15" s="4">
        <f t="shared" ref="L15" si="5">F32</f>
        <v>450</v>
      </c>
    </row>
    <row r="16" spans="1:15" ht="18" x14ac:dyDescent="0.35">
      <c r="A16" s="108">
        <v>3</v>
      </c>
      <c r="B16" s="96"/>
      <c r="C16" s="88">
        <f t="shared" ref="C16" si="6">J16</f>
        <v>1</v>
      </c>
      <c r="D16" s="88"/>
      <c r="E16" s="88">
        <f t="shared" ref="E16" si="7">K16+E$13</f>
        <v>980</v>
      </c>
      <c r="F16" s="88">
        <f>L16</f>
        <v>500</v>
      </c>
      <c r="G16" s="88" t="str">
        <f t="shared" ref="G16" si="8">D33</f>
        <v>CUB MESA R8 3 LADOS</v>
      </c>
      <c r="H16" s="30"/>
      <c r="J16" s="3">
        <f>'4637'!B23</f>
        <v>1</v>
      </c>
      <c r="K16" s="4">
        <f t="shared" ref="K16" si="9">E33</f>
        <v>900</v>
      </c>
      <c r="L16" s="4">
        <f t="shared" ref="L16" si="10">F33</f>
        <v>500</v>
      </c>
    </row>
    <row r="17" spans="1:12" ht="18" x14ac:dyDescent="0.35">
      <c r="A17" s="2"/>
      <c r="B17" s="77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85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0" t="s">
        <v>6</v>
      </c>
      <c r="F21" s="60" t="s">
        <v>7</v>
      </c>
      <c r="G21" s="30"/>
      <c r="H21" s="30"/>
    </row>
    <row r="22" spans="1:12" ht="18" x14ac:dyDescent="0.35">
      <c r="A22" s="2"/>
      <c r="B22" s="60" t="s">
        <v>8</v>
      </c>
      <c r="C22" s="76" t="s">
        <v>9</v>
      </c>
      <c r="D22" s="76" t="s">
        <v>10</v>
      </c>
      <c r="E22" s="89">
        <v>40</v>
      </c>
      <c r="F22" s="89">
        <v>130</v>
      </c>
      <c r="G22" s="76" t="s">
        <v>107</v>
      </c>
      <c r="H22" s="30"/>
      <c r="K22" s="5" t="s">
        <v>6</v>
      </c>
      <c r="L22" s="5" t="s">
        <v>7</v>
      </c>
    </row>
    <row r="23" spans="1:12" ht="18" x14ac:dyDescent="0.35">
      <c r="A23" s="108">
        <v>1</v>
      </c>
      <c r="B23" s="96"/>
      <c r="C23" s="90">
        <f t="shared" ref="C23" si="11">J23</f>
        <v>1</v>
      </c>
      <c r="D23" s="90"/>
      <c r="E23" s="90">
        <f>K23+$E$22</f>
        <v>2315</v>
      </c>
      <c r="F23" s="90">
        <f>L23+F$22</f>
        <v>730</v>
      </c>
      <c r="G23" s="90" t="str">
        <f>D31</f>
        <v>CUBIERTA C/R R8</v>
      </c>
      <c r="H23" s="30"/>
      <c r="J23" s="3">
        <f>C31</f>
        <v>1</v>
      </c>
      <c r="K23" s="102">
        <f>E31</f>
        <v>2275</v>
      </c>
      <c r="L23" s="102">
        <f>F31</f>
        <v>600</v>
      </c>
    </row>
    <row r="24" spans="1:12" ht="18" x14ac:dyDescent="0.35">
      <c r="A24" s="108">
        <v>2</v>
      </c>
      <c r="B24" s="96"/>
      <c r="C24" s="90">
        <f t="shared" ref="C24" si="12">J24</f>
        <v>1</v>
      </c>
      <c r="D24" s="90"/>
      <c r="E24" s="90">
        <f>K24+$E$22</f>
        <v>3060</v>
      </c>
      <c r="F24" s="90">
        <f>L24+F$22</f>
        <v>580</v>
      </c>
      <c r="G24" s="90" t="str">
        <f t="shared" ref="G24" si="13">D32</f>
        <v>CUBIERTA C/R 90° R8</v>
      </c>
      <c r="H24" s="30"/>
      <c r="J24" s="3">
        <f t="shared" ref="J24" si="14">C32</f>
        <v>1</v>
      </c>
      <c r="K24" s="102">
        <f t="shared" ref="K24:L24" si="15">E32</f>
        <v>3020</v>
      </c>
      <c r="L24" s="102">
        <f t="shared" si="15"/>
        <v>450</v>
      </c>
    </row>
    <row r="25" spans="1:12" ht="18" x14ac:dyDescent="0.35">
      <c r="A25" s="108">
        <v>3</v>
      </c>
      <c r="B25" s="96"/>
      <c r="C25" s="90">
        <f t="shared" ref="C25" si="16">J25</f>
        <v>1</v>
      </c>
      <c r="D25" s="90"/>
      <c r="E25" s="90">
        <v>1020</v>
      </c>
      <c r="F25" s="90">
        <f>L25+F$22</f>
        <v>630</v>
      </c>
      <c r="G25" s="90" t="str">
        <f t="shared" ref="G25" si="17">D33</f>
        <v>CUB MESA R8 3 LADOS</v>
      </c>
      <c r="H25" s="30"/>
      <c r="J25" s="3">
        <f t="shared" ref="J25" si="18">C33</f>
        <v>1</v>
      </c>
      <c r="K25" s="102">
        <f t="shared" ref="K25" si="19">E33</f>
        <v>900</v>
      </c>
      <c r="L25" s="102">
        <f t="shared" ref="L25" si="20">F33</f>
        <v>500</v>
      </c>
    </row>
    <row r="26" spans="1:12" ht="18" x14ac:dyDescent="0.35">
      <c r="A26" s="108"/>
      <c r="B26" s="96"/>
      <c r="C26" s="67"/>
      <c r="D26" s="67"/>
      <c r="E26" s="67"/>
      <c r="F26" s="67"/>
      <c r="G26" s="67"/>
      <c r="H26" s="30"/>
      <c r="J26" s="23"/>
      <c r="K26" s="110"/>
      <c r="L26" s="110"/>
    </row>
    <row r="27" spans="1:12" ht="18.600000000000001" thickBot="1" x14ac:dyDescent="0.4">
      <c r="A27" s="2"/>
      <c r="B27" s="77"/>
      <c r="C27" s="67"/>
      <c r="D27" s="67"/>
      <c r="E27" s="67"/>
      <c r="F27" s="67"/>
      <c r="G27" s="67"/>
      <c r="H27" s="30"/>
      <c r="I27" s="106"/>
      <c r="J27" s="107"/>
      <c r="K27" s="107"/>
      <c r="L27" s="107"/>
    </row>
    <row r="28" spans="1:12" ht="18.600000000000001" thickBot="1" x14ac:dyDescent="0.4">
      <c r="A28" s="2"/>
      <c r="B28" s="60"/>
      <c r="C28" s="91" t="s">
        <v>104</v>
      </c>
      <c r="D28" s="33"/>
      <c r="E28" s="33"/>
      <c r="F28" s="33"/>
      <c r="G28" s="92"/>
      <c r="H28" s="30"/>
      <c r="J28" s="2"/>
      <c r="K28" s="2"/>
      <c r="L28" s="2"/>
    </row>
    <row r="29" spans="1:12" ht="10.5" customHeight="1" x14ac:dyDescent="0.35">
      <c r="A29" s="2"/>
      <c r="B29" s="30"/>
      <c r="C29" s="30"/>
      <c r="D29" s="30"/>
      <c r="E29" s="30"/>
      <c r="F29" s="30"/>
      <c r="G29" s="30"/>
      <c r="H29" s="30"/>
    </row>
    <row r="30" spans="1:12" ht="18" x14ac:dyDescent="0.35">
      <c r="A30" s="2"/>
      <c r="B30" s="60" t="s">
        <v>8</v>
      </c>
      <c r="C30" s="93" t="s">
        <v>9</v>
      </c>
      <c r="D30" s="93" t="s">
        <v>107</v>
      </c>
      <c r="E30" s="93" t="s">
        <v>6</v>
      </c>
      <c r="F30" s="93" t="s">
        <v>7</v>
      </c>
      <c r="G30" s="93" t="s">
        <v>21</v>
      </c>
      <c r="H30" s="30"/>
    </row>
    <row r="31" spans="1:12" ht="18" x14ac:dyDescent="0.35">
      <c r="A31" s="108">
        <v>1</v>
      </c>
      <c r="B31" s="96" t="s">
        <v>137</v>
      </c>
      <c r="C31" s="88">
        <f>'4637'!B21</f>
        <v>1</v>
      </c>
      <c r="D31" s="88" t="str">
        <f>'4637'!C21</f>
        <v>CUBIERTA C/R R8</v>
      </c>
      <c r="E31" s="88">
        <f>'4637'!D21</f>
        <v>2275</v>
      </c>
      <c r="F31" s="88">
        <f>'4637'!E21</f>
        <v>600</v>
      </c>
      <c r="G31" s="88" t="str">
        <f>'4637'!F21</f>
        <v>CLOUD TERRAZO 4001 GLT</v>
      </c>
      <c r="H31" s="30"/>
      <c r="I31" s="28">
        <f>E31*F31/1000000</f>
        <v>1.365</v>
      </c>
      <c r="J31" s="28">
        <f>I31*C31</f>
        <v>1.365</v>
      </c>
    </row>
    <row r="32" spans="1:12" ht="18" x14ac:dyDescent="0.35">
      <c r="A32" s="108">
        <v>2</v>
      </c>
      <c r="B32" s="96"/>
      <c r="C32" s="88">
        <f>'4637'!B22</f>
        <v>1</v>
      </c>
      <c r="D32" s="88" t="str">
        <f>'4637'!C22</f>
        <v>CUBIERTA C/R 90° R8</v>
      </c>
      <c r="E32" s="88">
        <f>'4637'!D22</f>
        <v>3020</v>
      </c>
      <c r="F32" s="88">
        <f>'4637'!E22</f>
        <v>450</v>
      </c>
      <c r="G32" s="88" t="str">
        <f>'4637'!F22</f>
        <v>CLOUD TERRAZO 4001 GLT</v>
      </c>
      <c r="H32" s="30"/>
      <c r="I32" s="28"/>
      <c r="J32" s="28"/>
    </row>
    <row r="33" spans="1:10" ht="18" x14ac:dyDescent="0.35">
      <c r="A33" s="108">
        <v>3</v>
      </c>
      <c r="B33" s="96"/>
      <c r="C33" s="88">
        <f>'4637'!B23</f>
        <v>1</v>
      </c>
      <c r="D33" s="88" t="str">
        <f>'4637'!C23</f>
        <v>CUB MESA R8 3 LADOS</v>
      </c>
      <c r="E33" s="88">
        <f>'4637'!D23</f>
        <v>900</v>
      </c>
      <c r="F33" s="88">
        <f>'4637'!E23</f>
        <v>500</v>
      </c>
      <c r="G33" s="88" t="str">
        <f>'4637'!F23</f>
        <v>CLOUD TERRAZO 4001 GLT</v>
      </c>
      <c r="H33" s="30"/>
      <c r="I33" s="28"/>
      <c r="J33" s="28"/>
    </row>
    <row r="34" spans="1:10" ht="18" x14ac:dyDescent="0.35">
      <c r="A34" s="108"/>
      <c r="B34" s="96"/>
      <c r="C34" s="88">
        <f>'4637'!B24</f>
        <v>1</v>
      </c>
      <c r="D34" s="88" t="str">
        <f>'4637'!C24</f>
        <v>MUEBLE CAMPANA</v>
      </c>
      <c r="E34" s="88">
        <f>'4637'!D24</f>
        <v>0</v>
      </c>
      <c r="F34" s="88">
        <f>'4637'!E24</f>
        <v>0</v>
      </c>
      <c r="G34" s="88" t="str">
        <f>'4637'!F24</f>
        <v>FRENTE COLOR GRIS CLARO</v>
      </c>
      <c r="H34" s="30"/>
      <c r="I34" s="28"/>
      <c r="J34" s="28"/>
    </row>
    <row r="35" spans="1:10" ht="18" x14ac:dyDescent="0.35">
      <c r="A35" s="108"/>
      <c r="B35" s="96"/>
      <c r="C35" s="88">
        <f>'4637'!B25</f>
        <v>2</v>
      </c>
      <c r="D35" s="88" t="str">
        <f>'4637'!C25</f>
        <v>REPISAS MUEBLE AERERO</v>
      </c>
      <c r="E35" s="88">
        <f>'4637'!D25</f>
        <v>820</v>
      </c>
      <c r="F35" s="88">
        <f>'4637'!E25</f>
        <v>320</v>
      </c>
      <c r="G35" s="88" t="str">
        <f>'4637'!F25</f>
        <v>MELAMINA BLANCA 18MM</v>
      </c>
      <c r="H35" s="30"/>
      <c r="I35" s="28"/>
      <c r="J35" s="28"/>
    </row>
    <row r="36" spans="1:10" ht="18" x14ac:dyDescent="0.35">
      <c r="A36" s="108"/>
      <c r="B36" s="96"/>
      <c r="C36" s="88">
        <f>'4637'!B26</f>
        <v>1</v>
      </c>
      <c r="D36" s="88" t="str">
        <f>'4637'!C26</f>
        <v>SERVICIO INSTALACION</v>
      </c>
      <c r="E36" s="88">
        <f>'4637'!D26</f>
        <v>0</v>
      </c>
      <c r="F36" s="88">
        <f>'4637'!E26</f>
        <v>0</v>
      </c>
      <c r="G36" s="88">
        <f>'4637'!F26</f>
        <v>0</v>
      </c>
      <c r="H36" s="30"/>
      <c r="I36" s="28"/>
      <c r="J36" s="28"/>
    </row>
    <row r="37" spans="1:10" ht="18" x14ac:dyDescent="0.35">
      <c r="A37" s="108"/>
      <c r="B37" s="96"/>
      <c r="C37" s="136"/>
      <c r="D37" s="136"/>
      <c r="E37" s="136"/>
      <c r="F37" s="136"/>
      <c r="G37" s="136"/>
      <c r="H37" s="30"/>
      <c r="I37" s="28"/>
      <c r="J37" s="28"/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  <c r="J39" s="28">
        <f>SUM(J31:J31)*2</f>
        <v>2.73</v>
      </c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67"/>
      <c r="D45" s="67"/>
      <c r="E45" s="67"/>
      <c r="F45" s="67"/>
      <c r="G45" s="67"/>
      <c r="H45" s="30"/>
    </row>
    <row r="46" spans="1:10" ht="18" x14ac:dyDescent="0.35">
      <c r="A46" s="2"/>
      <c r="B46" s="30"/>
      <c r="C46" s="67"/>
      <c r="D46" s="67"/>
      <c r="E46" s="67"/>
      <c r="F46" s="67"/>
      <c r="G46" s="67"/>
      <c r="H46" s="30"/>
    </row>
    <row r="47" spans="1:10" ht="18" x14ac:dyDescent="0.35">
      <c r="A47" s="2"/>
      <c r="B47" s="30"/>
      <c r="C47" s="30"/>
      <c r="D47" s="30"/>
      <c r="E47" s="30"/>
      <c r="F47" s="30"/>
      <c r="G47" s="30"/>
      <c r="H47" s="30"/>
    </row>
    <row r="48" spans="1:10" ht="18" x14ac:dyDescent="0.35">
      <c r="A48" s="2"/>
      <c r="B48" s="30"/>
      <c r="C48" s="30"/>
      <c r="D48" s="68" t="s">
        <v>25</v>
      </c>
      <c r="E48" s="69">
        <f>'4637'!G8</f>
        <v>4154</v>
      </c>
      <c r="F48" s="30"/>
      <c r="G48" s="30"/>
      <c r="H48" s="30"/>
    </row>
    <row r="49" spans="1:13" ht="17.25" customHeight="1" x14ac:dyDescent="0.35">
      <c r="A49" s="2"/>
      <c r="B49" s="30"/>
      <c r="C49" s="30"/>
      <c r="D49" s="70" t="s">
        <v>64</v>
      </c>
      <c r="E49" s="71" t="str">
        <f>'4637'!C10</f>
        <v>KAREN VASQUEZ</v>
      </c>
      <c r="F49" s="46"/>
      <c r="G49" s="46"/>
      <c r="H49" s="30"/>
    </row>
    <row r="50" spans="1:13" ht="4.5" customHeight="1" x14ac:dyDescent="0.35">
      <c r="A50" s="2"/>
      <c r="B50" s="30"/>
      <c r="C50" s="30"/>
      <c r="D50" s="72"/>
      <c r="E50" s="73"/>
      <c r="F50" s="30"/>
      <c r="G50" s="30"/>
      <c r="H50" s="30"/>
    </row>
    <row r="51" spans="1:13" ht="18" x14ac:dyDescent="0.35">
      <c r="A51" s="2"/>
      <c r="B51" s="30"/>
      <c r="C51" s="30"/>
      <c r="D51" s="74" t="str">
        <f>'4637'!F11</f>
        <v>FECHA LIMITE :</v>
      </c>
      <c r="E51" s="75">
        <f>'4637'!G11</f>
        <v>45728</v>
      </c>
      <c r="F51" s="30"/>
      <c r="G51" s="30"/>
      <c r="H51" s="30"/>
    </row>
    <row r="52" spans="1:13" ht="18" x14ac:dyDescent="0.35">
      <c r="A52" s="2"/>
      <c r="B52" s="30"/>
      <c r="C52" s="30"/>
      <c r="D52" s="30"/>
      <c r="E52" s="30"/>
      <c r="F52" s="30"/>
      <c r="G52" s="30" t="s">
        <v>135</v>
      </c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18" x14ac:dyDescent="0.35">
      <c r="A54" s="2"/>
      <c r="B54" s="131" t="s">
        <v>65</v>
      </c>
      <c r="C54" s="131"/>
      <c r="D54" s="131"/>
      <c r="E54" s="131"/>
      <c r="F54" s="131"/>
      <c r="G54" s="131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/>
      <c r="H55" s="30"/>
    </row>
    <row r="56" spans="1:13" ht="20.100000000000001" customHeight="1" x14ac:dyDescent="0.35">
      <c r="A56" s="2"/>
      <c r="B56" s="30"/>
      <c r="C56" s="132" t="s">
        <v>66</v>
      </c>
      <c r="D56" s="133"/>
      <c r="E56" s="134"/>
      <c r="F56" s="134"/>
      <c r="G56" s="135"/>
      <c r="H56" s="30"/>
      <c r="I56" s="25" t="s">
        <v>130</v>
      </c>
    </row>
    <row r="57" spans="1:13" s="10" customFormat="1" ht="20.100000000000001" customHeight="1" x14ac:dyDescent="0.35">
      <c r="A57" s="109"/>
      <c r="B57" s="30"/>
      <c r="C57" s="78" t="s">
        <v>9</v>
      </c>
      <c r="D57" s="79" t="s">
        <v>10</v>
      </c>
      <c r="E57" s="82" t="s">
        <v>6</v>
      </c>
      <c r="F57" s="82" t="s">
        <v>7</v>
      </c>
      <c r="G57" s="80" t="s">
        <v>11</v>
      </c>
      <c r="H57" s="30"/>
      <c r="K57" s="10">
        <v>15000</v>
      </c>
    </row>
    <row r="58" spans="1:13" s="10" customFormat="1" ht="20.100000000000001" customHeight="1" x14ac:dyDescent="0.35">
      <c r="A58" s="108">
        <v>1</v>
      </c>
      <c r="B58" s="95" t="s">
        <v>137</v>
      </c>
      <c r="C58" s="90">
        <f>'4637'!B21</f>
        <v>1</v>
      </c>
      <c r="D58" s="90" t="str">
        <f>'4637'!C21</f>
        <v>CUBIERTA C/R R8</v>
      </c>
      <c r="E58" s="94">
        <f>'4637'!D21</f>
        <v>2275</v>
      </c>
      <c r="F58" s="94">
        <f>'4637'!E21</f>
        <v>600</v>
      </c>
      <c r="G58" s="90" t="str">
        <f>'4637'!F21</f>
        <v>CLOUD TERRAZO 4001 GLT</v>
      </c>
      <c r="H58" s="30"/>
      <c r="I58" s="10">
        <f>E58*F58/1000000</f>
        <v>1.365</v>
      </c>
      <c r="J58" s="10">
        <f>I58*C58</f>
        <v>1.365</v>
      </c>
      <c r="K58" s="26">
        <f>J58*K$57</f>
        <v>20475</v>
      </c>
      <c r="M58" s="24">
        <v>12096</v>
      </c>
    </row>
    <row r="59" spans="1:13" s="10" customFormat="1" ht="20.100000000000001" customHeight="1" x14ac:dyDescent="0.35">
      <c r="A59" s="108"/>
      <c r="B59" s="95"/>
      <c r="C59" s="90">
        <f>'4637'!B22</f>
        <v>1</v>
      </c>
      <c r="D59" s="90" t="str">
        <f>'4637'!C22</f>
        <v>CUBIERTA C/R 90° R8</v>
      </c>
      <c r="E59" s="94">
        <f>'4637'!D22</f>
        <v>3020</v>
      </c>
      <c r="F59" s="94">
        <f>'4637'!E22</f>
        <v>450</v>
      </c>
      <c r="G59" s="90" t="str">
        <f>'4637'!F22</f>
        <v>CLOUD TERRAZO 4001 GLT</v>
      </c>
      <c r="H59" s="30"/>
      <c r="K59" s="26"/>
      <c r="M59" s="29"/>
    </row>
    <row r="60" spans="1:13" s="10" customFormat="1" ht="20.100000000000001" customHeight="1" x14ac:dyDescent="0.35">
      <c r="A60" s="108"/>
      <c r="B60" s="95"/>
      <c r="C60" s="90">
        <f>'4637'!B23</f>
        <v>1</v>
      </c>
      <c r="D60" s="90" t="str">
        <f>'4637'!C23</f>
        <v>CUB MESA R8 3 LADOS</v>
      </c>
      <c r="E60" s="94">
        <f>'4637'!D23</f>
        <v>900</v>
      </c>
      <c r="F60" s="94">
        <f>'4637'!E23</f>
        <v>500</v>
      </c>
      <c r="G60" s="90" t="str">
        <f>'4637'!F23</f>
        <v>CLOUD TERRAZO 4001 GLT</v>
      </c>
      <c r="H60" s="30"/>
      <c r="K60" s="26"/>
      <c r="M60" s="29"/>
    </row>
    <row r="61" spans="1:13" s="10" customFormat="1" ht="20.100000000000001" customHeight="1" x14ac:dyDescent="0.35">
      <c r="A61" s="108"/>
      <c r="B61" s="95"/>
      <c r="C61" s="90">
        <f>'4637'!B24</f>
        <v>1</v>
      </c>
      <c r="D61" s="90" t="str">
        <f>'4637'!C24</f>
        <v>MUEBLE CAMPANA</v>
      </c>
      <c r="E61" s="94">
        <f>'4637'!D24</f>
        <v>0</v>
      </c>
      <c r="F61" s="94">
        <f>'4637'!E24</f>
        <v>0</v>
      </c>
      <c r="G61" s="90" t="str">
        <f>'4637'!F24</f>
        <v>FRENTE COLOR GRIS CLARO</v>
      </c>
      <c r="H61" s="30"/>
      <c r="K61" s="26"/>
      <c r="M61" s="29"/>
    </row>
    <row r="62" spans="1:13" s="10" customFormat="1" ht="20.100000000000001" customHeight="1" x14ac:dyDescent="0.35">
      <c r="A62" s="108"/>
      <c r="B62" s="95"/>
      <c r="C62" s="90">
        <f>'4637'!B25</f>
        <v>2</v>
      </c>
      <c r="D62" s="90" t="str">
        <f>'4637'!C25</f>
        <v>REPISAS MUEBLE AERERO</v>
      </c>
      <c r="E62" s="94">
        <f>'4637'!D25</f>
        <v>820</v>
      </c>
      <c r="F62" s="94">
        <f>'4637'!E25</f>
        <v>320</v>
      </c>
      <c r="G62" s="90" t="str">
        <f>'4637'!F25</f>
        <v>MELAMINA BLANCA 18MM</v>
      </c>
      <c r="H62" s="30"/>
      <c r="K62" s="26"/>
      <c r="M62" s="29"/>
    </row>
    <row r="63" spans="1:13" s="10" customFormat="1" ht="20.100000000000001" customHeight="1" x14ac:dyDescent="0.35">
      <c r="A63" s="108"/>
      <c r="C63" s="90">
        <f>'4637'!B26</f>
        <v>1</v>
      </c>
      <c r="D63" s="90" t="str">
        <f>'4637'!C26</f>
        <v>SERVICIO INSTALACION</v>
      </c>
      <c r="E63" s="94">
        <f>'4637'!D26</f>
        <v>0</v>
      </c>
      <c r="F63" s="94">
        <f>'4637'!E26</f>
        <v>0</v>
      </c>
      <c r="G63" s="90">
        <f>'4637'!F26</f>
        <v>0</v>
      </c>
      <c r="H63" s="30"/>
      <c r="K63" s="26"/>
      <c r="M63" s="29"/>
    </row>
    <row r="64" spans="1:13" s="10" customFormat="1" ht="15" customHeight="1" x14ac:dyDescent="0.35">
      <c r="B64" s="77"/>
      <c r="C64" s="60"/>
      <c r="D64" s="60"/>
      <c r="E64" s="60"/>
      <c r="F64" s="60"/>
      <c r="G64" s="60"/>
      <c r="H64" s="30"/>
    </row>
    <row r="65" spans="2:11" ht="18" x14ac:dyDescent="0.35">
      <c r="B65" s="67"/>
      <c r="C65" s="67"/>
      <c r="D65" s="30"/>
      <c r="E65" s="67"/>
      <c r="F65" s="67"/>
      <c r="G65" s="72"/>
      <c r="H65" s="30"/>
    </row>
    <row r="66" spans="2:11" ht="18" x14ac:dyDescent="0.35">
      <c r="B66" s="67"/>
      <c r="C66" s="67"/>
      <c r="D66" s="30"/>
      <c r="E66" s="67"/>
      <c r="F66" s="67"/>
      <c r="G66" s="67"/>
      <c r="H66" s="30"/>
      <c r="J66" s="10">
        <f>SUM(J58:J58)</f>
        <v>1.365</v>
      </c>
      <c r="K66" s="27">
        <f>SUM(K58:K58)</f>
        <v>20475</v>
      </c>
    </row>
    <row r="67" spans="2:11" ht="18" x14ac:dyDescent="0.35">
      <c r="B67" s="30"/>
      <c r="C67" s="30"/>
      <c r="D67" s="30"/>
      <c r="E67" s="30"/>
      <c r="F67" s="30"/>
      <c r="G67" s="30"/>
      <c r="H67" s="30"/>
    </row>
    <row r="68" spans="2:11" ht="18" x14ac:dyDescent="0.35">
      <c r="B68" s="30"/>
      <c r="C68" s="30"/>
      <c r="D68" s="30"/>
      <c r="E68" s="30"/>
      <c r="F68" s="30"/>
      <c r="G68" s="30"/>
      <c r="H68" s="30"/>
    </row>
    <row r="69" spans="2:11" ht="18" x14ac:dyDescent="0.35">
      <c r="B69" s="30"/>
      <c r="C69" s="30"/>
      <c r="D69" s="30"/>
      <c r="E69" s="30"/>
      <c r="F69" s="30"/>
      <c r="G69" s="30"/>
      <c r="H69" s="30"/>
    </row>
    <row r="70" spans="2:11" ht="15" customHeight="1" x14ac:dyDescent="0.35">
      <c r="B70" s="30"/>
      <c r="C70" s="30"/>
      <c r="D70" s="30"/>
      <c r="E70" s="30"/>
      <c r="F70" s="30"/>
      <c r="G70" s="30"/>
      <c r="H70" s="30"/>
    </row>
    <row r="71" spans="2:11" ht="18" x14ac:dyDescent="0.35">
      <c r="B71" s="30"/>
      <c r="C71" s="30"/>
      <c r="D71" s="30"/>
      <c r="E71" s="30"/>
      <c r="F71" s="30"/>
      <c r="G71" s="30"/>
      <c r="H71" s="30"/>
    </row>
    <row r="72" spans="2:11" ht="18" x14ac:dyDescent="0.35">
      <c r="B72" s="67"/>
      <c r="C72" s="81"/>
      <c r="D72" s="30"/>
      <c r="E72" s="30"/>
      <c r="F72" s="30"/>
      <c r="G72" s="30"/>
      <c r="H72" s="30"/>
    </row>
    <row r="73" spans="2:11" ht="18" x14ac:dyDescent="0.35">
      <c r="B73" s="30"/>
      <c r="C73" s="30"/>
      <c r="D73" s="30"/>
      <c r="E73" s="30"/>
      <c r="F73" s="30"/>
      <c r="G73" s="30"/>
      <c r="H73" s="30"/>
    </row>
    <row r="74" spans="2:11" x14ac:dyDescent="0.3">
      <c r="C74" s="14"/>
      <c r="D74" s="14"/>
      <c r="F74" s="14"/>
      <c r="G74" s="14"/>
    </row>
    <row r="75" spans="2:11" x14ac:dyDescent="0.3">
      <c r="C75" s="14"/>
      <c r="D75" s="14"/>
      <c r="F75" s="14"/>
      <c r="G75" s="14"/>
    </row>
  </sheetData>
  <mergeCells count="6">
    <mergeCell ref="N3:O3"/>
    <mergeCell ref="B19:G19"/>
    <mergeCell ref="B10:G10"/>
    <mergeCell ref="B54:G54"/>
    <mergeCell ref="C56:G5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2025-03-06T21:43:25Z</cp:lastPrinted>
  <dcterms:created xsi:type="dcterms:W3CDTF">2013-03-19T12:54:14Z</dcterms:created>
  <dcterms:modified xsi:type="dcterms:W3CDTF">2025-03-06T21:46:44Z</dcterms:modified>
</cp:coreProperties>
</file>