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ABDB1752-4408-48BB-ACA9-5D3D9B7EAD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'4637'!$B$1:$H$47</definedName>
    <definedName name="_xlnm.Print_Area" localSheetId="2">CUBIERTA!$A$35:$G$61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G48" i="3"/>
  <c r="G26" i="3" s="1"/>
  <c r="F48" i="3"/>
  <c r="F26" i="3" s="1"/>
  <c r="L14" i="3" s="1"/>
  <c r="E48" i="3"/>
  <c r="E26" i="3" s="1"/>
  <c r="K14" i="3" s="1"/>
  <c r="C48" i="3"/>
  <c r="D48" i="3"/>
  <c r="D26" i="3" s="1"/>
  <c r="H23" i="4" l="1"/>
  <c r="H25" i="4" s="1"/>
  <c r="C26" i="3"/>
  <c r="G21" i="3" l="1"/>
  <c r="L21" i="3"/>
  <c r="F21" i="3" s="1"/>
  <c r="J21" i="3" l="1"/>
  <c r="I26" i="3"/>
  <c r="J26" i="3" s="1"/>
  <c r="K21" i="3"/>
  <c r="E21" i="3" s="1"/>
  <c r="I48" i="3"/>
  <c r="J48" i="3" s="1"/>
  <c r="E14" i="3"/>
  <c r="G14" i="3"/>
  <c r="F14" i="3"/>
  <c r="C21" i="3" l="1"/>
  <c r="J14" i="3"/>
  <c r="C14" i="3" s="1"/>
  <c r="J29" i="3"/>
  <c r="K48" i="3"/>
  <c r="J52" i="3"/>
  <c r="O5" i="3"/>
  <c r="K52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<sst xmlns="http://schemas.openxmlformats.org/spreadsheetml/2006/main" count="249" uniqueCount="145">
  <si>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</si>
  <si>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</si>
  <si>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</si>
  <si>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</si>
  <si>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</si>
  <si>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</si>
  <si>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</si>
  <si>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</si>
  <si>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</si>
  <si>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</si>
  <si>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</si>
  <si>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</si>
  <si>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</si>
  <si>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</si>
  <si>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</si>
  <si>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</si>
  <si>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</si>
  <si>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</si>
  <si>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</si>
  <si>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</si>
  <si>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</si>
  <si>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</si>
  <si>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</si>
  <si>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</si>
  <si>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</si>
  <si>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</si>
  <si>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</si>
  <si>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</si>
  <si>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</si>
  <si>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</si>
  <si>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</si>
  <si>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</si>
  <si>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</si>
  <si>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</si>
  <si>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</si>
  <si>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</si>
  <si>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</si>
  <si>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</si>
  <si>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</si>
  <si>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</si>
  <si>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</si>
  <si>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</si>
  <si>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</si>
  <si>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</si>
  <si>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</si>
  <si>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</si>
  <si>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</si>
  <si>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</si>
  <si>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</si>
  <si>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</si>
  <si>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</si>
  <si>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</si>
  <si>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</si>
  <si>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</si>
  <si>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</si>
  <si>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</si>
  <si>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</si>
  <si>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</si>
  <si>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</si>
  <si>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</si>
  <si>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</si>
  <si>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</si>
  <si>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</si>
  <si>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</si>
  <si>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</si>
  <si>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</si>
  <si>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</si>
  <si>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</si>
  <si>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</si>
  <si>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</si>
  <si>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</si>
  <si>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</si>
  <si>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</si>
  <si>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</si>
  <si>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</si>
  <si>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</si>
  <si>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</si>
  <si>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</si>
  <si>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</si>
  <si>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</si>
  <si>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</si>
  <si>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</si>
  <si>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</si>
  <si>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</si>
  <si>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</si>
  <si>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</si>
  <si>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</si>
  <si>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</si>
  <si>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</si>
  <si>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</si>
  <si>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</si>
  <si>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</si>
  <si>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</si>
  <si>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</si>
  <si>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</si>
  <si>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</si>
  <si>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</si>
  <si>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</si>
  <si>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</si>
  <si>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</si>
  <si>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</si>
  <si>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</si>
  <si>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</si>
  <si>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</si>
  <si>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</si>
  <si>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</si>
  <si>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</si>
  <si>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</si>
  <si>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</si>
  <si>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</si>
  <si>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</si>
  <si>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</si>
  <si>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</si>
  <si>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</si>
  <si>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</si>
  <si>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</si>
  <si>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</si>
  <si>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</si>
  <si>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</si>
  <si>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</si>
  <si>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</si>
  <si>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</si>
  <si>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</si>
  <si>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</si>
  <si>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</si>
  <si>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</si>
  <si>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</si>
  <si>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</si>
  <si>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</si>
  <si>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</si>
  <si>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</si>
  <si>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</si>
  <si>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</si>
  <si>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</si>
  <si>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</si>
  <si>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</si>
  <si>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 xml:space="preserve">IVA </t>
  </si>
  <si>
    <t>CORREO:</t>
  </si>
  <si>
    <t>YUSBEE CASTAÑEDA</t>
  </si>
  <si>
    <t>569 2062 2586</t>
  </si>
  <si>
    <t>CUB C/R R8</t>
  </si>
  <si>
    <t>LATTE 2167 MT</t>
  </si>
  <si>
    <t>SAN ANTONIO</t>
  </si>
  <si>
    <t>RESPALDO 38MM</t>
  </si>
  <si>
    <t>URGENTES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</si>
</sst>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5" fillId="3" borderId="0" xfId="2" applyFill="1"/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27</xdr:row>
      <xdr:rowOff>220979</xdr:rowOff>
    </xdr:from>
    <xdr:to>
      <xdr:col>6</xdr:col>
      <xdr:colOff>2971800</xdr:colOff>
      <xdr:row>32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RESPALDOS A 38MM, CORTAR A LA MEDIDA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CORTAR RESPALDO A 38MM, CORTAR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5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11615</v>
      </c>
      <c r="E8" s="29"/>
      <c r="F8" s="34" t="s">
        <v>24</v>
      </c>
      <c r="G8" s="35">
        <v>4204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3" t="s">
        <v>138</v>
      </c>
      <c r="D10" s="37"/>
      <c r="E10" s="37"/>
      <c r="F10" s="38" t="s">
        <v>25</v>
      </c>
      <c r="G10" s="39">
        <v>45908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16" t="s">
        <v>144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137</v>
      </c>
      <c r="C13" s="117"/>
      <c r="D13" s="45"/>
      <c r="E13" s="45"/>
      <c r="F13" s="45" t="s">
        <v>123</v>
      </c>
      <c r="G13" s="46" t="s">
        <v>132</v>
      </c>
      <c r="H13" s="47"/>
      <c r="I13" s="29"/>
    </row>
    <row r="14" spans="1:17" ht="18" x14ac:dyDescent="0.35">
      <c r="A14" s="29"/>
      <c r="B14" s="41" t="s">
        <v>15</v>
      </c>
      <c r="C14" s="112" t="s">
        <v>139</v>
      </c>
      <c r="D14" s="48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1"/>
      <c r="D15" s="45"/>
      <c r="E15" s="45"/>
      <c r="F15" s="49" t="s">
        <v>71</v>
      </c>
      <c r="G15" s="49" t="s">
        <v>127</v>
      </c>
      <c r="H15" s="47"/>
      <c r="I15" s="29"/>
    </row>
    <row r="16" spans="1:17" ht="18.600000000000001" thickBot="1" x14ac:dyDescent="0.4">
      <c r="A16" s="29"/>
      <c r="B16" s="50" t="s">
        <v>3</v>
      </c>
      <c r="C16" s="51" t="s">
        <v>142</v>
      </c>
      <c r="D16" s="52"/>
      <c r="E16" s="53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4" t="s">
        <v>126</v>
      </c>
      <c r="C20" s="108" t="s">
        <v>18</v>
      </c>
      <c r="D20" s="108" t="s">
        <v>19</v>
      </c>
      <c r="E20" s="108" t="s">
        <v>7</v>
      </c>
      <c r="F20" s="109" t="s">
        <v>20</v>
      </c>
      <c r="G20" s="54" t="s">
        <v>21</v>
      </c>
      <c r="H20" s="109" t="s">
        <v>4</v>
      </c>
      <c r="I20" s="29"/>
    </row>
    <row r="21" spans="1:16" ht="20.100000000000001" customHeight="1" x14ac:dyDescent="0.35">
      <c r="A21" s="29"/>
      <c r="B21" s="119">
        <v>3</v>
      </c>
      <c r="C21" s="119" t="s">
        <v>140</v>
      </c>
      <c r="D21" s="118">
        <v>1020</v>
      </c>
      <c r="E21" s="118">
        <v>500</v>
      </c>
      <c r="F21" s="119" t="s">
        <v>141</v>
      </c>
      <c r="G21" s="121">
        <v>32113</v>
      </c>
      <c r="H21" s="120">
        <f>G21*B21</f>
        <v>96339</v>
      </c>
      <c r="I21" s="29"/>
      <c r="K21" s="11"/>
      <c r="L21" s="15"/>
      <c r="M21" s="11"/>
      <c r="N21" s="11"/>
      <c r="O21" s="15"/>
      <c r="P21" s="21"/>
    </row>
    <row r="22" spans="1:16" ht="20.100000000000001" customHeight="1" thickBot="1" x14ac:dyDescent="0.4">
      <c r="A22" s="29"/>
      <c r="B22" s="99"/>
      <c r="C22" s="99"/>
      <c r="D22" s="107"/>
      <c r="E22" s="107"/>
      <c r="F22" s="99"/>
      <c r="G22" s="101"/>
      <c r="H22" s="101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99"/>
      <c r="C23" s="99"/>
      <c r="D23" s="107"/>
      <c r="E23" s="107"/>
      <c r="F23" s="99"/>
      <c r="G23" s="57" t="s">
        <v>5</v>
      </c>
      <c r="H23" s="58">
        <f>SUM(H21:H22)</f>
        <v>96339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99"/>
      <c r="C24" s="99"/>
      <c r="D24" s="107"/>
      <c r="E24" s="107"/>
      <c r="F24" s="99"/>
      <c r="G24" s="59" t="s">
        <v>136</v>
      </c>
      <c r="H24" s="60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99"/>
      <c r="C25" s="99"/>
      <c r="D25" s="107"/>
      <c r="E25" s="107"/>
      <c r="F25" s="99"/>
      <c r="G25" s="61" t="s">
        <v>4</v>
      </c>
      <c r="H25" s="62">
        <f>H23+H24</f>
        <v>96339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9"/>
      <c r="C26" s="99"/>
      <c r="D26" s="107"/>
      <c r="E26" s="107"/>
      <c r="F26" s="99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9"/>
      <c r="C27" s="99"/>
      <c r="D27" s="107"/>
      <c r="E27" s="107"/>
      <c r="F27" s="99"/>
      <c r="G27" s="101"/>
      <c r="H27" s="101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9"/>
      <c r="C28" s="99"/>
      <c r="D28" s="107"/>
      <c r="E28" s="107"/>
      <c r="F28" s="99"/>
      <c r="G28" s="101"/>
      <c r="H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9"/>
      <c r="C29" s="99"/>
      <c r="D29" s="100"/>
      <c r="E29" s="100"/>
      <c r="F29" s="99"/>
      <c r="G29" s="101"/>
      <c r="H29" s="101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9"/>
      <c r="C30" s="99"/>
      <c r="D30" s="100"/>
      <c r="E30" s="100"/>
      <c r="F30" s="99"/>
      <c r="G30" s="101"/>
      <c r="H30" s="101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6"/>
      <c r="C31" s="56"/>
      <c r="D31" s="56"/>
      <c r="E31" s="56"/>
      <c r="F31" s="56"/>
      <c r="G31" s="55"/>
      <c r="H31" s="55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3"/>
      <c r="H35" s="64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5" t="s">
        <v>131</v>
      </c>
      <c r="C37" s="66"/>
      <c r="D37" s="67"/>
      <c r="E37" s="67"/>
      <c r="F37" s="56"/>
      <c r="G37" s="29"/>
      <c r="H37" s="29"/>
      <c r="I37" s="29"/>
    </row>
    <row r="38" spans="1:9" ht="18" x14ac:dyDescent="0.35">
      <c r="A38" s="29"/>
      <c r="B38" s="65" t="s">
        <v>118</v>
      </c>
      <c r="C38" s="66"/>
      <c r="D38" s="67"/>
      <c r="E38" s="67"/>
      <c r="F38" s="56"/>
      <c r="G38" s="29"/>
      <c r="H38" s="29"/>
      <c r="I38" s="29"/>
    </row>
    <row r="39" spans="1:9" ht="18" x14ac:dyDescent="0.35">
      <c r="A39" s="29"/>
      <c r="B39" s="29" t="s">
        <v>22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68" t="s">
        <v>23</v>
      </c>
      <c r="C40" s="68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68"/>
      <c r="F41" s="29"/>
      <c r="G41" s="29"/>
      <c r="H41" s="29"/>
      <c r="I41" s="29"/>
    </row>
    <row r="42" spans="1:9" ht="18" x14ac:dyDescent="0.35">
      <c r="A42" s="29"/>
      <c r="B42" s="30" t="s">
        <v>129</v>
      </c>
      <c r="C42" s="30"/>
      <c r="D42" s="30"/>
      <c r="E42" s="69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69"/>
      <c r="F43" s="29"/>
      <c r="G43" s="29"/>
      <c r="H43" s="29"/>
      <c r="I43" s="29"/>
    </row>
    <row r="44" spans="1:9" ht="18" x14ac:dyDescent="0.35">
      <c r="A44" s="29"/>
      <c r="B44" s="30" t="s">
        <v>130</v>
      </c>
      <c r="C44" s="29"/>
      <c r="D44" s="29"/>
      <c r="E44" s="68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68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24" zoomScaleNormal="100" workbookViewId="0">
      <selection activeCell="A35" sqref="A35:G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1" t="s">
        <v>24</v>
      </c>
      <c r="E4" s="72">
        <f>'4637'!G8</f>
        <v>4204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63</v>
      </c>
      <c r="E5" s="74" t="str">
        <f>'4637'!C10</f>
        <v>YUSBEE CASTAÑEDA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 t="str">
        <f>'4637'!G11</f>
        <v>URGENTES</v>
      </c>
      <c r="F7" s="29"/>
      <c r="G7" s="29" t="s">
        <v>133</v>
      </c>
      <c r="H7" s="29"/>
    </row>
    <row r="8" spans="1:15" ht="18" x14ac:dyDescent="0.35">
      <c r="B8" s="29"/>
      <c r="C8" s="29"/>
      <c r="D8" s="87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80</v>
      </c>
      <c r="F13" s="90">
        <v>-30</v>
      </c>
      <c r="G13" s="89" t="s">
        <v>106</v>
      </c>
      <c r="H13" s="29"/>
      <c r="K13" s="5" t="s">
        <v>6</v>
      </c>
      <c r="L13" s="5" t="s">
        <v>7</v>
      </c>
    </row>
    <row r="14" spans="1:15" ht="18" x14ac:dyDescent="0.35">
      <c r="A14" s="105">
        <v>1</v>
      </c>
      <c r="B14" s="98" t="s">
        <v>135</v>
      </c>
      <c r="C14" s="91">
        <f>J14</f>
        <v>3</v>
      </c>
      <c r="D14" s="91" t="s">
        <v>143</v>
      </c>
      <c r="E14" s="91">
        <f>K14+E$13</f>
        <v>1100</v>
      </c>
      <c r="F14" s="91">
        <f>L14+F$13</f>
        <v>470</v>
      </c>
      <c r="G14" s="91" t="str">
        <f>D26</f>
        <v>CUB C/R R8</v>
      </c>
      <c r="H14" s="29"/>
      <c r="J14" s="3">
        <f>J21</f>
        <v>3</v>
      </c>
      <c r="K14" s="4">
        <f t="shared" ref="K14:L14" si="0">E26</f>
        <v>1020</v>
      </c>
      <c r="L14" s="4">
        <f t="shared" si="0"/>
        <v>500</v>
      </c>
    </row>
    <row r="15" spans="1:15" ht="18" x14ac:dyDescent="0.35">
      <c r="A15" s="2"/>
      <c r="B15" s="80"/>
      <c r="C15" s="70"/>
      <c r="D15" s="70"/>
      <c r="E15" s="70"/>
      <c r="F15" s="70"/>
      <c r="G15" s="70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30" t="s">
        <v>13</v>
      </c>
      <c r="C17" s="130"/>
      <c r="D17" s="130"/>
      <c r="E17" s="130"/>
      <c r="F17" s="130"/>
      <c r="G17" s="130"/>
      <c r="H17" s="29"/>
    </row>
    <row r="18" spans="1:12" ht="10.5" customHeight="1" x14ac:dyDescent="0.35">
      <c r="A18" s="2"/>
      <c r="B18" s="29"/>
      <c r="C18" s="29"/>
      <c r="D18" s="88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3" t="s">
        <v>6</v>
      </c>
      <c r="F19" s="63" t="s">
        <v>7</v>
      </c>
      <c r="G19" s="29"/>
      <c r="H19" s="29"/>
    </row>
    <row r="20" spans="1:12" ht="18" x14ac:dyDescent="0.35">
      <c r="A20" s="2"/>
      <c r="B20" s="63" t="s">
        <v>8</v>
      </c>
      <c r="C20" s="79" t="s">
        <v>9</v>
      </c>
      <c r="D20" s="79" t="s">
        <v>10</v>
      </c>
      <c r="E20" s="92">
        <v>40</v>
      </c>
      <c r="F20" s="92">
        <v>110</v>
      </c>
      <c r="G20" s="79" t="s">
        <v>106</v>
      </c>
      <c r="H20" s="29"/>
      <c r="K20" s="5" t="s">
        <v>6</v>
      </c>
      <c r="L20" s="5" t="s">
        <v>7</v>
      </c>
    </row>
    <row r="21" spans="1:12" ht="18" x14ac:dyDescent="0.35">
      <c r="A21" s="105">
        <v>1</v>
      </c>
      <c r="B21" s="98"/>
      <c r="C21" s="93">
        <f t="shared" ref="C21" si="1">J21</f>
        <v>3</v>
      </c>
      <c r="D21" s="93"/>
      <c r="E21" s="93">
        <f t="shared" ref="E21:F21" si="2">K21+E$20</f>
        <v>1060</v>
      </c>
      <c r="F21" s="93">
        <f t="shared" si="2"/>
        <v>610</v>
      </c>
      <c r="G21" s="93" t="str">
        <f>D26</f>
        <v>CUB C/R R8</v>
      </c>
      <c r="H21" s="29"/>
      <c r="J21" s="3">
        <f>C26</f>
        <v>3</v>
      </c>
      <c r="K21" s="102">
        <f>E26</f>
        <v>1020</v>
      </c>
      <c r="L21" s="102">
        <f>F26</f>
        <v>500</v>
      </c>
    </row>
    <row r="22" spans="1:12" ht="18.600000000000001" thickBot="1" x14ac:dyDescent="0.4">
      <c r="A22" s="2"/>
      <c r="B22" s="80"/>
      <c r="C22" s="70"/>
      <c r="D22" s="70"/>
      <c r="E22" s="70"/>
      <c r="F22" s="70"/>
      <c r="G22" s="70"/>
      <c r="H22" s="29"/>
      <c r="I22" s="103"/>
      <c r="J22" s="104"/>
      <c r="K22" s="104"/>
      <c r="L22" s="104"/>
    </row>
    <row r="23" spans="1:12" ht="18.600000000000001" thickBot="1" x14ac:dyDescent="0.4">
      <c r="A23" s="2"/>
      <c r="B23" s="63"/>
      <c r="C23" s="94" t="s">
        <v>103</v>
      </c>
      <c r="D23" s="32"/>
      <c r="E23" s="32"/>
      <c r="F23" s="32"/>
      <c r="G23" s="95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3" t="s">
        <v>8</v>
      </c>
      <c r="C25" s="96" t="s">
        <v>9</v>
      </c>
      <c r="D25" s="96" t="s">
        <v>106</v>
      </c>
      <c r="E25" s="96" t="s">
        <v>6</v>
      </c>
      <c r="F25" s="96" t="s">
        <v>7</v>
      </c>
      <c r="G25" s="96" t="s">
        <v>20</v>
      </c>
      <c r="H25" s="29"/>
    </row>
    <row r="26" spans="1:12" ht="18" x14ac:dyDescent="0.35">
      <c r="A26" s="105">
        <v>1</v>
      </c>
      <c r="B26" s="98" t="s">
        <v>135</v>
      </c>
      <c r="C26" s="91">
        <f>C48</f>
        <v>3</v>
      </c>
      <c r="D26" s="91" t="str">
        <f>D48</f>
        <v>CUB C/R R8</v>
      </c>
      <c r="E26" s="110">
        <f>E48</f>
        <v>1020</v>
      </c>
      <c r="F26" s="110">
        <f>F48</f>
        <v>500</v>
      </c>
      <c r="G26" s="4" t="str">
        <f>G48</f>
        <v>LATTE 2167 MT</v>
      </c>
      <c r="H26" s="29"/>
      <c r="I26" s="28">
        <f>E26*F26/1000000</f>
        <v>0.51</v>
      </c>
      <c r="J26" s="28">
        <f>I26*C26</f>
        <v>1.53</v>
      </c>
    </row>
    <row r="27" spans="1:12" ht="18" x14ac:dyDescent="0.35">
      <c r="A27" s="105"/>
      <c r="B27" s="98"/>
      <c r="C27" s="70"/>
      <c r="D27" s="70"/>
      <c r="E27" s="114"/>
      <c r="F27" s="114"/>
      <c r="G27" s="2"/>
      <c r="H27" s="29"/>
      <c r="I27" s="28"/>
      <c r="J27" s="28"/>
    </row>
    <row r="28" spans="1:12" ht="18" x14ac:dyDescent="0.35">
      <c r="A28" s="2"/>
      <c r="B28" s="29"/>
      <c r="C28" s="70"/>
      <c r="D28" s="70"/>
      <c r="E28" s="70"/>
      <c r="F28" s="70"/>
      <c r="G28" s="70"/>
      <c r="H28" s="29"/>
    </row>
    <row r="29" spans="1:12" ht="18" x14ac:dyDescent="0.35">
      <c r="A29" s="2"/>
      <c r="B29" s="29"/>
      <c r="C29" s="70"/>
      <c r="D29" s="70"/>
      <c r="E29" s="70"/>
      <c r="F29" s="70"/>
      <c r="G29" s="70"/>
      <c r="H29" s="29"/>
      <c r="J29" s="28">
        <f>SUM(J26:J26)*2</f>
        <v>3.06</v>
      </c>
    </row>
    <row r="30" spans="1:12" ht="18" x14ac:dyDescent="0.35">
      <c r="A30" s="2"/>
      <c r="B30" s="29"/>
      <c r="C30" s="70"/>
      <c r="D30" s="70"/>
      <c r="E30" s="70"/>
      <c r="F30" s="70"/>
      <c r="G30" s="70"/>
      <c r="H30" s="29"/>
    </row>
    <row r="31" spans="1:12" ht="18" x14ac:dyDescent="0.35">
      <c r="A31" s="2"/>
      <c r="B31" s="29"/>
      <c r="C31" s="70"/>
      <c r="D31" s="70"/>
      <c r="E31" s="70"/>
      <c r="F31" s="70"/>
      <c r="G31" s="70"/>
      <c r="H31" s="29"/>
    </row>
    <row r="32" spans="1:12" ht="18" x14ac:dyDescent="0.35">
      <c r="A32" s="2"/>
      <c r="B32" s="29"/>
      <c r="C32" s="70"/>
      <c r="D32" s="70"/>
      <c r="E32" s="70"/>
      <c r="F32" s="70"/>
      <c r="G32" s="70"/>
      <c r="H32" s="29"/>
    </row>
    <row r="33" spans="1:13" ht="18" x14ac:dyDescent="0.35">
      <c r="A33" s="2"/>
      <c r="B33" s="29"/>
      <c r="C33" s="70"/>
      <c r="D33" s="70"/>
      <c r="E33" s="70"/>
      <c r="F33" s="70"/>
      <c r="G33" s="70"/>
      <c r="H33" s="29"/>
    </row>
    <row r="34" spans="1:13" ht="18" x14ac:dyDescent="0.35">
      <c r="A34" s="2"/>
      <c r="B34" s="29"/>
      <c r="C34" s="70"/>
      <c r="D34" s="70"/>
      <c r="E34" s="70"/>
      <c r="F34" s="70"/>
      <c r="G34" s="70"/>
      <c r="H34" s="29"/>
    </row>
    <row r="35" spans="1:13" ht="18" x14ac:dyDescent="0.35">
      <c r="A35" s="2"/>
      <c r="B35" s="29"/>
      <c r="C35" s="70"/>
      <c r="D35" s="70"/>
      <c r="E35" s="70"/>
      <c r="F35" s="70"/>
      <c r="G35" s="70"/>
      <c r="H35" s="29"/>
    </row>
    <row r="36" spans="1:13" ht="18" x14ac:dyDescent="0.35">
      <c r="A36" s="2"/>
      <c r="B36" s="29"/>
      <c r="C36" s="70"/>
      <c r="D36" s="70"/>
      <c r="E36" s="70"/>
      <c r="F36" s="70"/>
      <c r="G36" s="70"/>
      <c r="H36" s="29"/>
    </row>
    <row r="37" spans="1:13" ht="18" x14ac:dyDescent="0.35">
      <c r="A37" s="2"/>
      <c r="B37" s="29"/>
      <c r="C37" s="29"/>
      <c r="D37" s="29"/>
      <c r="E37" s="29"/>
      <c r="F37" s="29"/>
      <c r="G37" s="29"/>
      <c r="H37" s="29"/>
    </row>
    <row r="38" spans="1:13" ht="18" x14ac:dyDescent="0.35">
      <c r="A38" s="2"/>
      <c r="B38" s="29"/>
      <c r="C38" s="29"/>
      <c r="D38" s="71" t="s">
        <v>24</v>
      </c>
      <c r="E38" s="72">
        <f>'4637'!G8</f>
        <v>4204</v>
      </c>
      <c r="F38" s="29"/>
      <c r="G38" s="29"/>
      <c r="H38" s="29"/>
    </row>
    <row r="39" spans="1:13" ht="17.25" customHeight="1" x14ac:dyDescent="0.35">
      <c r="A39" s="2"/>
      <c r="B39" s="29"/>
      <c r="C39" s="29"/>
      <c r="D39" s="73" t="s">
        <v>63</v>
      </c>
      <c r="E39" s="74" t="str">
        <f>'4637'!C10</f>
        <v>YUSBEE CASTAÑEDA</v>
      </c>
      <c r="F39" s="45"/>
      <c r="G39" s="45"/>
      <c r="H39" s="29"/>
    </row>
    <row r="40" spans="1:13" ht="4.5" customHeight="1" x14ac:dyDescent="0.35">
      <c r="A40" s="2"/>
      <c r="B40" s="29"/>
      <c r="C40" s="29"/>
      <c r="D40" s="75"/>
      <c r="E40" s="76"/>
      <c r="F40" s="29"/>
      <c r="G40" s="29"/>
      <c r="H40" s="29"/>
    </row>
    <row r="41" spans="1:13" ht="18" x14ac:dyDescent="0.35">
      <c r="A41" s="2"/>
      <c r="B41" s="29"/>
      <c r="C41" s="29"/>
      <c r="D41" s="77" t="str">
        <f>'4637'!F11</f>
        <v>FECHA LIMITE :</v>
      </c>
      <c r="E41" s="78" t="str">
        <f>'4637'!G11</f>
        <v>URGENTES</v>
      </c>
      <c r="F41" s="29"/>
      <c r="G41" s="29"/>
      <c r="H41" s="29"/>
    </row>
    <row r="42" spans="1:13" ht="18" x14ac:dyDescent="0.35">
      <c r="A42" s="2"/>
      <c r="B42" s="29"/>
      <c r="C42" s="29"/>
      <c r="D42" s="29"/>
      <c r="E42" s="29"/>
      <c r="F42" s="29"/>
      <c r="G42" s="29" t="s">
        <v>133</v>
      </c>
      <c r="H42" s="29"/>
    </row>
    <row r="43" spans="1:13" ht="18" x14ac:dyDescent="0.35">
      <c r="A43" s="2"/>
      <c r="B43" s="29"/>
      <c r="C43" s="29"/>
      <c r="D43" s="29"/>
      <c r="E43" s="29"/>
      <c r="F43" s="29"/>
      <c r="G43" s="29"/>
      <c r="H43" s="29"/>
    </row>
    <row r="44" spans="1:13" ht="18" x14ac:dyDescent="0.35">
      <c r="A44" s="2"/>
      <c r="B44" s="131" t="s">
        <v>64</v>
      </c>
      <c r="C44" s="131"/>
      <c r="D44" s="131"/>
      <c r="E44" s="131"/>
      <c r="F44" s="131"/>
      <c r="G44" s="131"/>
      <c r="H44" s="29"/>
    </row>
    <row r="45" spans="1:13" ht="18" x14ac:dyDescent="0.35">
      <c r="A45" s="2"/>
      <c r="B45" s="29"/>
      <c r="C45" s="29"/>
      <c r="D45" s="29"/>
      <c r="E45" s="29"/>
      <c r="F45" s="29"/>
      <c r="G45" s="29"/>
      <c r="H45" s="29"/>
    </row>
    <row r="46" spans="1:13" ht="20.100000000000001" customHeight="1" x14ac:dyDescent="0.35">
      <c r="A46" s="2"/>
      <c r="B46" s="29"/>
      <c r="C46" s="132" t="s">
        <v>65</v>
      </c>
      <c r="D46" s="133"/>
      <c r="E46" s="134"/>
      <c r="F46" s="134"/>
      <c r="G46" s="135"/>
      <c r="H46" s="29"/>
      <c r="I46" s="25" t="s">
        <v>128</v>
      </c>
    </row>
    <row r="47" spans="1:13" s="10" customFormat="1" ht="20.100000000000001" customHeight="1" x14ac:dyDescent="0.35">
      <c r="A47" s="106"/>
      <c r="B47" s="29"/>
      <c r="C47" s="81" t="s">
        <v>9</v>
      </c>
      <c r="D47" s="82" t="s">
        <v>10</v>
      </c>
      <c r="E47" s="85" t="s">
        <v>6</v>
      </c>
      <c r="F47" s="85" t="s">
        <v>7</v>
      </c>
      <c r="G47" s="83" t="s">
        <v>11</v>
      </c>
      <c r="H47" s="29"/>
      <c r="K47" s="10">
        <v>15000</v>
      </c>
    </row>
    <row r="48" spans="1:13" s="10" customFormat="1" ht="20.100000000000001" customHeight="1" x14ac:dyDescent="0.35">
      <c r="A48" s="105">
        <v>1</v>
      </c>
      <c r="B48" s="97" t="s">
        <v>135</v>
      </c>
      <c r="C48" s="93">
        <f>'4637'!B21</f>
        <v>3</v>
      </c>
      <c r="D48" s="4" t="str">
        <f>'4637'!C21</f>
        <v>CUB C/R R8</v>
      </c>
      <c r="E48" s="110">
        <f>'4637'!D21</f>
        <v>1020</v>
      </c>
      <c r="F48" s="110">
        <f>'4637'!E21</f>
        <v>500</v>
      </c>
      <c r="G48" s="4" t="str">
        <f>'4637'!F21</f>
        <v>LATTE 2167 MT</v>
      </c>
      <c r="H48" s="29"/>
      <c r="I48" s="10">
        <f>E48*F48/1000000</f>
        <v>0.51</v>
      </c>
      <c r="J48" s="10">
        <f>I48*C48</f>
        <v>1.53</v>
      </c>
      <c r="K48" s="26">
        <f>J48*K$47</f>
        <v>22950</v>
      </c>
      <c r="M48" s="24">
        <v>12096</v>
      </c>
    </row>
    <row r="49" spans="1:13" s="10" customFormat="1" ht="20.100000000000001" customHeight="1" x14ac:dyDescent="0.35">
      <c r="A49" s="105"/>
      <c r="B49" s="97"/>
      <c r="C49" s="70"/>
      <c r="D49" s="2"/>
      <c r="E49" s="114"/>
      <c r="F49" s="114"/>
      <c r="G49" s="2"/>
      <c r="H49" s="29"/>
      <c r="K49" s="26"/>
      <c r="M49" s="115"/>
    </row>
    <row r="50" spans="1:13" s="10" customFormat="1" ht="15" customHeight="1" x14ac:dyDescent="0.35">
      <c r="B50" s="80"/>
      <c r="C50" s="63"/>
      <c r="D50" s="63"/>
      <c r="E50" s="63"/>
      <c r="F50" s="63"/>
      <c r="G50" s="63"/>
      <c r="H50" s="29"/>
    </row>
    <row r="51" spans="1:13" ht="18" x14ac:dyDescent="0.35">
      <c r="B51" s="70"/>
      <c r="C51" s="70"/>
      <c r="D51" s="29"/>
      <c r="E51" s="70"/>
      <c r="F51" s="70"/>
      <c r="G51" s="75"/>
      <c r="H51" s="29"/>
    </row>
    <row r="52" spans="1:13" ht="18" x14ac:dyDescent="0.35">
      <c r="B52" s="70"/>
      <c r="C52" s="70"/>
      <c r="D52" s="29"/>
      <c r="E52" s="70"/>
      <c r="F52" s="70"/>
      <c r="G52" s="70"/>
      <c r="H52" s="29"/>
      <c r="J52" s="10">
        <f>SUM(J48:J48)</f>
        <v>1.53</v>
      </c>
      <c r="K52" s="27">
        <f>SUM(K48:K48)</f>
        <v>22950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0"/>
      <c r="C58" s="84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2025-09-08T17:44:48Z</cp:lastPrinted>
  <dcterms:created xsi:type="dcterms:W3CDTF">2013-03-19T12:54:14Z</dcterms:created>
  <dcterms:modified xsi:type="dcterms:W3CDTF">2025-09-08T17:50:04Z</dcterms:modified>
</cp:coreProperties>
</file>