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9 SEPTIEMBRE 2025\"/>
    </mc:Choice>
  </mc:AlternateContent>
  <xr:revisionPtr revIDLastSave="0" documentId="13_ncr:1_{BE836A56-FB59-4560-AED5-45AF2EDC1F1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  <sheet name="Hoja1" sheetId="6" r:id="rId4"/>
  </sheets>
  <definedNames>
    <definedName name="_xlnm.Print_Area" localSheetId="0">'4637'!$B$1:$H$47</definedName>
    <definedName name="_xlnm.Print_Area" localSheetId="2">CUBIERTA!$A$1:$G$35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G48" i="3"/>
  <c r="G26" i="3" s="1"/>
  <c r="F48" i="3"/>
  <c r="F26" i="3" s="1"/>
  <c r="L14" i="3" s="1"/>
  <c r="E48" i="3"/>
  <c r="E26" i="3" s="1"/>
  <c r="K14" i="3" s="1"/>
  <c r="C48" i="3"/>
  <c r="D48" i="3"/>
  <c r="D26" i="3" s="1"/>
  <c r="H23" i="4" l="1"/>
  <c r="H25" i="4" s="1"/>
  <c r="C26" i="3"/>
  <c r="G21" i="3" l="1"/>
  <c r="L21" i="3"/>
  <c r="F21" i="3" s="1"/>
  <c r="J21" i="3" l="1"/>
  <c r="I26" i="3"/>
  <c r="J26" i="3" s="1"/>
  <c r="K21" i="3"/>
  <c r="E21" i="3" s="1"/>
  <c r="I48" i="3"/>
  <c r="J48" i="3" s="1"/>
  <c r="E14" i="3"/>
  <c r="G14" i="3"/>
  <c r="F14" i="3"/>
  <c r="C21" i="3" l="1"/>
  <c r="J14" i="3"/>
  <c r="C14" i="3" s="1"/>
  <c r="J29" i="3"/>
  <c r="K48" i="3"/>
  <c r="J52" i="3"/>
  <c r="O5" i="3"/>
  <c r="K52" i="3" l="1"/>
  <c r="N5" i="3"/>
  <c r="M5" i="3"/>
  <c r="L5" i="3"/>
  <c r="D41" i="3" l="1"/>
  <c r="D7" i="3"/>
  <c r="E39" i="3"/>
  <c r="E5" i="3"/>
  <c r="E41" i="3"/>
  <c r="E7" i="3"/>
  <c r="E38" i="3"/>
  <c r="E4" i="3"/>
</calcChain>
</file>

<file path=xl/sharedStrings.xml><?xml version="1.0" encoding="utf-8"?>
<sst xmlns="http://schemas.openxmlformats.org/spreadsheetml/2006/main" count="248" uniqueCount="144">
  <si>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</si>
  <si>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</si>
  <si>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</si>
  <si>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</si>
  <si>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</si>
  <si>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</si>
  <si>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</si>
  <si>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</si>
  <si>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</si>
  <si>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</si>
  <si>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</si>
  <si>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</si>
  <si>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</si>
  <si>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</si>
  <si>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</si>
  <si>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</si>
  <si>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</si>
  <si>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</si>
  <si>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</si>
  <si>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</si>
  <si>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</si>
  <si>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</si>
  <si>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</si>
  <si>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</si>
  <si>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</si>
  <si>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</si>
  <si>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</si>
  <si>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</si>
  <si>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</si>
  <si>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</si>
  <si>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</si>
  <si>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</si>
  <si>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</si>
  <si>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</si>
  <si>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</si>
  <si>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</si>
  <si>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</si>
  <si>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</si>
  <si>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</si>
  <si>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</si>
  <si>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</si>
  <si>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</si>
  <si>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</si>
  <si>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</si>
  <si>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</si>
  <si>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</si>
  <si>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</si>
  <si>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</si>
  <si>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</si>
  <si>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</si>
  <si>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</si>
  <si>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</si>
  <si>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</si>
  <si>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</si>
  <si>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</si>
  <si>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</si>
  <si>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</si>
  <si>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</si>
  <si>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</si>
  <si>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</si>
  <si>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</si>
  <si>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</si>
  <si>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</si>
  <si>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</si>
  <si>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</si>
  <si>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</si>
  <si>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</si>
  <si>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</si>
  <si>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</si>
  <si>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</si>
  <si>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</si>
  <si>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</si>
  <si>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</si>
  <si>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</si>
  <si>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</si>
  <si>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</si>
  <si>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</si>
  <si>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</si>
  <si>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</si>
  <si>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</si>
  <si>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</si>
  <si>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</si>
  <si>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</si>
  <si>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</si>
  <si>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</si>
  <si>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</si>
  <si>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</si>
  <si>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</si>
  <si>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</si>
  <si>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</si>
  <si>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</si>
  <si>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</si>
  <si>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</si>
  <si>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</si>
  <si>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</si>
  <si>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</si>
  <si>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</si>
  <si>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</si>
  <si>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</si>
  <si>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</si>
  <si>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</si>
  <si>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</si>
  <si>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</si>
  <si>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</si>
  <si>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</si>
  <si>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</si>
  <si>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</si>
  <si>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</si>
  <si>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</si>
  <si>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</si>
  <si>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</si>
  <si>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</si>
  <si>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</si>
  <si>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</si>
  <si>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</si>
  <si>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</si>
  <si>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</si>
  <si>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</si>
  <si>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</si>
  <si>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</si>
  <si>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</si>
  <si>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</si>
  <si>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</si>
  <si>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</si>
  <si>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</si>
  <si>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</si>
  <si>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</si>
  <si>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</si>
  <si>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</si>
  <si>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</si>
  <si>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</si>
  <si>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</si>
  <si>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</si>
  <si>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</si>
  <si>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CELULAR: 963868755</t>
  </si>
  <si>
    <t>MDF18MM</t>
  </si>
  <si>
    <t xml:space="preserve">IVA </t>
  </si>
  <si>
    <t>CORREO:</t>
  </si>
  <si>
    <t>CUB C/R R8</t>
  </si>
  <si>
    <t>URGENTES</t>
  </si>
  <si>
    <t xml:space="preserve"> CEREZO STOCK</t>
  </si>
  <si>
    <t>ELIAS MUÑOZ</t>
  </si>
  <si>
    <t>569 4493 8359</t>
  </si>
  <si>
    <t>SANTIAGO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</si>
</sst>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13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7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5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0" fontId="11" fillId="8" borderId="28" xfId="0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18" fillId="3" borderId="0" xfId="0" applyFont="1" applyFill="1"/>
    <xf numFmtId="0" fontId="19" fillId="0" borderId="0" xfId="0" quotePrefix="1" applyFont="1"/>
    <xf numFmtId="0" fontId="0" fillId="0" borderId="4" xfId="0" applyBorder="1"/>
    <xf numFmtId="1" fontId="2" fillId="0" borderId="0" xfId="0" applyNumberFormat="1" applyFont="1" applyAlignment="1">
      <alignment horizontal="center"/>
    </xf>
    <xf numFmtId="42" fontId="9" fillId="0" borderId="0" xfId="3" applyFont="1" applyBorder="1" applyAlignment="1">
      <alignment horizontal="center" vertical="center"/>
    </xf>
    <xf numFmtId="14" fontId="10" fillId="4" borderId="0" xfId="0" applyNumberFormat="1" applyFont="1" applyFill="1" applyAlignment="1">
      <alignment horizontal="left"/>
    </xf>
    <xf numFmtId="0" fontId="5" fillId="3" borderId="0" xfId="2" applyFill="1"/>
    <xf numFmtId="1" fontId="9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41" fontId="20" fillId="0" borderId="2" xfId="4" applyFont="1" applyBorder="1" applyAlignment="1">
      <alignment horizontal="center" vertical="center"/>
    </xf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22</xdr:row>
      <xdr:rowOff>23327</xdr:rowOff>
    </xdr:from>
    <xdr:to>
      <xdr:col>5</xdr:col>
      <xdr:colOff>1539552</xdr:colOff>
      <xdr:row>25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42</xdr:row>
      <xdr:rowOff>0</xdr:rowOff>
    </xdr:from>
    <xdr:to>
      <xdr:col>4</xdr:col>
      <xdr:colOff>369336</xdr:colOff>
      <xdr:row>42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44</xdr:row>
      <xdr:rowOff>1</xdr:rowOff>
    </xdr:from>
    <xdr:to>
      <xdr:col>4</xdr:col>
      <xdr:colOff>349897</xdr:colOff>
      <xdr:row>44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15</xdr:row>
      <xdr:rowOff>66674</xdr:rowOff>
    </xdr:from>
    <xdr:to>
      <xdr:col>6</xdr:col>
      <xdr:colOff>2914649</xdr:colOff>
      <xdr:row>17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42</xdr:row>
      <xdr:rowOff>190500</xdr:rowOff>
    </xdr:from>
    <xdr:to>
      <xdr:col>7</xdr:col>
      <xdr:colOff>9524</xdr:colOff>
      <xdr:row>44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39</xdr:row>
      <xdr:rowOff>30479</xdr:rowOff>
    </xdr:from>
    <xdr:to>
      <xdr:col>6</xdr:col>
      <xdr:colOff>2912745</xdr:colOff>
      <xdr:row>40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37</xdr:row>
      <xdr:rowOff>209549</xdr:rowOff>
    </xdr:from>
    <xdr:to>
      <xdr:col>7</xdr:col>
      <xdr:colOff>0</xdr:colOff>
      <xdr:row>39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36</xdr:row>
      <xdr:rowOff>171450</xdr:rowOff>
    </xdr:from>
    <xdr:to>
      <xdr:col>7</xdr:col>
      <xdr:colOff>19050</xdr:colOff>
      <xdr:row>37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50</xdr:row>
      <xdr:rowOff>0</xdr:rowOff>
    </xdr:from>
    <xdr:to>
      <xdr:col>3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50</xdr:row>
      <xdr:rowOff>0</xdr:rowOff>
    </xdr:from>
    <xdr:to>
      <xdr:col>3</xdr:col>
      <xdr:colOff>1019175</xdr:colOff>
      <xdr:row>51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50</xdr:row>
      <xdr:rowOff>0</xdr:rowOff>
    </xdr:from>
    <xdr:to>
      <xdr:col>4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50</xdr:row>
      <xdr:rowOff>0</xdr:rowOff>
    </xdr:from>
    <xdr:to>
      <xdr:col>5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50</xdr:row>
      <xdr:rowOff>0</xdr:rowOff>
    </xdr:from>
    <xdr:to>
      <xdr:col>6</xdr:col>
      <xdr:colOff>447675</xdr:colOff>
      <xdr:row>51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50</xdr:row>
      <xdr:rowOff>0</xdr:rowOff>
    </xdr:from>
    <xdr:to>
      <xdr:col>7</xdr:col>
      <xdr:colOff>0</xdr:colOff>
      <xdr:row>51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51</xdr:row>
      <xdr:rowOff>0</xdr:rowOff>
    </xdr:from>
    <xdr:to>
      <xdr:col>3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51</xdr:row>
      <xdr:rowOff>0</xdr:rowOff>
    </xdr:from>
    <xdr:to>
      <xdr:col>3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51</xdr:row>
      <xdr:rowOff>0</xdr:rowOff>
    </xdr:from>
    <xdr:to>
      <xdr:col>4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51</xdr:row>
      <xdr:rowOff>0</xdr:rowOff>
    </xdr:from>
    <xdr:to>
      <xdr:col>5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51</xdr:row>
      <xdr:rowOff>0</xdr:rowOff>
    </xdr:from>
    <xdr:to>
      <xdr:col>6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51</xdr:row>
      <xdr:rowOff>0</xdr:rowOff>
    </xdr:from>
    <xdr:to>
      <xdr:col>7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1158240</xdr:colOff>
      <xdr:row>27</xdr:row>
      <xdr:rowOff>220979</xdr:rowOff>
    </xdr:from>
    <xdr:to>
      <xdr:col>6</xdr:col>
      <xdr:colOff>2971800</xdr:colOff>
      <xdr:row>32</xdr:row>
      <xdr:rowOff>167640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950720" y="5798819"/>
          <a:ext cx="8023860" cy="10896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CORTAR A LA MEDIDA Y ENCHAPAR CON REGRUESO AMBOS LADOD DE 15MM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22</xdr:row>
      <xdr:rowOff>1</xdr:rowOff>
    </xdr:from>
    <xdr:to>
      <xdr:col>7</xdr:col>
      <xdr:colOff>19048</xdr:colOff>
      <xdr:row>23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53</xdr:row>
      <xdr:rowOff>32385</xdr:rowOff>
    </xdr:from>
    <xdr:to>
      <xdr:col>7</xdr:col>
      <xdr:colOff>0</xdr:colOff>
      <xdr:row>57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</a:t>
          </a:r>
          <a:r>
            <a:rPr lang="es-CL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CORTAR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LA MEDIDA Y ENCHAPAR CON REGRUESO INTERIOR DE 15MM AMBOS LADOS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36</xdr:row>
      <xdr:rowOff>146685</xdr:rowOff>
    </xdr:from>
    <xdr:to>
      <xdr:col>2</xdr:col>
      <xdr:colOff>786523</xdr:colOff>
      <xdr:row>42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59</xdr:row>
      <xdr:rowOff>0</xdr:rowOff>
    </xdr:from>
    <xdr:to>
      <xdr:col>4</xdr:col>
      <xdr:colOff>304800</xdr:colOff>
      <xdr:row>60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8"/>
  <sheetViews>
    <sheetView topLeftCell="A5" zoomScale="98" zoomScaleNormal="98" workbookViewId="0">
      <selection activeCell="C17" sqref="C17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9.21875" customWidth="1"/>
    <col min="4" max="4" width="9.88671875" customWidth="1"/>
    <col min="5" max="5" width="8.6640625" customWidth="1"/>
    <col min="6" max="6" width="28.109375" customWidth="1"/>
    <col min="7" max="7" width="14.6640625" customWidth="1"/>
    <col min="8" max="8" width="14.88671875" customWidth="1"/>
  </cols>
  <sheetData>
    <row r="1" spans="1:17" ht="18" x14ac:dyDescent="0.35">
      <c r="A1" s="29"/>
      <c r="B1" s="29"/>
      <c r="C1" s="29"/>
      <c r="D1" s="29"/>
      <c r="E1" s="29"/>
      <c r="F1" s="29"/>
      <c r="G1" s="29"/>
      <c r="H1" s="29"/>
      <c r="I1" s="29"/>
    </row>
    <row r="2" spans="1:17" ht="18" x14ac:dyDescent="0.35">
      <c r="A2" s="29"/>
      <c r="B2" s="29"/>
      <c r="C2" s="29"/>
      <c r="D2" s="29"/>
      <c r="E2" s="29"/>
      <c r="F2" s="30" t="s">
        <v>115</v>
      </c>
      <c r="G2" s="29"/>
      <c r="H2" s="29"/>
      <c r="I2" s="29"/>
    </row>
    <row r="3" spans="1:17" ht="18" x14ac:dyDescent="0.35">
      <c r="A3" s="29"/>
      <c r="B3" s="29"/>
      <c r="C3" s="29"/>
      <c r="D3" s="29"/>
      <c r="E3" s="29"/>
      <c r="F3" s="29" t="s">
        <v>116</v>
      </c>
      <c r="G3" s="29"/>
      <c r="H3" s="29"/>
      <c r="I3" s="29"/>
    </row>
    <row r="4" spans="1:17" ht="18" x14ac:dyDescent="0.35">
      <c r="A4" s="29"/>
      <c r="B4" s="29"/>
      <c r="C4" s="29"/>
      <c r="D4" s="29"/>
      <c r="E4" s="29"/>
      <c r="F4" s="29" t="s">
        <v>117</v>
      </c>
      <c r="G4" s="29"/>
      <c r="H4" s="29"/>
      <c r="I4" s="29"/>
    </row>
    <row r="5" spans="1:17" ht="18" x14ac:dyDescent="0.35">
      <c r="A5" s="29"/>
      <c r="B5" s="29"/>
      <c r="C5" s="29"/>
      <c r="D5" s="29"/>
      <c r="E5" s="29"/>
      <c r="F5" s="29" t="s">
        <v>0</v>
      </c>
      <c r="G5" s="29"/>
      <c r="H5" s="29"/>
      <c r="I5" s="29"/>
    </row>
    <row r="6" spans="1:17" ht="18" x14ac:dyDescent="0.35">
      <c r="A6" s="29"/>
      <c r="B6" s="29"/>
      <c r="C6" s="29"/>
      <c r="D6" s="29"/>
      <c r="E6" s="29"/>
      <c r="F6" s="29" t="s">
        <v>134</v>
      </c>
      <c r="G6" s="29"/>
      <c r="H6" s="29"/>
      <c r="I6" s="29"/>
    </row>
    <row r="7" spans="1:17" ht="18.600000000000001" thickBot="1" x14ac:dyDescent="0.4">
      <c r="A7" s="29"/>
      <c r="B7" s="29"/>
      <c r="C7" s="29"/>
      <c r="D7" s="29"/>
      <c r="E7" s="29"/>
      <c r="F7" s="29" t="s">
        <v>12</v>
      </c>
      <c r="G7" s="29"/>
      <c r="H7" s="29"/>
      <c r="I7" s="29"/>
    </row>
    <row r="8" spans="1:17" ht="18.600000000000001" thickBot="1" x14ac:dyDescent="0.4">
      <c r="A8" s="29"/>
      <c r="B8" s="31" t="s">
        <v>14</v>
      </c>
      <c r="C8" s="32"/>
      <c r="D8" s="33"/>
      <c r="E8" s="29"/>
      <c r="F8" s="34" t="s">
        <v>24</v>
      </c>
      <c r="G8" s="35">
        <v>4205</v>
      </c>
      <c r="H8" s="29"/>
      <c r="I8" s="29"/>
    </row>
    <row r="9" spans="1:17" ht="18.600000000000001" thickBot="1" x14ac:dyDescent="0.4">
      <c r="A9" s="29"/>
      <c r="B9" s="29"/>
      <c r="C9" s="29"/>
      <c r="D9" s="29"/>
      <c r="E9" s="29"/>
      <c r="F9" s="29"/>
      <c r="G9" s="29"/>
      <c r="H9" s="29"/>
      <c r="I9" s="29"/>
    </row>
    <row r="10" spans="1:17" ht="18" x14ac:dyDescent="0.35">
      <c r="A10" s="29"/>
      <c r="B10" s="36" t="s">
        <v>124</v>
      </c>
      <c r="C10" s="113" t="s">
        <v>141</v>
      </c>
      <c r="D10" s="37"/>
      <c r="E10" s="37"/>
      <c r="F10" s="38" t="s">
        <v>25</v>
      </c>
      <c r="G10" s="39">
        <v>45915</v>
      </c>
      <c r="H10" s="40"/>
      <c r="I10" s="29"/>
      <c r="J10" s="1"/>
      <c r="K10" s="1"/>
      <c r="L10" s="1"/>
      <c r="M10" s="1"/>
      <c r="N10" s="1"/>
      <c r="O10" s="1"/>
      <c r="P10" s="1"/>
      <c r="Q10" s="1"/>
    </row>
    <row r="11" spans="1:17" ht="18" x14ac:dyDescent="0.35">
      <c r="A11" s="29"/>
      <c r="B11" s="41" t="s">
        <v>2</v>
      </c>
      <c r="C11" s="29"/>
      <c r="D11" s="42"/>
      <c r="E11" s="42"/>
      <c r="F11" s="42" t="s">
        <v>119</v>
      </c>
      <c r="G11" s="116" t="s">
        <v>139</v>
      </c>
      <c r="H11" s="43"/>
      <c r="I11" s="29"/>
    </row>
    <row r="12" spans="1:17" ht="18" x14ac:dyDescent="0.35">
      <c r="A12" s="29"/>
      <c r="B12" s="44" t="s">
        <v>125</v>
      </c>
      <c r="C12" s="29"/>
      <c r="D12" s="45"/>
      <c r="E12" s="45"/>
      <c r="F12" s="45" t="s">
        <v>26</v>
      </c>
      <c r="G12" s="46"/>
      <c r="H12" s="47"/>
      <c r="I12" s="29"/>
    </row>
    <row r="13" spans="1:17" ht="18" x14ac:dyDescent="0.35">
      <c r="A13" s="29"/>
      <c r="B13" s="44" t="s">
        <v>137</v>
      </c>
      <c r="C13" s="117"/>
      <c r="D13" s="45"/>
      <c r="E13" s="45"/>
      <c r="F13" s="45" t="s">
        <v>123</v>
      </c>
      <c r="G13" s="46" t="s">
        <v>132</v>
      </c>
      <c r="H13" s="47"/>
      <c r="I13" s="29"/>
    </row>
    <row r="14" spans="1:17" ht="18" x14ac:dyDescent="0.35">
      <c r="A14" s="29"/>
      <c r="B14" s="41" t="s">
        <v>15</v>
      </c>
      <c r="C14" s="112" t="s">
        <v>142</v>
      </c>
      <c r="D14" s="48"/>
      <c r="E14" s="42"/>
      <c r="F14" s="42"/>
      <c r="G14" s="42"/>
      <c r="H14" s="43"/>
      <c r="I14" s="29"/>
    </row>
    <row r="15" spans="1:17" ht="18.600000000000001" x14ac:dyDescent="0.4">
      <c r="A15" s="29"/>
      <c r="B15" s="44" t="s">
        <v>1</v>
      </c>
      <c r="C15" s="111"/>
      <c r="D15" s="45"/>
      <c r="E15" s="45"/>
      <c r="F15" s="49" t="s">
        <v>71</v>
      </c>
      <c r="G15" s="49" t="s">
        <v>127</v>
      </c>
      <c r="H15" s="47"/>
      <c r="I15" s="29"/>
    </row>
    <row r="16" spans="1:17" ht="18.600000000000001" thickBot="1" x14ac:dyDescent="0.4">
      <c r="A16" s="29"/>
      <c r="B16" s="50" t="s">
        <v>3</v>
      </c>
      <c r="C16" s="51" t="s">
        <v>143</v>
      </c>
      <c r="D16" s="52"/>
      <c r="E16" s="53"/>
      <c r="F16" s="122" t="s">
        <v>16</v>
      </c>
      <c r="G16" s="122"/>
      <c r="H16" s="123"/>
      <c r="I16" s="29"/>
    </row>
    <row r="17" spans="1:16" ht="18" x14ac:dyDescent="0.35">
      <c r="A17" s="29"/>
      <c r="B17" s="29"/>
      <c r="C17" s="29"/>
      <c r="D17" s="29"/>
      <c r="E17" s="29"/>
      <c r="F17" s="29"/>
      <c r="G17" s="29"/>
      <c r="H17" s="29"/>
      <c r="I17" s="29"/>
    </row>
    <row r="18" spans="1:16" ht="18.600000000000001" thickBot="1" x14ac:dyDescent="0.4">
      <c r="A18" s="29"/>
      <c r="B18" s="29"/>
      <c r="C18" s="29"/>
      <c r="D18" s="29"/>
      <c r="E18" s="29"/>
      <c r="F18" s="29"/>
      <c r="G18" s="29"/>
      <c r="H18" s="29"/>
      <c r="I18" s="29"/>
    </row>
    <row r="19" spans="1:16" ht="20.100000000000001" customHeight="1" thickBot="1" x14ac:dyDescent="0.4">
      <c r="A19" s="29"/>
      <c r="B19" s="124" t="s">
        <v>17</v>
      </c>
      <c r="C19" s="125"/>
      <c r="D19" s="125"/>
      <c r="E19" s="125"/>
      <c r="F19" s="125"/>
      <c r="G19" s="125"/>
      <c r="H19" s="126"/>
      <c r="I19" s="29"/>
    </row>
    <row r="20" spans="1:16" ht="20.100000000000001" customHeight="1" x14ac:dyDescent="0.35">
      <c r="A20" s="29"/>
      <c r="B20" s="54" t="s">
        <v>126</v>
      </c>
      <c r="C20" s="108" t="s">
        <v>18</v>
      </c>
      <c r="D20" s="108" t="s">
        <v>19</v>
      </c>
      <c r="E20" s="108" t="s">
        <v>7</v>
      </c>
      <c r="F20" s="109" t="s">
        <v>20</v>
      </c>
      <c r="G20" s="54" t="s">
        <v>21</v>
      </c>
      <c r="H20" s="109" t="s">
        <v>4</v>
      </c>
      <c r="I20" s="29"/>
    </row>
    <row r="21" spans="1:16" ht="20.100000000000001" customHeight="1" x14ac:dyDescent="0.35">
      <c r="A21" s="29"/>
      <c r="B21" s="119">
        <v>1</v>
      </c>
      <c r="C21" s="119" t="s">
        <v>138</v>
      </c>
      <c r="D21" s="118">
        <v>1500</v>
      </c>
      <c r="E21" s="118">
        <v>600</v>
      </c>
      <c r="F21" s="119" t="s">
        <v>140</v>
      </c>
      <c r="G21" s="121">
        <v>66000</v>
      </c>
      <c r="H21" s="120">
        <f>G21*B21</f>
        <v>66000</v>
      </c>
      <c r="I21" s="29"/>
      <c r="K21" s="11"/>
      <c r="L21" s="15"/>
      <c r="M21" s="11"/>
      <c r="N21" s="11"/>
      <c r="O21" s="15"/>
      <c r="P21" s="21"/>
    </row>
    <row r="22" spans="1:16" ht="20.100000000000001" customHeight="1" thickBot="1" x14ac:dyDescent="0.4">
      <c r="A22" s="29"/>
      <c r="B22" s="99"/>
      <c r="C22" s="99"/>
      <c r="D22" s="107"/>
      <c r="E22" s="107"/>
      <c r="F22" s="99"/>
      <c r="G22" s="101"/>
      <c r="H22" s="101"/>
      <c r="I22" s="29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29"/>
      <c r="B23" s="99"/>
      <c r="C23" s="99"/>
      <c r="D23" s="107"/>
      <c r="E23" s="107"/>
      <c r="F23" s="99"/>
      <c r="G23" s="57" t="s">
        <v>5</v>
      </c>
      <c r="H23" s="58">
        <f>SUM(H21:H22)</f>
        <v>66000</v>
      </c>
      <c r="I23" s="29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29"/>
      <c r="B24" s="99"/>
      <c r="C24" s="99"/>
      <c r="D24" s="107"/>
      <c r="E24" s="107"/>
      <c r="F24" s="99"/>
      <c r="G24" s="59" t="s">
        <v>136</v>
      </c>
      <c r="H24" s="60"/>
      <c r="I24" s="29"/>
      <c r="K24" s="11"/>
      <c r="L24" s="15"/>
      <c r="M24" s="11"/>
      <c r="N24" s="11"/>
      <c r="O24" s="15"/>
      <c r="P24" s="21"/>
    </row>
    <row r="25" spans="1:16" ht="20.100000000000001" customHeight="1" thickBot="1" x14ac:dyDescent="0.4">
      <c r="A25" s="29"/>
      <c r="B25" s="99"/>
      <c r="C25" s="99"/>
      <c r="D25" s="107"/>
      <c r="E25" s="107"/>
      <c r="F25" s="99"/>
      <c r="G25" s="61" t="s">
        <v>4</v>
      </c>
      <c r="H25" s="62">
        <f>H23+H24</f>
        <v>66000</v>
      </c>
      <c r="I25" s="29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29"/>
      <c r="B26" s="99"/>
      <c r="C26" s="99"/>
      <c r="D26" s="107"/>
      <c r="E26" s="107"/>
      <c r="F26" s="99"/>
      <c r="I26" s="29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29"/>
      <c r="B27" s="99"/>
      <c r="C27" s="99"/>
      <c r="D27" s="107"/>
      <c r="E27" s="107"/>
      <c r="F27" s="99"/>
      <c r="G27" s="101"/>
      <c r="H27" s="101"/>
      <c r="I27" s="29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29"/>
      <c r="B28" s="99"/>
      <c r="C28" s="99"/>
      <c r="D28" s="107"/>
      <c r="E28" s="107"/>
      <c r="F28" s="99"/>
      <c r="G28" s="101"/>
      <c r="H28" s="101"/>
      <c r="I28" s="29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29"/>
      <c r="B29" s="99"/>
      <c r="C29" s="99"/>
      <c r="D29" s="100"/>
      <c r="E29" s="100"/>
      <c r="F29" s="99"/>
      <c r="G29" s="101"/>
      <c r="H29" s="101"/>
      <c r="I29" s="29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29"/>
      <c r="B30" s="99"/>
      <c r="C30" s="99"/>
      <c r="D30" s="100"/>
      <c r="E30" s="100"/>
      <c r="F30" s="99"/>
      <c r="G30" s="101"/>
      <c r="H30" s="101"/>
      <c r="I30" s="29"/>
      <c r="K30" s="11"/>
      <c r="L30" s="15"/>
      <c r="M30" s="11"/>
      <c r="N30" s="11"/>
      <c r="O30" s="15"/>
      <c r="P30" s="21"/>
    </row>
    <row r="31" spans="1:16" ht="13.2" customHeight="1" x14ac:dyDescent="0.35">
      <c r="A31" s="29"/>
      <c r="B31" s="56"/>
      <c r="C31" s="56"/>
      <c r="D31" s="56"/>
      <c r="E31" s="56"/>
      <c r="F31" s="56"/>
      <c r="G31" s="55"/>
      <c r="H31" s="55"/>
      <c r="I31" s="29"/>
    </row>
    <row r="32" spans="1:16" ht="20.100000000000001" customHeight="1" x14ac:dyDescent="0.35">
      <c r="A32" s="29"/>
      <c r="B32" s="29"/>
      <c r="C32" s="29"/>
      <c r="D32" s="29"/>
      <c r="E32" s="29"/>
      <c r="F32" s="29"/>
      <c r="I32" s="29"/>
    </row>
    <row r="33" spans="1:9" ht="20.100000000000001" customHeight="1" x14ac:dyDescent="0.35">
      <c r="A33" s="29"/>
      <c r="B33" s="29"/>
      <c r="C33" s="29"/>
      <c r="D33" s="29"/>
      <c r="E33" s="29"/>
      <c r="F33" s="29"/>
      <c r="I33" s="29"/>
    </row>
    <row r="34" spans="1:9" ht="20.100000000000001" customHeight="1" x14ac:dyDescent="0.35">
      <c r="A34" s="29"/>
      <c r="B34" s="29"/>
      <c r="C34" s="29"/>
      <c r="D34" s="29"/>
      <c r="E34" s="29"/>
      <c r="F34" s="29"/>
      <c r="I34" s="29"/>
    </row>
    <row r="35" spans="1:9" ht="20.100000000000001" customHeight="1" x14ac:dyDescent="0.35">
      <c r="A35" s="29"/>
      <c r="B35" s="29"/>
      <c r="C35" s="29"/>
      <c r="D35" s="29"/>
      <c r="E35" s="29"/>
      <c r="F35" s="29"/>
      <c r="G35" s="63"/>
      <c r="H35" s="64"/>
      <c r="I35" s="29"/>
    </row>
    <row r="36" spans="1:9" ht="18" x14ac:dyDescent="0.35">
      <c r="A36" s="29"/>
      <c r="B36" s="29"/>
      <c r="C36" s="29"/>
      <c r="D36" s="29"/>
      <c r="E36" s="29"/>
      <c r="F36" s="29"/>
      <c r="G36" s="29"/>
      <c r="H36" s="29"/>
      <c r="I36" s="29"/>
    </row>
    <row r="37" spans="1:9" ht="18" x14ac:dyDescent="0.35">
      <c r="A37" s="29"/>
      <c r="B37" s="65" t="s">
        <v>131</v>
      </c>
      <c r="C37" s="66"/>
      <c r="D37" s="67"/>
      <c r="E37" s="67"/>
      <c r="F37" s="56"/>
      <c r="G37" s="29"/>
      <c r="H37" s="29"/>
      <c r="I37" s="29"/>
    </row>
    <row r="38" spans="1:9" ht="18" x14ac:dyDescent="0.35">
      <c r="A38" s="29"/>
      <c r="B38" s="65" t="s">
        <v>118</v>
      </c>
      <c r="C38" s="66"/>
      <c r="D38" s="67"/>
      <c r="E38" s="67"/>
      <c r="F38" s="56"/>
      <c r="G38" s="29"/>
      <c r="H38" s="29"/>
      <c r="I38" s="29"/>
    </row>
    <row r="39" spans="1:9" ht="18" x14ac:dyDescent="0.35">
      <c r="A39" s="29"/>
      <c r="B39" s="29" t="s">
        <v>22</v>
      </c>
      <c r="C39" s="29"/>
      <c r="D39" s="29"/>
      <c r="E39" s="29"/>
      <c r="F39" s="29"/>
      <c r="G39" s="29"/>
      <c r="H39" s="29"/>
      <c r="I39" s="29"/>
    </row>
    <row r="40" spans="1:9" ht="18" x14ac:dyDescent="0.35">
      <c r="A40" s="29"/>
      <c r="B40" s="68" t="s">
        <v>23</v>
      </c>
      <c r="C40" s="68"/>
      <c r="D40" s="29"/>
      <c r="E40" s="29"/>
      <c r="F40" s="29"/>
      <c r="G40" s="29"/>
      <c r="H40" s="29"/>
      <c r="I40" s="29"/>
    </row>
    <row r="41" spans="1:9" ht="18" x14ac:dyDescent="0.35">
      <c r="A41" s="29"/>
      <c r="B41" s="29"/>
      <c r="C41" s="29"/>
      <c r="D41" s="29"/>
      <c r="E41" s="68"/>
      <c r="F41" s="29"/>
      <c r="G41" s="29"/>
      <c r="H41" s="29"/>
      <c r="I41" s="29"/>
    </row>
    <row r="42" spans="1:9" ht="18" x14ac:dyDescent="0.35">
      <c r="A42" s="29"/>
      <c r="B42" s="30" t="s">
        <v>129</v>
      </c>
      <c r="C42" s="30"/>
      <c r="D42" s="30"/>
      <c r="E42" s="69"/>
      <c r="F42" s="29"/>
      <c r="G42" s="29"/>
      <c r="H42" s="29"/>
      <c r="I42" s="29"/>
    </row>
    <row r="43" spans="1:9" ht="18" x14ac:dyDescent="0.35">
      <c r="A43" s="29"/>
      <c r="B43" s="30"/>
      <c r="C43" s="30"/>
      <c r="D43" s="30"/>
      <c r="E43" s="69"/>
      <c r="F43" s="29"/>
      <c r="G43" s="29"/>
      <c r="H43" s="29"/>
      <c r="I43" s="29"/>
    </row>
    <row r="44" spans="1:9" ht="18" x14ac:dyDescent="0.35">
      <c r="A44" s="29"/>
      <c r="B44" s="30" t="s">
        <v>130</v>
      </c>
      <c r="C44" s="29"/>
      <c r="D44" s="29"/>
      <c r="E44" s="68"/>
      <c r="F44" s="29"/>
      <c r="G44" s="29"/>
      <c r="H44" s="29"/>
      <c r="I44" s="29"/>
    </row>
    <row r="45" spans="1:9" ht="18" x14ac:dyDescent="0.35">
      <c r="A45" s="29"/>
      <c r="B45" s="29"/>
      <c r="C45" s="29"/>
      <c r="D45" s="29"/>
      <c r="E45" s="68"/>
      <c r="F45" s="29"/>
      <c r="G45" s="29"/>
      <c r="H45" s="29"/>
      <c r="I45" s="29"/>
    </row>
    <row r="46" spans="1:9" ht="18" x14ac:dyDescent="0.35">
      <c r="A46" s="29"/>
      <c r="B46" s="29"/>
      <c r="C46" s="29"/>
      <c r="D46" s="29"/>
      <c r="E46" s="29"/>
      <c r="F46" s="29"/>
      <c r="G46" s="29"/>
      <c r="H46" s="29"/>
      <c r="I46" s="29"/>
    </row>
    <row r="47" spans="1:9" ht="18" x14ac:dyDescent="0.35">
      <c r="A47" s="29"/>
      <c r="B47" s="29"/>
      <c r="C47" s="29"/>
      <c r="D47" s="29"/>
      <c r="E47" s="29"/>
      <c r="F47" s="29"/>
      <c r="G47" s="29"/>
      <c r="H47" s="29"/>
      <c r="I47" s="29"/>
    </row>
    <row r="48" spans="1:9" ht="15.6" x14ac:dyDescent="0.3">
      <c r="C48" s="1"/>
    </row>
  </sheetData>
  <sortState xmlns:xlrd2="http://schemas.microsoft.com/office/spreadsheetml/2017/richdata2" ref="B49">
    <sortCondition sortBy="fontColor" ref="B49" dxfId="0"/>
  </sortState>
  <mergeCells count="2">
    <mergeCell ref="F16:H16"/>
    <mergeCell ref="B19:H19"/>
  </mergeCells>
  <phoneticPr fontId="8" type="noConversion"/>
  <hyperlinks>
    <hyperlink ref="B40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7" t="s">
        <v>27</v>
      </c>
      <c r="C2" s="127"/>
      <c r="D2" s="127"/>
      <c r="E2" s="12"/>
      <c r="G2" s="127" t="s">
        <v>66</v>
      </c>
      <c r="H2" s="127"/>
      <c r="I2" s="127"/>
      <c r="P2" s="128" t="s">
        <v>54</v>
      </c>
      <c r="Q2" s="128"/>
      <c r="R2" s="128"/>
    </row>
    <row r="3" spans="2:18" x14ac:dyDescent="0.3">
      <c r="B3" s="9" t="s">
        <v>6</v>
      </c>
      <c r="C3" s="9" t="s">
        <v>7</v>
      </c>
      <c r="D3" s="9" t="s">
        <v>18</v>
      </c>
      <c r="E3" s="13"/>
      <c r="G3" s="9" t="s">
        <v>6</v>
      </c>
      <c r="H3" s="9" t="s">
        <v>7</v>
      </c>
      <c r="I3" s="9" t="s">
        <v>18</v>
      </c>
      <c r="P3" s="9" t="s">
        <v>6</v>
      </c>
      <c r="Q3" s="9" t="s">
        <v>7</v>
      </c>
      <c r="R3" s="9" t="s">
        <v>18</v>
      </c>
    </row>
    <row r="4" spans="2:18" x14ac:dyDescent="0.3">
      <c r="B4" s="7">
        <v>40</v>
      </c>
      <c r="C4" s="7">
        <v>60</v>
      </c>
      <c r="D4" s="8" t="s">
        <v>109</v>
      </c>
      <c r="E4" s="6" t="s">
        <v>97</v>
      </c>
      <c r="G4" s="18">
        <v>50</v>
      </c>
      <c r="H4" s="18">
        <v>100</v>
      </c>
      <c r="I4" s="19" t="s">
        <v>109</v>
      </c>
      <c r="J4" s="20" t="s">
        <v>105</v>
      </c>
      <c r="K4" s="20"/>
      <c r="L4" s="20"/>
      <c r="M4" s="20"/>
      <c r="P4">
        <v>50</v>
      </c>
      <c r="Q4">
        <v>-30</v>
      </c>
      <c r="R4" t="s">
        <v>28</v>
      </c>
    </row>
    <row r="5" spans="2:18" x14ac:dyDescent="0.3">
      <c r="B5" s="7">
        <v>40</v>
      </c>
      <c r="C5" s="7">
        <v>90</v>
      </c>
      <c r="D5" s="8" t="s">
        <v>110</v>
      </c>
      <c r="E5" s="6" t="s">
        <v>98</v>
      </c>
      <c r="G5" s="18">
        <v>50</v>
      </c>
      <c r="H5" s="18"/>
      <c r="I5" s="19" t="s">
        <v>111</v>
      </c>
      <c r="J5" s="20" t="s">
        <v>113</v>
      </c>
      <c r="K5" s="20"/>
      <c r="L5" s="20"/>
      <c r="M5" s="20"/>
      <c r="P5">
        <v>50</v>
      </c>
      <c r="Q5">
        <v>-30</v>
      </c>
      <c r="R5" t="s">
        <v>28</v>
      </c>
    </row>
    <row r="6" spans="2:18" x14ac:dyDescent="0.3">
      <c r="B6" s="7">
        <v>40</v>
      </c>
      <c r="C6" s="7">
        <v>100</v>
      </c>
      <c r="D6" s="8" t="s">
        <v>52</v>
      </c>
      <c r="E6" s="6" t="s">
        <v>99</v>
      </c>
      <c r="G6" s="7">
        <v>50</v>
      </c>
      <c r="H6" s="7">
        <v>100</v>
      </c>
      <c r="I6" s="8" t="s">
        <v>52</v>
      </c>
      <c r="P6">
        <v>50</v>
      </c>
      <c r="Q6">
        <v>-30</v>
      </c>
      <c r="R6" t="s">
        <v>30</v>
      </c>
    </row>
    <row r="7" spans="2:18" x14ac:dyDescent="0.3">
      <c r="B7" s="7">
        <v>40</v>
      </c>
      <c r="C7" s="7">
        <v>150</v>
      </c>
      <c r="D7" s="8" t="s">
        <v>53</v>
      </c>
      <c r="E7" s="6" t="s">
        <v>100</v>
      </c>
      <c r="G7" s="7">
        <v>50</v>
      </c>
      <c r="H7" s="7"/>
      <c r="I7" s="8" t="s">
        <v>53</v>
      </c>
      <c r="P7">
        <v>50</v>
      </c>
      <c r="Q7">
        <v>-30</v>
      </c>
      <c r="R7" t="s">
        <v>40</v>
      </c>
    </row>
    <row r="8" spans="2:18" x14ac:dyDescent="0.3">
      <c r="B8" s="7">
        <v>40</v>
      </c>
      <c r="C8" s="7">
        <v>100</v>
      </c>
      <c r="D8" s="8" t="s">
        <v>36</v>
      </c>
      <c r="E8" s="6" t="s">
        <v>101</v>
      </c>
      <c r="G8" s="7">
        <v>50</v>
      </c>
      <c r="H8" s="7">
        <v>100</v>
      </c>
      <c r="I8" s="8" t="s">
        <v>36</v>
      </c>
      <c r="L8" s="128" t="s">
        <v>54</v>
      </c>
      <c r="M8" s="128"/>
      <c r="N8" s="128"/>
      <c r="P8">
        <v>50</v>
      </c>
      <c r="Q8">
        <v>-30</v>
      </c>
      <c r="R8" t="s">
        <v>46</v>
      </c>
    </row>
    <row r="9" spans="2:18" x14ac:dyDescent="0.3">
      <c r="B9" s="7">
        <v>40</v>
      </c>
      <c r="C9" s="7">
        <v>50</v>
      </c>
      <c r="D9" s="8" t="s">
        <v>50</v>
      </c>
      <c r="E9" s="6" t="s">
        <v>72</v>
      </c>
      <c r="G9" s="7">
        <v>50</v>
      </c>
      <c r="H9" s="7">
        <v>100</v>
      </c>
      <c r="I9" s="8" t="s">
        <v>35</v>
      </c>
      <c r="L9" s="9" t="s">
        <v>6</v>
      </c>
      <c r="M9" s="9" t="s">
        <v>7</v>
      </c>
      <c r="N9" s="9" t="s">
        <v>18</v>
      </c>
      <c r="P9">
        <v>50</v>
      </c>
      <c r="Q9">
        <v>0</v>
      </c>
      <c r="R9" t="s">
        <v>41</v>
      </c>
    </row>
    <row r="10" spans="2:18" x14ac:dyDescent="0.3">
      <c r="B10" s="7">
        <v>40</v>
      </c>
      <c r="C10" s="7">
        <v>80</v>
      </c>
      <c r="D10" s="8" t="s">
        <v>51</v>
      </c>
      <c r="E10" s="6" t="s">
        <v>73</v>
      </c>
      <c r="G10" s="7">
        <v>50</v>
      </c>
      <c r="H10" s="7"/>
      <c r="I10" s="8" t="s">
        <v>37</v>
      </c>
      <c r="L10" s="7">
        <v>50</v>
      </c>
      <c r="M10" s="7">
        <v>-30</v>
      </c>
      <c r="N10" s="8" t="s">
        <v>28</v>
      </c>
      <c r="P10">
        <v>50</v>
      </c>
      <c r="Q10">
        <v>0</v>
      </c>
      <c r="R10" t="s">
        <v>29</v>
      </c>
    </row>
    <row r="11" spans="2:18" x14ac:dyDescent="0.3">
      <c r="B11" s="7">
        <v>40</v>
      </c>
      <c r="C11" s="7">
        <v>60</v>
      </c>
      <c r="D11" s="8" t="s">
        <v>67</v>
      </c>
      <c r="E11" s="6" t="s">
        <v>74</v>
      </c>
      <c r="G11" s="7">
        <v>50</v>
      </c>
      <c r="H11" s="7">
        <v>100</v>
      </c>
      <c r="I11" s="8" t="s">
        <v>50</v>
      </c>
      <c r="L11" s="7">
        <v>50</v>
      </c>
      <c r="M11" s="7">
        <v>0</v>
      </c>
      <c r="N11" s="8" t="s">
        <v>55</v>
      </c>
      <c r="P11">
        <v>50</v>
      </c>
      <c r="Q11">
        <v>0</v>
      </c>
      <c r="R11" t="s">
        <v>32</v>
      </c>
    </row>
    <row r="12" spans="2:18" x14ac:dyDescent="0.3">
      <c r="B12" s="7">
        <v>40</v>
      </c>
      <c r="C12" s="7">
        <v>100</v>
      </c>
      <c r="D12" s="8" t="s">
        <v>68</v>
      </c>
      <c r="E12" s="6" t="s">
        <v>75</v>
      </c>
      <c r="G12" s="7">
        <v>50</v>
      </c>
      <c r="H12" s="7"/>
      <c r="I12" s="8" t="s">
        <v>51</v>
      </c>
      <c r="L12" s="7">
        <v>50</v>
      </c>
      <c r="M12" s="7">
        <v>-2</v>
      </c>
      <c r="N12" s="8" t="s">
        <v>56</v>
      </c>
      <c r="P12">
        <v>50</v>
      </c>
      <c r="Q12">
        <v>0</v>
      </c>
      <c r="R12" t="s">
        <v>33</v>
      </c>
    </row>
    <row r="13" spans="2:18" x14ac:dyDescent="0.3">
      <c r="B13" s="7">
        <v>40</v>
      </c>
      <c r="C13" s="7">
        <v>130</v>
      </c>
      <c r="D13" s="8" t="s">
        <v>122</v>
      </c>
      <c r="E13" s="6" t="s">
        <v>76</v>
      </c>
      <c r="G13" s="7">
        <v>50</v>
      </c>
      <c r="H13" s="7">
        <v>-30</v>
      </c>
      <c r="I13" s="8" t="s">
        <v>28</v>
      </c>
      <c r="P13">
        <v>50</v>
      </c>
      <c r="Q13">
        <v>0</v>
      </c>
      <c r="R13" t="s">
        <v>34</v>
      </c>
    </row>
    <row r="14" spans="2:18" x14ac:dyDescent="0.3">
      <c r="B14" s="7">
        <v>40</v>
      </c>
      <c r="C14" s="7">
        <v>150</v>
      </c>
      <c r="D14" s="8" t="s">
        <v>30</v>
      </c>
      <c r="E14" s="6"/>
      <c r="G14" s="7">
        <v>50</v>
      </c>
      <c r="H14" s="7">
        <v>-30</v>
      </c>
      <c r="I14" s="8" t="s">
        <v>30</v>
      </c>
    </row>
    <row r="15" spans="2:18" x14ac:dyDescent="0.3">
      <c r="B15" s="7">
        <v>40</v>
      </c>
      <c r="C15" s="7">
        <v>150</v>
      </c>
      <c r="D15" s="8" t="s">
        <v>112</v>
      </c>
      <c r="E15" s="6" t="s">
        <v>77</v>
      </c>
      <c r="G15" s="7">
        <v>50</v>
      </c>
      <c r="H15" s="7">
        <v>-30</v>
      </c>
      <c r="I15" s="8" t="s">
        <v>40</v>
      </c>
      <c r="P15">
        <v>50</v>
      </c>
      <c r="Q15">
        <v>0</v>
      </c>
      <c r="R15" t="s">
        <v>31</v>
      </c>
    </row>
    <row r="16" spans="2:18" x14ac:dyDescent="0.3">
      <c r="B16" s="7">
        <v>40</v>
      </c>
      <c r="C16" s="7">
        <v>130</v>
      </c>
      <c r="D16" s="8" t="s">
        <v>102</v>
      </c>
      <c r="E16" s="6" t="s">
        <v>78</v>
      </c>
      <c r="G16" s="7">
        <v>50</v>
      </c>
      <c r="H16" s="7">
        <v>-30</v>
      </c>
      <c r="I16" s="8" t="s">
        <v>70</v>
      </c>
      <c r="P16">
        <v>50</v>
      </c>
      <c r="Q16">
        <v>0</v>
      </c>
      <c r="R16" t="s">
        <v>42</v>
      </c>
    </row>
    <row r="17" spans="2:18" x14ac:dyDescent="0.3">
      <c r="B17" s="7">
        <v>40</v>
      </c>
      <c r="C17" s="7">
        <v>150</v>
      </c>
      <c r="D17" s="8" t="s">
        <v>32</v>
      </c>
      <c r="E17" s="6" t="s">
        <v>79</v>
      </c>
      <c r="G17" s="7">
        <v>50</v>
      </c>
      <c r="H17" s="7"/>
      <c r="I17" s="8" t="s">
        <v>32</v>
      </c>
      <c r="P17">
        <v>50</v>
      </c>
      <c r="Q17">
        <v>0</v>
      </c>
      <c r="R17" t="s">
        <v>43</v>
      </c>
    </row>
    <row r="18" spans="2:18" x14ac:dyDescent="0.3">
      <c r="B18" s="7">
        <v>140</v>
      </c>
      <c r="C18" s="7">
        <v>150</v>
      </c>
      <c r="D18" s="8" t="s">
        <v>33</v>
      </c>
      <c r="E18" s="6" t="s">
        <v>80</v>
      </c>
      <c r="G18" s="7">
        <v>50</v>
      </c>
      <c r="H18" s="7"/>
      <c r="I18" s="8" t="s">
        <v>33</v>
      </c>
      <c r="P18">
        <v>50</v>
      </c>
      <c r="Q18">
        <v>0</v>
      </c>
      <c r="R18" t="s">
        <v>44</v>
      </c>
    </row>
    <row r="19" spans="2:18" x14ac:dyDescent="0.3">
      <c r="B19" s="7">
        <v>150</v>
      </c>
      <c r="C19" s="7">
        <v>150</v>
      </c>
      <c r="D19" s="8" t="s">
        <v>34</v>
      </c>
      <c r="E19" s="6" t="s">
        <v>81</v>
      </c>
      <c r="G19" s="7">
        <v>50</v>
      </c>
      <c r="H19" s="7"/>
      <c r="I19" s="8" t="s">
        <v>34</v>
      </c>
      <c r="P19">
        <v>50</v>
      </c>
      <c r="Q19">
        <v>0</v>
      </c>
      <c r="R19" t="s">
        <v>47</v>
      </c>
    </row>
    <row r="20" spans="2:18" x14ac:dyDescent="0.3">
      <c r="B20" s="7">
        <v>40</v>
      </c>
      <c r="C20" s="7">
        <v>100</v>
      </c>
      <c r="D20" s="8" t="s">
        <v>114</v>
      </c>
      <c r="E20" s="6" t="s">
        <v>82</v>
      </c>
      <c r="G20" s="7">
        <v>50</v>
      </c>
      <c r="H20" s="7">
        <v>0</v>
      </c>
      <c r="I20" s="8" t="s">
        <v>114</v>
      </c>
      <c r="J20" s="20" t="s">
        <v>107</v>
      </c>
      <c r="K20" s="20"/>
      <c r="L20" s="20"/>
      <c r="M20" s="20"/>
      <c r="P20">
        <v>50</v>
      </c>
      <c r="Q20">
        <v>0</v>
      </c>
      <c r="R20" t="s">
        <v>48</v>
      </c>
    </row>
    <row r="21" spans="2:18" x14ac:dyDescent="0.3">
      <c r="B21" s="7">
        <v>100</v>
      </c>
      <c r="C21" s="7">
        <v>100</v>
      </c>
      <c r="D21" s="8" t="s">
        <v>108</v>
      </c>
      <c r="E21" s="6" t="s">
        <v>83</v>
      </c>
      <c r="G21" s="7">
        <v>50</v>
      </c>
      <c r="H21" s="7">
        <v>0</v>
      </c>
      <c r="I21" s="8" t="s">
        <v>108</v>
      </c>
      <c r="P21">
        <v>50</v>
      </c>
      <c r="Q21">
        <v>0</v>
      </c>
      <c r="R21" t="s">
        <v>49</v>
      </c>
    </row>
    <row r="22" spans="2:18" x14ac:dyDescent="0.3">
      <c r="B22" s="7">
        <v>100</v>
      </c>
      <c r="C22" s="7">
        <v>100</v>
      </c>
      <c r="D22" s="8" t="s">
        <v>31</v>
      </c>
      <c r="E22" s="6" t="s">
        <v>84</v>
      </c>
      <c r="G22" s="18"/>
      <c r="H22" s="18"/>
      <c r="I22" s="19" t="s">
        <v>31</v>
      </c>
      <c r="P22">
        <v>50</v>
      </c>
      <c r="Q22">
        <v>0</v>
      </c>
      <c r="R22" t="s">
        <v>45</v>
      </c>
    </row>
    <row r="23" spans="2:18" x14ac:dyDescent="0.3">
      <c r="B23" s="7">
        <v>40</v>
      </c>
      <c r="C23" s="7">
        <v>150</v>
      </c>
      <c r="D23" s="8" t="s">
        <v>42</v>
      </c>
      <c r="E23" s="6" t="s">
        <v>85</v>
      </c>
      <c r="G23" s="7">
        <v>50</v>
      </c>
      <c r="H23" s="7"/>
      <c r="I23" s="8" t="s">
        <v>42</v>
      </c>
      <c r="R23" t="s">
        <v>38</v>
      </c>
    </row>
    <row r="24" spans="2:18" x14ac:dyDescent="0.3">
      <c r="B24" s="7">
        <v>140</v>
      </c>
      <c r="C24" s="7">
        <v>150</v>
      </c>
      <c r="D24" s="8" t="s">
        <v>43</v>
      </c>
      <c r="E24" s="6" t="s">
        <v>86</v>
      </c>
      <c r="G24" s="7">
        <v>50</v>
      </c>
      <c r="H24" s="7"/>
      <c r="I24" s="8" t="s">
        <v>43</v>
      </c>
      <c r="R24" t="s">
        <v>39</v>
      </c>
    </row>
    <row r="25" spans="2:18" x14ac:dyDescent="0.3">
      <c r="B25" s="7">
        <v>150</v>
      </c>
      <c r="C25" s="7">
        <v>150</v>
      </c>
      <c r="D25" s="8" t="s">
        <v>44</v>
      </c>
      <c r="E25" s="6" t="s">
        <v>87</v>
      </c>
      <c r="G25" s="7">
        <v>50</v>
      </c>
      <c r="H25" s="7"/>
      <c r="I25" s="8" t="s">
        <v>44</v>
      </c>
      <c r="R25" t="s">
        <v>52</v>
      </c>
    </row>
    <row r="26" spans="2:18" x14ac:dyDescent="0.3">
      <c r="B26" s="7">
        <v>40</v>
      </c>
      <c r="C26" s="7">
        <v>77</v>
      </c>
      <c r="D26" s="8" t="s">
        <v>47</v>
      </c>
      <c r="E26" s="6" t="s">
        <v>88</v>
      </c>
      <c r="G26" s="7">
        <v>50</v>
      </c>
      <c r="H26" s="7"/>
      <c r="I26" s="8" t="s">
        <v>47</v>
      </c>
      <c r="R26" t="s">
        <v>53</v>
      </c>
    </row>
    <row r="27" spans="2:18" x14ac:dyDescent="0.3">
      <c r="B27" s="7">
        <v>110</v>
      </c>
      <c r="C27" s="7">
        <v>77</v>
      </c>
      <c r="D27" s="8" t="s">
        <v>48</v>
      </c>
      <c r="E27" s="6" t="s">
        <v>89</v>
      </c>
      <c r="G27" s="7">
        <v>50</v>
      </c>
      <c r="H27" s="7"/>
      <c r="I27" s="8" t="s">
        <v>48</v>
      </c>
      <c r="R27" t="s">
        <v>36</v>
      </c>
    </row>
    <row r="28" spans="2:18" x14ac:dyDescent="0.3">
      <c r="B28" s="7">
        <v>120</v>
      </c>
      <c r="C28" s="7">
        <v>77</v>
      </c>
      <c r="D28" s="8" t="s">
        <v>49</v>
      </c>
      <c r="E28" s="6" t="s">
        <v>90</v>
      </c>
      <c r="G28" s="7">
        <v>50</v>
      </c>
      <c r="H28" s="7"/>
      <c r="I28" s="8" t="s">
        <v>49</v>
      </c>
      <c r="R28" t="s">
        <v>35</v>
      </c>
    </row>
    <row r="29" spans="2:18" x14ac:dyDescent="0.3">
      <c r="B29" s="7">
        <v>40</v>
      </c>
      <c r="C29" s="7">
        <v>50</v>
      </c>
      <c r="D29" s="8" t="s">
        <v>45</v>
      </c>
      <c r="E29" s="6" t="s">
        <v>91</v>
      </c>
      <c r="G29" s="7">
        <v>50</v>
      </c>
      <c r="H29" s="7"/>
      <c r="I29" s="8" t="s">
        <v>45</v>
      </c>
      <c r="R29" t="s">
        <v>37</v>
      </c>
    </row>
    <row r="30" spans="2:18" x14ac:dyDescent="0.3">
      <c r="B30" s="7">
        <v>40</v>
      </c>
      <c r="C30" s="7">
        <v>60</v>
      </c>
      <c r="D30" s="8" t="s">
        <v>69</v>
      </c>
      <c r="E30" s="6" t="s">
        <v>92</v>
      </c>
      <c r="G30" s="7">
        <v>50</v>
      </c>
      <c r="H30" s="7"/>
      <c r="I30" s="8" t="s">
        <v>29</v>
      </c>
      <c r="R30" t="s">
        <v>50</v>
      </c>
    </row>
    <row r="31" spans="2:18" x14ac:dyDescent="0.3">
      <c r="B31" s="7">
        <v>40</v>
      </c>
      <c r="C31" s="7">
        <v>100</v>
      </c>
      <c r="D31" s="8" t="s">
        <v>41</v>
      </c>
      <c r="E31" s="6" t="s">
        <v>93</v>
      </c>
      <c r="G31" s="7">
        <v>50</v>
      </c>
      <c r="H31" s="7"/>
      <c r="I31" s="8" t="s">
        <v>41</v>
      </c>
      <c r="R31" t="s">
        <v>51</v>
      </c>
    </row>
    <row r="32" spans="2:18" x14ac:dyDescent="0.3">
      <c r="B32" s="7">
        <v>40</v>
      </c>
      <c r="C32" s="7">
        <v>60</v>
      </c>
      <c r="D32" s="8" t="s">
        <v>104</v>
      </c>
      <c r="E32" s="6" t="s">
        <v>94</v>
      </c>
      <c r="G32" s="7">
        <v>50</v>
      </c>
      <c r="H32" s="7"/>
      <c r="I32" s="8" t="s">
        <v>104</v>
      </c>
      <c r="R32" t="s">
        <v>58</v>
      </c>
    </row>
    <row r="33" spans="2:18" x14ac:dyDescent="0.3">
      <c r="B33" s="7">
        <v>40</v>
      </c>
      <c r="C33" s="7">
        <v>90</v>
      </c>
      <c r="D33" s="8" t="s">
        <v>61</v>
      </c>
      <c r="E33" s="6" t="s">
        <v>95</v>
      </c>
      <c r="G33" s="7">
        <v>50</v>
      </c>
      <c r="H33" s="7">
        <v>-2</v>
      </c>
      <c r="I33" s="8" t="s">
        <v>61</v>
      </c>
      <c r="R33" t="s">
        <v>59</v>
      </c>
    </row>
    <row r="34" spans="2:18" x14ac:dyDescent="0.3">
      <c r="B34" s="7">
        <v>40</v>
      </c>
      <c r="C34" s="7">
        <v>90</v>
      </c>
      <c r="D34" s="8" t="s">
        <v>62</v>
      </c>
      <c r="E34" s="6"/>
      <c r="G34" s="7">
        <v>50</v>
      </c>
      <c r="H34" s="7">
        <v>-2</v>
      </c>
      <c r="I34" s="8" t="s">
        <v>62</v>
      </c>
    </row>
    <row r="35" spans="2:18" x14ac:dyDescent="0.3">
      <c r="B35" s="7">
        <v>40</v>
      </c>
      <c r="C35" s="7">
        <v>90</v>
      </c>
      <c r="D35" s="8" t="s">
        <v>58</v>
      </c>
      <c r="E35" s="6" t="s">
        <v>96</v>
      </c>
      <c r="G35" s="7">
        <v>50</v>
      </c>
      <c r="H35" s="7">
        <v>-2</v>
      </c>
      <c r="I35" s="8" t="s">
        <v>58</v>
      </c>
      <c r="R35" t="s">
        <v>60</v>
      </c>
    </row>
    <row r="36" spans="2:18" x14ac:dyDescent="0.3">
      <c r="B36" s="16">
        <v>40</v>
      </c>
      <c r="C36" s="16">
        <v>90</v>
      </c>
      <c r="D36" s="17" t="s">
        <v>59</v>
      </c>
      <c r="G36" s="7">
        <v>50</v>
      </c>
      <c r="H36" s="7">
        <v>-2</v>
      </c>
      <c r="I36" s="8" t="s">
        <v>59</v>
      </c>
      <c r="R36" t="s">
        <v>61</v>
      </c>
    </row>
    <row r="37" spans="2:18" x14ac:dyDescent="0.3">
      <c r="B37" s="16">
        <v>40</v>
      </c>
      <c r="C37" s="16">
        <v>90</v>
      </c>
      <c r="D37" s="17" t="s">
        <v>60</v>
      </c>
      <c r="G37" s="7">
        <v>50</v>
      </c>
      <c r="H37" s="7">
        <v>-2</v>
      </c>
      <c r="I37" s="8" t="s">
        <v>60</v>
      </c>
      <c r="R37" t="s">
        <v>62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1"/>
  <sheetViews>
    <sheetView tabSelected="1" zoomScaleNormal="100" workbookViewId="0">
      <selection activeCell="D14" sqref="D14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1.777343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29"/>
      <c r="C1" s="29"/>
      <c r="D1" s="29"/>
      <c r="E1" s="29"/>
      <c r="F1" s="29"/>
      <c r="G1" s="29"/>
      <c r="H1" s="29"/>
    </row>
    <row r="2" spans="1:15" ht="16.5" customHeight="1" x14ac:dyDescent="0.35">
      <c r="B2" s="29"/>
      <c r="C2" s="29"/>
      <c r="D2" s="29"/>
      <c r="E2" s="29"/>
      <c r="F2" s="29"/>
      <c r="G2" s="29"/>
      <c r="H2" s="29"/>
      <c r="L2" s="22" t="s">
        <v>121</v>
      </c>
      <c r="M2" s="22"/>
      <c r="N2" s="22"/>
    </row>
    <row r="3" spans="1:15" ht="18" x14ac:dyDescent="0.35">
      <c r="B3" s="29"/>
      <c r="C3" s="29"/>
      <c r="D3" s="29"/>
      <c r="E3" s="29"/>
      <c r="F3" s="29"/>
      <c r="G3" s="29"/>
      <c r="H3" s="29"/>
      <c r="L3" s="129" t="s">
        <v>57</v>
      </c>
      <c r="M3" s="129"/>
      <c r="N3" s="129" t="s">
        <v>13</v>
      </c>
      <c r="O3" s="129"/>
    </row>
    <row r="4" spans="1:15" ht="15.75" customHeight="1" x14ac:dyDescent="0.35">
      <c r="B4" s="29"/>
      <c r="C4" s="29"/>
      <c r="D4" s="71" t="s">
        <v>24</v>
      </c>
      <c r="E4" s="72">
        <f>'4637'!G8</f>
        <v>4205</v>
      </c>
      <c r="F4" s="29"/>
      <c r="G4" s="29"/>
      <c r="H4" s="29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29"/>
      <c r="C5" s="29"/>
      <c r="D5" s="73" t="s">
        <v>63</v>
      </c>
      <c r="E5" s="74" t="str">
        <f>'4637'!C10</f>
        <v>ELIAS MUÑOZ</v>
      </c>
      <c r="F5" s="45"/>
      <c r="G5" s="45"/>
      <c r="H5" s="29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29"/>
      <c r="C6" s="29"/>
      <c r="D6" s="75"/>
      <c r="E6" s="76"/>
      <c r="F6" s="29"/>
      <c r="G6" s="29"/>
      <c r="H6" s="29"/>
    </row>
    <row r="7" spans="1:15" ht="18" x14ac:dyDescent="0.35">
      <c r="B7" s="29"/>
      <c r="C7" s="29"/>
      <c r="D7" s="86" t="str">
        <f>'4637'!F11</f>
        <v>FECHA LIMITE :</v>
      </c>
      <c r="E7" s="78" t="str">
        <f>'4637'!G11</f>
        <v>URGENTES</v>
      </c>
      <c r="F7" s="29"/>
      <c r="G7" s="29" t="s">
        <v>133</v>
      </c>
      <c r="H7" s="29"/>
    </row>
    <row r="8" spans="1:15" ht="18" x14ac:dyDescent="0.35">
      <c r="B8" s="29"/>
      <c r="C8" s="29"/>
      <c r="D8" s="87" t="s">
        <v>120</v>
      </c>
      <c r="E8" s="29"/>
      <c r="F8" s="29"/>
      <c r="G8" s="29"/>
      <c r="H8" s="29"/>
    </row>
    <row r="9" spans="1:15" ht="18" x14ac:dyDescent="0.35">
      <c r="B9" s="29"/>
      <c r="C9" s="29"/>
      <c r="D9" s="29"/>
      <c r="E9" s="29"/>
      <c r="F9" s="29"/>
      <c r="G9" s="29"/>
      <c r="H9" s="29"/>
    </row>
    <row r="10" spans="1:15" ht="15" customHeight="1" x14ac:dyDescent="0.35">
      <c r="B10" s="130" t="s">
        <v>57</v>
      </c>
      <c r="C10" s="130"/>
      <c r="D10" s="130"/>
      <c r="E10" s="130"/>
      <c r="F10" s="130"/>
      <c r="G10" s="130"/>
      <c r="H10" s="29"/>
    </row>
    <row r="11" spans="1:15" ht="18" x14ac:dyDescent="0.35">
      <c r="B11" s="29"/>
      <c r="C11" s="29"/>
      <c r="D11" s="88"/>
      <c r="E11" s="29"/>
      <c r="F11" s="29"/>
      <c r="G11" s="29"/>
      <c r="H11" s="29"/>
    </row>
    <row r="12" spans="1:15" ht="18" x14ac:dyDescent="0.35">
      <c r="B12" s="29"/>
      <c r="C12" s="29"/>
      <c r="D12" s="29"/>
      <c r="E12" s="63" t="s">
        <v>6</v>
      </c>
      <c r="F12" s="63" t="s">
        <v>7</v>
      </c>
      <c r="G12" s="29"/>
      <c r="H12" s="29"/>
    </row>
    <row r="13" spans="1:15" ht="18" x14ac:dyDescent="0.35">
      <c r="B13" s="63" t="s">
        <v>8</v>
      </c>
      <c r="C13" s="89" t="s">
        <v>9</v>
      </c>
      <c r="D13" s="89" t="s">
        <v>10</v>
      </c>
      <c r="E13" s="90">
        <v>80</v>
      </c>
      <c r="F13" s="90">
        <v>-30</v>
      </c>
      <c r="G13" s="89" t="s">
        <v>106</v>
      </c>
      <c r="H13" s="29"/>
      <c r="K13" s="5" t="s">
        <v>6</v>
      </c>
      <c r="L13" s="5" t="s">
        <v>7</v>
      </c>
    </row>
    <row r="14" spans="1:15" ht="18" x14ac:dyDescent="0.35">
      <c r="A14" s="105">
        <v>1</v>
      </c>
      <c r="B14" s="98" t="s">
        <v>135</v>
      </c>
      <c r="C14" s="91">
        <f>J14</f>
        <v>1</v>
      </c>
      <c r="D14" s="91"/>
      <c r="E14" s="91">
        <f>K14+E$13</f>
        <v>1580</v>
      </c>
      <c r="F14" s="91">
        <f>L14+F$13</f>
        <v>570</v>
      </c>
      <c r="G14" s="91" t="str">
        <f>D26</f>
        <v>CUB C/R R8</v>
      </c>
      <c r="H14" s="29"/>
      <c r="J14" s="3">
        <f>J21</f>
        <v>1</v>
      </c>
      <c r="K14" s="4">
        <f t="shared" ref="K14:L14" si="0">E26</f>
        <v>1500</v>
      </c>
      <c r="L14" s="4">
        <f t="shared" si="0"/>
        <v>600</v>
      </c>
    </row>
    <row r="15" spans="1:15" ht="18" x14ac:dyDescent="0.35">
      <c r="A15" s="2"/>
      <c r="B15" s="80"/>
      <c r="C15" s="70"/>
      <c r="D15" s="70"/>
      <c r="E15" s="70"/>
      <c r="F15" s="70"/>
      <c r="G15" s="70"/>
      <c r="H15" s="29"/>
      <c r="J15" s="23"/>
      <c r="K15" s="2"/>
      <c r="L15" s="2"/>
    </row>
    <row r="16" spans="1:15" ht="6.75" customHeight="1" x14ac:dyDescent="0.35">
      <c r="A16" s="2"/>
      <c r="B16" s="29"/>
      <c r="C16" s="29"/>
      <c r="D16" s="29"/>
      <c r="E16" s="29"/>
      <c r="F16" s="29"/>
      <c r="G16" s="29"/>
      <c r="H16" s="29"/>
    </row>
    <row r="17" spans="1:12" ht="18" x14ac:dyDescent="0.35">
      <c r="A17" s="2"/>
      <c r="B17" s="130" t="s">
        <v>13</v>
      </c>
      <c r="C17" s="130"/>
      <c r="D17" s="130"/>
      <c r="E17" s="130"/>
      <c r="F17" s="130"/>
      <c r="G17" s="130"/>
      <c r="H17" s="29"/>
    </row>
    <row r="18" spans="1:12" ht="10.5" customHeight="1" x14ac:dyDescent="0.35">
      <c r="A18" s="2"/>
      <c r="B18" s="29"/>
      <c r="C18" s="29"/>
      <c r="D18" s="88"/>
      <c r="E18" s="29"/>
      <c r="F18" s="29"/>
      <c r="G18" s="29"/>
      <c r="H18" s="29"/>
    </row>
    <row r="19" spans="1:12" ht="18" x14ac:dyDescent="0.35">
      <c r="A19" s="2"/>
      <c r="B19" s="29"/>
      <c r="C19" s="29"/>
      <c r="D19" s="29"/>
      <c r="E19" s="63" t="s">
        <v>6</v>
      </c>
      <c r="F19" s="63" t="s">
        <v>7</v>
      </c>
      <c r="G19" s="29"/>
      <c r="H19" s="29"/>
    </row>
    <row r="20" spans="1:12" ht="18" x14ac:dyDescent="0.35">
      <c r="A20" s="2"/>
      <c r="B20" s="63" t="s">
        <v>8</v>
      </c>
      <c r="C20" s="79" t="s">
        <v>9</v>
      </c>
      <c r="D20" s="79" t="s">
        <v>10</v>
      </c>
      <c r="E20" s="92">
        <v>40</v>
      </c>
      <c r="F20" s="92">
        <v>130</v>
      </c>
      <c r="G20" s="79" t="s">
        <v>106</v>
      </c>
      <c r="H20" s="29"/>
      <c r="K20" s="5" t="s">
        <v>6</v>
      </c>
      <c r="L20" s="5" t="s">
        <v>7</v>
      </c>
    </row>
    <row r="21" spans="1:12" ht="18" x14ac:dyDescent="0.35">
      <c r="A21" s="105">
        <v>1</v>
      </c>
      <c r="B21" s="98"/>
      <c r="C21" s="93">
        <f t="shared" ref="C21" si="1">J21</f>
        <v>1</v>
      </c>
      <c r="D21" s="93"/>
      <c r="E21" s="93">
        <f t="shared" ref="E21:F21" si="2">K21+E$20</f>
        <v>1540</v>
      </c>
      <c r="F21" s="93">
        <f t="shared" si="2"/>
        <v>730</v>
      </c>
      <c r="G21" s="93" t="str">
        <f>D26</f>
        <v>CUB C/R R8</v>
      </c>
      <c r="H21" s="29"/>
      <c r="J21" s="3">
        <f>C26</f>
        <v>1</v>
      </c>
      <c r="K21" s="102">
        <f>E26</f>
        <v>1500</v>
      </c>
      <c r="L21" s="102">
        <f>F26</f>
        <v>600</v>
      </c>
    </row>
    <row r="22" spans="1:12" ht="18.600000000000001" thickBot="1" x14ac:dyDescent="0.4">
      <c r="A22" s="2"/>
      <c r="B22" s="80"/>
      <c r="C22" s="70"/>
      <c r="D22" s="70"/>
      <c r="E22" s="70"/>
      <c r="F22" s="70"/>
      <c r="G22" s="70"/>
      <c r="H22" s="29"/>
      <c r="I22" s="103"/>
      <c r="J22" s="104"/>
      <c r="K22" s="104"/>
      <c r="L22" s="104"/>
    </row>
    <row r="23" spans="1:12" ht="18.600000000000001" thickBot="1" x14ac:dyDescent="0.4">
      <c r="A23" s="2"/>
      <c r="B23" s="63"/>
      <c r="C23" s="94" t="s">
        <v>103</v>
      </c>
      <c r="D23" s="32"/>
      <c r="E23" s="32"/>
      <c r="F23" s="32"/>
      <c r="G23" s="95"/>
      <c r="H23" s="29"/>
      <c r="J23" s="2"/>
      <c r="K23" s="2"/>
      <c r="L23" s="2"/>
    </row>
    <row r="24" spans="1:12" ht="10.5" customHeight="1" x14ac:dyDescent="0.35">
      <c r="A24" s="2"/>
      <c r="B24" s="29"/>
      <c r="C24" s="29"/>
      <c r="D24" s="29"/>
      <c r="E24" s="29"/>
      <c r="F24" s="29"/>
      <c r="G24" s="29"/>
      <c r="H24" s="29"/>
    </row>
    <row r="25" spans="1:12" ht="18" x14ac:dyDescent="0.35">
      <c r="A25" s="2"/>
      <c r="B25" s="63" t="s">
        <v>8</v>
      </c>
      <c r="C25" s="96" t="s">
        <v>9</v>
      </c>
      <c r="D25" s="96" t="s">
        <v>106</v>
      </c>
      <c r="E25" s="96" t="s">
        <v>6</v>
      </c>
      <c r="F25" s="96" t="s">
        <v>7</v>
      </c>
      <c r="G25" s="96" t="s">
        <v>20</v>
      </c>
      <c r="H25" s="29"/>
    </row>
    <row r="26" spans="1:12" ht="18" x14ac:dyDescent="0.35">
      <c r="A26" s="105">
        <v>1</v>
      </c>
      <c r="B26" s="98" t="s">
        <v>135</v>
      </c>
      <c r="C26" s="91">
        <f>C48</f>
        <v>1</v>
      </c>
      <c r="D26" s="91" t="str">
        <f>D48</f>
        <v>CUB C/R R8</v>
      </c>
      <c r="E26" s="110">
        <f>E48</f>
        <v>1500</v>
      </c>
      <c r="F26" s="110">
        <f>F48</f>
        <v>600</v>
      </c>
      <c r="G26" s="4" t="str">
        <f>G48</f>
        <v xml:space="preserve"> CEREZO STOCK</v>
      </c>
      <c r="H26" s="29"/>
      <c r="I26" s="28">
        <f>E26*F26/1000000</f>
        <v>0.9</v>
      </c>
      <c r="J26" s="28">
        <f>I26*C26</f>
        <v>0.9</v>
      </c>
    </row>
    <row r="27" spans="1:12" ht="18" x14ac:dyDescent="0.35">
      <c r="A27" s="105"/>
      <c r="B27" s="98"/>
      <c r="C27" s="70"/>
      <c r="D27" s="70"/>
      <c r="E27" s="114"/>
      <c r="F27" s="114"/>
      <c r="G27" s="2"/>
      <c r="H27" s="29"/>
      <c r="I27" s="28"/>
      <c r="J27" s="28"/>
    </row>
    <row r="28" spans="1:12" ht="18" x14ac:dyDescent="0.35">
      <c r="A28" s="2"/>
      <c r="B28" s="29"/>
      <c r="C28" s="70"/>
      <c r="D28" s="70"/>
      <c r="E28" s="70"/>
      <c r="F28" s="70"/>
      <c r="G28" s="70"/>
      <c r="H28" s="29"/>
    </row>
    <row r="29" spans="1:12" ht="18" x14ac:dyDescent="0.35">
      <c r="A29" s="2"/>
      <c r="B29" s="29"/>
      <c r="C29" s="70"/>
      <c r="D29" s="70"/>
      <c r="E29" s="70"/>
      <c r="F29" s="70"/>
      <c r="G29" s="70"/>
      <c r="H29" s="29"/>
      <c r="J29" s="28">
        <f>SUM(J26:J26)*2</f>
        <v>1.8</v>
      </c>
    </row>
    <row r="30" spans="1:12" ht="18" x14ac:dyDescent="0.35">
      <c r="A30" s="2"/>
      <c r="B30" s="29"/>
      <c r="C30" s="70"/>
      <c r="D30" s="70"/>
      <c r="E30" s="70"/>
      <c r="F30" s="70"/>
      <c r="G30" s="70"/>
      <c r="H30" s="29"/>
    </row>
    <row r="31" spans="1:12" ht="18" x14ac:dyDescent="0.35">
      <c r="A31" s="2"/>
      <c r="B31" s="29"/>
      <c r="C31" s="70"/>
      <c r="D31" s="70"/>
      <c r="E31" s="70"/>
      <c r="F31" s="70"/>
      <c r="G31" s="70"/>
      <c r="H31" s="29"/>
    </row>
    <row r="32" spans="1:12" ht="18" x14ac:dyDescent="0.35">
      <c r="A32" s="2"/>
      <c r="B32" s="29"/>
      <c r="C32" s="70"/>
      <c r="D32" s="70"/>
      <c r="E32" s="70"/>
      <c r="F32" s="70"/>
      <c r="G32" s="70"/>
      <c r="H32" s="29"/>
    </row>
    <row r="33" spans="1:13" ht="18" x14ac:dyDescent="0.35">
      <c r="A33" s="2"/>
      <c r="B33" s="29"/>
      <c r="C33" s="70"/>
      <c r="D33" s="70"/>
      <c r="E33" s="70"/>
      <c r="F33" s="70"/>
      <c r="G33" s="70"/>
      <c r="H33" s="29"/>
    </row>
    <row r="34" spans="1:13" ht="18" x14ac:dyDescent="0.35">
      <c r="A34" s="2"/>
      <c r="B34" s="29"/>
      <c r="C34" s="70"/>
      <c r="D34" s="70"/>
      <c r="E34" s="70"/>
      <c r="F34" s="70"/>
      <c r="G34" s="70"/>
      <c r="H34" s="29"/>
    </row>
    <row r="35" spans="1:13" ht="18" x14ac:dyDescent="0.35">
      <c r="A35" s="2"/>
      <c r="B35" s="29"/>
      <c r="C35" s="70"/>
      <c r="D35" s="70"/>
      <c r="E35" s="70"/>
      <c r="F35" s="70"/>
      <c r="G35" s="70"/>
      <c r="H35" s="29"/>
    </row>
    <row r="36" spans="1:13" ht="18" x14ac:dyDescent="0.35">
      <c r="A36" s="2"/>
      <c r="B36" s="29"/>
      <c r="C36" s="70"/>
      <c r="D36" s="70"/>
      <c r="E36" s="70"/>
      <c r="F36" s="70"/>
      <c r="G36" s="70"/>
      <c r="H36" s="29"/>
    </row>
    <row r="37" spans="1:13" ht="18" x14ac:dyDescent="0.35">
      <c r="A37" s="2"/>
      <c r="B37" s="29"/>
      <c r="C37" s="29"/>
      <c r="D37" s="29"/>
      <c r="E37" s="29"/>
      <c r="F37" s="29"/>
      <c r="G37" s="29"/>
      <c r="H37" s="29"/>
    </row>
    <row r="38" spans="1:13" ht="18" x14ac:dyDescent="0.35">
      <c r="A38" s="2"/>
      <c r="B38" s="29"/>
      <c r="C38" s="29"/>
      <c r="D38" s="71" t="s">
        <v>24</v>
      </c>
      <c r="E38" s="72">
        <f>'4637'!G8</f>
        <v>4205</v>
      </c>
      <c r="F38" s="29"/>
      <c r="G38" s="29"/>
      <c r="H38" s="29"/>
    </row>
    <row r="39" spans="1:13" ht="17.25" customHeight="1" x14ac:dyDescent="0.35">
      <c r="A39" s="2"/>
      <c r="B39" s="29"/>
      <c r="C39" s="29"/>
      <c r="D39" s="73" t="s">
        <v>63</v>
      </c>
      <c r="E39" s="74" t="str">
        <f>'4637'!C10</f>
        <v>ELIAS MUÑOZ</v>
      </c>
      <c r="F39" s="45"/>
      <c r="G39" s="45"/>
      <c r="H39" s="29"/>
    </row>
    <row r="40" spans="1:13" ht="4.5" customHeight="1" x14ac:dyDescent="0.35">
      <c r="A40" s="2"/>
      <c r="B40" s="29"/>
      <c r="C40" s="29"/>
      <c r="D40" s="75"/>
      <c r="E40" s="76"/>
      <c r="F40" s="29"/>
      <c r="G40" s="29"/>
      <c r="H40" s="29"/>
    </row>
    <row r="41" spans="1:13" ht="18" x14ac:dyDescent="0.35">
      <c r="A41" s="2"/>
      <c r="B41" s="29"/>
      <c r="C41" s="29"/>
      <c r="D41" s="77" t="str">
        <f>'4637'!F11</f>
        <v>FECHA LIMITE :</v>
      </c>
      <c r="E41" s="78" t="str">
        <f>'4637'!G11</f>
        <v>URGENTES</v>
      </c>
      <c r="F41" s="29"/>
      <c r="G41" s="29"/>
      <c r="H41" s="29"/>
    </row>
    <row r="42" spans="1:13" ht="18" x14ac:dyDescent="0.35">
      <c r="A42" s="2"/>
      <c r="B42" s="29"/>
      <c r="C42" s="29"/>
      <c r="D42" s="29"/>
      <c r="E42" s="29"/>
      <c r="F42" s="29"/>
      <c r="G42" s="29" t="s">
        <v>133</v>
      </c>
      <c r="H42" s="29"/>
    </row>
    <row r="43" spans="1:13" ht="18" x14ac:dyDescent="0.35">
      <c r="A43" s="2"/>
      <c r="B43" s="29"/>
      <c r="C43" s="29"/>
      <c r="D43" s="29"/>
      <c r="E43" s="29"/>
      <c r="F43" s="29"/>
      <c r="G43" s="29"/>
      <c r="H43" s="29"/>
    </row>
    <row r="44" spans="1:13" ht="18" x14ac:dyDescent="0.35">
      <c r="A44" s="2"/>
      <c r="B44" s="131" t="s">
        <v>64</v>
      </c>
      <c r="C44" s="131"/>
      <c r="D44" s="131"/>
      <c r="E44" s="131"/>
      <c r="F44" s="131"/>
      <c r="G44" s="131"/>
      <c r="H44" s="29"/>
    </row>
    <row r="45" spans="1:13" ht="18" x14ac:dyDescent="0.35">
      <c r="A45" s="2"/>
      <c r="B45" s="29"/>
      <c r="C45" s="29"/>
      <c r="D45" s="29"/>
      <c r="E45" s="29"/>
      <c r="F45" s="29"/>
      <c r="G45" s="29"/>
      <c r="H45" s="29"/>
    </row>
    <row r="46" spans="1:13" ht="20.100000000000001" customHeight="1" x14ac:dyDescent="0.35">
      <c r="A46" s="2"/>
      <c r="B46" s="29"/>
      <c r="C46" s="132" t="s">
        <v>65</v>
      </c>
      <c r="D46" s="133"/>
      <c r="E46" s="134"/>
      <c r="F46" s="134"/>
      <c r="G46" s="135"/>
      <c r="H46" s="29"/>
      <c r="I46" s="25" t="s">
        <v>128</v>
      </c>
    </row>
    <row r="47" spans="1:13" s="10" customFormat="1" ht="20.100000000000001" customHeight="1" x14ac:dyDescent="0.35">
      <c r="A47" s="106"/>
      <c r="B47" s="29"/>
      <c r="C47" s="81" t="s">
        <v>9</v>
      </c>
      <c r="D47" s="82" t="s">
        <v>10</v>
      </c>
      <c r="E47" s="85" t="s">
        <v>6</v>
      </c>
      <c r="F47" s="85" t="s">
        <v>7</v>
      </c>
      <c r="G47" s="83" t="s">
        <v>11</v>
      </c>
      <c r="H47" s="29"/>
      <c r="K47" s="10">
        <v>15000</v>
      </c>
    </row>
    <row r="48" spans="1:13" s="10" customFormat="1" ht="20.100000000000001" customHeight="1" x14ac:dyDescent="0.35">
      <c r="A48" s="105">
        <v>1</v>
      </c>
      <c r="B48" s="97" t="s">
        <v>135</v>
      </c>
      <c r="C48" s="93">
        <f>'4637'!B21</f>
        <v>1</v>
      </c>
      <c r="D48" s="4" t="str">
        <f>'4637'!C21</f>
        <v>CUB C/R R8</v>
      </c>
      <c r="E48" s="110">
        <f>'4637'!D21</f>
        <v>1500</v>
      </c>
      <c r="F48" s="110">
        <f>'4637'!E21</f>
        <v>600</v>
      </c>
      <c r="G48" s="4" t="str">
        <f>'4637'!F21</f>
        <v xml:space="preserve"> CEREZO STOCK</v>
      </c>
      <c r="H48" s="29"/>
      <c r="I48" s="10">
        <f>E48*F48/1000000</f>
        <v>0.9</v>
      </c>
      <c r="J48" s="10">
        <f>I48*C48</f>
        <v>0.9</v>
      </c>
      <c r="K48" s="26">
        <f>J48*K$47</f>
        <v>13500</v>
      </c>
      <c r="M48" s="24">
        <v>12096</v>
      </c>
    </row>
    <row r="49" spans="1:13" s="10" customFormat="1" ht="20.100000000000001" customHeight="1" x14ac:dyDescent="0.35">
      <c r="A49" s="105"/>
      <c r="B49" s="97"/>
      <c r="C49" s="70"/>
      <c r="D49" s="2"/>
      <c r="E49" s="114"/>
      <c r="F49" s="114"/>
      <c r="G49" s="2"/>
      <c r="H49" s="29"/>
      <c r="K49" s="26"/>
      <c r="M49" s="115"/>
    </row>
    <row r="50" spans="1:13" s="10" customFormat="1" ht="15" customHeight="1" x14ac:dyDescent="0.35">
      <c r="B50" s="80"/>
      <c r="C50" s="63"/>
      <c r="D50" s="63"/>
      <c r="E50" s="63"/>
      <c r="F50" s="63"/>
      <c r="G50" s="63"/>
      <c r="H50" s="29"/>
    </row>
    <row r="51" spans="1:13" ht="18" x14ac:dyDescent="0.35">
      <c r="B51" s="70"/>
      <c r="C51" s="70"/>
      <c r="D51" s="29"/>
      <c r="E51" s="70"/>
      <c r="F51" s="70"/>
      <c r="G51" s="75"/>
      <c r="H51" s="29"/>
    </row>
    <row r="52" spans="1:13" ht="18" x14ac:dyDescent="0.35">
      <c r="B52" s="70"/>
      <c r="C52" s="70"/>
      <c r="D52" s="29"/>
      <c r="E52" s="70"/>
      <c r="F52" s="70"/>
      <c r="G52" s="70"/>
      <c r="H52" s="29"/>
      <c r="J52" s="10">
        <f>SUM(J48:J48)</f>
        <v>0.9</v>
      </c>
      <c r="K52" s="27">
        <f>SUM(K48:K48)</f>
        <v>13500</v>
      </c>
    </row>
    <row r="53" spans="1:13" ht="18" x14ac:dyDescent="0.35">
      <c r="B53" s="29"/>
      <c r="C53" s="29"/>
      <c r="D53" s="29"/>
      <c r="E53" s="29"/>
      <c r="F53" s="29"/>
      <c r="G53" s="29"/>
      <c r="H53" s="29"/>
    </row>
    <row r="54" spans="1:13" ht="18" x14ac:dyDescent="0.35">
      <c r="B54" s="29"/>
      <c r="C54" s="29"/>
      <c r="D54" s="29"/>
      <c r="E54" s="29"/>
      <c r="F54" s="29"/>
      <c r="G54" s="29"/>
      <c r="H54" s="29"/>
    </row>
    <row r="55" spans="1:13" ht="18" x14ac:dyDescent="0.35">
      <c r="B55" s="29"/>
      <c r="C55" s="29"/>
      <c r="D55" s="29"/>
      <c r="E55" s="29"/>
      <c r="F55" s="29"/>
      <c r="G55" s="29"/>
      <c r="H55" s="29"/>
    </row>
    <row r="56" spans="1:13" ht="15" customHeight="1" x14ac:dyDescent="0.35">
      <c r="B56" s="29"/>
      <c r="C56" s="29"/>
      <c r="D56" s="29"/>
      <c r="E56" s="29"/>
      <c r="F56" s="29"/>
      <c r="G56" s="29"/>
      <c r="H56" s="29"/>
    </row>
    <row r="57" spans="1:13" ht="18" x14ac:dyDescent="0.35">
      <c r="B57" s="29"/>
      <c r="C57" s="29"/>
      <c r="D57" s="29"/>
      <c r="E57" s="29"/>
      <c r="F57" s="29"/>
      <c r="G57" s="29"/>
      <c r="H57" s="29"/>
    </row>
    <row r="58" spans="1:13" ht="18" x14ac:dyDescent="0.35">
      <c r="B58" s="70"/>
      <c r="C58" s="84"/>
      <c r="D58" s="29"/>
      <c r="E58" s="29"/>
      <c r="F58" s="29"/>
      <c r="G58" s="29"/>
      <c r="H58" s="29"/>
    </row>
    <row r="59" spans="1:13" ht="18" x14ac:dyDescent="0.35">
      <c r="B59" s="29"/>
      <c r="C59" s="29"/>
      <c r="D59" s="29"/>
      <c r="E59" s="29"/>
      <c r="F59" s="29"/>
      <c r="G59" s="29"/>
      <c r="H59" s="29"/>
    </row>
    <row r="60" spans="1:13" x14ac:dyDescent="0.3">
      <c r="C60" s="14"/>
      <c r="D60" s="14"/>
      <c r="F60" s="14"/>
      <c r="G60" s="14"/>
    </row>
    <row r="61" spans="1:13" x14ac:dyDescent="0.3">
      <c r="C61" s="14"/>
      <c r="D61" s="14"/>
      <c r="F61" s="14"/>
      <c r="G61" s="14"/>
    </row>
  </sheetData>
  <mergeCells count="6">
    <mergeCell ref="N3:O3"/>
    <mergeCell ref="B17:G17"/>
    <mergeCell ref="B10:G10"/>
    <mergeCell ref="B44:G44"/>
    <mergeCell ref="C46:G46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3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7FEC8-A7DB-4E8E-B394-3D1B21CCB911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4637</vt:lpstr>
      <vt:lpstr>REGLAS</vt:lpstr>
      <vt:lpstr>CUBIERTA</vt:lpstr>
      <vt:lpstr>Hoja1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2025-09-15T12:30:46Z</cp:lastPrinted>
  <dcterms:created xsi:type="dcterms:W3CDTF">2013-03-19T12:54:14Z</dcterms:created>
  <dcterms:modified xsi:type="dcterms:W3CDTF">2025-09-15T12:34:34Z</dcterms:modified>
</cp:coreProperties>
</file>