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56183AE4-F9A6-4EC0-9F58-1A653A4A2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B22" i="4"/>
  <c r="G29" i="3" l="1"/>
  <c r="F29" i="3"/>
  <c r="L14" i="3" s="1"/>
  <c r="E29" i="3"/>
  <c r="K14" i="3" s="1"/>
  <c r="C29" i="3"/>
  <c r="G51" i="3"/>
  <c r="F51" i="3"/>
  <c r="E51" i="3"/>
  <c r="D51" i="3"/>
  <c r="D29" i="3" s="1"/>
  <c r="C51" i="3"/>
  <c r="L21" i="4" l="1"/>
  <c r="K21" i="4"/>
  <c r="M21" i="4" l="1"/>
  <c r="N21" i="4" s="1"/>
  <c r="G23" i="3" l="1"/>
  <c r="L23" i="3"/>
  <c r="F23" i="3" s="1"/>
  <c r="J23" i="3" l="1"/>
  <c r="I29" i="3"/>
  <c r="J29" i="3" s="1"/>
  <c r="K23" i="3"/>
  <c r="E23" i="3" s="1"/>
  <c r="I51" i="3"/>
  <c r="J51" i="3" s="1"/>
  <c r="E14" i="3"/>
  <c r="G14" i="3"/>
  <c r="F14" i="3"/>
  <c r="C23" i="3" l="1"/>
  <c r="J14" i="3"/>
  <c r="C14" i="3" s="1"/>
  <c r="J32" i="3"/>
  <c r="K51" i="3"/>
  <c r="J56" i="3"/>
  <c r="H26" i="4"/>
  <c r="O5" i="3"/>
  <c r="K56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<sst xmlns="http://schemas.openxmlformats.org/spreadsheetml/2006/main" count="247" uniqueCount="144">
  <si>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</si>
  <si>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</si>
  <si>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</si>
  <si>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</si>
  <si>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</si>
  <si>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</si>
  <si>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</si>
  <si>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</si>
  <si>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</si>
  <si>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</si>
  <si>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</si>
  <si>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</si>
  <si>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</si>
  <si>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</si>
  <si>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</si>
  <si>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</si>
  <si>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</si>
  <si>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</si>
  <si>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</si>
  <si>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</si>
  <si>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</si>
  <si>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</si>
  <si>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</si>
  <si>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</si>
  <si>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</si>
  <si>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</si>
  <si>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</si>
  <si>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</si>
  <si>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</si>
  <si>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</si>
  <si>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</si>
  <si>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</si>
  <si>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</si>
  <si>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</si>
  <si>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</si>
  <si>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</si>
  <si>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</si>
  <si>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</si>
  <si>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</si>
  <si>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</si>
  <si>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</si>
  <si>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</si>
  <si>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</si>
  <si>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</si>
  <si>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</si>
  <si>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</si>
  <si>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</si>
  <si>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</si>
  <si>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</si>
  <si>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</si>
  <si>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</si>
  <si>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</si>
  <si>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</si>
  <si>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</si>
  <si>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</si>
  <si>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</si>
  <si>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</si>
  <si>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</si>
  <si>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</si>
  <si>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</si>
  <si>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</si>
  <si>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</si>
  <si>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</si>
  <si>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</si>
  <si>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</si>
  <si>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</si>
  <si>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</si>
  <si>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</si>
  <si>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</si>
  <si>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</si>
  <si>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</si>
  <si>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</si>
  <si>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</si>
  <si>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</si>
  <si>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</si>
  <si>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</si>
  <si>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</si>
  <si>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</si>
  <si>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</si>
  <si>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</si>
  <si>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</si>
  <si>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</si>
  <si>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</si>
  <si>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</si>
  <si>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</si>
  <si>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</si>
  <si>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</si>
  <si>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</si>
  <si>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</si>
  <si>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</si>
  <si>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</si>
  <si>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</si>
  <si>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</si>
  <si>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</si>
  <si>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</si>
  <si>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</si>
  <si>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</si>
  <si>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</si>
  <si>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</si>
  <si>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</si>
  <si>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</si>
  <si>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</si>
  <si>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</si>
  <si>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</si>
  <si>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</si>
  <si>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</si>
  <si>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</si>
  <si>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</si>
  <si>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</si>
  <si>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</si>
  <si>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</si>
  <si>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</si>
  <si>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</si>
  <si>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</si>
  <si>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</si>
  <si>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</si>
  <si>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</si>
  <si>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</si>
  <si>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</si>
  <si>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</si>
  <si>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</si>
  <si>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</si>
  <si>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</si>
  <si>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</si>
  <si>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</si>
  <si>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</si>
  <si>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</si>
  <si>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</si>
  <si>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</si>
  <si>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</si>
  <si>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</si>
  <si>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</si>
  <si>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</si>
  <si>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</si>
  <si>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</si>
  <si>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</si>
  <si>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</si>
  <si>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</si>
  <si>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</si>
  <si>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</si>
  <si>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</si>
  <si>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VAINILLA 2109 BRILLO</t>
  </si>
  <si>
    <t>IVAN BURGOS</t>
  </si>
  <si>
    <t>+569 7958 2116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</si>
</sst>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CORTADAS A LA MEDIDA Y ENCHAPADAS CON TAPACANTO PVC 0,4MM, PERFORACION PARA BISAGRAS Y TIRADOR SEGUN PUERTA QUE TRAJO CLIENTE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25</xdr:row>
      <xdr:rowOff>1</xdr:rowOff>
    </xdr:from>
    <xdr:to>
      <xdr:col>7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57</xdr:row>
      <xdr:rowOff>32385</xdr:rowOff>
    </xdr:from>
    <xdr:to>
      <xdr:col>7</xdr:col>
      <xdr:colOff>7620</xdr:colOff>
      <xdr:row>61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 A LA MEDIDA Y ENCHAPADA CON TAPACANTO PVC 0,45MM, PERFORACION PARA PUERTAS Y BISAGRAS SEGUN PUERTAQUE TRAJO CLIENTE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304800</xdr:colOff>
      <xdr:row>64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topLeftCell="B4" zoomScale="98" zoomScaleNormal="98" workbookViewId="0">
      <selection activeCell="D10" sqref="D1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11666</v>
      </c>
      <c r="E8" s="30">
        <v>0</v>
      </c>
      <c r="F8" s="35" t="s">
        <v>25</v>
      </c>
      <c r="G8" s="36">
        <v>4210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142</v>
      </c>
      <c r="D10" s="39"/>
      <c r="E10" s="39"/>
      <c r="F10" s="40" t="s">
        <v>26</v>
      </c>
      <c r="G10" s="41">
        <v>45924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45926</v>
      </c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9" t="s">
        <v>143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140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2</v>
      </c>
      <c r="C21" s="102" t="s">
        <v>62</v>
      </c>
      <c r="D21" s="103">
        <v>650</v>
      </c>
      <c r="E21" s="103">
        <v>358</v>
      </c>
      <c r="F21" s="102" t="s">
        <v>141</v>
      </c>
      <c r="G21" s="113">
        <v>17500</v>
      </c>
      <c r="H21" s="113">
        <f>G21*B21</f>
        <v>35000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4">
        <f>SUM(B21:B21)</f>
        <v>2</v>
      </c>
      <c r="C22" s="104"/>
      <c r="D22" s="112"/>
      <c r="E22" s="112"/>
      <c r="F22" s="104"/>
      <c r="G22" s="106"/>
      <c r="H22" s="106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4"/>
      <c r="C23" s="104"/>
      <c r="D23" s="112"/>
      <c r="E23" s="112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12"/>
      <c r="E24" s="112"/>
      <c r="F24" s="104"/>
      <c r="G24" s="60" t="s">
        <v>5</v>
      </c>
      <c r="H24" s="61">
        <f>SUM(H21:H23)</f>
        <v>35000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2" t="s">
        <v>139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64" t="s">
        <v>4</v>
      </c>
      <c r="H26" s="65">
        <f>H24+H25</f>
        <v>35000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05"/>
      <c r="E30" s="105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9"/>
      <c r="C32" s="59"/>
      <c r="D32" s="59"/>
      <c r="E32" s="59"/>
      <c r="F32" s="59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8" t="s">
        <v>133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68" t="s">
        <v>119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1" t="s">
        <v>24</v>
      </c>
      <c r="C41" s="71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5"/>
  <sheetViews>
    <sheetView zoomScaleNormal="100" workbookViewId="0">
      <selection sqref="A1:G3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4210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IVAN BURGOS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45926</v>
      </c>
      <c r="F7" s="30"/>
      <c r="G7" s="30" t="s">
        <v>137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2</v>
      </c>
      <c r="D14" s="94"/>
      <c r="E14" s="94">
        <f>K14+E$13</f>
        <v>700</v>
      </c>
      <c r="F14" s="94">
        <f>L14+F$13</f>
        <v>356</v>
      </c>
      <c r="G14" s="94" t="str">
        <f>D29</f>
        <v>PR12</v>
      </c>
      <c r="H14" s="30"/>
      <c r="J14" s="3">
        <f>J23</f>
        <v>2</v>
      </c>
      <c r="K14" s="4">
        <f t="shared" ref="K14:L14" si="0">E29</f>
        <v>650</v>
      </c>
      <c r="L14" s="4">
        <f t="shared" si="0"/>
        <v>358</v>
      </c>
    </row>
    <row r="15" spans="1:15" ht="18" x14ac:dyDescent="0.35">
      <c r="A15" s="110"/>
      <c r="B15" s="101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18" x14ac:dyDescent="0.35">
      <c r="A16" s="110"/>
      <c r="B16" s="101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0" t="s">
        <v>13</v>
      </c>
      <c r="C19" s="130"/>
      <c r="D19" s="130"/>
      <c r="E19" s="130"/>
      <c r="F19" s="130"/>
      <c r="G19" s="130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40</v>
      </c>
      <c r="F22" s="95">
        <v>90</v>
      </c>
      <c r="G22" s="82" t="s">
        <v>107</v>
      </c>
      <c r="H22" s="30"/>
      <c r="K22" s="5" t="s">
        <v>6</v>
      </c>
      <c r="L22" s="5" t="s">
        <v>7</v>
      </c>
    </row>
    <row r="23" spans="1:12" ht="18" x14ac:dyDescent="0.35">
      <c r="A23" s="110">
        <v>1</v>
      </c>
      <c r="B23" s="101"/>
      <c r="C23" s="96">
        <f t="shared" ref="C23" si="1">J23</f>
        <v>2</v>
      </c>
      <c r="D23" s="96"/>
      <c r="E23" s="96">
        <f t="shared" ref="E23" si="2">K23+E$22</f>
        <v>690</v>
      </c>
      <c r="F23" s="96">
        <f t="shared" ref="F23" si="3">L23+F$22</f>
        <v>448</v>
      </c>
      <c r="G23" s="96" t="str">
        <f>D29</f>
        <v>PR12</v>
      </c>
      <c r="H23" s="30"/>
      <c r="J23" s="3">
        <f>C29</f>
        <v>2</v>
      </c>
      <c r="K23" s="107">
        <f>E29</f>
        <v>650</v>
      </c>
      <c r="L23" s="107">
        <f>F29</f>
        <v>358</v>
      </c>
    </row>
    <row r="24" spans="1:12" ht="18" x14ac:dyDescent="0.35">
      <c r="A24" s="110"/>
      <c r="B24" s="101"/>
      <c r="C24" s="73"/>
      <c r="D24" s="73"/>
      <c r="E24" s="73"/>
      <c r="F24" s="73"/>
      <c r="G24" s="73"/>
      <c r="H24" s="30"/>
      <c r="J24" s="23"/>
      <c r="K24" s="121"/>
      <c r="L24" s="121"/>
    </row>
    <row r="25" spans="1:12" ht="18.600000000000001" thickBot="1" x14ac:dyDescent="0.4">
      <c r="A25" s="2"/>
      <c r="B25" s="83"/>
      <c r="C25" s="73"/>
      <c r="D25" s="73"/>
      <c r="E25" s="73"/>
      <c r="F25" s="73"/>
      <c r="G25" s="73"/>
      <c r="H25" s="30"/>
      <c r="I25" s="108"/>
      <c r="J25" s="109"/>
      <c r="K25" s="109"/>
      <c r="L25" s="109"/>
    </row>
    <row r="26" spans="1:12" ht="18.600000000000001" thickBot="1" x14ac:dyDescent="0.4">
      <c r="A26" s="2"/>
      <c r="B26" s="66"/>
      <c r="C26" s="97" t="s">
        <v>104</v>
      </c>
      <c r="D26" s="33"/>
      <c r="E26" s="33"/>
      <c r="F26" s="33"/>
      <c r="G26" s="98"/>
      <c r="H26" s="30"/>
      <c r="J26" s="2"/>
      <c r="K26" s="2"/>
      <c r="L26" s="2"/>
    </row>
    <row r="27" spans="1:12" ht="10.5" customHeight="1" x14ac:dyDescent="0.35">
      <c r="A27" s="2"/>
      <c r="B27" s="30"/>
      <c r="C27" s="30"/>
      <c r="D27" s="30"/>
      <c r="E27" s="30"/>
      <c r="F27" s="30"/>
      <c r="G27" s="30"/>
      <c r="H27" s="30"/>
    </row>
    <row r="28" spans="1:12" ht="18" x14ac:dyDescent="0.35">
      <c r="A28" s="2"/>
      <c r="B28" s="66" t="s">
        <v>8</v>
      </c>
      <c r="C28" s="99" t="s">
        <v>9</v>
      </c>
      <c r="D28" s="99" t="s">
        <v>107</v>
      </c>
      <c r="E28" s="99" t="s">
        <v>6</v>
      </c>
      <c r="F28" s="99" t="s">
        <v>7</v>
      </c>
      <c r="G28" s="99" t="s">
        <v>21</v>
      </c>
      <c r="H28" s="30"/>
    </row>
    <row r="29" spans="1:12" ht="18" x14ac:dyDescent="0.35">
      <c r="A29" s="110">
        <v>1</v>
      </c>
      <c r="B29" s="101" t="s">
        <v>135</v>
      </c>
      <c r="C29" s="94">
        <f>'4637'!B21</f>
        <v>2</v>
      </c>
      <c r="D29" s="94" t="str">
        <f>D51</f>
        <v>PR12</v>
      </c>
      <c r="E29" s="116">
        <f>'4637'!D21</f>
        <v>650</v>
      </c>
      <c r="F29" s="116">
        <f>'4637'!E21</f>
        <v>358</v>
      </c>
      <c r="G29" s="4" t="str">
        <f>'4637'!F21</f>
        <v>VAINILLA 2109 BRILLO</v>
      </c>
      <c r="H29" s="30"/>
      <c r="I29" s="28">
        <f>E29*F29/1000000</f>
        <v>0.23269999999999999</v>
      </c>
      <c r="J29" s="28">
        <f>I29*C29</f>
        <v>0.46539999999999998</v>
      </c>
    </row>
    <row r="30" spans="1:12" ht="18" x14ac:dyDescent="0.35">
      <c r="A30" s="110"/>
      <c r="B30" s="101"/>
      <c r="C30" s="104"/>
      <c r="D30" s="104"/>
      <c r="E30" s="105"/>
      <c r="F30" s="105"/>
      <c r="G30" s="104"/>
      <c r="H30" s="30"/>
      <c r="I30" s="28"/>
      <c r="J30" s="28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  <c r="J32" s="28">
        <f>SUM(J29:J29)*2</f>
        <v>0.93079999999999996</v>
      </c>
    </row>
    <row r="33" spans="1:8" ht="18" x14ac:dyDescent="0.35">
      <c r="A33" s="2"/>
      <c r="B33" s="30"/>
      <c r="C33" s="73"/>
      <c r="D33" s="73"/>
      <c r="E33" s="73"/>
      <c r="F33" s="73"/>
      <c r="G33" s="73"/>
      <c r="H33" s="30"/>
    </row>
    <row r="34" spans="1:8" ht="18" x14ac:dyDescent="0.35">
      <c r="A34" s="2"/>
      <c r="B34" s="30"/>
      <c r="C34" s="73"/>
      <c r="D34" s="73"/>
      <c r="E34" s="73"/>
      <c r="F34" s="73"/>
      <c r="G34" s="73"/>
      <c r="H34" s="30"/>
    </row>
    <row r="35" spans="1:8" ht="18" x14ac:dyDescent="0.35">
      <c r="A35" s="2"/>
      <c r="B35" s="30"/>
      <c r="C35" s="73"/>
      <c r="D35" s="73"/>
      <c r="E35" s="73"/>
      <c r="F35" s="73"/>
      <c r="G35" s="73"/>
      <c r="H35" s="30"/>
    </row>
    <row r="36" spans="1:8" ht="18" x14ac:dyDescent="0.35">
      <c r="A36" s="2"/>
      <c r="B36" s="30"/>
      <c r="C36" s="73"/>
      <c r="D36" s="73"/>
      <c r="E36" s="73"/>
      <c r="F36" s="73"/>
      <c r="G36" s="73"/>
      <c r="H36" s="30"/>
    </row>
    <row r="37" spans="1:8" ht="18" x14ac:dyDescent="0.35">
      <c r="A37" s="2"/>
      <c r="B37" s="30"/>
      <c r="C37" s="73"/>
      <c r="D37" s="73"/>
      <c r="E37" s="73"/>
      <c r="F37" s="73"/>
      <c r="G37" s="73"/>
      <c r="H37" s="30"/>
    </row>
    <row r="38" spans="1:8" ht="18" x14ac:dyDescent="0.35">
      <c r="A38" s="2"/>
      <c r="B38" s="30"/>
      <c r="C38" s="73"/>
      <c r="D38" s="73"/>
      <c r="E38" s="73"/>
      <c r="F38" s="73"/>
      <c r="G38" s="73"/>
      <c r="H38" s="30"/>
    </row>
    <row r="39" spans="1:8" ht="18" x14ac:dyDescent="0.35">
      <c r="A39" s="2"/>
      <c r="B39" s="30"/>
      <c r="C39" s="73"/>
      <c r="D39" s="73"/>
      <c r="E39" s="73"/>
      <c r="F39" s="73"/>
      <c r="G39" s="73"/>
      <c r="H39" s="30"/>
    </row>
    <row r="40" spans="1:8" ht="18" x14ac:dyDescent="0.35">
      <c r="A40" s="2"/>
      <c r="B40" s="30"/>
      <c r="C40" s="30"/>
      <c r="D40" s="30"/>
      <c r="E40" s="30"/>
      <c r="F40" s="30"/>
      <c r="G40" s="30"/>
      <c r="H40" s="30"/>
    </row>
    <row r="41" spans="1:8" ht="18" x14ac:dyDescent="0.35">
      <c r="A41" s="2"/>
      <c r="B41" s="30"/>
      <c r="C41" s="30"/>
      <c r="D41" s="74" t="s">
        <v>25</v>
      </c>
      <c r="E41" s="75">
        <f>'4637'!G8</f>
        <v>4210</v>
      </c>
      <c r="F41" s="30"/>
      <c r="G41" s="30"/>
      <c r="H41" s="30"/>
    </row>
    <row r="42" spans="1:8" ht="17.25" customHeight="1" x14ac:dyDescent="0.35">
      <c r="A42" s="2"/>
      <c r="B42" s="30"/>
      <c r="C42" s="30"/>
      <c r="D42" s="76" t="s">
        <v>64</v>
      </c>
      <c r="E42" s="77" t="str">
        <f>'4637'!C10</f>
        <v>IVAN BURGOS</v>
      </c>
      <c r="F42" s="48"/>
      <c r="G42" s="48"/>
      <c r="H42" s="30"/>
    </row>
    <row r="43" spans="1:8" ht="4.5" customHeight="1" x14ac:dyDescent="0.35">
      <c r="A43" s="2"/>
      <c r="B43" s="30"/>
      <c r="C43" s="30"/>
      <c r="D43" s="78"/>
      <c r="E43" s="79"/>
      <c r="F43" s="30"/>
      <c r="G43" s="30"/>
      <c r="H43" s="30"/>
    </row>
    <row r="44" spans="1:8" ht="18" x14ac:dyDescent="0.35">
      <c r="A44" s="2"/>
      <c r="B44" s="30"/>
      <c r="C44" s="30"/>
      <c r="D44" s="80" t="str">
        <f>'4637'!F11</f>
        <v>FECHA LIMITE :</v>
      </c>
      <c r="E44" s="81">
        <f>'4637'!G11</f>
        <v>45926</v>
      </c>
      <c r="F44" s="30"/>
      <c r="G44" s="30"/>
      <c r="H44" s="30"/>
    </row>
    <row r="45" spans="1:8" ht="18" x14ac:dyDescent="0.35">
      <c r="A45" s="2"/>
      <c r="B45" s="30"/>
      <c r="C45" s="30"/>
      <c r="D45" s="30"/>
      <c r="E45" s="30"/>
      <c r="F45" s="30"/>
      <c r="G45" s="30" t="s">
        <v>137</v>
      </c>
      <c r="H45" s="30"/>
    </row>
    <row r="46" spans="1:8" ht="18" x14ac:dyDescent="0.35">
      <c r="A46" s="2"/>
      <c r="B46" s="30"/>
      <c r="C46" s="30"/>
      <c r="D46" s="30"/>
      <c r="E46" s="30"/>
      <c r="F46" s="30"/>
      <c r="G46" s="30"/>
      <c r="H46" s="30"/>
    </row>
    <row r="47" spans="1:8" ht="18" x14ac:dyDescent="0.35">
      <c r="A47" s="2"/>
      <c r="B47" s="131" t="s">
        <v>65</v>
      </c>
      <c r="C47" s="131"/>
      <c r="D47" s="131"/>
      <c r="E47" s="131"/>
      <c r="F47" s="131"/>
      <c r="G47" s="131"/>
      <c r="H47" s="30"/>
    </row>
    <row r="48" spans="1:8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20.100000000000001" customHeight="1" x14ac:dyDescent="0.35">
      <c r="A49" s="2"/>
      <c r="B49" s="30"/>
      <c r="C49" s="132" t="s">
        <v>66</v>
      </c>
      <c r="D49" s="133"/>
      <c r="E49" s="134"/>
      <c r="F49" s="134"/>
      <c r="G49" s="135"/>
      <c r="H49" s="30"/>
      <c r="I49" s="25" t="s">
        <v>130</v>
      </c>
    </row>
    <row r="50" spans="1:13" s="10" customFormat="1" ht="20.100000000000001" customHeight="1" x14ac:dyDescent="0.35">
      <c r="A50" s="111"/>
      <c r="B50" s="30"/>
      <c r="C50" s="84" t="s">
        <v>9</v>
      </c>
      <c r="D50" s="85" t="s">
        <v>10</v>
      </c>
      <c r="E50" s="88" t="s">
        <v>6</v>
      </c>
      <c r="F50" s="88" t="s">
        <v>7</v>
      </c>
      <c r="G50" s="86" t="s">
        <v>11</v>
      </c>
      <c r="H50" s="30"/>
      <c r="K50" s="10">
        <v>15000</v>
      </c>
    </row>
    <row r="51" spans="1:13" s="10" customFormat="1" ht="20.100000000000001" customHeight="1" x14ac:dyDescent="0.35">
      <c r="A51" s="110">
        <v>1</v>
      </c>
      <c r="B51" s="100" t="s">
        <v>134</v>
      </c>
      <c r="C51" s="96">
        <f>'4637'!B21</f>
        <v>2</v>
      </c>
      <c r="D51" s="4" t="str">
        <f>'4637'!C21</f>
        <v>PR12</v>
      </c>
      <c r="E51" s="116">
        <f>'4637'!D21</f>
        <v>650</v>
      </c>
      <c r="F51" s="103">
        <f>'4637'!E21</f>
        <v>358</v>
      </c>
      <c r="G51" s="4" t="str">
        <f>'4637'!F21</f>
        <v>VAINILLA 2109 BRILLO</v>
      </c>
      <c r="H51" s="30"/>
      <c r="I51" s="10">
        <f>E51*F51/1000000</f>
        <v>0.23269999999999999</v>
      </c>
      <c r="J51" s="10">
        <f>I51*C51</f>
        <v>0.46539999999999998</v>
      </c>
      <c r="K51" s="26">
        <f>J51*K$50</f>
        <v>6981</v>
      </c>
      <c r="M51" s="24">
        <v>12096</v>
      </c>
    </row>
    <row r="52" spans="1:13" s="10" customFormat="1" ht="20.100000000000001" customHeight="1" x14ac:dyDescent="0.35">
      <c r="A52" s="110"/>
      <c r="B52" s="100"/>
      <c r="C52" s="73"/>
      <c r="D52" s="2"/>
      <c r="E52" s="120"/>
      <c r="F52" s="105"/>
      <c r="G52" s="2"/>
      <c r="H52" s="30"/>
      <c r="K52" s="26"/>
      <c r="M52" s="29"/>
    </row>
    <row r="53" spans="1:13" s="10" customFormat="1" ht="20.100000000000001" customHeight="1" x14ac:dyDescent="0.35">
      <c r="A53" s="110"/>
      <c r="B53" s="100"/>
      <c r="C53" s="73"/>
      <c r="D53" s="2"/>
      <c r="E53" s="120"/>
      <c r="F53" s="105"/>
      <c r="G53" s="2"/>
      <c r="H53" s="30"/>
      <c r="K53" s="26"/>
      <c r="M53" s="29"/>
    </row>
    <row r="54" spans="1:13" s="10" customFormat="1" ht="15" customHeight="1" x14ac:dyDescent="0.35">
      <c r="B54" s="83"/>
      <c r="C54" s="66"/>
      <c r="D54" s="66"/>
      <c r="E54" s="66"/>
      <c r="F54" s="66"/>
      <c r="G54" s="66"/>
      <c r="H54" s="30"/>
    </row>
    <row r="55" spans="1:13" ht="18" x14ac:dyDescent="0.35">
      <c r="B55" s="73"/>
      <c r="C55" s="73"/>
      <c r="D55" s="30"/>
      <c r="E55" s="73"/>
      <c r="F55" s="73"/>
      <c r="G55" s="78"/>
      <c r="H55" s="30"/>
    </row>
    <row r="56" spans="1:13" ht="18" x14ac:dyDescent="0.35">
      <c r="B56" s="73"/>
      <c r="C56" s="73"/>
      <c r="D56" s="30"/>
      <c r="E56" s="73"/>
      <c r="F56" s="73"/>
      <c r="G56" s="73"/>
      <c r="H56" s="30"/>
      <c r="J56" s="10">
        <f>SUM(J51:J51)</f>
        <v>0.46539999999999998</v>
      </c>
      <c r="K56" s="27">
        <f>SUM(K51:K51)</f>
        <v>6981</v>
      </c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5" customHeight="1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73"/>
      <c r="C62" s="87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x14ac:dyDescent="0.3">
      <c r="C64" s="14"/>
      <c r="D64" s="14"/>
      <c r="F64" s="14"/>
      <c r="G64" s="14"/>
    </row>
    <row r="65" spans="3:7" x14ac:dyDescent="0.3">
      <c r="C65" s="14"/>
      <c r="D65" s="14"/>
      <c r="F65" s="14"/>
      <c r="G65" s="14"/>
    </row>
  </sheetData>
  <mergeCells count="6">
    <mergeCell ref="N3:O3"/>
    <mergeCell ref="B19:G19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2025-09-24T19:18:56Z</cp:lastPrinted>
  <dcterms:created xsi:type="dcterms:W3CDTF">2013-03-19T12:54:14Z</dcterms:created>
  <dcterms:modified xsi:type="dcterms:W3CDTF">2025-09-24T19:39:40Z</dcterms:modified>
</cp:coreProperties>
</file>