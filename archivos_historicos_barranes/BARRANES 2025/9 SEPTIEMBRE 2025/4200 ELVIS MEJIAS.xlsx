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390262C2-8D85-4FD8-8537-E33773319F5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H24" i="4"/>
  <c r="H23" i="4"/>
  <c r="H22" i="4"/>
  <c r="H21" i="4"/>
  <c r="G32" i="3"/>
  <c r="G33" i="3"/>
  <c r="G34" i="3"/>
  <c r="G31" i="3"/>
  <c r="F32" i="3"/>
  <c r="L15" i="3" s="1"/>
  <c r="F15" i="3" s="1"/>
  <c r="F33" i="3"/>
  <c r="L16" i="3" s="1"/>
  <c r="F16" i="3" s="1"/>
  <c r="F34" i="3"/>
  <c r="F31" i="3"/>
  <c r="L14" i="3" s="1"/>
  <c r="E32" i="3"/>
  <c r="K15" i="3" s="1"/>
  <c r="E33" i="3"/>
  <c r="K16" i="3" s="1"/>
  <c r="E34" i="3"/>
  <c r="E31" i="3"/>
  <c r="K14" i="3" s="1"/>
  <c r="C32" i="3"/>
  <c r="C33" i="3"/>
  <c r="C34" i="3"/>
  <c r="C31" i="3"/>
  <c r="G57" i="3"/>
  <c r="G58" i="3"/>
  <c r="G59" i="3"/>
  <c r="G56" i="3"/>
  <c r="F57" i="3"/>
  <c r="F58" i="3"/>
  <c r="F59" i="3"/>
  <c r="F56" i="3"/>
  <c r="E57" i="3"/>
  <c r="E58" i="3"/>
  <c r="E59" i="3"/>
  <c r="E56" i="3"/>
  <c r="D57" i="3"/>
  <c r="D32" i="3" s="1"/>
  <c r="D58" i="3"/>
  <c r="D33" i="3" s="1"/>
  <c r="D59" i="3"/>
  <c r="D34" i="3" s="1"/>
  <c r="D56" i="3"/>
  <c r="D31" i="3" s="1"/>
  <c r="C57" i="3"/>
  <c r="C58" i="3"/>
  <c r="C59" i="3"/>
  <c r="C56" i="3"/>
  <c r="J25" i="3" l="1"/>
  <c r="G25" i="3"/>
  <c r="K25" i="3"/>
  <c r="E25" i="3" s="1"/>
  <c r="L25" i="3"/>
  <c r="F25" i="3" s="1"/>
  <c r="C25" i="3" l="1"/>
  <c r="J16" i="3"/>
  <c r="C16" i="3" s="1"/>
  <c r="G16" i="3"/>
  <c r="E16" i="3"/>
  <c r="J24" i="3"/>
  <c r="C24" i="3" l="1"/>
  <c r="J15" i="3"/>
  <c r="C15" i="3" s="1"/>
  <c r="G24" i="3"/>
  <c r="G15" i="3"/>
  <c r="L24" i="3"/>
  <c r="F24" i="3" s="1"/>
  <c r="K24" i="3"/>
  <c r="E24" i="3" s="1"/>
  <c r="E15" i="3"/>
  <c r="L21" i="4" l="1"/>
  <c r="K21" i="4"/>
  <c r="M21" i="4" l="1"/>
  <c r="N21" i="4" s="1"/>
  <c r="G23" i="3" l="1"/>
  <c r="L23" i="3"/>
  <c r="F23" i="3" s="1"/>
  <c r="J23" i="3" l="1"/>
  <c r="I31" i="3"/>
  <c r="J31" i="3" s="1"/>
  <c r="K23" i="3"/>
  <c r="E23" i="3" s="1"/>
  <c r="I56" i="3"/>
  <c r="J56" i="3" s="1"/>
  <c r="E14" i="3"/>
  <c r="G14" i="3"/>
  <c r="F14" i="3"/>
  <c r="C23" i="3" l="1"/>
  <c r="J14" i="3"/>
  <c r="C14" i="3" s="1"/>
  <c r="J37" i="3"/>
  <c r="K56" i="3"/>
  <c r="J63" i="3"/>
  <c r="H29" i="4"/>
  <c r="O5" i="3"/>
  <c r="K63" i="3" l="1"/>
  <c r="N5" i="3"/>
  <c r="M5" i="3"/>
  <c r="L5" i="3"/>
  <c r="D49" i="3" l="1"/>
  <c r="D7" i="3"/>
  <c r="E47" i="3"/>
  <c r="E5" i="3"/>
  <c r="E49" i="3"/>
  <c r="E7" i="3"/>
  <c r="E46" i="3"/>
  <c r="E4" i="3"/>
</calcChain>
</file>

<file path=xl/sharedStrings.xml><?xml version="1.0" encoding="utf-8"?>
<sst xmlns="http://schemas.openxmlformats.org/spreadsheetml/2006/main" count="252" uniqueCount="147">
  <si>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</si>
  <si>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</si>
  <si>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</si>
  <si>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</si>
  <si>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</si>
  <si>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</si>
  <si>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</si>
  <si>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</si>
  <si>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</si>
  <si>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</si>
  <si>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</si>
  <si>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</si>
  <si>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</si>
  <si>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</si>
  <si>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</si>
  <si>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</si>
  <si>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</si>
  <si>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</si>
  <si>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</si>
  <si>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</si>
  <si>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</si>
  <si>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</si>
  <si>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</si>
  <si>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</si>
  <si>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</si>
  <si>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</si>
  <si>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</si>
  <si>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</si>
  <si>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</si>
  <si>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</si>
  <si>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</si>
  <si>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</si>
  <si>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</si>
  <si>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</si>
  <si>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</si>
  <si>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</si>
  <si>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</si>
  <si>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</si>
  <si>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</si>
  <si>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</si>
  <si>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</si>
  <si>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</si>
  <si>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</si>
  <si>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</si>
  <si>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</si>
  <si>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</si>
  <si>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</si>
  <si>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</si>
  <si>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</si>
  <si>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</si>
  <si>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</si>
  <si>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</si>
  <si>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</si>
  <si>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</si>
  <si>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</si>
  <si>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</si>
  <si>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</si>
  <si>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</si>
  <si>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</si>
  <si>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</si>
  <si>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</si>
  <si>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</si>
  <si>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</si>
  <si>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</si>
  <si>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</si>
  <si>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</si>
  <si>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</si>
  <si>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</si>
  <si>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</si>
  <si>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</si>
  <si>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</si>
  <si>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</si>
  <si>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</si>
  <si>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</si>
  <si>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</si>
  <si>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</si>
  <si>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</si>
  <si>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</si>
  <si>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</si>
  <si>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</si>
  <si>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</si>
  <si>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</si>
  <si>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</si>
  <si>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</si>
  <si>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</si>
  <si>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</si>
  <si>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</si>
  <si>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</si>
  <si>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</si>
  <si>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</si>
  <si>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</si>
  <si>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</si>
  <si>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</si>
  <si>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</si>
  <si>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</si>
  <si>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</si>
  <si>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</si>
  <si>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</si>
  <si>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</si>
  <si>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</si>
  <si>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</si>
  <si>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</si>
  <si>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</si>
  <si>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</si>
  <si>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</si>
  <si>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</si>
  <si>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</si>
  <si>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</si>
  <si>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</si>
  <si>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</si>
  <si>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</si>
  <si>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</si>
  <si>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</si>
  <si>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</si>
  <si>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</si>
  <si>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</si>
  <si>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</si>
  <si>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</si>
  <si>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</si>
  <si>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</si>
  <si>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</si>
  <si>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</si>
  <si>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</si>
  <si>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</si>
  <si>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</si>
  <si>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</si>
  <si>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</si>
  <si>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</si>
  <si>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</si>
  <si>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</si>
  <si>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</si>
  <si>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</si>
  <si>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</si>
  <si>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</si>
  <si>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</si>
  <si>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</si>
  <si>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</si>
  <si>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</si>
  <si>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</si>
  <si>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</si>
  <si>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</si>
  <si>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ELVIS MEJIAS</t>
  </si>
  <si>
    <t>+569 4712 9256</t>
  </si>
  <si>
    <t>CUB C/R 90° R8</t>
  </si>
  <si>
    <t>GRANITO KOMBI 0670 BR</t>
  </si>
  <si>
    <t>CUB MESA 90° 3 LADOS R8</t>
  </si>
  <si>
    <t>SERVICIO 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</si>
</sst>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 tint="-0.249977111117893"/>
      <name val="Abad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20" fillId="0" borderId="0" xfId="2" quotePrefix="1" applyFont="1" applyFill="1" applyBorder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66" fontId="2" fillId="0" borderId="33" xfId="1" applyNumberFormat="1" applyFont="1" applyFill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6" fontId="2" fillId="0" borderId="27" xfId="1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165" fontId="9" fillId="0" borderId="35" xfId="0" applyNumberFormat="1" applyFont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66" fontId="2" fillId="0" borderId="26" xfId="1" applyNumberFormat="1" applyFont="1" applyFill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$ 86.332.-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50</xdr:row>
      <xdr:rowOff>190500</xdr:rowOff>
    </xdr:from>
    <xdr:to>
      <xdr:col>7</xdr:col>
      <xdr:colOff>9524</xdr:colOff>
      <xdr:row>52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47</xdr:row>
      <xdr:rowOff>30479</xdr:rowOff>
    </xdr:from>
    <xdr:to>
      <xdr:col>6</xdr:col>
      <xdr:colOff>2912745</xdr:colOff>
      <xdr:row>48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209549</xdr:rowOff>
    </xdr:from>
    <xdr:to>
      <xdr:col>7</xdr:col>
      <xdr:colOff>0</xdr:colOff>
      <xdr:row>47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44</xdr:row>
      <xdr:rowOff>171450</xdr:rowOff>
    </xdr:from>
    <xdr:to>
      <xdr:col>7</xdr:col>
      <xdr:colOff>19050</xdr:colOff>
      <xdr:row>45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61</xdr:row>
      <xdr:rowOff>0</xdr:rowOff>
    </xdr:from>
    <xdr:to>
      <xdr:col>3</xdr:col>
      <xdr:colOff>1019175</xdr:colOff>
      <xdr:row>62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61</xdr:row>
      <xdr:rowOff>0</xdr:rowOff>
    </xdr:from>
    <xdr:to>
      <xdr:col>4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61</xdr:row>
      <xdr:rowOff>0</xdr:rowOff>
    </xdr:from>
    <xdr:to>
      <xdr:col>5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61</xdr:row>
      <xdr:rowOff>0</xdr:rowOff>
    </xdr:from>
    <xdr:to>
      <xdr:col>6</xdr:col>
      <xdr:colOff>447675</xdr:colOff>
      <xdr:row>62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61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62</xdr:row>
      <xdr:rowOff>0</xdr:rowOff>
    </xdr:from>
    <xdr:to>
      <xdr:col>3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62</xdr:row>
      <xdr:rowOff>0</xdr:rowOff>
    </xdr:from>
    <xdr:to>
      <xdr:col>4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62</xdr:row>
      <xdr:rowOff>0</xdr:rowOff>
    </xdr:from>
    <xdr:to>
      <xdr:col>5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62</xdr:row>
      <xdr:rowOff>0</xdr:rowOff>
    </xdr:from>
    <xdr:to>
      <xdr:col>6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62</xdr:row>
      <xdr:rowOff>0</xdr:rowOff>
    </xdr:from>
    <xdr:to>
      <xdr:col>7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36</xdr:row>
      <xdr:rowOff>15239</xdr:rowOff>
    </xdr:from>
    <xdr:to>
      <xdr:col>7</xdr:col>
      <xdr:colOff>0</xdr:colOff>
      <xdr:row>40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45°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27</xdr:row>
      <xdr:rowOff>1</xdr:rowOff>
    </xdr:from>
    <xdr:to>
      <xdr:col>7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64</xdr:row>
      <xdr:rowOff>32385</xdr:rowOff>
    </xdr:from>
    <xdr:to>
      <xdr:col>7</xdr:col>
      <xdr:colOff>0</xdr:colOff>
      <xdr:row>68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45°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44</xdr:row>
      <xdr:rowOff>146685</xdr:rowOff>
    </xdr:from>
    <xdr:to>
      <xdr:col>2</xdr:col>
      <xdr:colOff>786523</xdr:colOff>
      <xdr:row>50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304800</xdr:colOff>
      <xdr:row>71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zoomScale="98" zoomScaleNormal="98" workbookViewId="0">
      <selection activeCell="E8" sqref="E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0.66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11641</v>
      </c>
      <c r="E8" s="30"/>
      <c r="F8" s="35" t="s">
        <v>25</v>
      </c>
      <c r="G8" s="36">
        <v>4200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45904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22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40" t="s">
        <v>17</v>
      </c>
      <c r="G16" s="140"/>
      <c r="H16" s="14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42" t="s">
        <v>18</v>
      </c>
      <c r="C19" s="143"/>
      <c r="D19" s="143"/>
      <c r="E19" s="143"/>
      <c r="F19" s="143"/>
      <c r="G19" s="143"/>
      <c r="H19" s="144"/>
      <c r="I19" s="30"/>
    </row>
    <row r="20" spans="1:16" ht="20.100000000000001" customHeight="1" thickBot="1" x14ac:dyDescent="0.4">
      <c r="A20" s="30"/>
      <c r="B20" s="58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58" t="s">
        <v>22</v>
      </c>
      <c r="H20" s="118" t="s">
        <v>4</v>
      </c>
      <c r="I20" s="30"/>
      <c r="N20">
        <v>65000</v>
      </c>
    </row>
    <row r="21" spans="1:16" ht="20.100000000000001" customHeight="1" x14ac:dyDescent="0.35">
      <c r="A21" s="30"/>
      <c r="B21" s="123">
        <v>1</v>
      </c>
      <c r="C21" s="124" t="s">
        <v>143</v>
      </c>
      <c r="D21" s="138">
        <v>1250</v>
      </c>
      <c r="E21" s="138">
        <v>540</v>
      </c>
      <c r="F21" s="124" t="s">
        <v>144</v>
      </c>
      <c r="G21" s="125">
        <v>46400</v>
      </c>
      <c r="H21" s="126">
        <f>G21*B21</f>
        <v>46400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27">
        <v>1</v>
      </c>
      <c r="C22" s="128" t="s">
        <v>143</v>
      </c>
      <c r="D22" s="139">
        <v>1420</v>
      </c>
      <c r="E22" s="139">
        <v>540</v>
      </c>
      <c r="F22" s="128" t="s">
        <v>144</v>
      </c>
      <c r="G22" s="129">
        <v>52160</v>
      </c>
      <c r="H22" s="130">
        <f>G22*B22</f>
        <v>52160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31">
        <v>1</v>
      </c>
      <c r="C23" s="128" t="s">
        <v>145</v>
      </c>
      <c r="D23" s="103">
        <v>1500</v>
      </c>
      <c r="E23" s="103">
        <v>540</v>
      </c>
      <c r="F23" s="128" t="s">
        <v>144</v>
      </c>
      <c r="G23" s="116">
        <v>54073</v>
      </c>
      <c r="H23" s="132">
        <f t="shared" ref="H23" si="0">G23*B23</f>
        <v>54073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33">
        <v>2</v>
      </c>
      <c r="C24" s="134" t="s">
        <v>146</v>
      </c>
      <c r="D24" s="135"/>
      <c r="E24" s="135"/>
      <c r="F24" s="134"/>
      <c r="G24" s="136">
        <v>10000</v>
      </c>
      <c r="H24" s="137">
        <f>G24*B24</f>
        <v>20000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05"/>
      <c r="E25" s="105"/>
      <c r="F25" s="104"/>
      <c r="G25" s="106"/>
      <c r="H25" s="106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5"/>
      <c r="E26" s="115"/>
      <c r="F26" s="104"/>
      <c r="G26" s="106"/>
      <c r="H26" s="106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5"/>
      <c r="E27" s="115"/>
      <c r="F27" s="104"/>
      <c r="G27" s="61" t="s">
        <v>5</v>
      </c>
      <c r="H27" s="62">
        <f>SUM(H21:H26)</f>
        <v>172633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5"/>
      <c r="E28" s="115"/>
      <c r="F28" s="104"/>
      <c r="G28" s="63" t="s">
        <v>139</v>
      </c>
      <c r="H28" s="64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04"/>
      <c r="C29" s="104"/>
      <c r="D29" s="115"/>
      <c r="E29" s="115"/>
      <c r="F29" s="104"/>
      <c r="G29" s="65" t="s">
        <v>4</v>
      </c>
      <c r="H29" s="66">
        <f>H27+H28</f>
        <v>172633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5"/>
      <c r="E30" s="115"/>
      <c r="F30" s="104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5"/>
      <c r="E31" s="11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15"/>
      <c r="E32" s="115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05"/>
      <c r="E33" s="105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05"/>
      <c r="E34" s="105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13.2" customHeight="1" x14ac:dyDescent="0.35">
      <c r="A35" s="30"/>
      <c r="B35" s="60"/>
      <c r="C35" s="60"/>
      <c r="D35" s="60"/>
      <c r="E35" s="60"/>
      <c r="F35" s="60"/>
      <c r="G35" s="59"/>
      <c r="H35" s="59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67"/>
      <c r="H39" s="68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69" t="s">
        <v>133</v>
      </c>
      <c r="C41" s="70"/>
      <c r="D41" s="71"/>
      <c r="E41" s="71"/>
      <c r="F41" s="60"/>
      <c r="G41" s="30"/>
      <c r="H41" s="30"/>
      <c r="I41" s="30"/>
    </row>
    <row r="42" spans="1:16" ht="18" x14ac:dyDescent="0.35">
      <c r="A42" s="30"/>
      <c r="B42" s="69" t="s">
        <v>119</v>
      </c>
      <c r="C42" s="70"/>
      <c r="D42" s="71"/>
      <c r="E42" s="71"/>
      <c r="F42" s="60"/>
      <c r="G42" s="30"/>
      <c r="H42" s="30"/>
      <c r="I42" s="30"/>
    </row>
    <row r="43" spans="1:16" ht="18" x14ac:dyDescent="0.35">
      <c r="A43" s="30"/>
      <c r="B43" s="30" t="s">
        <v>23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72" t="s">
        <v>24</v>
      </c>
      <c r="C44" s="72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72"/>
      <c r="F45" s="30"/>
      <c r="G45" s="30"/>
      <c r="H45" s="30"/>
      <c r="I45" s="30"/>
    </row>
    <row r="46" spans="1:16" ht="18" x14ac:dyDescent="0.35">
      <c r="A46" s="30"/>
      <c r="B46" s="31" t="s">
        <v>131</v>
      </c>
      <c r="C46" s="31"/>
      <c r="D46" s="31"/>
      <c r="E46" s="73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73"/>
      <c r="F47" s="30"/>
      <c r="G47" s="30"/>
      <c r="H47" s="30"/>
      <c r="I47" s="30"/>
    </row>
    <row r="48" spans="1:16" ht="18" x14ac:dyDescent="0.35">
      <c r="A48" s="30"/>
      <c r="B48" s="31" t="s">
        <v>132</v>
      </c>
      <c r="C48" s="30"/>
      <c r="D48" s="30"/>
      <c r="E48" s="72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72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5" t="s">
        <v>28</v>
      </c>
      <c r="C2" s="145"/>
      <c r="D2" s="145"/>
      <c r="E2" s="12"/>
      <c r="G2" s="145" t="s">
        <v>67</v>
      </c>
      <c r="H2" s="145"/>
      <c r="I2" s="145"/>
      <c r="P2" s="146" t="s">
        <v>55</v>
      </c>
      <c r="Q2" s="146"/>
      <c r="R2" s="14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46" t="s">
        <v>55</v>
      </c>
      <c r="M8" s="146"/>
      <c r="N8" s="14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2"/>
  <sheetViews>
    <sheetView tabSelected="1" zoomScaleNormal="100" workbookViewId="0">
      <selection sqref="A1:H4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47" t="s">
        <v>58</v>
      </c>
      <c r="M3" s="147"/>
      <c r="N3" s="147" t="s">
        <v>13</v>
      </c>
      <c r="O3" s="147"/>
    </row>
    <row r="4" spans="1:15" ht="15.75" customHeight="1" x14ac:dyDescent="0.35">
      <c r="B4" s="30"/>
      <c r="C4" s="30"/>
      <c r="D4" s="75" t="s">
        <v>25</v>
      </c>
      <c r="E4" s="76">
        <f>'4637'!G8</f>
        <v>4200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ELVIS MEJIAS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0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48" t="s">
        <v>58</v>
      </c>
      <c r="C10" s="148"/>
      <c r="D10" s="148"/>
      <c r="E10" s="148"/>
      <c r="F10" s="148"/>
      <c r="G10" s="148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20">
        <v>1</v>
      </c>
      <c r="B14" s="102" t="s">
        <v>138</v>
      </c>
      <c r="C14" s="95">
        <f>J14</f>
        <v>1</v>
      </c>
      <c r="D14" s="95"/>
      <c r="E14" s="95">
        <f>K14+E$13</f>
        <v>1330</v>
      </c>
      <c r="F14" s="95">
        <f>L14+F$13</f>
        <v>510</v>
      </c>
      <c r="G14" s="95" t="str">
        <f>D31</f>
        <v>CUB C/R 90° R8</v>
      </c>
      <c r="H14" s="30"/>
      <c r="J14" s="3">
        <f>J23</f>
        <v>1</v>
      </c>
      <c r="K14" s="4">
        <f t="shared" ref="K14:L14" si="0">E31</f>
        <v>1250</v>
      </c>
      <c r="L14" s="4">
        <f t="shared" si="0"/>
        <v>540</v>
      </c>
    </row>
    <row r="15" spans="1:15" ht="18" x14ac:dyDescent="0.35">
      <c r="A15" s="120">
        <v>2</v>
      </c>
      <c r="B15" s="102"/>
      <c r="C15" s="95">
        <f t="shared" ref="C15:C16" si="1">J15</f>
        <v>1</v>
      </c>
      <c r="D15" s="95"/>
      <c r="E15" s="95">
        <f t="shared" ref="E15:E16" si="2">K15+E$13</f>
        <v>1500</v>
      </c>
      <c r="F15" s="95">
        <f t="shared" ref="F15" si="3">L15+F$13</f>
        <v>510</v>
      </c>
      <c r="G15" s="95" t="str">
        <f>D32</f>
        <v>CUB C/R 90° R8</v>
      </c>
      <c r="H15" s="30"/>
      <c r="J15" s="3">
        <f>J24</f>
        <v>1</v>
      </c>
      <c r="K15" s="4">
        <f>E32</f>
        <v>1420</v>
      </c>
      <c r="L15" s="4">
        <f>F32</f>
        <v>540</v>
      </c>
    </row>
    <row r="16" spans="1:15" ht="18" x14ac:dyDescent="0.35">
      <c r="A16" s="120">
        <v>3</v>
      </c>
      <c r="C16" s="95">
        <f t="shared" si="1"/>
        <v>1</v>
      </c>
      <c r="D16" s="95"/>
      <c r="E16" s="95">
        <f t="shared" si="2"/>
        <v>1580</v>
      </c>
      <c r="F16" s="95">
        <f>L16</f>
        <v>540</v>
      </c>
      <c r="G16" s="95" t="str">
        <f>D33</f>
        <v>CUB MESA 90° 3 LADOS R8</v>
      </c>
      <c r="H16" s="30"/>
      <c r="J16" s="3">
        <f>J25</f>
        <v>1</v>
      </c>
      <c r="K16" s="4">
        <f>E33</f>
        <v>1500</v>
      </c>
      <c r="L16" s="4">
        <f>F33</f>
        <v>540</v>
      </c>
    </row>
    <row r="17" spans="1:13" ht="18" x14ac:dyDescent="0.35">
      <c r="A17" s="2"/>
      <c r="B17" s="84"/>
      <c r="C17" s="74"/>
      <c r="D17" s="74"/>
      <c r="E17" s="74"/>
      <c r="F17" s="74"/>
      <c r="G17" s="74"/>
      <c r="H17" s="30"/>
      <c r="J17" s="23"/>
      <c r="K17" s="2"/>
      <c r="L17" s="2"/>
    </row>
    <row r="18" spans="1:13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3" ht="18" x14ac:dyDescent="0.35">
      <c r="A19" s="2"/>
      <c r="B19" s="148" t="s">
        <v>13</v>
      </c>
      <c r="C19" s="148"/>
      <c r="D19" s="148"/>
      <c r="E19" s="148"/>
      <c r="F19" s="148"/>
      <c r="G19" s="148"/>
      <c r="H19" s="30"/>
    </row>
    <row r="20" spans="1:13" ht="10.5" customHeight="1" x14ac:dyDescent="0.35">
      <c r="A20" s="2"/>
      <c r="B20" s="30"/>
      <c r="C20" s="30"/>
      <c r="D20" s="92"/>
      <c r="E20" s="30"/>
      <c r="F20" s="30"/>
      <c r="G20" s="30"/>
      <c r="H20" s="30"/>
    </row>
    <row r="21" spans="1:13" ht="18" x14ac:dyDescent="0.35">
      <c r="A21" s="2"/>
      <c r="B21" s="30"/>
      <c r="C21" s="30"/>
      <c r="D21" s="30"/>
      <c r="E21" s="67" t="s">
        <v>6</v>
      </c>
      <c r="F21" s="67" t="s">
        <v>7</v>
      </c>
      <c r="G21" s="30"/>
      <c r="H21" s="30"/>
    </row>
    <row r="22" spans="1:13" ht="18" x14ac:dyDescent="0.35">
      <c r="A22" s="2"/>
      <c r="B22" s="67" t="s">
        <v>8</v>
      </c>
      <c r="C22" s="83" t="s">
        <v>9</v>
      </c>
      <c r="D22" s="83" t="s">
        <v>10</v>
      </c>
      <c r="E22" s="96">
        <v>40</v>
      </c>
      <c r="F22" s="96">
        <v>130</v>
      </c>
      <c r="G22" s="83" t="s">
        <v>107</v>
      </c>
      <c r="H22" s="30"/>
      <c r="K22" s="5" t="s">
        <v>6</v>
      </c>
      <c r="L22" s="5" t="s">
        <v>7</v>
      </c>
    </row>
    <row r="23" spans="1:13" ht="18" x14ac:dyDescent="0.35">
      <c r="A23" s="120">
        <v>1</v>
      </c>
      <c r="B23" s="102"/>
      <c r="C23" s="97">
        <f t="shared" ref="C23" si="4">J23</f>
        <v>1</v>
      </c>
      <c r="D23" s="97"/>
      <c r="E23" s="97">
        <f t="shared" ref="E23:E24" si="5">K23+E$22</f>
        <v>1290</v>
      </c>
      <c r="F23" s="97">
        <f t="shared" ref="F23:F25" si="6">L23+F$22</f>
        <v>670</v>
      </c>
      <c r="G23" s="97" t="str">
        <f>D31</f>
        <v>CUB C/R 90° R8</v>
      </c>
      <c r="H23" s="30"/>
      <c r="J23" s="3">
        <f>C31</f>
        <v>1</v>
      </c>
      <c r="K23" s="110">
        <f>E31</f>
        <v>1250</v>
      </c>
      <c r="L23" s="110">
        <f>F31</f>
        <v>540</v>
      </c>
    </row>
    <row r="24" spans="1:13" ht="18" x14ac:dyDescent="0.35">
      <c r="A24" s="120">
        <v>2</v>
      </c>
      <c r="B24" s="102"/>
      <c r="C24" s="97">
        <f t="shared" ref="C24:C25" si="7">J24</f>
        <v>1</v>
      </c>
      <c r="D24" s="97"/>
      <c r="E24" s="97">
        <f t="shared" si="5"/>
        <v>1460</v>
      </c>
      <c r="F24" s="97">
        <f t="shared" si="6"/>
        <v>670</v>
      </c>
      <c r="G24" s="97" t="str">
        <f>D32</f>
        <v>CUB C/R 90° R8</v>
      </c>
      <c r="H24" s="30"/>
      <c r="J24" s="3">
        <f>C32</f>
        <v>1</v>
      </c>
      <c r="K24" s="107">
        <f t="shared" ref="K24:L24" si="8">E32</f>
        <v>1420</v>
      </c>
      <c r="L24" s="107">
        <f t="shared" si="8"/>
        <v>540</v>
      </c>
    </row>
    <row r="25" spans="1:13" ht="18" x14ac:dyDescent="0.35">
      <c r="A25" s="120">
        <v>3</v>
      </c>
      <c r="B25" s="102"/>
      <c r="C25" s="97">
        <f t="shared" si="7"/>
        <v>1</v>
      </c>
      <c r="D25" s="97"/>
      <c r="E25" s="97">
        <f>K25+100</f>
        <v>1600</v>
      </c>
      <c r="F25" s="97">
        <f t="shared" si="6"/>
        <v>670</v>
      </c>
      <c r="G25" s="97" t="str">
        <f>D33</f>
        <v>CUB MESA 90° 3 LADOS R8</v>
      </c>
      <c r="H25" s="30"/>
      <c r="J25" s="3">
        <f>C33</f>
        <v>1</v>
      </c>
      <c r="K25" s="109">
        <f t="shared" ref="K25:L25" si="9">E33</f>
        <v>1500</v>
      </c>
      <c r="L25" s="109">
        <f t="shared" si="9"/>
        <v>540</v>
      </c>
    </row>
    <row r="26" spans="1:13" ht="18" x14ac:dyDescent="0.35">
      <c r="A26" s="113"/>
      <c r="B26" s="102"/>
      <c r="C26" s="74"/>
      <c r="D26" s="74"/>
      <c r="E26" s="74"/>
      <c r="F26" s="74"/>
      <c r="G26" s="74"/>
      <c r="H26" s="30"/>
      <c r="J26" s="23"/>
      <c r="K26" s="121"/>
      <c r="L26" s="121"/>
      <c r="M26" s="108"/>
    </row>
    <row r="27" spans="1:13" ht="18.600000000000001" thickBot="1" x14ac:dyDescent="0.4">
      <c r="A27" s="2"/>
      <c r="B27" s="84"/>
      <c r="C27" s="74"/>
      <c r="D27" s="74"/>
      <c r="E27" s="74"/>
      <c r="F27" s="74"/>
      <c r="G27" s="74"/>
      <c r="H27" s="30"/>
      <c r="I27" s="111"/>
      <c r="J27" s="112"/>
      <c r="K27" s="112"/>
      <c r="L27" s="112"/>
    </row>
    <row r="28" spans="1:13" ht="18.600000000000001" thickBot="1" x14ac:dyDescent="0.4">
      <c r="A28" s="2"/>
      <c r="B28" s="67"/>
      <c r="C28" s="98" t="s">
        <v>104</v>
      </c>
      <c r="D28" s="33"/>
      <c r="E28" s="33"/>
      <c r="F28" s="33"/>
      <c r="G28" s="99"/>
      <c r="H28" s="30"/>
      <c r="J28" s="2"/>
      <c r="K28" s="2"/>
      <c r="L28" s="2"/>
    </row>
    <row r="29" spans="1:13" ht="10.5" customHeight="1" x14ac:dyDescent="0.35">
      <c r="A29" s="2"/>
      <c r="B29" s="30"/>
      <c r="C29" s="30"/>
      <c r="D29" s="30"/>
      <c r="E29" s="30"/>
      <c r="F29" s="30"/>
      <c r="G29" s="30"/>
      <c r="H29" s="30"/>
    </row>
    <row r="30" spans="1:13" ht="18" x14ac:dyDescent="0.35">
      <c r="A30" s="2"/>
      <c r="B30" s="67" t="s">
        <v>8</v>
      </c>
      <c r="C30" s="100" t="s">
        <v>9</v>
      </c>
      <c r="D30" s="100" t="s">
        <v>107</v>
      </c>
      <c r="E30" s="100" t="s">
        <v>6</v>
      </c>
      <c r="F30" s="100" t="s">
        <v>7</v>
      </c>
      <c r="G30" s="100" t="s">
        <v>21</v>
      </c>
      <c r="H30" s="30"/>
    </row>
    <row r="31" spans="1:13" ht="18" x14ac:dyDescent="0.35">
      <c r="A31" s="120">
        <v>1</v>
      </c>
      <c r="B31" s="102" t="s">
        <v>135</v>
      </c>
      <c r="C31" s="95">
        <f>'4637'!B21</f>
        <v>1</v>
      </c>
      <c r="D31" s="95" t="str">
        <f>D56</f>
        <v>CUB C/R 90° R8</v>
      </c>
      <c r="E31" s="119">
        <f>'4637'!D21</f>
        <v>1250</v>
      </c>
      <c r="F31" s="119">
        <f>'4637'!E21</f>
        <v>540</v>
      </c>
      <c r="G31" s="4" t="str">
        <f>'4637'!F21</f>
        <v>GRANITO KOMBI 0670 BR</v>
      </c>
      <c r="H31" s="30"/>
      <c r="I31" s="28">
        <f>E31*F31/1000000</f>
        <v>0.67500000000000004</v>
      </c>
      <c r="J31" s="28">
        <f>I31*C31</f>
        <v>0.67500000000000004</v>
      </c>
    </row>
    <row r="32" spans="1:13" ht="18" x14ac:dyDescent="0.35">
      <c r="A32" s="120">
        <v>2</v>
      </c>
      <c r="B32" s="102"/>
      <c r="C32" s="95">
        <f>'4637'!B22</f>
        <v>1</v>
      </c>
      <c r="D32" s="95" t="str">
        <f>D57</f>
        <v>CUB C/R 90° R8</v>
      </c>
      <c r="E32" s="119">
        <f>'4637'!D22</f>
        <v>1420</v>
      </c>
      <c r="F32" s="119">
        <f>'4637'!E22</f>
        <v>540</v>
      </c>
      <c r="G32" s="4" t="str">
        <f>'4637'!F22</f>
        <v>GRANITO KOMBI 0670 BR</v>
      </c>
      <c r="H32" s="30"/>
      <c r="I32" s="28"/>
      <c r="J32" s="28"/>
    </row>
    <row r="33" spans="1:10" ht="18" x14ac:dyDescent="0.35">
      <c r="A33" s="120">
        <v>3</v>
      </c>
      <c r="C33" s="95">
        <f>'4637'!B23</f>
        <v>1</v>
      </c>
      <c r="D33" s="95" t="str">
        <f>D58</f>
        <v>CUB MESA 90° 3 LADOS R8</v>
      </c>
      <c r="E33" s="119">
        <f>'4637'!D23</f>
        <v>1500</v>
      </c>
      <c r="F33" s="119">
        <f>'4637'!E23</f>
        <v>540</v>
      </c>
      <c r="G33" s="4" t="str">
        <f>'4637'!F23</f>
        <v>GRANITO KOMBI 0670 BR</v>
      </c>
      <c r="H33" s="30"/>
      <c r="I33" s="28"/>
      <c r="J33" s="28"/>
    </row>
    <row r="34" spans="1:10" ht="18" x14ac:dyDescent="0.35">
      <c r="A34" s="120">
        <v>4</v>
      </c>
      <c r="B34" s="102"/>
      <c r="C34" s="95">
        <f>'4637'!B24</f>
        <v>2</v>
      </c>
      <c r="D34" s="95" t="str">
        <f>D59</f>
        <v>SERVICIO CORTE 45°</v>
      </c>
      <c r="E34" s="119">
        <f>'4637'!D24</f>
        <v>0</v>
      </c>
      <c r="F34" s="119">
        <f>'4637'!E24</f>
        <v>0</v>
      </c>
      <c r="G34" s="4">
        <f>'4637'!F24</f>
        <v>0</v>
      </c>
      <c r="H34" s="30"/>
      <c r="I34" s="28"/>
      <c r="J34" s="28"/>
    </row>
    <row r="35" spans="1:10" ht="18" x14ac:dyDescent="0.35">
      <c r="A35" s="113"/>
      <c r="B35" s="102"/>
      <c r="C35" s="104"/>
      <c r="D35" s="104"/>
      <c r="E35" s="105"/>
      <c r="F35" s="105"/>
      <c r="G35" s="104"/>
      <c r="H35" s="30"/>
      <c r="I35" s="28"/>
      <c r="J35" s="28"/>
    </row>
    <row r="36" spans="1:10" ht="18" x14ac:dyDescent="0.35">
      <c r="A36" s="2"/>
      <c r="B36" s="30"/>
      <c r="C36" s="74"/>
      <c r="D36" s="74"/>
      <c r="E36" s="74"/>
      <c r="F36" s="74"/>
      <c r="G36" s="74"/>
      <c r="H36" s="30"/>
    </row>
    <row r="37" spans="1:10" ht="18" x14ac:dyDescent="0.35">
      <c r="A37" s="2"/>
      <c r="B37" s="30"/>
      <c r="C37" s="74"/>
      <c r="D37" s="74"/>
      <c r="E37" s="74"/>
      <c r="F37" s="74"/>
      <c r="G37" s="74"/>
      <c r="H37" s="30"/>
      <c r="J37" s="28">
        <f>SUM(J31:J31)*2</f>
        <v>1.35</v>
      </c>
    </row>
    <row r="38" spans="1:10" ht="18" x14ac:dyDescent="0.35">
      <c r="A38" s="2"/>
      <c r="B38" s="30"/>
      <c r="C38" s="74"/>
      <c r="D38" s="74"/>
      <c r="E38" s="74"/>
      <c r="F38" s="74"/>
      <c r="G38" s="74"/>
      <c r="H38" s="30"/>
    </row>
    <row r="39" spans="1:10" ht="18" x14ac:dyDescent="0.35">
      <c r="A39" s="2"/>
      <c r="B39" s="30"/>
      <c r="C39" s="74"/>
      <c r="D39" s="74"/>
      <c r="E39" s="74"/>
      <c r="F39" s="74"/>
      <c r="G39" s="74"/>
      <c r="H39" s="30"/>
    </row>
    <row r="40" spans="1:10" ht="18" x14ac:dyDescent="0.35">
      <c r="A40" s="2"/>
      <c r="B40" s="30"/>
      <c r="C40" s="74"/>
      <c r="D40" s="74"/>
      <c r="E40" s="74"/>
      <c r="F40" s="74"/>
      <c r="G40" s="74"/>
      <c r="H40" s="30"/>
    </row>
    <row r="41" spans="1:10" ht="18" x14ac:dyDescent="0.35">
      <c r="A41" s="2"/>
      <c r="B41" s="30"/>
      <c r="C41" s="74"/>
      <c r="D41" s="74"/>
      <c r="E41" s="74"/>
      <c r="F41" s="74"/>
      <c r="G41" s="74"/>
      <c r="H41" s="30"/>
    </row>
    <row r="42" spans="1:10" ht="18" x14ac:dyDescent="0.35">
      <c r="A42" s="2"/>
      <c r="B42" s="30"/>
      <c r="C42" s="74"/>
      <c r="D42" s="74"/>
      <c r="E42" s="74"/>
      <c r="F42" s="74"/>
      <c r="G42" s="74"/>
      <c r="H42" s="30"/>
    </row>
    <row r="43" spans="1:10" ht="18" x14ac:dyDescent="0.35">
      <c r="A43" s="2"/>
      <c r="B43" s="30"/>
      <c r="C43" s="74"/>
      <c r="D43" s="74"/>
      <c r="E43" s="74"/>
      <c r="F43" s="74"/>
      <c r="G43" s="74"/>
      <c r="H43" s="30"/>
    </row>
    <row r="44" spans="1:10" ht="18" x14ac:dyDescent="0.35">
      <c r="A44" s="2"/>
      <c r="B44" s="30"/>
      <c r="C44" s="74"/>
      <c r="D44" s="74"/>
      <c r="E44" s="74"/>
      <c r="F44" s="74"/>
      <c r="G44" s="74"/>
      <c r="H44" s="30"/>
    </row>
    <row r="45" spans="1:10" ht="18" x14ac:dyDescent="0.35">
      <c r="A45" s="2"/>
      <c r="B45" s="30"/>
      <c r="C45" s="30"/>
      <c r="D45" s="30"/>
      <c r="E45" s="30"/>
      <c r="F45" s="30"/>
      <c r="G45" s="30"/>
      <c r="H45" s="30"/>
    </row>
    <row r="46" spans="1:10" ht="18" x14ac:dyDescent="0.35">
      <c r="A46" s="2"/>
      <c r="B46" s="30"/>
      <c r="C46" s="30"/>
      <c r="D46" s="75" t="s">
        <v>25</v>
      </c>
      <c r="E46" s="76">
        <f>'4637'!G8</f>
        <v>4200</v>
      </c>
      <c r="F46" s="30"/>
      <c r="G46" s="30"/>
      <c r="H46" s="30"/>
    </row>
    <row r="47" spans="1:10" ht="17.25" customHeight="1" x14ac:dyDescent="0.35">
      <c r="A47" s="2"/>
      <c r="B47" s="30"/>
      <c r="C47" s="30"/>
      <c r="D47" s="77" t="s">
        <v>64</v>
      </c>
      <c r="E47" s="78" t="str">
        <f>'4637'!C10</f>
        <v>ELVIS MEJIAS</v>
      </c>
      <c r="F47" s="48"/>
      <c r="G47" s="48"/>
      <c r="H47" s="30"/>
    </row>
    <row r="48" spans="1:10" ht="4.5" customHeight="1" x14ac:dyDescent="0.35">
      <c r="A48" s="2"/>
      <c r="B48" s="30"/>
      <c r="C48" s="30"/>
      <c r="D48" s="79"/>
      <c r="E48" s="80"/>
      <c r="F48" s="30"/>
      <c r="G48" s="30"/>
      <c r="H48" s="30"/>
    </row>
    <row r="49" spans="1:13" ht="18" x14ac:dyDescent="0.35">
      <c r="A49" s="2"/>
      <c r="B49" s="30"/>
      <c r="C49" s="30"/>
      <c r="D49" s="81" t="str">
        <f>'4637'!F11</f>
        <v>FECHA LIMITE :</v>
      </c>
      <c r="E49" s="82">
        <f>'4637'!G11</f>
        <v>0</v>
      </c>
      <c r="F49" s="30"/>
      <c r="G49" s="30"/>
      <c r="H49" s="30"/>
    </row>
    <row r="50" spans="1:13" ht="18" x14ac:dyDescent="0.35">
      <c r="A50" s="2"/>
      <c r="B50" s="30"/>
      <c r="C50" s="30"/>
      <c r="D50" s="30"/>
      <c r="E50" s="30"/>
      <c r="F50" s="30"/>
      <c r="G50" s="30" t="s">
        <v>137</v>
      </c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18" x14ac:dyDescent="0.35">
      <c r="A52" s="2"/>
      <c r="B52" s="149" t="s">
        <v>65</v>
      </c>
      <c r="C52" s="149"/>
      <c r="D52" s="149"/>
      <c r="E52" s="149"/>
      <c r="F52" s="149"/>
      <c r="G52" s="149"/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20.100000000000001" customHeight="1" x14ac:dyDescent="0.35">
      <c r="A54" s="2"/>
      <c r="B54" s="30"/>
      <c r="C54" s="150" t="s">
        <v>66</v>
      </c>
      <c r="D54" s="151"/>
      <c r="E54" s="152"/>
      <c r="F54" s="152"/>
      <c r="G54" s="153"/>
      <c r="H54" s="30"/>
      <c r="I54" s="25" t="s">
        <v>130</v>
      </c>
    </row>
    <row r="55" spans="1:13" s="10" customFormat="1" ht="20.100000000000001" customHeight="1" x14ac:dyDescent="0.35">
      <c r="A55" s="114"/>
      <c r="B55" s="30"/>
      <c r="C55" s="85" t="s">
        <v>9</v>
      </c>
      <c r="D55" s="86" t="s">
        <v>10</v>
      </c>
      <c r="E55" s="89" t="s">
        <v>6</v>
      </c>
      <c r="F55" s="89" t="s">
        <v>7</v>
      </c>
      <c r="G55" s="87" t="s">
        <v>11</v>
      </c>
      <c r="H55" s="30"/>
      <c r="K55" s="10">
        <v>15000</v>
      </c>
    </row>
    <row r="56" spans="1:13" s="10" customFormat="1" ht="20.100000000000001" customHeight="1" x14ac:dyDescent="0.35">
      <c r="A56" s="120">
        <v>1</v>
      </c>
      <c r="B56" s="101" t="s">
        <v>134</v>
      </c>
      <c r="C56" s="97">
        <f>'4637'!B21</f>
        <v>1</v>
      </c>
      <c r="D56" s="4" t="str">
        <f>'4637'!C21</f>
        <v>CUB C/R 90° R8</v>
      </c>
      <c r="E56" s="119">
        <f>'4637'!D21</f>
        <v>1250</v>
      </c>
      <c r="F56" s="103">
        <f>'4637'!E21</f>
        <v>540</v>
      </c>
      <c r="G56" s="4" t="str">
        <f>'4637'!F21</f>
        <v>GRANITO KOMBI 0670 BR</v>
      </c>
      <c r="H56" s="30"/>
      <c r="I56" s="10">
        <f>E56*F56/1000000</f>
        <v>0.67500000000000004</v>
      </c>
      <c r="J56" s="10">
        <f>I56*C56</f>
        <v>0.67500000000000004</v>
      </c>
      <c r="K56" s="26">
        <f>J56*K$55</f>
        <v>10125</v>
      </c>
      <c r="M56" s="24">
        <v>12096</v>
      </c>
    </row>
    <row r="57" spans="1:13" s="10" customFormat="1" ht="20.100000000000001" customHeight="1" x14ac:dyDescent="0.35">
      <c r="A57" s="120">
        <v>2</v>
      </c>
      <c r="B57" s="101"/>
      <c r="C57" s="97">
        <f>'4637'!B22</f>
        <v>1</v>
      </c>
      <c r="D57" s="4" t="str">
        <f>'4637'!C22</f>
        <v>CUB C/R 90° R8</v>
      </c>
      <c r="E57" s="119">
        <f>'4637'!D22</f>
        <v>1420</v>
      </c>
      <c r="F57" s="103">
        <f>'4637'!E22</f>
        <v>540</v>
      </c>
      <c r="G57" s="4" t="str">
        <f>'4637'!F22</f>
        <v>GRANITO KOMBI 0670 BR</v>
      </c>
      <c r="H57" s="30"/>
      <c r="K57" s="26"/>
      <c r="M57" s="29"/>
    </row>
    <row r="58" spans="1:13" s="10" customFormat="1" ht="20.100000000000001" customHeight="1" x14ac:dyDescent="0.35">
      <c r="A58" s="120">
        <v>3</v>
      </c>
      <c r="C58" s="97">
        <f>'4637'!B23</f>
        <v>1</v>
      </c>
      <c r="D58" s="4" t="str">
        <f>'4637'!C23</f>
        <v>CUB MESA 90° 3 LADOS R8</v>
      </c>
      <c r="E58" s="119">
        <f>'4637'!D23</f>
        <v>1500</v>
      </c>
      <c r="F58" s="103">
        <f>'4637'!E23</f>
        <v>540</v>
      </c>
      <c r="G58" s="4" t="str">
        <f>'4637'!F23</f>
        <v>GRANITO KOMBI 0670 BR</v>
      </c>
      <c r="H58" s="30"/>
      <c r="K58" s="26"/>
      <c r="M58" s="29"/>
    </row>
    <row r="59" spans="1:13" s="10" customFormat="1" ht="20.100000000000001" customHeight="1" x14ac:dyDescent="0.35">
      <c r="A59" s="120">
        <v>4</v>
      </c>
      <c r="B59" s="101"/>
      <c r="C59" s="97">
        <f>'4637'!B24</f>
        <v>2</v>
      </c>
      <c r="D59" s="4" t="str">
        <f>'4637'!C24</f>
        <v>SERVICIO CORTE 45°</v>
      </c>
      <c r="E59" s="119">
        <f>'4637'!D24</f>
        <v>0</v>
      </c>
      <c r="F59" s="103">
        <f>'4637'!E24</f>
        <v>0</v>
      </c>
      <c r="G59" s="4">
        <f>'4637'!F24</f>
        <v>0</v>
      </c>
      <c r="H59" s="30"/>
      <c r="K59" s="26"/>
      <c r="M59" s="29"/>
    </row>
    <row r="60" spans="1:13" s="10" customFormat="1" ht="20.100000000000001" customHeight="1" x14ac:dyDescent="0.35">
      <c r="A60" s="113"/>
      <c r="B60" s="101"/>
      <c r="C60" s="74"/>
      <c r="D60" s="74"/>
      <c r="E60" s="74"/>
      <c r="F60" s="74"/>
      <c r="G60" s="74"/>
      <c r="H60" s="30"/>
      <c r="K60" s="26"/>
      <c r="M60" s="29"/>
    </row>
    <row r="61" spans="1:13" s="10" customFormat="1" ht="15" customHeight="1" x14ac:dyDescent="0.35">
      <c r="B61" s="84"/>
      <c r="C61" s="67"/>
      <c r="D61" s="67"/>
      <c r="E61" s="67"/>
      <c r="F61" s="67"/>
      <c r="G61" s="67"/>
      <c r="H61" s="30"/>
    </row>
    <row r="62" spans="1:13" ht="18" x14ac:dyDescent="0.35">
      <c r="B62" s="74"/>
      <c r="C62" s="74"/>
      <c r="D62" s="30"/>
      <c r="E62" s="74"/>
      <c r="F62" s="74"/>
      <c r="G62" s="79"/>
      <c r="H62" s="30"/>
    </row>
    <row r="63" spans="1:13" ht="18" x14ac:dyDescent="0.35">
      <c r="B63" s="74"/>
      <c r="C63" s="74"/>
      <c r="D63" s="30"/>
      <c r="E63" s="74"/>
      <c r="F63" s="74"/>
      <c r="G63" s="74"/>
      <c r="H63" s="30"/>
      <c r="J63" s="10">
        <f>SUM(J56:J56)</f>
        <v>0.67500000000000004</v>
      </c>
      <c r="K63" s="27">
        <f>SUM(K56:K56)</f>
        <v>10125</v>
      </c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5" customHeight="1" x14ac:dyDescent="0.35">
      <c r="B67" s="30"/>
      <c r="C67" s="30"/>
      <c r="D67" s="30"/>
      <c r="E67" s="30"/>
      <c r="F67" s="30"/>
      <c r="G67" s="30"/>
      <c r="H67" s="30"/>
    </row>
    <row r="68" spans="2:8" ht="18" x14ac:dyDescent="0.35">
      <c r="B68" s="30"/>
      <c r="C68" s="30"/>
      <c r="D68" s="30"/>
      <c r="E68" s="30"/>
      <c r="F68" s="30"/>
      <c r="G68" s="30"/>
      <c r="H68" s="30"/>
    </row>
    <row r="69" spans="2:8" ht="18" x14ac:dyDescent="0.35">
      <c r="B69" s="74"/>
      <c r="C69" s="88"/>
      <c r="D69" s="30"/>
      <c r="E69" s="30"/>
      <c r="F69" s="30"/>
      <c r="G69" s="30"/>
      <c r="H69" s="30"/>
    </row>
    <row r="70" spans="2:8" ht="18" x14ac:dyDescent="0.35">
      <c r="B70" s="30"/>
      <c r="C70" s="30"/>
      <c r="D70" s="30"/>
      <c r="E70" s="30"/>
      <c r="F70" s="30"/>
      <c r="G70" s="30"/>
      <c r="H70" s="30"/>
    </row>
    <row r="71" spans="2:8" x14ac:dyDescent="0.3">
      <c r="C71" s="14"/>
      <c r="D71" s="14"/>
      <c r="F71" s="14"/>
      <c r="G71" s="14"/>
    </row>
    <row r="72" spans="2:8" x14ac:dyDescent="0.3">
      <c r="C72" s="14"/>
      <c r="D72" s="14"/>
      <c r="F72" s="14"/>
      <c r="G72" s="14"/>
    </row>
  </sheetData>
  <mergeCells count="6">
    <mergeCell ref="N3:O3"/>
    <mergeCell ref="B19:G19"/>
    <mergeCell ref="B10:G10"/>
    <mergeCell ref="B52:G52"/>
    <mergeCell ref="C54:G54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2025-09-08T15:53:45Z</cp:lastPrinted>
  <dcterms:created xsi:type="dcterms:W3CDTF">2013-03-19T12:54:14Z</dcterms:created>
  <dcterms:modified xsi:type="dcterms:W3CDTF">2025-09-08T15:57:37Z</dcterms:modified>
</cp:coreProperties>
</file>