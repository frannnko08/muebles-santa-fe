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6263534B-2E79-4F82-B94D-4F69D05811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H22" i="4"/>
  <c r="H23" i="4"/>
  <c r="H24" i="4"/>
  <c r="H21" i="4"/>
  <c r="B25" i="4"/>
  <c r="G36" i="3" l="1"/>
  <c r="G37" i="3"/>
  <c r="G38" i="3"/>
  <c r="G35" i="3"/>
  <c r="F36" i="3"/>
  <c r="L15" i="3" s="1"/>
  <c r="F15" i="3" s="1"/>
  <c r="F37" i="3"/>
  <c r="L16" i="3" s="1"/>
  <c r="F16" i="3" s="1"/>
  <c r="F38" i="3"/>
  <c r="L17" i="3" s="1"/>
  <c r="F17" i="3" s="1"/>
  <c r="F35" i="3"/>
  <c r="L14" i="3" s="1"/>
  <c r="E36" i="3"/>
  <c r="K15" i="3" s="1"/>
  <c r="E15" i="3" s="1"/>
  <c r="E37" i="3"/>
  <c r="K16" i="3" s="1"/>
  <c r="E16" i="3" s="1"/>
  <c r="E38" i="3"/>
  <c r="K17" i="3" s="1"/>
  <c r="E17" i="3" s="1"/>
  <c r="E35" i="3"/>
  <c r="K14" i="3" s="1"/>
  <c r="C36" i="3"/>
  <c r="C37" i="3"/>
  <c r="C38" i="3"/>
  <c r="C35" i="3"/>
  <c r="G61" i="3"/>
  <c r="G62" i="3"/>
  <c r="G63" i="3"/>
  <c r="G60" i="3"/>
  <c r="F61" i="3"/>
  <c r="F62" i="3"/>
  <c r="F63" i="3"/>
  <c r="F60" i="3"/>
  <c r="E61" i="3"/>
  <c r="E62" i="3"/>
  <c r="E63" i="3"/>
  <c r="E60" i="3"/>
  <c r="D61" i="3"/>
  <c r="D36" i="3" s="1"/>
  <c r="D62" i="3"/>
  <c r="D37" i="3" s="1"/>
  <c r="D63" i="3"/>
  <c r="D38" i="3" s="1"/>
  <c r="D60" i="3"/>
  <c r="D35" i="3" s="1"/>
  <c r="C61" i="3"/>
  <c r="C62" i="3"/>
  <c r="C63" i="3"/>
  <c r="C60" i="3"/>
  <c r="J28" i="3" l="1"/>
  <c r="G28" i="3"/>
  <c r="K28" i="3"/>
  <c r="E28" i="3" s="1"/>
  <c r="L28" i="3"/>
  <c r="F28" i="3" s="1"/>
  <c r="J29" i="3"/>
  <c r="G29" i="3"/>
  <c r="K29" i="3"/>
  <c r="E29" i="3" s="1"/>
  <c r="L29" i="3"/>
  <c r="F29" i="3" s="1"/>
  <c r="C29" i="3" l="1"/>
  <c r="J17" i="3"/>
  <c r="C17" i="3" s="1"/>
  <c r="C28" i="3"/>
  <c r="J16" i="3"/>
  <c r="C16" i="3" s="1"/>
  <c r="G17" i="3"/>
  <c r="G16" i="3"/>
  <c r="J27" i="3"/>
  <c r="C27" i="3" l="1"/>
  <c r="J15" i="3"/>
  <c r="C15" i="3" s="1"/>
  <c r="G27" i="3"/>
  <c r="G15" i="3"/>
  <c r="L27" i="3"/>
  <c r="F27" i="3" s="1"/>
  <c r="K27" i="3"/>
  <c r="E27" i="3" s="1"/>
  <c r="L21" i="4" l="1"/>
  <c r="K21" i="4"/>
  <c r="M21" i="4" l="1"/>
  <c r="N21" i="4" s="1"/>
  <c r="G26" i="3" l="1"/>
  <c r="L26" i="3"/>
  <c r="F26" i="3" s="1"/>
  <c r="J26" i="3" l="1"/>
  <c r="I35" i="3"/>
  <c r="J35" i="3" s="1"/>
  <c r="K26" i="3"/>
  <c r="E26" i="3" s="1"/>
  <c r="I60" i="3"/>
  <c r="J60" i="3" s="1"/>
  <c r="E14" i="3"/>
  <c r="G14" i="3"/>
  <c r="F14" i="3"/>
  <c r="C26" i="3" l="1"/>
  <c r="J14" i="3"/>
  <c r="C14" i="3" s="1"/>
  <c r="J41" i="3"/>
  <c r="K60" i="3"/>
  <c r="J68" i="3"/>
  <c r="H29" i="4"/>
  <c r="O5" i="3"/>
  <c r="K68" i="3" l="1"/>
  <c r="N5" i="3"/>
  <c r="M5" i="3"/>
  <c r="L5" i="3"/>
  <c r="D53" i="3" l="1"/>
  <c r="D7" i="3"/>
  <c r="E51" i="3"/>
  <c r="E5" i="3"/>
  <c r="E53" i="3"/>
  <c r="E7" i="3"/>
  <c r="E50" i="3"/>
  <c r="E4" i="3"/>
</calcChain>
</file>

<file path=xl/sharedStrings.xml><?xml version="1.0" encoding="utf-8"?>
<sst xmlns="http://schemas.openxmlformats.org/spreadsheetml/2006/main" count="255" uniqueCount="145">
  <si>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</si>
  <si>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</si>
  <si>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</si>
  <si>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</si>
  <si>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</si>
  <si>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</si>
  <si>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</si>
  <si>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</si>
  <si>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</si>
  <si>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</si>
  <si>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</si>
  <si>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</si>
  <si>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</si>
  <si>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</si>
  <si>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</si>
  <si>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</si>
  <si>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</si>
  <si>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</si>
  <si>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</si>
  <si>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</si>
  <si>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</si>
  <si>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</si>
  <si>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</si>
  <si>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</si>
  <si>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</si>
  <si>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</si>
  <si>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</si>
  <si>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</si>
  <si>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</si>
  <si>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</si>
  <si>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</si>
  <si>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</si>
  <si>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</si>
  <si>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</si>
  <si>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</si>
  <si>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</si>
  <si>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</si>
  <si>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</si>
  <si>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</si>
  <si>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</si>
  <si>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</si>
  <si>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</si>
  <si>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</si>
  <si>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</si>
  <si>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</si>
  <si>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</si>
  <si>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</si>
  <si>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</si>
  <si>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</si>
  <si>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</si>
  <si>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</si>
  <si>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</si>
  <si>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</si>
  <si>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</si>
  <si>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</si>
  <si>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</si>
  <si>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</si>
  <si>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</si>
  <si>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</si>
  <si>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</si>
  <si>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</si>
  <si>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</si>
  <si>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</si>
  <si>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</si>
  <si>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</si>
  <si>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</si>
  <si>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</si>
  <si>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</si>
  <si>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</si>
  <si>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</si>
  <si>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</si>
  <si>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</si>
  <si>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</si>
  <si>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</si>
  <si>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</si>
  <si>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</si>
  <si>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</si>
  <si>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</si>
  <si>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</si>
  <si>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</si>
  <si>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</si>
  <si>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</si>
  <si>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</si>
  <si>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</si>
  <si>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</si>
  <si>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</si>
  <si>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</si>
  <si>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</si>
  <si>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</si>
  <si>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</si>
  <si>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</si>
  <si>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</si>
  <si>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</si>
  <si>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</si>
  <si>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</si>
  <si>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</si>
  <si>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</si>
  <si>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</si>
  <si>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</si>
  <si>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</si>
  <si>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</si>
  <si>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</si>
  <si>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</si>
  <si>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</si>
  <si>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</si>
  <si>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</si>
  <si>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</si>
  <si>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</si>
  <si>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</si>
  <si>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</si>
  <si>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</si>
  <si>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</si>
  <si>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</si>
  <si>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</si>
  <si>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</si>
  <si>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</si>
  <si>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</si>
  <si>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</si>
  <si>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</si>
  <si>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</si>
  <si>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</si>
  <si>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</si>
  <si>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</si>
  <si>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</si>
  <si>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</si>
  <si>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</si>
  <si>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</si>
  <si>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</si>
  <si>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</si>
  <si>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</si>
  <si>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</si>
  <si>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</si>
  <si>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</si>
  <si>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</si>
  <si>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</si>
  <si>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</si>
  <si>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</si>
  <si>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</si>
  <si>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</si>
  <si>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</si>
  <si>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</si>
  <si>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ALDO ARATA</t>
  </si>
  <si>
    <t>AAG0254@GMAIL.COM</t>
  </si>
  <si>
    <t>+569 7793 9434</t>
  </si>
  <si>
    <t>PERILLO 1320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</si>
</sst>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$ 100.000.-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20</xdr:row>
      <xdr:rowOff>66674</xdr:rowOff>
    </xdr:from>
    <xdr:to>
      <xdr:col>6</xdr:col>
      <xdr:colOff>2914649</xdr:colOff>
      <xdr:row>22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54</xdr:row>
      <xdr:rowOff>190500</xdr:rowOff>
    </xdr:from>
    <xdr:to>
      <xdr:col>7</xdr:col>
      <xdr:colOff>9524</xdr:colOff>
      <xdr:row>56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51</xdr:row>
      <xdr:rowOff>30479</xdr:rowOff>
    </xdr:from>
    <xdr:to>
      <xdr:col>6</xdr:col>
      <xdr:colOff>2912745</xdr:colOff>
      <xdr:row>52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49</xdr:row>
      <xdr:rowOff>209549</xdr:rowOff>
    </xdr:from>
    <xdr:to>
      <xdr:col>7</xdr:col>
      <xdr:colOff>0</xdr:colOff>
      <xdr:row>51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48</xdr:row>
      <xdr:rowOff>171450</xdr:rowOff>
    </xdr:from>
    <xdr:to>
      <xdr:col>7</xdr:col>
      <xdr:colOff>19050</xdr:colOff>
      <xdr:row>49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66</xdr:row>
      <xdr:rowOff>0</xdr:rowOff>
    </xdr:from>
    <xdr:to>
      <xdr:col>3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66</xdr:row>
      <xdr:rowOff>0</xdr:rowOff>
    </xdr:from>
    <xdr:to>
      <xdr:col>3</xdr:col>
      <xdr:colOff>1019175</xdr:colOff>
      <xdr:row>67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66</xdr:row>
      <xdr:rowOff>0</xdr:rowOff>
    </xdr:from>
    <xdr:to>
      <xdr:col>4</xdr:col>
      <xdr:colOff>352425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66</xdr:row>
      <xdr:rowOff>0</xdr:rowOff>
    </xdr:from>
    <xdr:to>
      <xdr:col>5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66</xdr:row>
      <xdr:rowOff>0</xdr:rowOff>
    </xdr:from>
    <xdr:to>
      <xdr:col>6</xdr:col>
      <xdr:colOff>447675</xdr:colOff>
      <xdr:row>67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66</xdr:row>
      <xdr:rowOff>0</xdr:rowOff>
    </xdr:from>
    <xdr:to>
      <xdr:col>7</xdr:col>
      <xdr:colOff>0</xdr:colOff>
      <xdr:row>67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67</xdr:row>
      <xdr:rowOff>0</xdr:rowOff>
    </xdr:from>
    <xdr:to>
      <xdr:col>3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67</xdr:row>
      <xdr:rowOff>0</xdr:rowOff>
    </xdr:from>
    <xdr:to>
      <xdr:col>4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67</xdr:row>
      <xdr:rowOff>0</xdr:rowOff>
    </xdr:from>
    <xdr:to>
      <xdr:col>5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67</xdr:row>
      <xdr:rowOff>0</xdr:rowOff>
    </xdr:from>
    <xdr:to>
      <xdr:col>6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67</xdr:row>
      <xdr:rowOff>0</xdr:rowOff>
    </xdr:from>
    <xdr:to>
      <xdr:col>7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40</xdr:row>
      <xdr:rowOff>15239</xdr:rowOff>
    </xdr:from>
    <xdr:to>
      <xdr:col>7</xdr:col>
      <xdr:colOff>0</xdr:colOff>
      <xdr:row>44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31</xdr:row>
      <xdr:rowOff>1</xdr:rowOff>
    </xdr:from>
    <xdr:to>
      <xdr:col>7</xdr:col>
      <xdr:colOff>19048</xdr:colOff>
      <xdr:row>32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69</xdr:row>
      <xdr:rowOff>32385</xdr:rowOff>
    </xdr:from>
    <xdr:to>
      <xdr:col>7</xdr:col>
      <xdr:colOff>0</xdr:colOff>
      <xdr:row>73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48</xdr:row>
      <xdr:rowOff>146685</xdr:rowOff>
    </xdr:from>
    <xdr:to>
      <xdr:col>2</xdr:col>
      <xdr:colOff>786523</xdr:colOff>
      <xdr:row>54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304800</xdr:colOff>
      <xdr:row>76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G0254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B5" zoomScale="98" zoomScaleNormal="98" workbookViewId="0">
      <selection activeCell="O22" sqref="O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11587</v>
      </c>
      <c r="E8" s="30">
        <v>0</v>
      </c>
      <c r="F8" s="35" t="s">
        <v>25</v>
      </c>
      <c r="G8" s="36">
        <v>4202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45909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45910</v>
      </c>
      <c r="H11" s="46"/>
      <c r="I11" s="30"/>
    </row>
    <row r="12" spans="1:17" ht="18" x14ac:dyDescent="0.35">
      <c r="A12" s="30"/>
      <c r="B12" s="47" t="s">
        <v>126</v>
      </c>
      <c r="C12" s="120" t="s">
        <v>141</v>
      </c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21" t="s">
        <v>142</v>
      </c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22" t="s">
        <v>143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140</v>
      </c>
      <c r="D16" s="55"/>
      <c r="E16" s="56"/>
      <c r="F16" s="125" t="s">
        <v>17</v>
      </c>
      <c r="G16" s="125"/>
      <c r="H16" s="126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7" t="s">
        <v>18</v>
      </c>
      <c r="C19" s="128"/>
      <c r="D19" s="128"/>
      <c r="E19" s="128"/>
      <c r="F19" s="128"/>
      <c r="G19" s="128"/>
      <c r="H19" s="129"/>
      <c r="I19" s="30"/>
    </row>
    <row r="20" spans="1:16" ht="20.100000000000001" customHeight="1" x14ac:dyDescent="0.35">
      <c r="A20" s="30"/>
      <c r="B20" s="57" t="s">
        <v>128</v>
      </c>
      <c r="C20" s="117" t="s">
        <v>19</v>
      </c>
      <c r="D20" s="117" t="s">
        <v>20</v>
      </c>
      <c r="E20" s="117" t="s">
        <v>7</v>
      </c>
      <c r="F20" s="118" t="s">
        <v>21</v>
      </c>
      <c r="G20" s="57" t="s">
        <v>22</v>
      </c>
      <c r="H20" s="118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60</v>
      </c>
      <c r="D21" s="103">
        <v>730</v>
      </c>
      <c r="E21" s="103">
        <v>800</v>
      </c>
      <c r="F21" s="102" t="s">
        <v>144</v>
      </c>
      <c r="G21" s="116">
        <v>63322</v>
      </c>
      <c r="H21" s="116">
        <f>G21*B21</f>
        <v>63322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60</v>
      </c>
      <c r="D22" s="103">
        <v>730</v>
      </c>
      <c r="E22" s="103">
        <v>196</v>
      </c>
      <c r="F22" s="102" t="s">
        <v>144</v>
      </c>
      <c r="G22" s="116">
        <v>17024</v>
      </c>
      <c r="H22" s="116">
        <f t="shared" ref="H22:H24" si="0">G22*B22</f>
        <v>17024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2</v>
      </c>
      <c r="C23" s="102" t="s">
        <v>60</v>
      </c>
      <c r="D23" s="103">
        <v>730</v>
      </c>
      <c r="E23" s="103">
        <v>447</v>
      </c>
      <c r="F23" s="102" t="s">
        <v>144</v>
      </c>
      <c r="G23" s="116">
        <v>36264</v>
      </c>
      <c r="H23" s="116">
        <f t="shared" si="0"/>
        <v>72528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1</v>
      </c>
      <c r="C24" s="102" t="s">
        <v>60</v>
      </c>
      <c r="D24" s="103">
        <v>730</v>
      </c>
      <c r="E24" s="103">
        <v>423</v>
      </c>
      <c r="F24" s="102" t="s">
        <v>144</v>
      </c>
      <c r="G24" s="116">
        <v>34424</v>
      </c>
      <c r="H24" s="116">
        <f t="shared" si="0"/>
        <v>34424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f>SUM(B21:B24)</f>
        <v>5</v>
      </c>
      <c r="C25" s="104"/>
      <c r="D25" s="115"/>
      <c r="E25" s="115"/>
      <c r="F25" s="104"/>
      <c r="G25" s="106"/>
      <c r="H25" s="106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5"/>
      <c r="E26" s="115"/>
      <c r="F26" s="104"/>
      <c r="G26" s="106"/>
      <c r="H26" s="10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5"/>
      <c r="E27" s="115"/>
      <c r="F27" s="104"/>
      <c r="G27" s="60" t="s">
        <v>5</v>
      </c>
      <c r="H27" s="61">
        <f>SUM(H21:H26)</f>
        <v>187298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5"/>
      <c r="E28" s="115"/>
      <c r="F28" s="104"/>
      <c r="G28" s="62" t="s">
        <v>139</v>
      </c>
      <c r="H28" s="63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04"/>
      <c r="C29" s="104"/>
      <c r="D29" s="115"/>
      <c r="E29" s="115"/>
      <c r="F29" s="104"/>
      <c r="G29" s="64" t="s">
        <v>4</v>
      </c>
      <c r="H29" s="65">
        <f>H27+H28</f>
        <v>187298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5"/>
      <c r="E30" s="115"/>
      <c r="F30" s="104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5"/>
      <c r="E31" s="11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5"/>
      <c r="E32" s="115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05"/>
      <c r="E33" s="105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59"/>
      <c r="C35" s="59"/>
      <c r="D35" s="59"/>
      <c r="E35" s="59"/>
      <c r="F35" s="59"/>
      <c r="G35" s="58"/>
      <c r="H35" s="58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66"/>
      <c r="H39" s="67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68" t="s">
        <v>133</v>
      </c>
      <c r="C41" s="69"/>
      <c r="D41" s="70"/>
      <c r="E41" s="70"/>
      <c r="F41" s="59"/>
      <c r="G41" s="30"/>
      <c r="H41" s="30"/>
      <c r="I41" s="30"/>
    </row>
    <row r="42" spans="1:16" ht="18" x14ac:dyDescent="0.35">
      <c r="A42" s="30"/>
      <c r="B42" s="68" t="s">
        <v>119</v>
      </c>
      <c r="C42" s="69"/>
      <c r="D42" s="70"/>
      <c r="E42" s="70"/>
      <c r="F42" s="59"/>
      <c r="G42" s="30"/>
      <c r="H42" s="30"/>
      <c r="I42" s="30"/>
    </row>
    <row r="43" spans="1:16" ht="18" x14ac:dyDescent="0.35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71" t="s">
        <v>24</v>
      </c>
      <c r="C44" s="71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71"/>
      <c r="F45" s="30"/>
      <c r="G45" s="30"/>
      <c r="H45" s="30"/>
      <c r="I45" s="30"/>
    </row>
    <row r="46" spans="1:16" ht="18" x14ac:dyDescent="0.35">
      <c r="A46" s="30"/>
      <c r="B46" s="31" t="s">
        <v>131</v>
      </c>
      <c r="C46" s="31"/>
      <c r="D46" s="31"/>
      <c r="E46" s="72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72"/>
      <c r="F47" s="30"/>
      <c r="G47" s="30"/>
      <c r="H47" s="30"/>
      <c r="I47" s="30"/>
    </row>
    <row r="48" spans="1:16" ht="18" x14ac:dyDescent="0.35">
      <c r="A48" s="30"/>
      <c r="B48" s="31" t="s">
        <v>132</v>
      </c>
      <c r="C48" s="30"/>
      <c r="D48" s="30"/>
      <c r="E48" s="71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1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  <hyperlink ref="C13" r:id="rId2" xr:uid="{D00A616D-5B3E-4C6D-B7E2-21476D18AFDB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0" t="s">
        <v>28</v>
      </c>
      <c r="C2" s="130"/>
      <c r="D2" s="130"/>
      <c r="E2" s="12"/>
      <c r="G2" s="130" t="s">
        <v>67</v>
      </c>
      <c r="H2" s="130"/>
      <c r="I2" s="130"/>
      <c r="P2" s="131" t="s">
        <v>55</v>
      </c>
      <c r="Q2" s="131"/>
      <c r="R2" s="131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1" t="s">
        <v>55</v>
      </c>
      <c r="M8" s="131"/>
      <c r="N8" s="131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7"/>
  <sheetViews>
    <sheetView tabSelected="1" zoomScaleNormal="100" workbookViewId="0">
      <selection sqref="A1:G4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2" t="s">
        <v>58</v>
      </c>
      <c r="M3" s="132"/>
      <c r="N3" s="132" t="s">
        <v>13</v>
      </c>
      <c r="O3" s="132"/>
    </row>
    <row r="4" spans="1:15" ht="15.75" customHeight="1" x14ac:dyDescent="0.35">
      <c r="B4" s="30"/>
      <c r="C4" s="30"/>
      <c r="D4" s="74" t="s">
        <v>25</v>
      </c>
      <c r="E4" s="75">
        <f>'4637'!G8</f>
        <v>4202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ALDO ARATA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45910</v>
      </c>
      <c r="F7" s="30"/>
      <c r="G7" s="30" t="s">
        <v>137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3" t="s">
        <v>58</v>
      </c>
      <c r="C10" s="133"/>
      <c r="D10" s="133"/>
      <c r="E10" s="133"/>
      <c r="F10" s="133"/>
      <c r="G10" s="133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3">
        <v>1</v>
      </c>
      <c r="B14" s="101" t="s">
        <v>138</v>
      </c>
      <c r="C14" s="94">
        <f>J14</f>
        <v>1</v>
      </c>
      <c r="D14" s="94"/>
      <c r="E14" s="94">
        <f>K14+E$13</f>
        <v>780</v>
      </c>
      <c r="F14" s="94">
        <f>L14+F$13</f>
        <v>798</v>
      </c>
      <c r="G14" s="94" t="str">
        <f>D35</f>
        <v>PR6</v>
      </c>
      <c r="H14" s="30"/>
      <c r="J14" s="3">
        <f>J26</f>
        <v>1</v>
      </c>
      <c r="K14" s="4">
        <f t="shared" ref="K14:L14" si="0">E35</f>
        <v>730</v>
      </c>
      <c r="L14" s="4">
        <f t="shared" si="0"/>
        <v>800</v>
      </c>
    </row>
    <row r="15" spans="1:15" ht="18" x14ac:dyDescent="0.35">
      <c r="A15" s="113">
        <v>2</v>
      </c>
      <c r="B15" s="101"/>
      <c r="C15" s="94">
        <f t="shared" ref="C15:C17" si="1">J15</f>
        <v>1</v>
      </c>
      <c r="D15" s="94"/>
      <c r="E15" s="94">
        <f t="shared" ref="E15:E17" si="2">K15+E$13</f>
        <v>780</v>
      </c>
      <c r="F15" s="94">
        <f t="shared" ref="F15:F17" si="3">L15+F$13</f>
        <v>194</v>
      </c>
      <c r="G15" s="94" t="str">
        <f>D36</f>
        <v>PR6</v>
      </c>
      <c r="H15" s="30"/>
      <c r="J15" s="3">
        <f t="shared" ref="J15:J17" si="4">J27</f>
        <v>1</v>
      </c>
      <c r="K15" s="4">
        <f t="shared" ref="K15:L17" si="5">E36</f>
        <v>730</v>
      </c>
      <c r="L15" s="4">
        <f t="shared" si="5"/>
        <v>196</v>
      </c>
    </row>
    <row r="16" spans="1:15" ht="18" x14ac:dyDescent="0.35">
      <c r="A16" s="113">
        <v>3</v>
      </c>
      <c r="C16" s="94">
        <f t="shared" si="1"/>
        <v>2</v>
      </c>
      <c r="D16" s="94"/>
      <c r="E16" s="94">
        <f t="shared" si="2"/>
        <v>780</v>
      </c>
      <c r="F16" s="94">
        <f t="shared" si="3"/>
        <v>445</v>
      </c>
      <c r="G16" s="94" t="str">
        <f>D37</f>
        <v>PR6</v>
      </c>
      <c r="H16" s="30"/>
      <c r="J16" s="3">
        <f t="shared" si="4"/>
        <v>2</v>
      </c>
      <c r="K16" s="4">
        <f t="shared" si="5"/>
        <v>730</v>
      </c>
      <c r="L16" s="4">
        <f t="shared" si="5"/>
        <v>447</v>
      </c>
    </row>
    <row r="17" spans="1:13" ht="18" x14ac:dyDescent="0.35">
      <c r="A17" s="113">
        <v>4</v>
      </c>
      <c r="B17" s="101"/>
      <c r="C17" s="94">
        <f t="shared" si="1"/>
        <v>1</v>
      </c>
      <c r="D17" s="94"/>
      <c r="E17" s="94">
        <f t="shared" si="2"/>
        <v>780</v>
      </c>
      <c r="F17" s="94">
        <f t="shared" si="3"/>
        <v>421</v>
      </c>
      <c r="G17" s="94" t="str">
        <f>D38</f>
        <v>PR6</v>
      </c>
      <c r="H17" s="30"/>
      <c r="J17" s="3">
        <f t="shared" si="4"/>
        <v>1</v>
      </c>
      <c r="K17" s="4">
        <f t="shared" si="5"/>
        <v>730</v>
      </c>
      <c r="L17" s="4">
        <f t="shared" si="5"/>
        <v>423</v>
      </c>
    </row>
    <row r="18" spans="1:13" ht="18" x14ac:dyDescent="0.35">
      <c r="A18" s="113"/>
      <c r="B18" s="101"/>
      <c r="C18" s="73"/>
      <c r="D18" s="73"/>
      <c r="E18" s="73"/>
      <c r="F18" s="73"/>
      <c r="G18" s="73"/>
      <c r="H18" s="30"/>
      <c r="J18" s="23"/>
      <c r="K18" s="2"/>
      <c r="L18" s="2"/>
    </row>
    <row r="19" spans="1:13" ht="18" x14ac:dyDescent="0.35">
      <c r="A19" s="113"/>
      <c r="B19" s="101"/>
      <c r="C19" s="73"/>
      <c r="D19" s="73"/>
      <c r="E19" s="73"/>
      <c r="F19" s="73"/>
      <c r="G19" s="73"/>
      <c r="H19" s="30"/>
      <c r="J19" s="23"/>
      <c r="K19" s="2"/>
      <c r="L19" s="2"/>
    </row>
    <row r="20" spans="1:13" ht="18" x14ac:dyDescent="0.35">
      <c r="A20" s="2"/>
      <c r="B20" s="83"/>
      <c r="C20" s="73"/>
      <c r="D20" s="73"/>
      <c r="E20" s="73"/>
      <c r="F20" s="73"/>
      <c r="G20" s="73"/>
      <c r="H20" s="30"/>
      <c r="J20" s="23"/>
      <c r="K20" s="2"/>
      <c r="L20" s="2"/>
    </row>
    <row r="21" spans="1:13" ht="6.75" customHeight="1" x14ac:dyDescent="0.35">
      <c r="A21" s="2"/>
      <c r="B21" s="30"/>
      <c r="C21" s="30"/>
      <c r="D21" s="30"/>
      <c r="E21" s="30"/>
      <c r="F21" s="30"/>
      <c r="G21" s="30"/>
      <c r="H21" s="30"/>
    </row>
    <row r="22" spans="1:13" ht="18" x14ac:dyDescent="0.35">
      <c r="A22" s="2"/>
      <c r="B22" s="133" t="s">
        <v>13</v>
      </c>
      <c r="C22" s="133"/>
      <c r="D22" s="133"/>
      <c r="E22" s="133"/>
      <c r="F22" s="133"/>
      <c r="G22" s="133"/>
      <c r="H22" s="30"/>
    </row>
    <row r="23" spans="1:13" ht="10.5" customHeight="1" x14ac:dyDescent="0.35">
      <c r="A23" s="2"/>
      <c r="B23" s="30"/>
      <c r="C23" s="30"/>
      <c r="D23" s="91"/>
      <c r="E23" s="30"/>
      <c r="F23" s="30"/>
      <c r="G23" s="30"/>
      <c r="H23" s="30"/>
    </row>
    <row r="24" spans="1:13" ht="18" x14ac:dyDescent="0.35">
      <c r="A24" s="2"/>
      <c r="B24" s="30"/>
      <c r="C24" s="30"/>
      <c r="D24" s="30"/>
      <c r="E24" s="66" t="s">
        <v>6</v>
      </c>
      <c r="F24" s="66" t="s">
        <v>7</v>
      </c>
      <c r="G24" s="30"/>
      <c r="H24" s="30"/>
    </row>
    <row r="25" spans="1:13" ht="18" x14ac:dyDescent="0.35">
      <c r="A25" s="2"/>
      <c r="B25" s="66" t="s">
        <v>8</v>
      </c>
      <c r="C25" s="82" t="s">
        <v>9</v>
      </c>
      <c r="D25" s="82" t="s">
        <v>10</v>
      </c>
      <c r="E25" s="95">
        <v>40</v>
      </c>
      <c r="F25" s="95">
        <v>90</v>
      </c>
      <c r="G25" s="82" t="s">
        <v>107</v>
      </c>
      <c r="H25" s="30"/>
      <c r="K25" s="5" t="s">
        <v>6</v>
      </c>
      <c r="L25" s="5" t="s">
        <v>7</v>
      </c>
    </row>
    <row r="26" spans="1:13" ht="18" x14ac:dyDescent="0.35">
      <c r="A26" s="113">
        <v>1</v>
      </c>
      <c r="B26" s="101"/>
      <c r="C26" s="96">
        <f t="shared" ref="C26" si="6">J26</f>
        <v>1</v>
      </c>
      <c r="D26" s="96"/>
      <c r="E26" s="96">
        <f t="shared" ref="E26:E29" si="7">K26+E$25</f>
        <v>770</v>
      </c>
      <c r="F26" s="96">
        <f t="shared" ref="F26:F29" si="8">L26+F$25</f>
        <v>890</v>
      </c>
      <c r="G26" s="96" t="str">
        <f>D35</f>
        <v>PR6</v>
      </c>
      <c r="H26" s="30"/>
      <c r="J26" s="3">
        <f>C35</f>
        <v>1</v>
      </c>
      <c r="K26" s="110">
        <f>E35</f>
        <v>730</v>
      </c>
      <c r="L26" s="110">
        <f>F35</f>
        <v>800</v>
      </c>
    </row>
    <row r="27" spans="1:13" ht="18" x14ac:dyDescent="0.35">
      <c r="A27" s="113">
        <v>2</v>
      </c>
      <c r="B27" s="101"/>
      <c r="C27" s="96">
        <f t="shared" ref="C27:C29" si="9">J27</f>
        <v>1</v>
      </c>
      <c r="D27" s="96"/>
      <c r="E27" s="96">
        <f t="shared" si="7"/>
        <v>770</v>
      </c>
      <c r="F27" s="96">
        <f t="shared" si="8"/>
        <v>286</v>
      </c>
      <c r="G27" s="96" t="str">
        <f>D36</f>
        <v>PR6</v>
      </c>
      <c r="H27" s="30"/>
      <c r="J27" s="3">
        <f>C36</f>
        <v>1</v>
      </c>
      <c r="K27" s="107">
        <f t="shared" ref="K27:L27" si="10">E36</f>
        <v>730</v>
      </c>
      <c r="L27" s="107">
        <f t="shared" si="10"/>
        <v>196</v>
      </c>
    </row>
    <row r="28" spans="1:13" ht="18" x14ac:dyDescent="0.35">
      <c r="A28" s="113">
        <v>3</v>
      </c>
      <c r="B28" s="101"/>
      <c r="C28" s="96">
        <f t="shared" si="9"/>
        <v>2</v>
      </c>
      <c r="D28" s="96"/>
      <c r="E28" s="96">
        <f t="shared" si="7"/>
        <v>770</v>
      </c>
      <c r="F28" s="96">
        <f t="shared" si="8"/>
        <v>537</v>
      </c>
      <c r="G28" s="96" t="str">
        <f>D37</f>
        <v>PR6</v>
      </c>
      <c r="H28" s="30"/>
      <c r="J28" s="3">
        <f>C37</f>
        <v>2</v>
      </c>
      <c r="K28" s="109">
        <f t="shared" ref="K28:L28" si="11">E37</f>
        <v>730</v>
      </c>
      <c r="L28" s="109">
        <f t="shared" si="11"/>
        <v>447</v>
      </c>
    </row>
    <row r="29" spans="1:13" ht="18" x14ac:dyDescent="0.35">
      <c r="A29" s="113">
        <v>4</v>
      </c>
      <c r="B29" s="101"/>
      <c r="C29" s="96">
        <f t="shared" si="9"/>
        <v>1</v>
      </c>
      <c r="D29" s="96"/>
      <c r="E29" s="96">
        <f t="shared" si="7"/>
        <v>770</v>
      </c>
      <c r="F29" s="96">
        <f t="shared" si="8"/>
        <v>513</v>
      </c>
      <c r="G29" s="96" t="str">
        <f>D38</f>
        <v>PR6</v>
      </c>
      <c r="H29" s="30"/>
      <c r="J29" s="3">
        <f>C38</f>
        <v>1</v>
      </c>
      <c r="K29" s="107">
        <f t="shared" ref="K29:L29" si="12">E38</f>
        <v>730</v>
      </c>
      <c r="L29" s="107">
        <f t="shared" si="12"/>
        <v>423</v>
      </c>
      <c r="M29" s="108">
        <v>2</v>
      </c>
    </row>
    <row r="30" spans="1:13" ht="18" x14ac:dyDescent="0.35">
      <c r="A30" s="113"/>
      <c r="B30" s="101"/>
      <c r="C30" s="73"/>
      <c r="D30" s="73"/>
      <c r="E30" s="73"/>
      <c r="F30" s="73"/>
      <c r="G30" s="73"/>
      <c r="H30" s="30"/>
      <c r="J30" s="23"/>
      <c r="K30" s="124"/>
      <c r="L30" s="124"/>
    </row>
    <row r="31" spans="1:13" ht="18.600000000000001" thickBot="1" x14ac:dyDescent="0.4">
      <c r="A31" s="2"/>
      <c r="B31" s="83"/>
      <c r="C31" s="73"/>
      <c r="D31" s="73"/>
      <c r="E31" s="73"/>
      <c r="F31" s="73"/>
      <c r="G31" s="73"/>
      <c r="H31" s="30"/>
      <c r="I31" s="111"/>
      <c r="J31" s="112"/>
      <c r="K31" s="112"/>
      <c r="L31" s="112"/>
    </row>
    <row r="32" spans="1:13" ht="18.600000000000001" thickBot="1" x14ac:dyDescent="0.4">
      <c r="A32" s="2"/>
      <c r="B32" s="66"/>
      <c r="C32" s="97" t="s">
        <v>104</v>
      </c>
      <c r="D32" s="33"/>
      <c r="E32" s="33"/>
      <c r="F32" s="33"/>
      <c r="G32" s="98"/>
      <c r="H32" s="30"/>
      <c r="J32" s="2"/>
      <c r="K32" s="2"/>
      <c r="L32" s="2"/>
    </row>
    <row r="33" spans="1:10" ht="10.5" customHeight="1" x14ac:dyDescent="0.35">
      <c r="A33" s="2"/>
      <c r="B33" s="30"/>
      <c r="C33" s="30"/>
      <c r="D33" s="30"/>
      <c r="E33" s="30"/>
      <c r="F33" s="30"/>
      <c r="G33" s="30"/>
      <c r="H33" s="30"/>
    </row>
    <row r="34" spans="1:10" ht="18" x14ac:dyDescent="0.35">
      <c r="A34" s="2"/>
      <c r="B34" s="66" t="s">
        <v>8</v>
      </c>
      <c r="C34" s="99" t="s">
        <v>9</v>
      </c>
      <c r="D34" s="99" t="s">
        <v>107</v>
      </c>
      <c r="E34" s="99" t="s">
        <v>6</v>
      </c>
      <c r="F34" s="99" t="s">
        <v>7</v>
      </c>
      <c r="G34" s="99" t="s">
        <v>21</v>
      </c>
      <c r="H34" s="30"/>
    </row>
    <row r="35" spans="1:10" ht="18" x14ac:dyDescent="0.35">
      <c r="A35" s="113">
        <v>1</v>
      </c>
      <c r="B35" s="101" t="s">
        <v>135</v>
      </c>
      <c r="C35" s="94">
        <f>'4637'!B21</f>
        <v>1</v>
      </c>
      <c r="D35" s="94" t="str">
        <f>D60</f>
        <v>PR6</v>
      </c>
      <c r="E35" s="119">
        <f>'4637'!D21</f>
        <v>730</v>
      </c>
      <c r="F35" s="119">
        <f>'4637'!E21</f>
        <v>800</v>
      </c>
      <c r="G35" s="4" t="str">
        <f>'4637'!F21</f>
        <v>PERILLO 1320 MT</v>
      </c>
      <c r="H35" s="30"/>
      <c r="I35" s="28">
        <f>E35*F35/1000000</f>
        <v>0.58399999999999996</v>
      </c>
      <c r="J35" s="28">
        <f>I35*C35</f>
        <v>0.58399999999999996</v>
      </c>
    </row>
    <row r="36" spans="1:10" ht="18" x14ac:dyDescent="0.35">
      <c r="A36" s="113">
        <v>2</v>
      </c>
      <c r="B36" s="101"/>
      <c r="C36" s="94">
        <f>'4637'!B22</f>
        <v>1</v>
      </c>
      <c r="D36" s="94" t="str">
        <f>D61</f>
        <v>PR6</v>
      </c>
      <c r="E36" s="119">
        <f>'4637'!D22</f>
        <v>730</v>
      </c>
      <c r="F36" s="119">
        <f>'4637'!E22</f>
        <v>196</v>
      </c>
      <c r="G36" s="4" t="str">
        <f>'4637'!F22</f>
        <v>PERILLO 1320 MT</v>
      </c>
      <c r="H36" s="30"/>
      <c r="I36" s="28"/>
      <c r="J36" s="28"/>
    </row>
    <row r="37" spans="1:10" ht="18" x14ac:dyDescent="0.35">
      <c r="A37" s="113">
        <v>3</v>
      </c>
      <c r="C37" s="94">
        <f>'4637'!B23</f>
        <v>2</v>
      </c>
      <c r="D37" s="94" t="str">
        <f>D62</f>
        <v>PR6</v>
      </c>
      <c r="E37" s="119">
        <f>'4637'!D23</f>
        <v>730</v>
      </c>
      <c r="F37" s="119">
        <f>'4637'!E23</f>
        <v>447</v>
      </c>
      <c r="G37" s="4" t="str">
        <f>'4637'!F23</f>
        <v>PERILLO 1320 MT</v>
      </c>
      <c r="H37" s="30"/>
      <c r="I37" s="28"/>
      <c r="J37" s="28"/>
    </row>
    <row r="38" spans="1:10" ht="18" x14ac:dyDescent="0.35">
      <c r="A38" s="113">
        <v>4</v>
      </c>
      <c r="B38" s="101"/>
      <c r="C38" s="94">
        <f>'4637'!B24</f>
        <v>1</v>
      </c>
      <c r="D38" s="94" t="str">
        <f>D63</f>
        <v>PR6</v>
      </c>
      <c r="E38" s="119">
        <f>'4637'!D24</f>
        <v>730</v>
      </c>
      <c r="F38" s="119">
        <f>'4637'!E24</f>
        <v>423</v>
      </c>
      <c r="G38" s="4" t="str">
        <f>'4637'!F24</f>
        <v>PERILLO 1320 MT</v>
      </c>
      <c r="H38" s="30"/>
      <c r="I38" s="28"/>
      <c r="J38" s="28"/>
    </row>
    <row r="39" spans="1:10" ht="18" x14ac:dyDescent="0.35">
      <c r="A39" s="113"/>
      <c r="B39" s="101"/>
      <c r="C39" s="104"/>
      <c r="D39" s="104"/>
      <c r="E39" s="105"/>
      <c r="F39" s="105"/>
      <c r="G39" s="104"/>
      <c r="H39" s="30"/>
      <c r="I39" s="28"/>
      <c r="J39" s="28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  <c r="J41" s="28">
        <f>SUM(J35:J35)*2</f>
        <v>1.1679999999999999</v>
      </c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73"/>
      <c r="D44" s="73"/>
      <c r="E44" s="73"/>
      <c r="F44" s="73"/>
      <c r="G44" s="73"/>
      <c r="H44" s="30"/>
    </row>
    <row r="45" spans="1:10" ht="18" x14ac:dyDescent="0.35">
      <c r="A45" s="2"/>
      <c r="B45" s="30"/>
      <c r="C45" s="73"/>
      <c r="D45" s="73"/>
      <c r="E45" s="73"/>
      <c r="F45" s="73"/>
      <c r="G45" s="73"/>
      <c r="H45" s="30"/>
    </row>
    <row r="46" spans="1:10" ht="18" x14ac:dyDescent="0.35">
      <c r="A46" s="2"/>
      <c r="B46" s="30"/>
      <c r="C46" s="73"/>
      <c r="D46" s="73"/>
      <c r="E46" s="73"/>
      <c r="F46" s="73"/>
      <c r="G46" s="73"/>
      <c r="H46" s="30"/>
    </row>
    <row r="47" spans="1:10" ht="18" x14ac:dyDescent="0.35">
      <c r="A47" s="2"/>
      <c r="B47" s="30"/>
      <c r="C47" s="73"/>
      <c r="D47" s="73"/>
      <c r="E47" s="73"/>
      <c r="F47" s="73"/>
      <c r="G47" s="73"/>
      <c r="H47" s="30"/>
    </row>
    <row r="48" spans="1:10" ht="18" x14ac:dyDescent="0.35">
      <c r="A48" s="2"/>
      <c r="B48" s="30"/>
      <c r="C48" s="73"/>
      <c r="D48" s="73"/>
      <c r="E48" s="73"/>
      <c r="F48" s="73"/>
      <c r="G48" s="73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30"/>
      <c r="C50" s="30"/>
      <c r="D50" s="74" t="s">
        <v>25</v>
      </c>
      <c r="E50" s="75">
        <f>'4637'!G8</f>
        <v>4202</v>
      </c>
      <c r="F50" s="30"/>
      <c r="G50" s="30"/>
      <c r="H50" s="30"/>
    </row>
    <row r="51" spans="1:13" ht="17.25" customHeight="1" x14ac:dyDescent="0.35">
      <c r="A51" s="2"/>
      <c r="B51" s="30"/>
      <c r="C51" s="30"/>
      <c r="D51" s="76" t="s">
        <v>64</v>
      </c>
      <c r="E51" s="77" t="str">
        <f>'4637'!C10</f>
        <v>ALDO ARATA</v>
      </c>
      <c r="F51" s="48"/>
      <c r="G51" s="48"/>
      <c r="H51" s="30"/>
    </row>
    <row r="52" spans="1:13" ht="4.5" customHeight="1" x14ac:dyDescent="0.35">
      <c r="A52" s="2"/>
      <c r="B52" s="30"/>
      <c r="C52" s="30"/>
      <c r="D52" s="78"/>
      <c r="E52" s="79"/>
      <c r="F52" s="30"/>
      <c r="G52" s="30"/>
      <c r="H52" s="30"/>
    </row>
    <row r="53" spans="1:13" ht="18" x14ac:dyDescent="0.35">
      <c r="A53" s="2"/>
      <c r="B53" s="30"/>
      <c r="C53" s="30"/>
      <c r="D53" s="80" t="str">
        <f>'4637'!F11</f>
        <v>FECHA LIMITE :</v>
      </c>
      <c r="E53" s="81">
        <f>'4637'!G11</f>
        <v>45910</v>
      </c>
      <c r="F53" s="30"/>
      <c r="G53" s="30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 t="s">
        <v>137</v>
      </c>
      <c r="H54" s="30"/>
    </row>
    <row r="55" spans="1:13" ht="18" x14ac:dyDescent="0.35">
      <c r="A55" s="2"/>
      <c r="B55" s="30"/>
      <c r="C55" s="30"/>
      <c r="D55" s="30"/>
      <c r="E55" s="30"/>
      <c r="F55" s="30"/>
      <c r="G55" s="30"/>
      <c r="H55" s="30"/>
    </row>
    <row r="56" spans="1:13" ht="18" x14ac:dyDescent="0.35">
      <c r="A56" s="2"/>
      <c r="B56" s="134" t="s">
        <v>65</v>
      </c>
      <c r="C56" s="134"/>
      <c r="D56" s="134"/>
      <c r="E56" s="134"/>
      <c r="F56" s="134"/>
      <c r="G56" s="134"/>
      <c r="H56" s="30"/>
    </row>
    <row r="57" spans="1:13" ht="18" x14ac:dyDescent="0.35">
      <c r="A57" s="2"/>
      <c r="B57" s="30"/>
      <c r="C57" s="30"/>
      <c r="D57" s="30"/>
      <c r="E57" s="30"/>
      <c r="F57" s="30"/>
      <c r="G57" s="30"/>
      <c r="H57" s="30"/>
    </row>
    <row r="58" spans="1:13" ht="20.100000000000001" customHeight="1" x14ac:dyDescent="0.35">
      <c r="A58" s="2"/>
      <c r="B58" s="30"/>
      <c r="C58" s="135" t="s">
        <v>66</v>
      </c>
      <c r="D58" s="136"/>
      <c r="E58" s="137"/>
      <c r="F58" s="137"/>
      <c r="G58" s="138"/>
      <c r="H58" s="30"/>
      <c r="I58" s="25" t="s">
        <v>130</v>
      </c>
    </row>
    <row r="59" spans="1:13" s="10" customFormat="1" ht="20.100000000000001" customHeight="1" x14ac:dyDescent="0.35">
      <c r="A59" s="114"/>
      <c r="B59" s="30"/>
      <c r="C59" s="84" t="s">
        <v>9</v>
      </c>
      <c r="D59" s="85" t="s">
        <v>10</v>
      </c>
      <c r="E59" s="88" t="s">
        <v>6</v>
      </c>
      <c r="F59" s="88" t="s">
        <v>7</v>
      </c>
      <c r="G59" s="86" t="s">
        <v>11</v>
      </c>
      <c r="H59" s="30"/>
      <c r="K59" s="10">
        <v>15000</v>
      </c>
    </row>
    <row r="60" spans="1:13" s="10" customFormat="1" ht="20.100000000000001" customHeight="1" x14ac:dyDescent="0.35">
      <c r="A60" s="113">
        <v>1</v>
      </c>
      <c r="B60" s="100" t="s">
        <v>134</v>
      </c>
      <c r="C60" s="96">
        <f>'4637'!B21</f>
        <v>1</v>
      </c>
      <c r="D60" s="4" t="str">
        <f>'4637'!C21</f>
        <v>PR6</v>
      </c>
      <c r="E60" s="119">
        <f>'4637'!D21</f>
        <v>730</v>
      </c>
      <c r="F60" s="103">
        <f>'4637'!E21</f>
        <v>800</v>
      </c>
      <c r="G60" s="4" t="str">
        <f>'4637'!F21</f>
        <v>PERILLO 1320 MT</v>
      </c>
      <c r="H60" s="30"/>
      <c r="I60" s="10">
        <f>E60*F60/1000000</f>
        <v>0.58399999999999996</v>
      </c>
      <c r="J60" s="10">
        <f>I60*C60</f>
        <v>0.58399999999999996</v>
      </c>
      <c r="K60" s="26">
        <f>J60*K$59</f>
        <v>8760</v>
      </c>
      <c r="M60" s="24">
        <v>12096</v>
      </c>
    </row>
    <row r="61" spans="1:13" s="10" customFormat="1" ht="20.100000000000001" customHeight="1" x14ac:dyDescent="0.35">
      <c r="A61" s="113">
        <v>2</v>
      </c>
      <c r="B61" s="100"/>
      <c r="C61" s="96">
        <f>'4637'!B22</f>
        <v>1</v>
      </c>
      <c r="D61" s="4" t="str">
        <f>'4637'!C22</f>
        <v>PR6</v>
      </c>
      <c r="E61" s="119">
        <f>'4637'!D22</f>
        <v>730</v>
      </c>
      <c r="F61" s="103">
        <f>'4637'!E22</f>
        <v>196</v>
      </c>
      <c r="G61" s="4" t="str">
        <f>'4637'!F22</f>
        <v>PERILLO 1320 MT</v>
      </c>
      <c r="H61" s="30"/>
      <c r="K61" s="26"/>
      <c r="M61" s="29"/>
    </row>
    <row r="62" spans="1:13" s="10" customFormat="1" ht="20.100000000000001" customHeight="1" x14ac:dyDescent="0.35">
      <c r="A62" s="113">
        <v>3</v>
      </c>
      <c r="C62" s="96">
        <f>'4637'!B23</f>
        <v>2</v>
      </c>
      <c r="D62" s="4" t="str">
        <f>'4637'!C23</f>
        <v>PR6</v>
      </c>
      <c r="E62" s="119">
        <f>'4637'!D23</f>
        <v>730</v>
      </c>
      <c r="F62" s="103">
        <f>'4637'!E23</f>
        <v>447</v>
      </c>
      <c r="G62" s="4" t="str">
        <f>'4637'!F23</f>
        <v>PERILLO 1320 MT</v>
      </c>
      <c r="H62" s="30"/>
      <c r="K62" s="26"/>
      <c r="M62" s="29"/>
    </row>
    <row r="63" spans="1:13" s="10" customFormat="1" ht="20.100000000000001" customHeight="1" x14ac:dyDescent="0.35">
      <c r="A63" s="113">
        <v>4</v>
      </c>
      <c r="B63" s="100"/>
      <c r="C63" s="96">
        <f>'4637'!B24</f>
        <v>1</v>
      </c>
      <c r="D63" s="4" t="str">
        <f>'4637'!C24</f>
        <v>PR6</v>
      </c>
      <c r="E63" s="119">
        <f>'4637'!D24</f>
        <v>730</v>
      </c>
      <c r="F63" s="103">
        <f>'4637'!E24</f>
        <v>423</v>
      </c>
      <c r="G63" s="4" t="str">
        <f>'4637'!F24</f>
        <v>PERILLO 1320 MT</v>
      </c>
      <c r="H63" s="30"/>
      <c r="K63" s="26"/>
      <c r="M63" s="29"/>
    </row>
    <row r="64" spans="1:13" s="10" customFormat="1" ht="20.100000000000001" customHeight="1" x14ac:dyDescent="0.35">
      <c r="A64" s="113"/>
      <c r="B64" s="100"/>
      <c r="C64" s="73"/>
      <c r="D64" s="2"/>
      <c r="E64" s="123"/>
      <c r="F64" s="105"/>
      <c r="G64" s="2"/>
      <c r="H64" s="30"/>
      <c r="K64" s="26"/>
      <c r="M64" s="29"/>
    </row>
    <row r="65" spans="1:13" s="10" customFormat="1" ht="20.100000000000001" customHeight="1" x14ac:dyDescent="0.35">
      <c r="A65" s="113"/>
      <c r="B65" s="100"/>
      <c r="C65" s="73"/>
      <c r="D65" s="2"/>
      <c r="E65" s="123"/>
      <c r="F65" s="105"/>
      <c r="G65" s="2"/>
      <c r="H65" s="30"/>
      <c r="K65" s="26"/>
      <c r="M65" s="29"/>
    </row>
    <row r="66" spans="1:13" s="10" customFormat="1" ht="15" customHeight="1" x14ac:dyDescent="0.35">
      <c r="B66" s="83"/>
      <c r="C66" s="66"/>
      <c r="D66" s="66"/>
      <c r="E66" s="66"/>
      <c r="F66" s="66"/>
      <c r="G66" s="66"/>
      <c r="H66" s="30"/>
    </row>
    <row r="67" spans="1:13" ht="18" x14ac:dyDescent="0.35">
      <c r="B67" s="73"/>
      <c r="C67" s="73"/>
      <c r="D67" s="30"/>
      <c r="E67" s="73"/>
      <c r="F67" s="73"/>
      <c r="G67" s="78"/>
      <c r="H67" s="30"/>
    </row>
    <row r="68" spans="1:13" ht="18" x14ac:dyDescent="0.35">
      <c r="B68" s="73"/>
      <c r="C68" s="73"/>
      <c r="D68" s="30"/>
      <c r="E68" s="73"/>
      <c r="F68" s="73"/>
      <c r="G68" s="73"/>
      <c r="H68" s="30"/>
      <c r="J68" s="10">
        <f>SUM(J60:J60)</f>
        <v>0.58399999999999996</v>
      </c>
      <c r="K68" s="27">
        <f>SUM(K60:K60)</f>
        <v>8760</v>
      </c>
    </row>
    <row r="69" spans="1:13" ht="18" x14ac:dyDescent="0.35">
      <c r="B69" s="30"/>
      <c r="C69" s="30"/>
      <c r="D69" s="30"/>
      <c r="E69" s="30"/>
      <c r="F69" s="30"/>
      <c r="G69" s="30"/>
      <c r="H69" s="30"/>
    </row>
    <row r="70" spans="1:13" ht="18" x14ac:dyDescent="0.35">
      <c r="B70" s="30"/>
      <c r="C70" s="30"/>
      <c r="D70" s="30"/>
      <c r="E70" s="30"/>
      <c r="F70" s="30"/>
      <c r="G70" s="30"/>
      <c r="H70" s="30"/>
    </row>
    <row r="71" spans="1:13" ht="18" x14ac:dyDescent="0.35">
      <c r="B71" s="30"/>
      <c r="C71" s="30"/>
      <c r="D71" s="30"/>
      <c r="E71" s="30"/>
      <c r="F71" s="30"/>
      <c r="G71" s="30"/>
      <c r="H71" s="30"/>
    </row>
    <row r="72" spans="1:13" ht="15" customHeight="1" x14ac:dyDescent="0.35">
      <c r="B72" s="30"/>
      <c r="C72" s="30"/>
      <c r="D72" s="30"/>
      <c r="E72" s="30"/>
      <c r="F72" s="30"/>
      <c r="G72" s="30"/>
      <c r="H72" s="30"/>
    </row>
    <row r="73" spans="1:13" ht="18" x14ac:dyDescent="0.35">
      <c r="B73" s="30"/>
      <c r="C73" s="30"/>
      <c r="D73" s="30"/>
      <c r="E73" s="30"/>
      <c r="F73" s="30"/>
      <c r="G73" s="30"/>
      <c r="H73" s="30"/>
    </row>
    <row r="74" spans="1:13" ht="18" x14ac:dyDescent="0.35">
      <c r="B74" s="73"/>
      <c r="C74" s="87"/>
      <c r="D74" s="30"/>
      <c r="E74" s="30"/>
      <c r="F74" s="30"/>
      <c r="G74" s="30"/>
      <c r="H74" s="30"/>
    </row>
    <row r="75" spans="1:13" ht="18" x14ac:dyDescent="0.35">
      <c r="B75" s="30"/>
      <c r="C75" s="30"/>
      <c r="D75" s="30"/>
      <c r="E75" s="30"/>
      <c r="F75" s="30"/>
      <c r="G75" s="30"/>
      <c r="H75" s="30"/>
    </row>
    <row r="76" spans="1:13" x14ac:dyDescent="0.3">
      <c r="C76" s="14"/>
      <c r="D76" s="14"/>
      <c r="F76" s="14"/>
      <c r="G76" s="14"/>
    </row>
    <row r="77" spans="1:13" x14ac:dyDescent="0.3">
      <c r="C77" s="14"/>
      <c r="D77" s="14"/>
      <c r="F77" s="14"/>
      <c r="G77" s="14"/>
    </row>
  </sheetData>
  <mergeCells count="6">
    <mergeCell ref="N3:O3"/>
    <mergeCell ref="B22:G22"/>
    <mergeCell ref="B10:G10"/>
    <mergeCell ref="B56:G56"/>
    <mergeCell ref="C58:G5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2025-09-08T17:19:57Z</cp:lastPrinted>
  <dcterms:created xsi:type="dcterms:W3CDTF">2013-03-19T12:54:14Z</dcterms:created>
  <dcterms:modified xsi:type="dcterms:W3CDTF">2025-09-08T17:20:24Z</dcterms:modified>
</cp:coreProperties>
</file>