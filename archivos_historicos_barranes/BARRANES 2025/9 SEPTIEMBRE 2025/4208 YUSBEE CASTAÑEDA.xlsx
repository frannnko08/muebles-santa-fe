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98A574F4-5E4F-4D3F-96F5-C2432674B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'4637'!$B$1:$H$49</definedName>
    <definedName name="_xlnm.Print_Area" localSheetId="2">CUBIERTA!$A$40:$H$65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3" l="1"/>
  <c r="C28" i="3" s="1"/>
  <c r="J21" i="3" s="1"/>
  <c r="C21" i="3" s="1"/>
  <c r="D52" i="3"/>
  <c r="D28" i="3" s="1"/>
  <c r="G21" i="3" s="1"/>
  <c r="E52" i="3"/>
  <c r="E28" i="3" s="1"/>
  <c r="K21" i="3" s="1"/>
  <c r="E21" i="3" s="1"/>
  <c r="F52" i="3"/>
  <c r="F28" i="3" s="1"/>
  <c r="L21" i="3" s="1"/>
  <c r="F21" i="3" s="1"/>
  <c r="G52" i="3"/>
  <c r="G28" i="3" s="1"/>
  <c r="C53" i="3"/>
  <c r="C29" i="3" s="1"/>
  <c r="J22" i="3" s="1"/>
  <c r="C22" i="3" s="1"/>
  <c r="D53" i="3"/>
  <c r="D29" i="3" s="1"/>
  <c r="G22" i="3" s="1"/>
  <c r="E53" i="3"/>
  <c r="E29" i="3" s="1"/>
  <c r="K22" i="3" s="1"/>
  <c r="E22" i="3" s="1"/>
  <c r="F53" i="3"/>
  <c r="F29" i="3" s="1"/>
  <c r="L22" i="3" s="1"/>
  <c r="F22" i="3" s="1"/>
  <c r="G53" i="3"/>
  <c r="G29" i="3" s="1"/>
  <c r="C54" i="3"/>
  <c r="C30" i="3" s="1"/>
  <c r="J23" i="3" s="1"/>
  <c r="C23" i="3" s="1"/>
  <c r="D54" i="3"/>
  <c r="D30" i="3" s="1"/>
  <c r="G23" i="3" s="1"/>
  <c r="E54" i="3"/>
  <c r="E30" i="3" s="1"/>
  <c r="K23" i="3" s="1"/>
  <c r="E23" i="3" s="1"/>
  <c r="F54" i="3"/>
  <c r="F30" i="3" s="1"/>
  <c r="L23" i="3" s="1"/>
  <c r="F23" i="3" s="1"/>
  <c r="G54" i="3"/>
  <c r="G30" i="3" s="1"/>
  <c r="H21" i="4"/>
  <c r="H22" i="4"/>
  <c r="H23" i="4"/>
  <c r="L14" i="3" l="1"/>
  <c r="F14" i="3" s="1"/>
  <c r="K14" i="3"/>
  <c r="E14" i="3" s="1"/>
  <c r="J14" i="3"/>
  <c r="C14" i="3" s="1"/>
  <c r="G14" i="3"/>
  <c r="H25" i="4"/>
  <c r="H27" i="4" s="1"/>
  <c r="J33" i="3" l="1"/>
  <c r="J58" i="3"/>
  <c r="O5" i="3"/>
  <c r="K58" i="3" l="1"/>
  <c r="N5" i="3"/>
  <c r="M5" i="3"/>
  <c r="L5" i="3"/>
  <c r="D45" i="3" l="1"/>
  <c r="D7" i="3"/>
  <c r="E43" i="3"/>
  <c r="E5" i="3"/>
  <c r="E45" i="3"/>
  <c r="E7" i="3"/>
  <c r="E42" i="3"/>
  <c r="E4" i="3"/>
</calcChain>
</file>

<file path=xl/sharedStrings.xml><?xml version="1.0" encoding="utf-8"?>
<sst xmlns="http://schemas.openxmlformats.org/spreadsheetml/2006/main" count="252" uniqueCount="144">
  <si>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</si>
  <si>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</si>
  <si>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</si>
  <si>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</si>
  <si>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</si>
  <si>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</si>
  <si>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</si>
  <si>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</si>
  <si>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</si>
  <si>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</si>
  <si>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</si>
  <si>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</si>
  <si>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</si>
  <si>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</si>
  <si>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</si>
  <si>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</si>
  <si>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</si>
  <si>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</si>
  <si>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</si>
  <si>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</si>
  <si>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</si>
  <si>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</si>
  <si>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</si>
  <si>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</si>
  <si>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</si>
  <si>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</si>
  <si>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</si>
  <si>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</si>
  <si>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</si>
  <si>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</si>
  <si>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</si>
  <si>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</si>
  <si>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</si>
  <si>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</si>
  <si>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</si>
  <si>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</si>
  <si>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</si>
  <si>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</si>
  <si>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</si>
  <si>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</si>
  <si>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</si>
  <si>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</si>
  <si>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</si>
  <si>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</si>
  <si>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</si>
  <si>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</si>
  <si>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</si>
  <si>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</si>
  <si>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</si>
  <si>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</si>
  <si>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</si>
  <si>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</si>
  <si>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</si>
  <si>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</si>
  <si>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</si>
  <si>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</si>
  <si>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</si>
  <si>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</si>
  <si>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</si>
  <si>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</si>
  <si>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</si>
  <si>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</si>
  <si>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</si>
  <si>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</si>
  <si>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</si>
  <si>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</si>
  <si>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</si>
  <si>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</si>
  <si>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</si>
  <si>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</si>
  <si>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</si>
  <si>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</si>
  <si>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</si>
  <si>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</si>
  <si>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</si>
  <si>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</si>
  <si>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</si>
  <si>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</si>
  <si>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</si>
  <si>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</si>
  <si>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</si>
  <si>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</si>
  <si>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</si>
  <si>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</si>
  <si>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</si>
  <si>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</si>
  <si>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</si>
  <si>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</si>
  <si>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</si>
  <si>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</si>
  <si>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</si>
  <si>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</si>
  <si>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</si>
  <si>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</si>
  <si>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</si>
  <si>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</si>
  <si>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</si>
  <si>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</si>
  <si>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</si>
  <si>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</si>
  <si>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</si>
  <si>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</si>
  <si>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</si>
  <si>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</si>
  <si>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</si>
  <si>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</si>
  <si>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</si>
  <si>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</si>
  <si>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</si>
  <si>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</si>
  <si>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</si>
  <si>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</si>
  <si>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</si>
  <si>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</si>
  <si>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</si>
  <si>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</si>
  <si>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</si>
  <si>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</si>
  <si>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</si>
  <si>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</si>
  <si>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</si>
  <si>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</si>
  <si>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</si>
  <si>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</si>
  <si>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</si>
  <si>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</si>
  <si>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</si>
  <si>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</si>
  <si>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</si>
  <si>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</si>
  <si>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</si>
  <si>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</si>
  <si>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</si>
  <si>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</si>
  <si>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</si>
  <si>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</si>
  <si>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 xml:space="preserve">IVA </t>
  </si>
  <si>
    <t>CORREO:</t>
  </si>
  <si>
    <t>YUSBEE CASTAÑEDA</t>
  </si>
  <si>
    <t>569 2062 2586</t>
  </si>
  <si>
    <t>CUB C/R R8</t>
  </si>
  <si>
    <t>SAN ANTONIO</t>
  </si>
  <si>
    <t>RESPALDO 38MM</t>
  </si>
  <si>
    <t>SHELL WHITE 2011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</si>
</sst>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19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5" fillId="3" borderId="0" xfId="2" applyFill="1"/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75.000.-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46</xdr:row>
      <xdr:rowOff>190500</xdr:rowOff>
    </xdr:from>
    <xdr:to>
      <xdr:col>7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43</xdr:row>
      <xdr:rowOff>30479</xdr:rowOff>
    </xdr:from>
    <xdr:to>
      <xdr:col>6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209549</xdr:rowOff>
    </xdr:from>
    <xdr:to>
      <xdr:col>7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171450</xdr:rowOff>
    </xdr:from>
    <xdr:to>
      <xdr:col>7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1019175</xdr:colOff>
      <xdr:row>57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447675</xdr:colOff>
      <xdr:row>57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31</xdr:row>
      <xdr:rowOff>220979</xdr:rowOff>
    </xdr:from>
    <xdr:to>
      <xdr:col>6</xdr:col>
      <xdr:colOff>2971800</xdr:colOff>
      <xdr:row>36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RESPALDOS A 38MM, USAR MISMA CUBIERTAS DEVUELTAS, SOLO CORTAR LA MAS GRANDE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59</xdr:row>
      <xdr:rowOff>32385</xdr:rowOff>
    </xdr:from>
    <xdr:to>
      <xdr:col>7</xdr:col>
      <xdr:colOff>0</xdr:colOff>
      <xdr:row>63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CORTAR RESPALDO A 38MM, USAR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DEVUELTAS, CORTAR EL MDF PARA LA MAS GRANDE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40</xdr:row>
      <xdr:rowOff>146685</xdr:rowOff>
    </xdr:from>
    <xdr:to>
      <xdr:col>2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304800</xdr:colOff>
      <xdr:row>66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7" zoomScale="98" zoomScaleNormal="98" workbookViewId="0">
      <selection activeCell="M18" sqref="M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28"/>
    </row>
    <row r="2" spans="1:17" ht="18" x14ac:dyDescent="0.35">
      <c r="A2" s="28"/>
      <c r="B2" s="28"/>
      <c r="C2" s="28"/>
      <c r="D2" s="28"/>
      <c r="E2" s="28"/>
      <c r="F2" s="29" t="s">
        <v>115</v>
      </c>
      <c r="G2" s="28"/>
      <c r="H2" s="28"/>
      <c r="I2" s="28"/>
    </row>
    <row r="3" spans="1:17" ht="18" x14ac:dyDescent="0.35">
      <c r="A3" s="28"/>
      <c r="B3" s="28"/>
      <c r="C3" s="28"/>
      <c r="D3" s="28"/>
      <c r="E3" s="28"/>
      <c r="F3" s="28" t="s">
        <v>116</v>
      </c>
      <c r="G3" s="28"/>
      <c r="H3" s="28"/>
      <c r="I3" s="28"/>
    </row>
    <row r="4" spans="1:17" ht="18" x14ac:dyDescent="0.35">
      <c r="A4" s="28"/>
      <c r="B4" s="28"/>
      <c r="C4" s="28"/>
      <c r="D4" s="28"/>
      <c r="E4" s="28"/>
      <c r="F4" s="28" t="s">
        <v>117</v>
      </c>
      <c r="G4" s="28"/>
      <c r="H4" s="28"/>
      <c r="I4" s="28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28"/>
    </row>
    <row r="6" spans="1:17" ht="18" x14ac:dyDescent="0.35">
      <c r="A6" s="28"/>
      <c r="B6" s="28"/>
      <c r="C6" s="28"/>
      <c r="D6" s="28"/>
      <c r="E6" s="28"/>
      <c r="F6" s="28" t="s">
        <v>134</v>
      </c>
      <c r="G6" s="28"/>
      <c r="H6" s="28"/>
      <c r="I6" s="28"/>
    </row>
    <row r="7" spans="1:17" ht="18.600000000000001" thickBot="1" x14ac:dyDescent="0.4">
      <c r="A7" s="28"/>
      <c r="B7" s="28"/>
      <c r="C7" s="28"/>
      <c r="D7" s="28"/>
      <c r="E7" s="28"/>
      <c r="F7" s="28" t="s">
        <v>12</v>
      </c>
      <c r="G7" s="28"/>
      <c r="H7" s="28"/>
      <c r="I7" s="28"/>
    </row>
    <row r="8" spans="1:17" ht="18.600000000000001" thickBot="1" x14ac:dyDescent="0.4">
      <c r="A8" s="28"/>
      <c r="B8" s="30" t="s">
        <v>14</v>
      </c>
      <c r="C8" s="31"/>
      <c r="D8" s="32">
        <v>11663</v>
      </c>
      <c r="E8" s="28"/>
      <c r="F8" s="33" t="s">
        <v>24</v>
      </c>
      <c r="G8" s="34">
        <v>4208</v>
      </c>
      <c r="H8" s="28"/>
      <c r="I8" s="28"/>
    </row>
    <row r="9" spans="1:17" ht="18.600000000000001" thickBot="1" x14ac:dyDescent="0.4">
      <c r="A9" s="28"/>
      <c r="B9" s="28"/>
      <c r="C9" s="28"/>
      <c r="D9" s="28"/>
      <c r="E9" s="28"/>
      <c r="F9" s="28"/>
      <c r="G9" s="28"/>
      <c r="H9" s="28"/>
      <c r="I9" s="28"/>
    </row>
    <row r="10" spans="1:17" ht="18" x14ac:dyDescent="0.35">
      <c r="A10" s="28"/>
      <c r="B10" s="35" t="s">
        <v>124</v>
      </c>
      <c r="C10" s="112" t="s">
        <v>138</v>
      </c>
      <c r="D10" s="36"/>
      <c r="E10" s="36"/>
      <c r="F10" s="37" t="s">
        <v>25</v>
      </c>
      <c r="G10" s="38">
        <v>45897</v>
      </c>
      <c r="H10" s="39"/>
      <c r="I10" s="28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8"/>
      <c r="B11" s="40" t="s">
        <v>2</v>
      </c>
      <c r="C11" s="28"/>
      <c r="D11" s="41"/>
      <c r="E11" s="41"/>
      <c r="F11" s="41" t="s">
        <v>119</v>
      </c>
      <c r="G11" s="115">
        <v>45872</v>
      </c>
      <c r="H11" s="42"/>
      <c r="I11" s="28"/>
    </row>
    <row r="12" spans="1:17" ht="18" x14ac:dyDescent="0.35">
      <c r="A12" s="28"/>
      <c r="B12" s="43" t="s">
        <v>125</v>
      </c>
      <c r="C12" s="28"/>
      <c r="D12" s="44"/>
      <c r="E12" s="44"/>
      <c r="F12" s="44" t="s">
        <v>26</v>
      </c>
      <c r="G12" s="45"/>
      <c r="H12" s="46"/>
      <c r="I12" s="28"/>
    </row>
    <row r="13" spans="1:17" ht="18" x14ac:dyDescent="0.35">
      <c r="A13" s="28"/>
      <c r="B13" s="43" t="s">
        <v>137</v>
      </c>
      <c r="C13" s="116"/>
      <c r="D13" s="44"/>
      <c r="E13" s="44"/>
      <c r="F13" s="44" t="s">
        <v>123</v>
      </c>
      <c r="G13" s="45" t="s">
        <v>132</v>
      </c>
      <c r="H13" s="46"/>
      <c r="I13" s="28"/>
    </row>
    <row r="14" spans="1:17" ht="18" x14ac:dyDescent="0.35">
      <c r="A14" s="28"/>
      <c r="B14" s="40" t="s">
        <v>15</v>
      </c>
      <c r="C14" s="111" t="s">
        <v>139</v>
      </c>
      <c r="D14" s="47"/>
      <c r="E14" s="41"/>
      <c r="F14" s="41"/>
      <c r="G14" s="41"/>
      <c r="H14" s="42"/>
      <c r="I14" s="28"/>
    </row>
    <row r="15" spans="1:17" ht="18.600000000000001" x14ac:dyDescent="0.4">
      <c r="A15" s="28"/>
      <c r="B15" s="43" t="s">
        <v>1</v>
      </c>
      <c r="C15" s="110"/>
      <c r="D15" s="44"/>
      <c r="E15" s="44"/>
      <c r="F15" s="48" t="s">
        <v>71</v>
      </c>
      <c r="G15" s="48" t="s">
        <v>127</v>
      </c>
      <c r="H15" s="46"/>
      <c r="I15" s="28"/>
    </row>
    <row r="16" spans="1:17" ht="18.600000000000001" thickBot="1" x14ac:dyDescent="0.4">
      <c r="A16" s="28"/>
      <c r="B16" s="49" t="s">
        <v>3</v>
      </c>
      <c r="C16" s="50" t="s">
        <v>141</v>
      </c>
      <c r="D16" s="51"/>
      <c r="E16" s="52"/>
      <c r="F16" s="120" t="s">
        <v>16</v>
      </c>
      <c r="G16" s="120"/>
      <c r="H16" s="121"/>
      <c r="I16" s="28"/>
    </row>
    <row r="17" spans="1:16" ht="18" x14ac:dyDescent="0.35">
      <c r="A17" s="28"/>
      <c r="B17" s="28"/>
      <c r="C17" s="28"/>
      <c r="D17" s="28"/>
      <c r="E17" s="28"/>
      <c r="F17" s="28"/>
      <c r="G17" s="28"/>
      <c r="H17" s="28"/>
      <c r="I17" s="28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28"/>
    </row>
    <row r="19" spans="1:16" ht="20.100000000000001" customHeight="1" thickBot="1" x14ac:dyDescent="0.4">
      <c r="A19" s="28"/>
      <c r="B19" s="122" t="s">
        <v>17</v>
      </c>
      <c r="C19" s="123"/>
      <c r="D19" s="123"/>
      <c r="E19" s="123"/>
      <c r="F19" s="123"/>
      <c r="G19" s="123"/>
      <c r="H19" s="124"/>
      <c r="I19" s="28"/>
    </row>
    <row r="20" spans="1:16" ht="20.100000000000001" customHeight="1" x14ac:dyDescent="0.35">
      <c r="A20" s="28"/>
      <c r="B20" s="53" t="s">
        <v>126</v>
      </c>
      <c r="C20" s="107" t="s">
        <v>18</v>
      </c>
      <c r="D20" s="107" t="s">
        <v>19</v>
      </c>
      <c r="E20" s="107" t="s">
        <v>7</v>
      </c>
      <c r="F20" s="108" t="s">
        <v>20</v>
      </c>
      <c r="G20" s="53" t="s">
        <v>21</v>
      </c>
      <c r="H20" s="108" t="s">
        <v>4</v>
      </c>
      <c r="I20" s="28"/>
    </row>
    <row r="21" spans="1:16" ht="20.100000000000001" customHeight="1" x14ac:dyDescent="0.35">
      <c r="A21" s="28"/>
      <c r="B21" s="118">
        <v>1</v>
      </c>
      <c r="C21" s="118" t="s">
        <v>140</v>
      </c>
      <c r="D21" s="117">
        <v>1980</v>
      </c>
      <c r="E21" s="117">
        <v>500</v>
      </c>
      <c r="F21" s="118" t="s">
        <v>143</v>
      </c>
      <c r="G21" s="119">
        <v>54483</v>
      </c>
      <c r="H21" s="119">
        <f t="shared" ref="H21:H23" si="0">G21*B21</f>
        <v>54483</v>
      </c>
      <c r="I21" s="28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8"/>
      <c r="B22" s="118">
        <v>1</v>
      </c>
      <c r="C22" s="118" t="s">
        <v>140</v>
      </c>
      <c r="D22" s="117">
        <v>1770</v>
      </c>
      <c r="E22" s="117">
        <v>500</v>
      </c>
      <c r="F22" s="118" t="s">
        <v>143</v>
      </c>
      <c r="G22" s="119">
        <v>49157</v>
      </c>
      <c r="H22" s="119">
        <f t="shared" si="0"/>
        <v>49157</v>
      </c>
      <c r="I22" s="28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8"/>
      <c r="B23" s="118">
        <v>1</v>
      </c>
      <c r="C23" s="118" t="s">
        <v>140</v>
      </c>
      <c r="D23" s="117">
        <v>1670</v>
      </c>
      <c r="E23" s="117">
        <v>500</v>
      </c>
      <c r="F23" s="118" t="s">
        <v>143</v>
      </c>
      <c r="G23" s="119">
        <v>46621</v>
      </c>
      <c r="H23" s="119">
        <f t="shared" si="0"/>
        <v>46621</v>
      </c>
      <c r="I23" s="28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8"/>
      <c r="B24" s="98"/>
      <c r="C24" s="98"/>
      <c r="D24" s="106"/>
      <c r="E24" s="106"/>
      <c r="F24" s="98"/>
      <c r="G24" s="100"/>
      <c r="H24" s="100"/>
      <c r="I24" s="28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8"/>
      <c r="B25" s="98"/>
      <c r="C25" s="98"/>
      <c r="D25" s="106"/>
      <c r="E25" s="106"/>
      <c r="F25" s="98"/>
      <c r="G25" s="56" t="s">
        <v>5</v>
      </c>
      <c r="H25" s="57">
        <f>SUM(H21:H24)</f>
        <v>150261</v>
      </c>
      <c r="I25" s="28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8"/>
      <c r="B26" s="98"/>
      <c r="C26" s="98"/>
      <c r="D26" s="106"/>
      <c r="E26" s="106"/>
      <c r="F26" s="98"/>
      <c r="G26" s="58" t="s">
        <v>136</v>
      </c>
      <c r="H26" s="59"/>
      <c r="I26" s="28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8"/>
      <c r="B27" s="98"/>
      <c r="C27" s="98"/>
      <c r="D27" s="106"/>
      <c r="E27" s="106"/>
      <c r="F27" s="98"/>
      <c r="G27" s="60" t="s">
        <v>4</v>
      </c>
      <c r="H27" s="61">
        <f>H25+H26</f>
        <v>150261</v>
      </c>
      <c r="I27" s="28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8"/>
      <c r="B28" s="98"/>
      <c r="C28" s="98"/>
      <c r="D28" s="106"/>
      <c r="E28" s="106"/>
      <c r="F28" s="98"/>
      <c r="I28" s="28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8"/>
      <c r="B29" s="98"/>
      <c r="C29" s="98"/>
      <c r="D29" s="106"/>
      <c r="E29" s="106"/>
      <c r="F29" s="98"/>
      <c r="G29" s="100"/>
      <c r="H29" s="100"/>
      <c r="I29" s="28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8"/>
      <c r="B30" s="98"/>
      <c r="C30" s="98"/>
      <c r="D30" s="106"/>
      <c r="E30" s="106"/>
      <c r="F30" s="98"/>
      <c r="G30" s="100"/>
      <c r="H30" s="100"/>
      <c r="I30" s="28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8"/>
      <c r="B31" s="98"/>
      <c r="C31" s="98"/>
      <c r="D31" s="99"/>
      <c r="E31" s="99"/>
      <c r="F31" s="98"/>
      <c r="G31" s="100"/>
      <c r="H31" s="100"/>
      <c r="I31" s="28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8"/>
      <c r="B32" s="98"/>
      <c r="C32" s="98"/>
      <c r="D32" s="99"/>
      <c r="E32" s="99"/>
      <c r="F32" s="98"/>
      <c r="G32" s="100"/>
      <c r="H32" s="100"/>
      <c r="I32" s="28"/>
      <c r="K32" s="11"/>
      <c r="L32" s="15"/>
      <c r="M32" s="11"/>
      <c r="N32" s="11"/>
      <c r="O32" s="15"/>
      <c r="P32" s="21"/>
    </row>
    <row r="33" spans="1:9" ht="13.2" customHeight="1" x14ac:dyDescent="0.35">
      <c r="A33" s="28"/>
      <c r="B33" s="55"/>
      <c r="C33" s="55"/>
      <c r="D33" s="55"/>
      <c r="E33" s="55"/>
      <c r="F33" s="55"/>
      <c r="G33" s="54"/>
      <c r="H33" s="54"/>
      <c r="I33" s="28"/>
    </row>
    <row r="34" spans="1:9" ht="20.100000000000001" customHeight="1" x14ac:dyDescent="0.35">
      <c r="A34" s="28"/>
      <c r="B34" s="28"/>
      <c r="C34" s="28"/>
      <c r="D34" s="28"/>
      <c r="E34" s="28"/>
      <c r="F34" s="28"/>
      <c r="I34" s="28"/>
    </row>
    <row r="35" spans="1:9" ht="20.100000000000001" customHeight="1" x14ac:dyDescent="0.35">
      <c r="A35" s="28"/>
      <c r="B35" s="28"/>
      <c r="C35" s="28"/>
      <c r="D35" s="28"/>
      <c r="E35" s="28"/>
      <c r="F35" s="28"/>
      <c r="I35" s="28"/>
    </row>
    <row r="36" spans="1:9" ht="20.100000000000001" customHeight="1" x14ac:dyDescent="0.35">
      <c r="A36" s="28"/>
      <c r="B36" s="28"/>
      <c r="C36" s="28"/>
      <c r="D36" s="28"/>
      <c r="E36" s="28"/>
      <c r="F36" s="28"/>
      <c r="I36" s="28"/>
    </row>
    <row r="37" spans="1:9" ht="20.100000000000001" customHeight="1" x14ac:dyDescent="0.35">
      <c r="A37" s="28"/>
      <c r="B37" s="28"/>
      <c r="C37" s="28"/>
      <c r="D37" s="28"/>
      <c r="E37" s="28"/>
      <c r="F37" s="28"/>
      <c r="G37" s="62"/>
      <c r="H37" s="63"/>
      <c r="I37" s="28"/>
    </row>
    <row r="38" spans="1:9" ht="18" x14ac:dyDescent="0.35">
      <c r="A38" s="28"/>
      <c r="B38" s="28"/>
      <c r="C38" s="28"/>
      <c r="D38" s="28"/>
      <c r="E38" s="28"/>
      <c r="F38" s="28"/>
      <c r="G38" s="28"/>
      <c r="H38" s="28"/>
      <c r="I38" s="28"/>
    </row>
    <row r="39" spans="1:9" ht="18" x14ac:dyDescent="0.35">
      <c r="A39" s="28"/>
      <c r="B39" s="64" t="s">
        <v>131</v>
      </c>
      <c r="C39" s="65"/>
      <c r="D39" s="66"/>
      <c r="E39" s="66"/>
      <c r="F39" s="55"/>
      <c r="G39" s="28"/>
      <c r="H39" s="28"/>
      <c r="I39" s="28"/>
    </row>
    <row r="40" spans="1:9" ht="18" x14ac:dyDescent="0.35">
      <c r="A40" s="28"/>
      <c r="B40" s="64" t="s">
        <v>118</v>
      </c>
      <c r="C40" s="65"/>
      <c r="D40" s="66"/>
      <c r="E40" s="66"/>
      <c r="F40" s="55"/>
      <c r="G40" s="28"/>
      <c r="H40" s="28"/>
      <c r="I40" s="28"/>
    </row>
    <row r="41" spans="1:9" ht="18" x14ac:dyDescent="0.35">
      <c r="A41" s="28"/>
      <c r="B41" s="28" t="s">
        <v>22</v>
      </c>
      <c r="C41" s="28"/>
      <c r="D41" s="28"/>
      <c r="E41" s="28"/>
      <c r="F41" s="28"/>
      <c r="G41" s="28"/>
      <c r="H41" s="28"/>
      <c r="I41" s="28"/>
    </row>
    <row r="42" spans="1:9" ht="18" x14ac:dyDescent="0.35">
      <c r="A42" s="28"/>
      <c r="B42" s="67" t="s">
        <v>23</v>
      </c>
      <c r="C42" s="67"/>
      <c r="D42" s="28"/>
      <c r="E42" s="28"/>
      <c r="F42" s="28"/>
      <c r="G42" s="28"/>
      <c r="H42" s="28"/>
      <c r="I42" s="28"/>
    </row>
    <row r="43" spans="1:9" ht="18" x14ac:dyDescent="0.35">
      <c r="A43" s="28"/>
      <c r="B43" s="28"/>
      <c r="C43" s="28"/>
      <c r="D43" s="28"/>
      <c r="E43" s="67"/>
      <c r="F43" s="28"/>
      <c r="G43" s="28"/>
      <c r="H43" s="28"/>
      <c r="I43" s="28"/>
    </row>
    <row r="44" spans="1:9" ht="18" x14ac:dyDescent="0.35">
      <c r="A44" s="28"/>
      <c r="B44" s="29" t="s">
        <v>129</v>
      </c>
      <c r="C44" s="29"/>
      <c r="D44" s="29"/>
      <c r="E44" s="68"/>
      <c r="F44" s="28"/>
      <c r="G44" s="28"/>
      <c r="H44" s="28"/>
      <c r="I44" s="28"/>
    </row>
    <row r="45" spans="1:9" ht="18" x14ac:dyDescent="0.35">
      <c r="A45" s="28"/>
      <c r="B45" s="29"/>
      <c r="C45" s="29"/>
      <c r="D45" s="29"/>
      <c r="E45" s="68"/>
      <c r="F45" s="28"/>
      <c r="G45" s="28"/>
      <c r="H45" s="28"/>
      <c r="I45" s="28"/>
    </row>
    <row r="46" spans="1:9" ht="18" x14ac:dyDescent="0.35">
      <c r="A46" s="28"/>
      <c r="B46" s="29" t="s">
        <v>130</v>
      </c>
      <c r="C46" s="28"/>
      <c r="D46" s="28"/>
      <c r="E46" s="67"/>
      <c r="F46" s="28"/>
      <c r="G46" s="28"/>
      <c r="H46" s="28"/>
      <c r="I46" s="28"/>
    </row>
    <row r="47" spans="1:9" ht="18" x14ac:dyDescent="0.35">
      <c r="A47" s="28"/>
      <c r="B47" s="28"/>
      <c r="C47" s="28"/>
      <c r="D47" s="28"/>
      <c r="E47" s="67"/>
      <c r="F47" s="28"/>
      <c r="G47" s="28"/>
      <c r="H47" s="28"/>
      <c r="I47" s="28"/>
    </row>
    <row r="48" spans="1:9" ht="18" x14ac:dyDescent="0.35">
      <c r="A48" s="28"/>
      <c r="B48" s="28"/>
      <c r="C48" s="28"/>
      <c r="D48" s="28"/>
      <c r="E48" s="28"/>
      <c r="F48" s="28"/>
      <c r="G48" s="28"/>
      <c r="H48" s="28"/>
      <c r="I48" s="28"/>
    </row>
    <row r="49" spans="1:9" ht="18" x14ac:dyDescent="0.35">
      <c r="A49" s="28"/>
      <c r="B49" s="28"/>
      <c r="C49" s="28"/>
      <c r="D49" s="28"/>
      <c r="E49" s="28"/>
      <c r="F49" s="28"/>
      <c r="G49" s="28"/>
      <c r="H49" s="28"/>
      <c r="I49" s="28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27</v>
      </c>
      <c r="C2" s="125"/>
      <c r="D2" s="125"/>
      <c r="E2" s="12"/>
      <c r="G2" s="125" t="s">
        <v>66</v>
      </c>
      <c r="H2" s="125"/>
      <c r="I2" s="125"/>
      <c r="P2" s="126" t="s">
        <v>54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6" t="s">
        <v>54</v>
      </c>
      <c r="M8" s="126"/>
      <c r="N8" s="126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7"/>
  <sheetViews>
    <sheetView topLeftCell="A30" zoomScaleNormal="100" workbookViewId="0">
      <selection activeCell="A40" sqref="A40:H6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8"/>
      <c r="C1" s="28"/>
      <c r="D1" s="28"/>
      <c r="E1" s="28"/>
      <c r="F1" s="28"/>
      <c r="G1" s="28"/>
      <c r="H1" s="28"/>
    </row>
    <row r="2" spans="1:15" ht="16.5" customHeight="1" x14ac:dyDescent="0.35">
      <c r="B2" s="28"/>
      <c r="C2" s="28"/>
      <c r="D2" s="28"/>
      <c r="E2" s="28"/>
      <c r="F2" s="28"/>
      <c r="G2" s="28"/>
      <c r="H2" s="28"/>
      <c r="L2" s="22" t="s">
        <v>121</v>
      </c>
      <c r="M2" s="22"/>
      <c r="N2" s="22"/>
    </row>
    <row r="3" spans="1:15" ht="18" x14ac:dyDescent="0.35">
      <c r="B3" s="28"/>
      <c r="C3" s="28"/>
      <c r="D3" s="28"/>
      <c r="E3" s="28"/>
      <c r="F3" s="28"/>
      <c r="G3" s="28"/>
      <c r="H3" s="28"/>
      <c r="L3" s="127" t="s">
        <v>57</v>
      </c>
      <c r="M3" s="127"/>
      <c r="N3" s="127" t="s">
        <v>13</v>
      </c>
      <c r="O3" s="127"/>
    </row>
    <row r="4" spans="1:15" ht="15.75" customHeight="1" x14ac:dyDescent="0.35">
      <c r="B4" s="28"/>
      <c r="C4" s="28"/>
      <c r="D4" s="70" t="s">
        <v>24</v>
      </c>
      <c r="E4" s="71">
        <f>'4637'!G8</f>
        <v>4208</v>
      </c>
      <c r="F4" s="28"/>
      <c r="G4" s="28"/>
      <c r="H4" s="28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8"/>
      <c r="C5" s="28"/>
      <c r="D5" s="72" t="s">
        <v>63</v>
      </c>
      <c r="E5" s="73" t="str">
        <f>'4637'!C10</f>
        <v>YUSBEE CASTAÑEDA</v>
      </c>
      <c r="F5" s="44"/>
      <c r="G5" s="44"/>
      <c r="H5" s="28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8"/>
      <c r="C6" s="28"/>
      <c r="D6" s="74"/>
      <c r="E6" s="75"/>
      <c r="F6" s="28"/>
      <c r="G6" s="28"/>
      <c r="H6" s="28"/>
    </row>
    <row r="7" spans="1:15" ht="18" x14ac:dyDescent="0.35">
      <c r="B7" s="28"/>
      <c r="C7" s="28"/>
      <c r="D7" s="85" t="str">
        <f>'4637'!F11</f>
        <v>FECHA LIMITE :</v>
      </c>
      <c r="E7" s="77">
        <f>'4637'!G11</f>
        <v>45872</v>
      </c>
      <c r="F7" s="28"/>
      <c r="G7" s="28" t="s">
        <v>133</v>
      </c>
      <c r="H7" s="28"/>
    </row>
    <row r="8" spans="1:15" ht="18" x14ac:dyDescent="0.35">
      <c r="B8" s="28"/>
      <c r="C8" s="28"/>
      <c r="D8" s="86" t="s">
        <v>120</v>
      </c>
      <c r="E8" s="28"/>
      <c r="F8" s="28"/>
      <c r="G8" s="28"/>
      <c r="H8" s="28"/>
    </row>
    <row r="9" spans="1:15" ht="18" x14ac:dyDescent="0.35">
      <c r="B9" s="28"/>
      <c r="C9" s="28"/>
      <c r="D9" s="28"/>
      <c r="E9" s="28"/>
      <c r="F9" s="28"/>
      <c r="G9" s="28"/>
      <c r="H9" s="28"/>
    </row>
    <row r="10" spans="1:15" ht="15" customHeight="1" x14ac:dyDescent="0.35">
      <c r="B10" s="128" t="s">
        <v>57</v>
      </c>
      <c r="C10" s="128"/>
      <c r="D10" s="128"/>
      <c r="E10" s="128"/>
      <c r="F10" s="128"/>
      <c r="G10" s="128"/>
      <c r="H10" s="28"/>
    </row>
    <row r="11" spans="1:15" ht="18" x14ac:dyDescent="0.35">
      <c r="B11" s="28"/>
      <c r="C11" s="28"/>
      <c r="D11" s="87"/>
      <c r="E11" s="28"/>
      <c r="F11" s="28"/>
      <c r="G11" s="28"/>
      <c r="H11" s="28"/>
    </row>
    <row r="12" spans="1:15" ht="18" x14ac:dyDescent="0.35">
      <c r="B12" s="28"/>
      <c r="C12" s="28"/>
      <c r="D12" s="28"/>
      <c r="E12" s="62" t="s">
        <v>6</v>
      </c>
      <c r="F12" s="62" t="s">
        <v>7</v>
      </c>
      <c r="G12" s="28"/>
      <c r="H12" s="28"/>
    </row>
    <row r="13" spans="1:15" ht="18" x14ac:dyDescent="0.35">
      <c r="B13" s="62" t="s">
        <v>8</v>
      </c>
      <c r="C13" s="88" t="s">
        <v>9</v>
      </c>
      <c r="D13" s="88" t="s">
        <v>10</v>
      </c>
      <c r="E13" s="89">
        <v>80</v>
      </c>
      <c r="F13" s="89">
        <v>-30</v>
      </c>
      <c r="G13" s="88" t="s">
        <v>106</v>
      </c>
      <c r="H13" s="28"/>
      <c r="K13" s="5" t="s">
        <v>6</v>
      </c>
      <c r="L13" s="5" t="s">
        <v>7</v>
      </c>
    </row>
    <row r="14" spans="1:15" ht="18" x14ac:dyDescent="0.35">
      <c r="A14" s="104"/>
      <c r="B14" s="97" t="s">
        <v>135</v>
      </c>
      <c r="C14" s="90">
        <f t="shared" ref="C14" si="0">J14</f>
        <v>1</v>
      </c>
      <c r="D14" s="90" t="s">
        <v>142</v>
      </c>
      <c r="E14" s="90">
        <f t="shared" ref="E14" si="1">K14+E$13</f>
        <v>2060</v>
      </c>
      <c r="F14" s="90">
        <f t="shared" ref="F14" si="2">L14+F$13</f>
        <v>470</v>
      </c>
      <c r="G14" s="90" t="str">
        <f>D28</f>
        <v>CUB C/R R8</v>
      </c>
      <c r="H14" s="28"/>
      <c r="J14" s="3">
        <f>J21</f>
        <v>1</v>
      </c>
      <c r="K14" s="4">
        <f>E28</f>
        <v>1980</v>
      </c>
      <c r="L14" s="4">
        <f>F28</f>
        <v>500</v>
      </c>
    </row>
    <row r="15" spans="1:15" ht="18" x14ac:dyDescent="0.35">
      <c r="A15" s="2"/>
      <c r="B15" s="79"/>
      <c r="C15" s="69"/>
      <c r="D15" s="69"/>
      <c r="E15" s="69"/>
      <c r="F15" s="69"/>
      <c r="G15" s="69"/>
      <c r="H15" s="28"/>
      <c r="J15" s="23"/>
      <c r="K15" s="2"/>
      <c r="L15" s="2"/>
    </row>
    <row r="16" spans="1:15" ht="6.75" customHeight="1" x14ac:dyDescent="0.35">
      <c r="A16" s="2"/>
      <c r="B16" s="28"/>
      <c r="C16" s="28"/>
      <c r="D16" s="28"/>
      <c r="E16" s="28"/>
      <c r="F16" s="28"/>
      <c r="G16" s="28"/>
      <c r="H16" s="28"/>
    </row>
    <row r="17" spans="1:12" ht="18" x14ac:dyDescent="0.35">
      <c r="A17" s="2"/>
      <c r="B17" s="128" t="s">
        <v>13</v>
      </c>
      <c r="C17" s="128"/>
      <c r="D17" s="128"/>
      <c r="E17" s="128"/>
      <c r="F17" s="128"/>
      <c r="G17" s="128"/>
      <c r="H17" s="28"/>
    </row>
    <row r="18" spans="1:12" ht="10.5" customHeight="1" x14ac:dyDescent="0.35">
      <c r="A18" s="2"/>
      <c r="B18" s="28"/>
      <c r="C18" s="28"/>
      <c r="D18" s="87"/>
      <c r="E18" s="28"/>
      <c r="F18" s="28"/>
      <c r="G18" s="28"/>
      <c r="H18" s="28"/>
    </row>
    <row r="19" spans="1:12" ht="18" x14ac:dyDescent="0.35">
      <c r="A19" s="2"/>
      <c r="B19" s="28"/>
      <c r="C19" s="28"/>
      <c r="D19" s="28"/>
      <c r="E19" s="62" t="s">
        <v>6</v>
      </c>
      <c r="F19" s="62" t="s">
        <v>7</v>
      </c>
      <c r="G19" s="28"/>
      <c r="H19" s="28"/>
    </row>
    <row r="20" spans="1:12" ht="18" x14ac:dyDescent="0.35">
      <c r="A20" s="2"/>
      <c r="B20" s="62" t="s">
        <v>8</v>
      </c>
      <c r="C20" s="78" t="s">
        <v>9</v>
      </c>
      <c r="D20" s="78" t="s">
        <v>10</v>
      </c>
      <c r="E20" s="91">
        <v>40</v>
      </c>
      <c r="F20" s="91">
        <v>110</v>
      </c>
      <c r="G20" s="78" t="s">
        <v>106</v>
      </c>
      <c r="H20" s="28"/>
      <c r="K20" s="5" t="s">
        <v>6</v>
      </c>
      <c r="L20" s="5" t="s">
        <v>7</v>
      </c>
    </row>
    <row r="21" spans="1:12" ht="18" x14ac:dyDescent="0.35">
      <c r="A21" s="104"/>
      <c r="B21" s="97"/>
      <c r="C21" s="92">
        <f t="shared" ref="C21:C23" si="3">J21</f>
        <v>1</v>
      </c>
      <c r="D21" s="92"/>
      <c r="E21" s="92">
        <f t="shared" ref="E21:F23" si="4">K21+E$20</f>
        <v>2020</v>
      </c>
      <c r="F21" s="92">
        <f t="shared" si="4"/>
        <v>610</v>
      </c>
      <c r="G21" s="92" t="str">
        <f t="shared" ref="G21:G22" si="5">D28</f>
        <v>CUB C/R R8</v>
      </c>
      <c r="H21" s="28"/>
      <c r="J21" s="3">
        <f t="shared" ref="J21:J22" si="6">C28</f>
        <v>1</v>
      </c>
      <c r="K21" s="101">
        <f t="shared" ref="K21:L21" si="7">E28</f>
        <v>1980</v>
      </c>
      <c r="L21" s="101">
        <f t="shared" si="7"/>
        <v>500</v>
      </c>
    </row>
    <row r="22" spans="1:12" ht="18" x14ac:dyDescent="0.35">
      <c r="A22" s="104"/>
      <c r="B22" s="97"/>
      <c r="C22" s="92">
        <f t="shared" si="3"/>
        <v>1</v>
      </c>
      <c r="D22" s="92"/>
      <c r="E22" s="92">
        <f t="shared" si="4"/>
        <v>1810</v>
      </c>
      <c r="F22" s="92">
        <f t="shared" si="4"/>
        <v>610</v>
      </c>
      <c r="G22" s="92" t="str">
        <f t="shared" si="5"/>
        <v>CUB C/R R8</v>
      </c>
      <c r="H22" s="28"/>
      <c r="J22" s="3">
        <f t="shared" si="6"/>
        <v>1</v>
      </c>
      <c r="K22" s="101">
        <f t="shared" ref="K22:L22" si="8">E29</f>
        <v>1770</v>
      </c>
      <c r="L22" s="101">
        <f t="shared" si="8"/>
        <v>500</v>
      </c>
    </row>
    <row r="23" spans="1:12" ht="18" x14ac:dyDescent="0.35">
      <c r="A23" s="104"/>
      <c r="B23" s="97"/>
      <c r="C23" s="92">
        <f t="shared" si="3"/>
        <v>1</v>
      </c>
      <c r="D23" s="92"/>
      <c r="E23" s="92">
        <f t="shared" si="4"/>
        <v>1710</v>
      </c>
      <c r="F23" s="92">
        <f t="shared" si="4"/>
        <v>610</v>
      </c>
      <c r="G23" s="92" t="str">
        <f>D30</f>
        <v>CUB C/R R8</v>
      </c>
      <c r="H23" s="28"/>
      <c r="J23" s="3">
        <f>C30</f>
        <v>1</v>
      </c>
      <c r="K23" s="101">
        <f t="shared" ref="K23:L23" si="9">E30</f>
        <v>1670</v>
      </c>
      <c r="L23" s="101">
        <f t="shared" si="9"/>
        <v>500</v>
      </c>
    </row>
    <row r="24" spans="1:12" ht="18.600000000000001" thickBot="1" x14ac:dyDescent="0.4">
      <c r="A24" s="2"/>
      <c r="B24" s="79"/>
      <c r="C24" s="69"/>
      <c r="D24" s="69"/>
      <c r="E24" s="69"/>
      <c r="F24" s="69"/>
      <c r="G24" s="69"/>
      <c r="H24" s="28"/>
      <c r="I24" s="102"/>
      <c r="J24" s="103"/>
      <c r="K24" s="103"/>
      <c r="L24" s="103"/>
    </row>
    <row r="25" spans="1:12" ht="18.600000000000001" thickBot="1" x14ac:dyDescent="0.4">
      <c r="A25" s="2"/>
      <c r="B25" s="62"/>
      <c r="C25" s="93" t="s">
        <v>103</v>
      </c>
      <c r="D25" s="31"/>
      <c r="E25" s="31"/>
      <c r="F25" s="31"/>
      <c r="G25" s="94"/>
      <c r="H25" s="28"/>
      <c r="J25" s="2"/>
      <c r="K25" s="2"/>
      <c r="L25" s="2"/>
    </row>
    <row r="26" spans="1:12" ht="10.5" customHeight="1" x14ac:dyDescent="0.35">
      <c r="A26" s="2"/>
      <c r="B26" s="28"/>
      <c r="C26" s="28"/>
      <c r="D26" s="28"/>
      <c r="E26" s="28"/>
      <c r="F26" s="28"/>
      <c r="G26" s="28"/>
      <c r="H26" s="28"/>
    </row>
    <row r="27" spans="1:12" ht="18" x14ac:dyDescent="0.35">
      <c r="A27" s="2"/>
      <c r="B27" s="62" t="s">
        <v>8</v>
      </c>
      <c r="C27" s="95" t="s">
        <v>9</v>
      </c>
      <c r="D27" s="95" t="s">
        <v>106</v>
      </c>
      <c r="E27" s="95" t="s">
        <v>6</v>
      </c>
      <c r="F27" s="95" t="s">
        <v>7</v>
      </c>
      <c r="G27" s="95" t="s">
        <v>20</v>
      </c>
      <c r="H27" s="28"/>
    </row>
    <row r="28" spans="1:12" ht="18" x14ac:dyDescent="0.35">
      <c r="A28" s="104"/>
      <c r="B28" s="97" t="s">
        <v>135</v>
      </c>
      <c r="C28" s="90">
        <f t="shared" ref="C28:G28" si="10">C52</f>
        <v>1</v>
      </c>
      <c r="D28" s="90" t="str">
        <f t="shared" si="10"/>
        <v>CUB C/R R8</v>
      </c>
      <c r="E28" s="109">
        <f t="shared" si="10"/>
        <v>1980</v>
      </c>
      <c r="F28" s="109">
        <f t="shared" si="10"/>
        <v>500</v>
      </c>
      <c r="G28" s="4" t="str">
        <f t="shared" si="10"/>
        <v>SHELL WHITE 2011 BRILLO</v>
      </c>
      <c r="H28" s="28"/>
      <c r="I28" s="27"/>
      <c r="J28" s="27"/>
    </row>
    <row r="29" spans="1:12" ht="18" x14ac:dyDescent="0.35">
      <c r="A29" s="104"/>
      <c r="B29" s="97"/>
      <c r="C29" s="90">
        <f t="shared" ref="C29:G29" si="11">C53</f>
        <v>1</v>
      </c>
      <c r="D29" s="90" t="str">
        <f t="shared" si="11"/>
        <v>CUB C/R R8</v>
      </c>
      <c r="E29" s="109">
        <f t="shared" si="11"/>
        <v>1770</v>
      </c>
      <c r="F29" s="109">
        <f t="shared" si="11"/>
        <v>500</v>
      </c>
      <c r="G29" s="4" t="str">
        <f t="shared" si="11"/>
        <v>SHELL WHITE 2011 BRILLO</v>
      </c>
      <c r="H29" s="28"/>
      <c r="I29" s="27"/>
      <c r="J29" s="27"/>
    </row>
    <row r="30" spans="1:12" ht="18" x14ac:dyDescent="0.35">
      <c r="A30" s="104"/>
      <c r="B30" s="97"/>
      <c r="C30" s="90">
        <f t="shared" ref="C30:G30" si="12">C54</f>
        <v>1</v>
      </c>
      <c r="D30" s="90" t="str">
        <f t="shared" si="12"/>
        <v>CUB C/R R8</v>
      </c>
      <c r="E30" s="109">
        <f t="shared" si="12"/>
        <v>1670</v>
      </c>
      <c r="F30" s="109">
        <f t="shared" si="12"/>
        <v>500</v>
      </c>
      <c r="G30" s="4" t="str">
        <f t="shared" si="12"/>
        <v>SHELL WHITE 2011 BRILLO</v>
      </c>
      <c r="H30" s="28"/>
      <c r="I30" s="27"/>
      <c r="J30" s="27"/>
    </row>
    <row r="31" spans="1:12" ht="18" x14ac:dyDescent="0.35">
      <c r="A31" s="104"/>
      <c r="B31" s="97"/>
      <c r="C31" s="69"/>
      <c r="D31" s="69"/>
      <c r="E31" s="113"/>
      <c r="F31" s="113"/>
      <c r="G31" s="2"/>
      <c r="H31" s="28"/>
      <c r="I31" s="27"/>
      <c r="J31" s="27"/>
    </row>
    <row r="32" spans="1:12" ht="18" x14ac:dyDescent="0.35">
      <c r="A32" s="2"/>
      <c r="B32" s="28"/>
      <c r="C32" s="69"/>
      <c r="D32" s="69"/>
      <c r="E32" s="69"/>
      <c r="F32" s="69"/>
      <c r="G32" s="69"/>
      <c r="H32" s="28"/>
    </row>
    <row r="33" spans="1:10" ht="18" x14ac:dyDescent="0.35">
      <c r="A33" s="2"/>
      <c r="B33" s="28"/>
      <c r="C33" s="69"/>
      <c r="D33" s="69"/>
      <c r="E33" s="69"/>
      <c r="F33" s="69"/>
      <c r="G33" s="69"/>
      <c r="H33" s="28"/>
      <c r="J33" s="27" t="e">
        <f>SUM(#REF!)*2</f>
        <v>#REF!</v>
      </c>
    </row>
    <row r="34" spans="1:10" ht="18" x14ac:dyDescent="0.35">
      <c r="A34" s="2"/>
      <c r="B34" s="28"/>
      <c r="C34" s="69"/>
      <c r="D34" s="69"/>
      <c r="E34" s="69"/>
      <c r="F34" s="69"/>
      <c r="G34" s="69"/>
      <c r="H34" s="28"/>
    </row>
    <row r="35" spans="1:10" ht="18" x14ac:dyDescent="0.35">
      <c r="A35" s="2"/>
      <c r="B35" s="28"/>
      <c r="C35" s="69"/>
      <c r="D35" s="69"/>
      <c r="E35" s="69"/>
      <c r="F35" s="69"/>
      <c r="G35" s="69"/>
      <c r="H35" s="28"/>
    </row>
    <row r="36" spans="1:10" ht="18" x14ac:dyDescent="0.35">
      <c r="A36" s="2"/>
      <c r="B36" s="28"/>
      <c r="C36" s="69"/>
      <c r="D36" s="69"/>
      <c r="E36" s="69"/>
      <c r="F36" s="69"/>
      <c r="G36" s="69"/>
      <c r="H36" s="28"/>
    </row>
    <row r="37" spans="1:10" ht="18" x14ac:dyDescent="0.35">
      <c r="A37" s="2"/>
      <c r="B37" s="28"/>
      <c r="C37" s="69"/>
      <c r="D37" s="69"/>
      <c r="E37" s="69"/>
      <c r="F37" s="69"/>
      <c r="G37" s="69"/>
      <c r="H37" s="28"/>
    </row>
    <row r="38" spans="1:10" ht="18" x14ac:dyDescent="0.35">
      <c r="A38" s="2"/>
      <c r="B38" s="28"/>
      <c r="C38" s="69"/>
      <c r="D38" s="69"/>
      <c r="E38" s="69"/>
      <c r="F38" s="69"/>
      <c r="G38" s="69"/>
      <c r="H38" s="28"/>
    </row>
    <row r="39" spans="1:10" ht="18" x14ac:dyDescent="0.35">
      <c r="A39" s="2"/>
      <c r="B39" s="28"/>
      <c r="C39" s="69"/>
      <c r="D39" s="69"/>
      <c r="E39" s="69"/>
      <c r="F39" s="69"/>
      <c r="G39" s="69"/>
      <c r="H39" s="28"/>
    </row>
    <row r="40" spans="1:10" ht="18" x14ac:dyDescent="0.35">
      <c r="A40" s="2"/>
      <c r="B40" s="28"/>
      <c r="C40" s="69"/>
      <c r="D40" s="69"/>
      <c r="E40" s="69"/>
      <c r="F40" s="69"/>
      <c r="G40" s="69"/>
      <c r="H40" s="28"/>
    </row>
    <row r="41" spans="1:10" ht="18" x14ac:dyDescent="0.35">
      <c r="A41" s="2"/>
      <c r="B41" s="28"/>
      <c r="C41" s="28"/>
      <c r="D41" s="28"/>
      <c r="E41" s="28"/>
      <c r="F41" s="28"/>
      <c r="G41" s="28"/>
      <c r="H41" s="28"/>
    </row>
    <row r="42" spans="1:10" ht="18" x14ac:dyDescent="0.35">
      <c r="A42" s="2"/>
      <c r="B42" s="28"/>
      <c r="C42" s="28"/>
      <c r="D42" s="70" t="s">
        <v>24</v>
      </c>
      <c r="E42" s="71">
        <f>'4637'!G8</f>
        <v>4208</v>
      </c>
      <c r="F42" s="28"/>
      <c r="G42" s="28"/>
      <c r="H42" s="28"/>
    </row>
    <row r="43" spans="1:10" ht="17.25" customHeight="1" x14ac:dyDescent="0.35">
      <c r="A43" s="2"/>
      <c r="B43" s="28"/>
      <c r="C43" s="28"/>
      <c r="D43" s="72" t="s">
        <v>63</v>
      </c>
      <c r="E43" s="73" t="str">
        <f>'4637'!C10</f>
        <v>YUSBEE CASTAÑEDA</v>
      </c>
      <c r="F43" s="44"/>
      <c r="G43" s="44"/>
      <c r="H43" s="28"/>
    </row>
    <row r="44" spans="1:10" ht="4.5" customHeight="1" x14ac:dyDescent="0.35">
      <c r="A44" s="2"/>
      <c r="B44" s="28"/>
      <c r="C44" s="28"/>
      <c r="D44" s="74"/>
      <c r="E44" s="75"/>
      <c r="F44" s="28"/>
      <c r="G44" s="28"/>
      <c r="H44" s="28"/>
    </row>
    <row r="45" spans="1:10" ht="18" x14ac:dyDescent="0.35">
      <c r="A45" s="2"/>
      <c r="B45" s="28"/>
      <c r="C45" s="28"/>
      <c r="D45" s="76" t="str">
        <f>'4637'!F11</f>
        <v>FECHA LIMITE :</v>
      </c>
      <c r="E45" s="77">
        <f>'4637'!G11</f>
        <v>45872</v>
      </c>
      <c r="F45" s="28"/>
      <c r="G45" s="28"/>
      <c r="H45" s="28"/>
    </row>
    <row r="46" spans="1:10" ht="18" x14ac:dyDescent="0.35">
      <c r="A46" s="2"/>
      <c r="B46" s="28"/>
      <c r="C46" s="28"/>
      <c r="D46" s="28"/>
      <c r="E46" s="28"/>
      <c r="F46" s="28"/>
      <c r="G46" s="28" t="s">
        <v>133</v>
      </c>
      <c r="H46" s="28"/>
    </row>
    <row r="47" spans="1:10" ht="18" x14ac:dyDescent="0.35">
      <c r="A47" s="2"/>
      <c r="B47" s="28"/>
      <c r="C47" s="28"/>
      <c r="D47" s="28"/>
      <c r="E47" s="28"/>
      <c r="F47" s="28"/>
      <c r="G47" s="28"/>
      <c r="H47" s="28"/>
    </row>
    <row r="48" spans="1:10" ht="18" x14ac:dyDescent="0.35">
      <c r="A48" s="2"/>
      <c r="B48" s="129" t="s">
        <v>64</v>
      </c>
      <c r="C48" s="129"/>
      <c r="D48" s="129"/>
      <c r="E48" s="129"/>
      <c r="F48" s="129"/>
      <c r="G48" s="129"/>
      <c r="H48" s="28"/>
    </row>
    <row r="49" spans="1:13" ht="18" x14ac:dyDescent="0.35">
      <c r="A49" s="2"/>
      <c r="B49" s="28"/>
      <c r="C49" s="28"/>
      <c r="D49" s="28"/>
      <c r="E49" s="28"/>
      <c r="F49" s="28"/>
      <c r="G49" s="28"/>
      <c r="H49" s="28"/>
    </row>
    <row r="50" spans="1:13" ht="20.100000000000001" customHeight="1" x14ac:dyDescent="0.35">
      <c r="A50" s="2"/>
      <c r="B50" s="28"/>
      <c r="C50" s="130" t="s">
        <v>65</v>
      </c>
      <c r="D50" s="131"/>
      <c r="E50" s="132"/>
      <c r="F50" s="132"/>
      <c r="G50" s="133"/>
      <c r="H50" s="28"/>
      <c r="I50" s="24" t="s">
        <v>128</v>
      </c>
    </row>
    <row r="51" spans="1:13" s="10" customFormat="1" ht="20.100000000000001" customHeight="1" x14ac:dyDescent="0.35">
      <c r="A51" s="105"/>
      <c r="B51" s="28"/>
      <c r="C51" s="80" t="s">
        <v>9</v>
      </c>
      <c r="D51" s="81" t="s">
        <v>10</v>
      </c>
      <c r="E51" s="84" t="s">
        <v>6</v>
      </c>
      <c r="F51" s="84" t="s">
        <v>7</v>
      </c>
      <c r="G51" s="82" t="s">
        <v>11</v>
      </c>
      <c r="H51" s="28"/>
      <c r="K51" s="10">
        <v>15000</v>
      </c>
    </row>
    <row r="52" spans="1:13" s="10" customFormat="1" ht="20.100000000000001" customHeight="1" x14ac:dyDescent="0.35">
      <c r="A52" s="104"/>
      <c r="B52" s="96" t="s">
        <v>135</v>
      </c>
      <c r="C52" s="92">
        <f>'4637'!B21</f>
        <v>1</v>
      </c>
      <c r="D52" s="4" t="str">
        <f>'4637'!C21</f>
        <v>CUB C/R R8</v>
      </c>
      <c r="E52" s="109">
        <f>'4637'!D21</f>
        <v>1980</v>
      </c>
      <c r="F52" s="109">
        <f>'4637'!E21</f>
        <v>500</v>
      </c>
      <c r="G52" s="4" t="str">
        <f>'4637'!F21</f>
        <v>SHELL WHITE 2011 BRILLO</v>
      </c>
      <c r="H52" s="28"/>
      <c r="K52" s="25"/>
      <c r="M52" s="114"/>
    </row>
    <row r="53" spans="1:13" s="10" customFormat="1" ht="20.100000000000001" customHeight="1" x14ac:dyDescent="0.35">
      <c r="A53" s="104"/>
      <c r="B53" s="96"/>
      <c r="C53" s="92">
        <f>'4637'!B22</f>
        <v>1</v>
      </c>
      <c r="D53" s="4" t="str">
        <f>'4637'!C22</f>
        <v>CUB C/R R8</v>
      </c>
      <c r="E53" s="109">
        <f>'4637'!D22</f>
        <v>1770</v>
      </c>
      <c r="F53" s="109">
        <f>'4637'!E22</f>
        <v>500</v>
      </c>
      <c r="G53" s="4" t="str">
        <f>'4637'!F22</f>
        <v>SHELL WHITE 2011 BRILLO</v>
      </c>
      <c r="H53" s="28"/>
      <c r="K53" s="25"/>
      <c r="M53" s="114"/>
    </row>
    <row r="54" spans="1:13" s="10" customFormat="1" ht="20.100000000000001" customHeight="1" x14ac:dyDescent="0.35">
      <c r="A54" s="104"/>
      <c r="B54" s="96"/>
      <c r="C54" s="92">
        <f>'4637'!B23</f>
        <v>1</v>
      </c>
      <c r="D54" s="4" t="str">
        <f>'4637'!C23</f>
        <v>CUB C/R R8</v>
      </c>
      <c r="E54" s="109">
        <f>'4637'!D23</f>
        <v>1670</v>
      </c>
      <c r="F54" s="109">
        <f>'4637'!E23</f>
        <v>500</v>
      </c>
      <c r="G54" s="4" t="str">
        <f>'4637'!F23</f>
        <v>SHELL WHITE 2011 BRILLO</v>
      </c>
      <c r="H54" s="28"/>
      <c r="K54" s="25"/>
      <c r="M54" s="114"/>
    </row>
    <row r="55" spans="1:13" s="10" customFormat="1" ht="20.100000000000001" customHeight="1" x14ac:dyDescent="0.35">
      <c r="A55" s="104"/>
      <c r="B55" s="96"/>
      <c r="C55" s="69"/>
      <c r="D55" s="2"/>
      <c r="E55" s="113"/>
      <c r="F55" s="113"/>
      <c r="G55" s="2"/>
      <c r="H55" s="28"/>
      <c r="K55" s="25"/>
      <c r="M55" s="114"/>
    </row>
    <row r="56" spans="1:13" s="10" customFormat="1" ht="15" customHeight="1" x14ac:dyDescent="0.35">
      <c r="B56" s="79"/>
      <c r="C56" s="62"/>
      <c r="D56" s="62"/>
      <c r="E56" s="62"/>
      <c r="F56" s="62"/>
      <c r="G56" s="62"/>
      <c r="H56" s="28"/>
    </row>
    <row r="57" spans="1:13" ht="18" x14ac:dyDescent="0.35">
      <c r="B57" s="69"/>
      <c r="C57" s="69"/>
      <c r="D57" s="28"/>
      <c r="E57" s="69"/>
      <c r="F57" s="69"/>
      <c r="G57" s="74"/>
      <c r="H57" s="28"/>
    </row>
    <row r="58" spans="1:13" ht="18" x14ac:dyDescent="0.35">
      <c r="B58" s="69"/>
      <c r="C58" s="69"/>
      <c r="D58" s="28"/>
      <c r="E58" s="69"/>
      <c r="F58" s="69"/>
      <c r="G58" s="69"/>
      <c r="H58" s="28"/>
      <c r="J58" s="10" t="e">
        <f>SUM(#REF!)</f>
        <v>#REF!</v>
      </c>
      <c r="K58" s="26" t="e">
        <f>SUM(#REF!)</f>
        <v>#REF!</v>
      </c>
    </row>
    <row r="59" spans="1:13" ht="18" x14ac:dyDescent="0.35">
      <c r="B59" s="28"/>
      <c r="C59" s="28"/>
      <c r="D59" s="28"/>
      <c r="E59" s="28"/>
      <c r="F59" s="28"/>
      <c r="G59" s="28"/>
      <c r="H59" s="28"/>
    </row>
    <row r="60" spans="1:13" ht="18" x14ac:dyDescent="0.35">
      <c r="B60" s="28"/>
      <c r="C60" s="28"/>
      <c r="D60" s="28"/>
      <c r="E60" s="28"/>
      <c r="F60" s="28"/>
      <c r="G60" s="28"/>
      <c r="H60" s="28"/>
    </row>
    <row r="61" spans="1:13" ht="18" x14ac:dyDescent="0.35">
      <c r="B61" s="28"/>
      <c r="C61" s="28"/>
      <c r="D61" s="28"/>
      <c r="E61" s="28"/>
      <c r="F61" s="28"/>
      <c r="G61" s="28"/>
      <c r="H61" s="28"/>
    </row>
    <row r="62" spans="1:13" ht="15" customHeight="1" x14ac:dyDescent="0.35">
      <c r="B62" s="28"/>
      <c r="C62" s="28"/>
      <c r="D62" s="28"/>
      <c r="E62" s="28"/>
      <c r="F62" s="28"/>
      <c r="G62" s="28"/>
      <c r="H62" s="28"/>
    </row>
    <row r="63" spans="1:13" ht="18" x14ac:dyDescent="0.35">
      <c r="B63" s="28"/>
      <c r="C63" s="28"/>
      <c r="D63" s="28"/>
      <c r="E63" s="28"/>
      <c r="F63" s="28"/>
      <c r="G63" s="28"/>
      <c r="H63" s="28"/>
    </row>
    <row r="64" spans="1:13" ht="18" x14ac:dyDescent="0.35">
      <c r="B64" s="69"/>
      <c r="C64" s="83"/>
      <c r="D64" s="28"/>
      <c r="E64" s="28"/>
      <c r="F64" s="28"/>
      <c r="G64" s="28"/>
      <c r="H64" s="28"/>
    </row>
    <row r="65" spans="2:8" ht="18" x14ac:dyDescent="0.35">
      <c r="B65" s="28"/>
      <c r="C65" s="28"/>
      <c r="D65" s="28"/>
      <c r="E65" s="28"/>
      <c r="F65" s="28"/>
      <c r="G65" s="28"/>
      <c r="H65" s="28"/>
    </row>
    <row r="66" spans="2:8" x14ac:dyDescent="0.3">
      <c r="C66" s="14"/>
      <c r="D66" s="14"/>
      <c r="F66" s="14"/>
      <c r="G66" s="14"/>
    </row>
    <row r="67" spans="2:8" x14ac:dyDescent="0.3">
      <c r="C67" s="14"/>
      <c r="D67" s="14"/>
      <c r="F67" s="14"/>
      <c r="G67" s="14"/>
    </row>
  </sheetData>
  <mergeCells count="6">
    <mergeCell ref="N3:O3"/>
    <mergeCell ref="B17:G17"/>
    <mergeCell ref="B10:G10"/>
    <mergeCell ref="B48:G48"/>
    <mergeCell ref="C50:G5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8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2025-09-24T14:49:38Z</cp:lastPrinted>
  <dcterms:created xsi:type="dcterms:W3CDTF">2013-03-19T12:54:14Z</dcterms:created>
  <dcterms:modified xsi:type="dcterms:W3CDTF">2025-09-24T19:08:58Z</dcterms:modified>
</cp:coreProperties>
</file>