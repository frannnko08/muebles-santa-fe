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6\"/>
    </mc:Choice>
  </mc:AlternateContent>
  <xr:revisionPtr revIDLastSave="0" documentId="13_ncr:1_{FBB97AA0-99E0-43E2-8257-847340A7FA6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'4637'!$B$1:$H$54</definedName>
    <definedName name="_xlnm.Print_Area" localSheetId="2">CUBIERTA!$A$1:$G$56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3" l="1"/>
  <c r="J29" i="3" s="1"/>
  <c r="C29" i="3" s="1"/>
  <c r="E41" i="3"/>
  <c r="K29" i="3" s="1"/>
  <c r="E29" i="3" s="1"/>
  <c r="F41" i="3"/>
  <c r="L29" i="3" s="1"/>
  <c r="F29" i="3" s="1"/>
  <c r="G41" i="3"/>
  <c r="C42" i="3"/>
  <c r="J30" i="3" s="1"/>
  <c r="C30" i="3" s="1"/>
  <c r="E42" i="3"/>
  <c r="K30" i="3" s="1"/>
  <c r="E30" i="3" s="1"/>
  <c r="F42" i="3"/>
  <c r="L30" i="3" s="1"/>
  <c r="F30" i="3" s="1"/>
  <c r="G42" i="3"/>
  <c r="C43" i="3"/>
  <c r="J31" i="3" s="1"/>
  <c r="C31" i="3" s="1"/>
  <c r="E43" i="3"/>
  <c r="K31" i="3" s="1"/>
  <c r="E31" i="3" s="1"/>
  <c r="F43" i="3"/>
  <c r="L31" i="3" s="1"/>
  <c r="F31" i="3" s="1"/>
  <c r="G43" i="3"/>
  <c r="C44" i="3"/>
  <c r="J32" i="3" s="1"/>
  <c r="C32" i="3" s="1"/>
  <c r="E44" i="3"/>
  <c r="K32" i="3" s="1"/>
  <c r="E32" i="3" s="1"/>
  <c r="F44" i="3"/>
  <c r="L32" i="3" s="1"/>
  <c r="F32" i="3" s="1"/>
  <c r="G44" i="3"/>
  <c r="C45" i="3"/>
  <c r="J33" i="3" s="1"/>
  <c r="C33" i="3" s="1"/>
  <c r="E45" i="3"/>
  <c r="K33" i="3" s="1"/>
  <c r="E33" i="3" s="1"/>
  <c r="F45" i="3"/>
  <c r="L33" i="3" s="1"/>
  <c r="F33" i="3" s="1"/>
  <c r="G45" i="3"/>
  <c r="C46" i="3"/>
  <c r="J34" i="3" s="1"/>
  <c r="C34" i="3" s="1"/>
  <c r="E46" i="3"/>
  <c r="K34" i="3" s="1"/>
  <c r="E34" i="3" s="1"/>
  <c r="F46" i="3"/>
  <c r="L34" i="3" s="1"/>
  <c r="F34" i="3" s="1"/>
  <c r="G46" i="3"/>
  <c r="C69" i="3"/>
  <c r="D69" i="3"/>
  <c r="D41" i="3" s="1"/>
  <c r="G29" i="3" s="1"/>
  <c r="E69" i="3"/>
  <c r="F69" i="3"/>
  <c r="G69" i="3"/>
  <c r="C70" i="3"/>
  <c r="D70" i="3"/>
  <c r="D42" i="3" s="1"/>
  <c r="G30" i="3" s="1"/>
  <c r="E70" i="3"/>
  <c r="F70" i="3"/>
  <c r="G70" i="3"/>
  <c r="C71" i="3"/>
  <c r="D71" i="3"/>
  <c r="D43" i="3" s="1"/>
  <c r="G31" i="3" s="1"/>
  <c r="E71" i="3"/>
  <c r="F71" i="3"/>
  <c r="G71" i="3"/>
  <c r="C72" i="3"/>
  <c r="D72" i="3"/>
  <c r="D44" i="3" s="1"/>
  <c r="G32" i="3" s="1"/>
  <c r="E72" i="3"/>
  <c r="F72" i="3"/>
  <c r="G72" i="3"/>
  <c r="C73" i="3"/>
  <c r="D73" i="3"/>
  <c r="D45" i="3" s="1"/>
  <c r="G33" i="3" s="1"/>
  <c r="E73" i="3"/>
  <c r="F73" i="3"/>
  <c r="G73" i="3"/>
  <c r="C74" i="3"/>
  <c r="D74" i="3"/>
  <c r="D46" i="3" s="1"/>
  <c r="G34" i="3" s="1"/>
  <c r="E74" i="3"/>
  <c r="F74" i="3"/>
  <c r="G74" i="3"/>
  <c r="J18" i="3" l="1"/>
  <c r="C18" i="3" s="1"/>
  <c r="J20" i="3"/>
  <c r="C20" i="3" s="1"/>
  <c r="G17" i="3"/>
  <c r="J19" i="3"/>
  <c r="C19" i="3" s="1"/>
  <c r="L16" i="3"/>
  <c r="F16" i="3" s="1"/>
  <c r="L18" i="3"/>
  <c r="F18" i="3" s="1"/>
  <c r="J16" i="3"/>
  <c r="C16" i="3" s="1"/>
  <c r="L20" i="3"/>
  <c r="F20" i="3" s="1"/>
  <c r="L19" i="3"/>
  <c r="F19" i="3" s="1"/>
  <c r="G20" i="3"/>
  <c r="G16" i="3"/>
  <c r="K17" i="3"/>
  <c r="E17" i="3" s="1"/>
  <c r="K15" i="3"/>
  <c r="E15" i="3" s="1"/>
  <c r="G19" i="3"/>
  <c r="G18" i="3"/>
  <c r="J15" i="3"/>
  <c r="C15" i="3" s="1"/>
  <c r="G15" i="3"/>
  <c r="K20" i="3"/>
  <c r="E20" i="3" s="1"/>
  <c r="K19" i="3"/>
  <c r="E19" i="3" s="1"/>
  <c r="K18" i="3"/>
  <c r="E18" i="3" s="1"/>
  <c r="L17" i="3"/>
  <c r="F17" i="3" s="1"/>
  <c r="K16" i="3"/>
  <c r="E16" i="3" s="1"/>
  <c r="L15" i="3"/>
  <c r="F15" i="3" s="1"/>
  <c r="J17" i="3"/>
  <c r="C17" i="3" s="1"/>
  <c r="G40" i="3"/>
  <c r="F40" i="3"/>
  <c r="L14" i="3" s="1"/>
  <c r="E40" i="3"/>
  <c r="K14" i="3" s="1"/>
  <c r="E14" i="3" s="1"/>
  <c r="C40" i="3"/>
  <c r="G68" i="3"/>
  <c r="F68" i="3"/>
  <c r="E68" i="3"/>
  <c r="D68" i="3"/>
  <c r="D40" i="3" s="1"/>
  <c r="C68" i="3"/>
  <c r="H32" i="4" l="1"/>
  <c r="L21" i="4"/>
  <c r="K21" i="4"/>
  <c r="M21" i="4" l="1"/>
  <c r="N21" i="4" s="1"/>
  <c r="G28" i="3" l="1"/>
  <c r="L28" i="3"/>
  <c r="F28" i="3" s="1"/>
  <c r="J28" i="3" l="1"/>
  <c r="I40" i="3"/>
  <c r="J40" i="3" s="1"/>
  <c r="K28" i="3"/>
  <c r="E28" i="3" s="1"/>
  <c r="I68" i="3"/>
  <c r="J68" i="3" s="1"/>
  <c r="G14" i="3"/>
  <c r="F14" i="3"/>
  <c r="C28" i="3" l="1"/>
  <c r="J14" i="3"/>
  <c r="C14" i="3" s="1"/>
  <c r="J49" i="3"/>
  <c r="K68" i="3"/>
  <c r="J78" i="3"/>
  <c r="O5" i="3"/>
  <c r="K78" i="3" l="1"/>
  <c r="N5" i="3"/>
  <c r="M5" i="3"/>
  <c r="L5" i="3"/>
  <c r="D61" i="3" l="1"/>
  <c r="D7" i="3"/>
  <c r="E59" i="3"/>
  <c r="E5" i="3"/>
  <c r="E61" i="3"/>
  <c r="E7" i="3"/>
  <c r="E58" i="3"/>
  <c r="E4" i="3"/>
</calcChain>
</file>

<file path=xl/sharedStrings.xml><?xml version="1.0" encoding="utf-8"?>
<sst xmlns="http://schemas.openxmlformats.org/spreadsheetml/2006/main" count="261" uniqueCount="144">
  <si>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</si>
  <si>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</si>
  <si>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</si>
  <si>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</si>
  <si>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</si>
  <si>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</si>
  <si>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</si>
  <si>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</si>
  <si>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</si>
  <si>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</si>
  <si>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</si>
  <si>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</si>
  <si>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</si>
  <si>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</si>
  <si>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</si>
  <si>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</si>
  <si>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</si>
  <si>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</si>
  <si>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</si>
  <si>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</si>
  <si>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</si>
  <si>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</si>
  <si>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</si>
  <si>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</si>
  <si>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</si>
  <si>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</si>
  <si>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</si>
  <si>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</si>
  <si>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</si>
  <si>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</si>
  <si>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</si>
  <si>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</si>
  <si>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</si>
  <si>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</si>
  <si>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</si>
  <si>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</si>
  <si>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</si>
  <si>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</si>
  <si>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</si>
  <si>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</si>
  <si>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</si>
  <si>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</si>
  <si>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</si>
  <si>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</si>
  <si>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</si>
  <si>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</si>
  <si>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</si>
  <si>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</si>
  <si>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</si>
  <si>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</si>
  <si>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</si>
  <si>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</si>
  <si>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</si>
  <si>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</si>
  <si>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</si>
  <si>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</si>
  <si>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</si>
  <si>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</si>
  <si>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</si>
  <si>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</si>
  <si>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</si>
  <si>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</si>
  <si>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</si>
  <si>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</si>
  <si>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</si>
  <si>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</si>
  <si>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</si>
  <si>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</si>
  <si>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</si>
  <si>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</si>
  <si>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</si>
  <si>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</si>
  <si>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</si>
  <si>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</si>
  <si>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</si>
  <si>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</si>
  <si>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</si>
  <si>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</si>
  <si>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</si>
  <si>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</si>
  <si>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</si>
  <si>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</si>
  <si>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</si>
  <si>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</si>
  <si>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</si>
  <si>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</si>
  <si>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</si>
  <si>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</si>
  <si>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</si>
  <si>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</si>
  <si>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</si>
  <si>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</si>
  <si>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</si>
  <si>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</si>
  <si>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</si>
  <si>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</si>
  <si>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</si>
  <si>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</si>
  <si>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</si>
  <si>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</si>
  <si>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</si>
  <si>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</si>
  <si>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</si>
  <si>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</si>
  <si>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</si>
  <si>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</si>
  <si>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</si>
  <si>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</si>
  <si>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</si>
  <si>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</si>
  <si>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</si>
  <si>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</si>
  <si>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</si>
  <si>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</si>
  <si>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</si>
  <si>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</si>
  <si>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</si>
  <si>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</si>
  <si>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</si>
  <si>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</si>
  <si>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</si>
  <si>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</si>
  <si>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</si>
  <si>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</si>
  <si>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</si>
  <si>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</si>
  <si>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</si>
  <si>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</si>
  <si>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</si>
  <si>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</si>
  <si>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</si>
  <si>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</si>
  <si>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</si>
  <si>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</si>
  <si>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</si>
  <si>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</si>
  <si>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</si>
  <si>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</si>
  <si>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 xml:space="preserve">N° </t>
  </si>
  <si>
    <t>MELAMIL 18MM</t>
  </si>
  <si>
    <t>GLACIAL WHITE 22191 SF</t>
  </si>
  <si>
    <t>AUTOMATICE</t>
  </si>
  <si>
    <t>ELIAS IBRAHIM</t>
  </si>
  <si>
    <t>+569 7388 9568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</si>
</sst>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0" fillId="3" borderId="0" xfId="0" applyFont="1" applyFill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29</xdr:row>
      <xdr:rowOff>23327</xdr:rowOff>
    </xdr:from>
    <xdr:to>
      <xdr:col>5</xdr:col>
      <xdr:colOff>1539552</xdr:colOff>
      <xdr:row>32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49</xdr:row>
      <xdr:rowOff>0</xdr:rowOff>
    </xdr:from>
    <xdr:to>
      <xdr:col>4</xdr:col>
      <xdr:colOff>369336</xdr:colOff>
      <xdr:row>49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51</xdr:row>
      <xdr:rowOff>1</xdr:rowOff>
    </xdr:from>
    <xdr:to>
      <xdr:col>4</xdr:col>
      <xdr:colOff>349897</xdr:colOff>
      <xdr:row>51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22</xdr:row>
      <xdr:rowOff>66674</xdr:rowOff>
    </xdr:from>
    <xdr:to>
      <xdr:col>6</xdr:col>
      <xdr:colOff>2914649</xdr:colOff>
      <xdr:row>24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62</xdr:row>
      <xdr:rowOff>190500</xdr:rowOff>
    </xdr:from>
    <xdr:to>
      <xdr:col>7</xdr:col>
      <xdr:colOff>9524</xdr:colOff>
      <xdr:row>64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59</xdr:row>
      <xdr:rowOff>30479</xdr:rowOff>
    </xdr:from>
    <xdr:to>
      <xdr:col>6</xdr:col>
      <xdr:colOff>2912745</xdr:colOff>
      <xdr:row>60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57</xdr:row>
      <xdr:rowOff>209549</xdr:rowOff>
    </xdr:from>
    <xdr:to>
      <xdr:col>7</xdr:col>
      <xdr:colOff>0</xdr:colOff>
      <xdr:row>59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56</xdr:row>
      <xdr:rowOff>171450</xdr:rowOff>
    </xdr:from>
    <xdr:to>
      <xdr:col>7</xdr:col>
      <xdr:colOff>19050</xdr:colOff>
      <xdr:row>57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3</xdr:col>
      <xdr:colOff>38100</xdr:colOff>
      <xdr:row>77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76</xdr:row>
      <xdr:rowOff>0</xdr:rowOff>
    </xdr:from>
    <xdr:to>
      <xdr:col>3</xdr:col>
      <xdr:colOff>1019175</xdr:colOff>
      <xdr:row>77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76</xdr:row>
      <xdr:rowOff>0</xdr:rowOff>
    </xdr:from>
    <xdr:to>
      <xdr:col>4</xdr:col>
      <xdr:colOff>352425</xdr:colOff>
      <xdr:row>77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76</xdr:row>
      <xdr:rowOff>0</xdr:rowOff>
    </xdr:from>
    <xdr:to>
      <xdr:col>5</xdr:col>
      <xdr:colOff>257175</xdr:colOff>
      <xdr:row>77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76</xdr:row>
      <xdr:rowOff>0</xdr:rowOff>
    </xdr:from>
    <xdr:to>
      <xdr:col>6</xdr:col>
      <xdr:colOff>447675</xdr:colOff>
      <xdr:row>77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76</xdr:row>
      <xdr:rowOff>0</xdr:rowOff>
    </xdr:from>
    <xdr:to>
      <xdr:col>7</xdr:col>
      <xdr:colOff>0</xdr:colOff>
      <xdr:row>77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3</xdr:col>
      <xdr:colOff>304800</xdr:colOff>
      <xdr:row>78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77</xdr:row>
      <xdr:rowOff>0</xdr:rowOff>
    </xdr:from>
    <xdr:to>
      <xdr:col>3</xdr:col>
      <xdr:colOff>1276350</xdr:colOff>
      <xdr:row>78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77</xdr:row>
      <xdr:rowOff>0</xdr:rowOff>
    </xdr:from>
    <xdr:to>
      <xdr:col>4</xdr:col>
      <xdr:colOff>619125</xdr:colOff>
      <xdr:row>78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77</xdr:row>
      <xdr:rowOff>0</xdr:rowOff>
    </xdr:from>
    <xdr:to>
      <xdr:col>5</xdr:col>
      <xdr:colOff>523875</xdr:colOff>
      <xdr:row>78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77</xdr:row>
      <xdr:rowOff>0</xdr:rowOff>
    </xdr:from>
    <xdr:to>
      <xdr:col>6</xdr:col>
      <xdr:colOff>723900</xdr:colOff>
      <xdr:row>78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77</xdr:row>
      <xdr:rowOff>0</xdr:rowOff>
    </xdr:from>
    <xdr:to>
      <xdr:col>7</xdr:col>
      <xdr:colOff>0</xdr:colOff>
      <xdr:row>78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48</xdr:row>
      <xdr:rowOff>15239</xdr:rowOff>
    </xdr:from>
    <xdr:to>
      <xdr:col>7</xdr:col>
      <xdr:colOff>0</xdr:colOff>
      <xdr:row>52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MUEBLES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36</xdr:row>
      <xdr:rowOff>1</xdr:rowOff>
    </xdr:from>
    <xdr:to>
      <xdr:col>7</xdr:col>
      <xdr:colOff>19048</xdr:colOff>
      <xdr:row>37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79</xdr:row>
      <xdr:rowOff>32385</xdr:rowOff>
    </xdr:from>
    <xdr:to>
      <xdr:col>7</xdr:col>
      <xdr:colOff>7620</xdr:colOff>
      <xdr:row>83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ECNHAPADAS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0,45MM SOM PARA PROYECTO DE MUEBLES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56</xdr:row>
      <xdr:rowOff>146685</xdr:rowOff>
    </xdr:from>
    <xdr:to>
      <xdr:col>2</xdr:col>
      <xdr:colOff>778903</xdr:colOff>
      <xdr:row>62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304800</xdr:colOff>
      <xdr:row>86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5"/>
  <sheetViews>
    <sheetView topLeftCell="A15" zoomScale="98" zoomScaleNormal="98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138</v>
      </c>
      <c r="E8" s="29"/>
      <c r="F8" s="34" t="s">
        <v>25</v>
      </c>
      <c r="G8" s="35">
        <v>4249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46113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9" t="s">
        <v>126</v>
      </c>
      <c r="C12" s="137" t="s">
        <v>142</v>
      </c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6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7" t="s">
        <v>143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9" t="s">
        <v>1</v>
      </c>
      <c r="C15" s="118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30" t="s">
        <v>17</v>
      </c>
      <c r="G16" s="130"/>
      <c r="H16" s="131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2" t="s">
        <v>18</v>
      </c>
      <c r="C19" s="133"/>
      <c r="D19" s="133"/>
      <c r="E19" s="133"/>
      <c r="F19" s="133"/>
      <c r="G19" s="133"/>
      <c r="H19" s="134"/>
      <c r="I19" s="29"/>
    </row>
    <row r="20" spans="1:16" ht="20.100000000000001" customHeight="1" x14ac:dyDescent="0.35">
      <c r="A20" s="29"/>
      <c r="B20" s="56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6" t="s">
        <v>22</v>
      </c>
      <c r="H20" s="114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4</v>
      </c>
      <c r="C21" s="101" t="s">
        <v>60</v>
      </c>
      <c r="D21" s="102">
        <v>745</v>
      </c>
      <c r="E21" s="102">
        <v>287</v>
      </c>
      <c r="F21" s="101" t="s">
        <v>140</v>
      </c>
      <c r="G21" s="112"/>
      <c r="H21" s="112"/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1">
        <v>1</v>
      </c>
      <c r="C22" s="101" t="s">
        <v>60</v>
      </c>
      <c r="D22" s="102">
        <v>725</v>
      </c>
      <c r="E22" s="102">
        <v>643</v>
      </c>
      <c r="F22" s="101" t="s">
        <v>140</v>
      </c>
      <c r="G22" s="112"/>
      <c r="H22" s="112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>
        <v>1</v>
      </c>
      <c r="C23" s="101" t="s">
        <v>60</v>
      </c>
      <c r="D23" s="102">
        <v>725</v>
      </c>
      <c r="E23" s="102">
        <v>497</v>
      </c>
      <c r="F23" s="101" t="s">
        <v>140</v>
      </c>
      <c r="G23" s="112"/>
      <c r="H23" s="112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>
        <v>2</v>
      </c>
      <c r="C24" s="101" t="s">
        <v>60</v>
      </c>
      <c r="D24" s="102">
        <v>725</v>
      </c>
      <c r="E24" s="102">
        <v>439</v>
      </c>
      <c r="F24" s="101" t="s">
        <v>140</v>
      </c>
      <c r="G24" s="112"/>
      <c r="H24" s="112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>
        <v>3</v>
      </c>
      <c r="C25" s="101" t="s">
        <v>60</v>
      </c>
      <c r="D25" s="102">
        <v>619</v>
      </c>
      <c r="E25" s="102">
        <v>458</v>
      </c>
      <c r="F25" s="101" t="s">
        <v>140</v>
      </c>
      <c r="G25" s="112"/>
      <c r="H25" s="112"/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>
        <v>2</v>
      </c>
      <c r="C26" s="101" t="s">
        <v>60</v>
      </c>
      <c r="D26" s="102">
        <v>530</v>
      </c>
      <c r="E26" s="102">
        <v>262</v>
      </c>
      <c r="F26" s="101" t="s">
        <v>140</v>
      </c>
      <c r="G26" s="112"/>
      <c r="H26" s="112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1">
        <v>2</v>
      </c>
      <c r="C27" s="101" t="s">
        <v>60</v>
      </c>
      <c r="D27" s="102">
        <v>290</v>
      </c>
      <c r="E27" s="102">
        <v>297</v>
      </c>
      <c r="F27" s="101" t="s">
        <v>140</v>
      </c>
      <c r="G27" s="112"/>
      <c r="H27" s="112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3"/>
      <c r="C28" s="103"/>
      <c r="D28" s="104"/>
      <c r="E28" s="104"/>
      <c r="F28" s="103"/>
      <c r="G28" s="105"/>
      <c r="H28" s="105"/>
      <c r="I28" s="29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29"/>
      <c r="B29" s="103"/>
      <c r="C29" s="103"/>
      <c r="D29" s="111"/>
      <c r="E29" s="111"/>
      <c r="F29" s="103"/>
      <c r="G29" s="105"/>
      <c r="H29" s="105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3"/>
      <c r="C30" s="103"/>
      <c r="D30" s="111"/>
      <c r="E30" s="111"/>
      <c r="F30" s="103"/>
      <c r="G30" s="59" t="s">
        <v>5</v>
      </c>
      <c r="H30" s="60">
        <v>350000</v>
      </c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3"/>
      <c r="C31" s="103"/>
      <c r="D31" s="111"/>
      <c r="E31" s="111"/>
      <c r="F31" s="103"/>
      <c r="G31" s="61" t="s">
        <v>136</v>
      </c>
      <c r="H31" s="62"/>
      <c r="I31" s="29"/>
      <c r="K31" s="11"/>
      <c r="L31" s="15"/>
      <c r="M31" s="11"/>
      <c r="N31" s="11"/>
      <c r="O31" s="15"/>
      <c r="P31" s="21"/>
    </row>
    <row r="32" spans="1:16" ht="20.100000000000001" customHeight="1" thickBot="1" x14ac:dyDescent="0.4">
      <c r="A32" s="29"/>
      <c r="B32" s="103"/>
      <c r="C32" s="103"/>
      <c r="D32" s="111"/>
      <c r="E32" s="111"/>
      <c r="F32" s="103"/>
      <c r="G32" s="63" t="s">
        <v>4</v>
      </c>
      <c r="H32" s="64">
        <f>H30+H31</f>
        <v>350000</v>
      </c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3"/>
      <c r="C33" s="103"/>
      <c r="D33" s="111"/>
      <c r="E33" s="111"/>
      <c r="F33" s="103"/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103"/>
      <c r="C34" s="103"/>
      <c r="D34" s="111"/>
      <c r="E34" s="111"/>
      <c r="F34" s="103"/>
      <c r="G34" s="105"/>
      <c r="H34" s="105"/>
      <c r="I34" s="29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29"/>
      <c r="B35" s="103"/>
      <c r="C35" s="103"/>
      <c r="D35" s="111"/>
      <c r="E35" s="111"/>
      <c r="F35" s="103"/>
      <c r="G35" s="105"/>
      <c r="H35" s="105"/>
      <c r="I35" s="29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29"/>
      <c r="B36" s="103"/>
      <c r="C36" s="103"/>
      <c r="D36" s="104"/>
      <c r="E36" s="104"/>
      <c r="F36" s="103"/>
      <c r="G36" s="105"/>
      <c r="H36" s="105"/>
      <c r="I36" s="29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29"/>
      <c r="B37" s="103"/>
      <c r="C37" s="103"/>
      <c r="D37" s="104"/>
      <c r="E37" s="104"/>
      <c r="F37" s="103"/>
      <c r="G37" s="105"/>
      <c r="H37" s="105"/>
      <c r="I37" s="29"/>
      <c r="K37" s="11"/>
      <c r="L37" s="15"/>
      <c r="M37" s="11"/>
      <c r="N37" s="11"/>
      <c r="O37" s="15"/>
      <c r="P37" s="21"/>
    </row>
    <row r="38" spans="1:16" ht="13.2" customHeight="1" x14ac:dyDescent="0.35">
      <c r="A38" s="29"/>
      <c r="B38" s="58"/>
      <c r="C38" s="58"/>
      <c r="D38" s="58"/>
      <c r="E38" s="58"/>
      <c r="F38" s="58"/>
      <c r="G38" s="57"/>
      <c r="H38" s="57"/>
      <c r="I38" s="29"/>
    </row>
    <row r="39" spans="1:16" ht="20.100000000000001" customHeight="1" x14ac:dyDescent="0.35">
      <c r="A39" s="29"/>
      <c r="B39" s="29"/>
      <c r="C39" s="29"/>
      <c r="D39" s="29"/>
      <c r="E39" s="29"/>
      <c r="F39" s="29"/>
      <c r="I39" s="29"/>
    </row>
    <row r="40" spans="1:16" ht="20.100000000000001" customHeight="1" x14ac:dyDescent="0.35">
      <c r="A40" s="29"/>
      <c r="B40" s="29"/>
      <c r="C40" s="29"/>
      <c r="D40" s="29"/>
      <c r="E40" s="29"/>
      <c r="F40" s="29"/>
      <c r="I40" s="29"/>
    </row>
    <row r="41" spans="1:16" ht="20.100000000000001" customHeight="1" x14ac:dyDescent="0.35">
      <c r="A41" s="29"/>
      <c r="B41" s="29"/>
      <c r="C41" s="29"/>
      <c r="D41" s="29"/>
      <c r="E41" s="29"/>
      <c r="F41" s="29"/>
      <c r="I41" s="29"/>
    </row>
    <row r="42" spans="1:16" ht="20.100000000000001" customHeight="1" x14ac:dyDescent="0.35">
      <c r="A42" s="29"/>
      <c r="B42" s="29"/>
      <c r="C42" s="29"/>
      <c r="D42" s="29"/>
      <c r="E42" s="29"/>
      <c r="F42" s="29"/>
      <c r="G42" s="65"/>
      <c r="H42" s="66"/>
      <c r="I42" s="29"/>
    </row>
    <row r="43" spans="1:16" ht="18" x14ac:dyDescent="0.35">
      <c r="A43" s="29"/>
      <c r="B43" s="29"/>
      <c r="C43" s="29"/>
      <c r="D43" s="29"/>
      <c r="E43" s="29"/>
      <c r="F43" s="29"/>
      <c r="G43" s="29"/>
      <c r="H43" s="29"/>
      <c r="I43" s="29"/>
    </row>
    <row r="44" spans="1:16" ht="18" x14ac:dyDescent="0.35">
      <c r="A44" s="29"/>
      <c r="B44" s="67" t="s">
        <v>133</v>
      </c>
      <c r="C44" s="68"/>
      <c r="D44" s="69"/>
      <c r="E44" s="69"/>
      <c r="F44" s="58"/>
      <c r="G44" s="29"/>
      <c r="H44" s="29"/>
      <c r="I44" s="29"/>
    </row>
    <row r="45" spans="1:16" ht="18" x14ac:dyDescent="0.35">
      <c r="A45" s="29"/>
      <c r="B45" s="67" t="s">
        <v>119</v>
      </c>
      <c r="C45" s="68"/>
      <c r="D45" s="69"/>
      <c r="E45" s="69"/>
      <c r="F45" s="58"/>
      <c r="G45" s="29"/>
      <c r="H45" s="29"/>
      <c r="I45" s="29"/>
    </row>
    <row r="46" spans="1:16" ht="18" x14ac:dyDescent="0.35">
      <c r="A46" s="29"/>
      <c r="B46" s="29" t="s">
        <v>23</v>
      </c>
      <c r="C46" s="29"/>
      <c r="D46" s="29"/>
      <c r="E46" s="29"/>
      <c r="F46" s="29"/>
      <c r="G46" s="29"/>
      <c r="H46" s="29"/>
      <c r="I46" s="29"/>
    </row>
    <row r="47" spans="1:16" ht="18" x14ac:dyDescent="0.35">
      <c r="A47" s="29"/>
      <c r="B47" s="70" t="s">
        <v>24</v>
      </c>
      <c r="C47" s="70"/>
      <c r="D47" s="29"/>
      <c r="E47" s="29"/>
      <c r="F47" s="29"/>
      <c r="G47" s="29"/>
      <c r="H47" s="29"/>
      <c r="I47" s="29"/>
    </row>
    <row r="48" spans="1:16" ht="18" x14ac:dyDescent="0.35">
      <c r="A48" s="29"/>
      <c r="B48" s="29"/>
      <c r="C48" s="29"/>
      <c r="D48" s="29"/>
      <c r="E48" s="70"/>
      <c r="F48" s="29"/>
      <c r="G48" s="29"/>
      <c r="H48" s="29"/>
      <c r="I48" s="29"/>
    </row>
    <row r="49" spans="1:9" ht="18" x14ac:dyDescent="0.35">
      <c r="A49" s="29"/>
      <c r="B49" s="30" t="s">
        <v>131</v>
      </c>
      <c r="C49" s="30"/>
      <c r="D49" s="30"/>
      <c r="E49" s="71"/>
      <c r="F49" s="29"/>
      <c r="G49" s="29"/>
      <c r="H49" s="29"/>
      <c r="I49" s="29"/>
    </row>
    <row r="50" spans="1:9" ht="18" x14ac:dyDescent="0.35">
      <c r="A50" s="29"/>
      <c r="B50" s="30"/>
      <c r="C50" s="30"/>
      <c r="D50" s="30"/>
      <c r="E50" s="71"/>
      <c r="F50" s="29"/>
      <c r="G50" s="29"/>
      <c r="H50" s="29"/>
      <c r="I50" s="29"/>
    </row>
    <row r="51" spans="1:9" ht="18" x14ac:dyDescent="0.35">
      <c r="A51" s="29"/>
      <c r="B51" s="30" t="s">
        <v>132</v>
      </c>
      <c r="C51" s="29"/>
      <c r="D51" s="29"/>
      <c r="E51" s="70"/>
      <c r="F51" s="29"/>
      <c r="G51" s="29"/>
      <c r="H51" s="29"/>
      <c r="I51" s="29"/>
    </row>
    <row r="52" spans="1:9" ht="18" x14ac:dyDescent="0.35">
      <c r="A52" s="29"/>
      <c r="B52" s="29"/>
      <c r="C52" s="29"/>
      <c r="D52" s="29"/>
      <c r="E52" s="70"/>
      <c r="F52" s="29"/>
      <c r="G52" s="29"/>
      <c r="H52" s="29"/>
      <c r="I52" s="29"/>
    </row>
    <row r="53" spans="1:9" ht="18" x14ac:dyDescent="0.35">
      <c r="A53" s="29"/>
      <c r="B53" s="29"/>
      <c r="C53" s="29"/>
      <c r="D53" s="29"/>
      <c r="E53" s="29"/>
      <c r="F53" s="29"/>
      <c r="G53" s="29"/>
      <c r="H53" s="29"/>
      <c r="I53" s="29"/>
    </row>
    <row r="54" spans="1:9" ht="18" x14ac:dyDescent="0.35">
      <c r="A54" s="29"/>
      <c r="B54" s="29"/>
      <c r="C54" s="29"/>
      <c r="D54" s="29"/>
      <c r="E54" s="29"/>
      <c r="F54" s="29"/>
      <c r="G54" s="29"/>
      <c r="H54" s="29"/>
      <c r="I54" s="29"/>
    </row>
    <row r="55" spans="1:9" ht="15.6" x14ac:dyDescent="0.3">
      <c r="C55" s="1"/>
    </row>
  </sheetData>
  <sortState xmlns:xlrd2="http://schemas.microsoft.com/office/spreadsheetml/2017/richdata2" ref="B56">
    <sortCondition sortBy="fontColor" ref="B56" dxfId="1"/>
  </sortState>
  <mergeCells count="2">
    <mergeCell ref="F16:H16"/>
    <mergeCell ref="B19:H19"/>
  </mergeCells>
  <phoneticPr fontId="8" type="noConversion"/>
  <hyperlinks>
    <hyperlink ref="B4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28</v>
      </c>
      <c r="C2" s="135"/>
      <c r="D2" s="135"/>
      <c r="E2" s="12"/>
      <c r="G2" s="135" t="s">
        <v>67</v>
      </c>
      <c r="H2" s="135"/>
      <c r="I2" s="135"/>
      <c r="P2" s="136" t="s">
        <v>55</v>
      </c>
      <c r="Q2" s="136"/>
      <c r="R2" s="13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6" t="s">
        <v>55</v>
      </c>
      <c r="M8" s="136"/>
      <c r="N8" s="13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7"/>
  <sheetViews>
    <sheetView tabSelected="1" topLeftCell="B13" zoomScaleNormal="100" workbookViewId="0">
      <selection activeCell="F14" sqref="F1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3" t="s">
        <v>58</v>
      </c>
      <c r="M3" s="123"/>
      <c r="N3" s="123" t="s">
        <v>13</v>
      </c>
      <c r="O3" s="123"/>
    </row>
    <row r="4" spans="1:15" ht="15.75" customHeight="1" x14ac:dyDescent="0.35">
      <c r="B4" s="29"/>
      <c r="C4" s="29"/>
      <c r="D4" s="73" t="s">
        <v>25</v>
      </c>
      <c r="E4" s="74">
        <f>'4637'!G8</f>
        <v>4249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AUTOMATICE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4" t="s">
        <v>58</v>
      </c>
      <c r="C10" s="124"/>
      <c r="D10" s="124"/>
      <c r="E10" s="124"/>
      <c r="F10" s="124"/>
      <c r="G10" s="124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-2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9">
        <v>1</v>
      </c>
      <c r="B14" s="100" t="s">
        <v>139</v>
      </c>
      <c r="C14" s="93">
        <f>J14</f>
        <v>4</v>
      </c>
      <c r="D14" s="93"/>
      <c r="E14" s="93">
        <f>K14+E$13</f>
        <v>795</v>
      </c>
      <c r="F14" s="93">
        <f>L14+F$13</f>
        <v>285</v>
      </c>
      <c r="G14" s="93" t="str">
        <f>D40</f>
        <v>PR6</v>
      </c>
      <c r="H14" s="29"/>
      <c r="J14" s="3">
        <f>J28</f>
        <v>4</v>
      </c>
      <c r="K14" s="4">
        <f t="shared" ref="K14:L14" si="0">E40</f>
        <v>745</v>
      </c>
      <c r="L14" s="4">
        <f t="shared" si="0"/>
        <v>287</v>
      </c>
    </row>
    <row r="15" spans="1:15" ht="18" x14ac:dyDescent="0.35">
      <c r="A15" s="109"/>
      <c r="B15" s="100"/>
      <c r="C15" s="93">
        <f t="shared" ref="C15:C20" si="1">J15</f>
        <v>1</v>
      </c>
      <c r="D15" s="93"/>
      <c r="E15" s="93">
        <f t="shared" ref="E15:E20" si="2">K15+E$13</f>
        <v>775</v>
      </c>
      <c r="F15" s="93">
        <f t="shared" ref="F15:F20" si="3">L15+F$13</f>
        <v>641</v>
      </c>
      <c r="G15" s="93" t="str">
        <f>D41</f>
        <v>PR6</v>
      </c>
      <c r="H15" s="29"/>
      <c r="J15" s="3">
        <f>J29</f>
        <v>1</v>
      </c>
      <c r="K15" s="4">
        <f>E41</f>
        <v>725</v>
      </c>
      <c r="L15" s="4">
        <f>F41</f>
        <v>643</v>
      </c>
    </row>
    <row r="16" spans="1:15" ht="18" x14ac:dyDescent="0.35">
      <c r="A16" s="109"/>
      <c r="B16" s="100"/>
      <c r="C16" s="93">
        <f t="shared" si="1"/>
        <v>1</v>
      </c>
      <c r="D16" s="93"/>
      <c r="E16" s="93">
        <f t="shared" si="2"/>
        <v>775</v>
      </c>
      <c r="F16" s="93">
        <f t="shared" si="3"/>
        <v>495</v>
      </c>
      <c r="G16" s="93" t="str">
        <f>D42</f>
        <v>PR6</v>
      </c>
      <c r="H16" s="29"/>
      <c r="J16" s="3">
        <f>J30</f>
        <v>1</v>
      </c>
      <c r="K16" s="4">
        <f>E42</f>
        <v>725</v>
      </c>
      <c r="L16" s="4">
        <f>F42</f>
        <v>497</v>
      </c>
    </row>
    <row r="17" spans="1:12" ht="18" x14ac:dyDescent="0.35">
      <c r="A17" s="109"/>
      <c r="B17" s="100"/>
      <c r="C17" s="93">
        <f t="shared" si="1"/>
        <v>2</v>
      </c>
      <c r="D17" s="93"/>
      <c r="E17" s="93">
        <f t="shared" si="2"/>
        <v>775</v>
      </c>
      <c r="F17" s="93">
        <f t="shared" si="3"/>
        <v>437</v>
      </c>
      <c r="G17" s="93" t="str">
        <f>D43</f>
        <v>PR6</v>
      </c>
      <c r="H17" s="29"/>
      <c r="J17" s="3">
        <f>J31</f>
        <v>2</v>
      </c>
      <c r="K17" s="4">
        <f>E43</f>
        <v>725</v>
      </c>
      <c r="L17" s="4">
        <f>F43</f>
        <v>439</v>
      </c>
    </row>
    <row r="18" spans="1:12" ht="18" x14ac:dyDescent="0.35">
      <c r="A18" s="109"/>
      <c r="B18" s="100"/>
      <c r="C18" s="93">
        <f t="shared" si="1"/>
        <v>3</v>
      </c>
      <c r="D18" s="93"/>
      <c r="E18" s="93">
        <f t="shared" si="2"/>
        <v>669</v>
      </c>
      <c r="F18" s="93">
        <f t="shared" si="3"/>
        <v>456</v>
      </c>
      <c r="G18" s="93" t="str">
        <f>D44</f>
        <v>PR6</v>
      </c>
      <c r="H18" s="29"/>
      <c r="J18" s="3">
        <f>J32</f>
        <v>3</v>
      </c>
      <c r="K18" s="4">
        <f>E44</f>
        <v>619</v>
      </c>
      <c r="L18" s="4">
        <f>F44</f>
        <v>458</v>
      </c>
    </row>
    <row r="19" spans="1:12" ht="18" x14ac:dyDescent="0.35">
      <c r="A19" s="109"/>
      <c r="B19" s="100"/>
      <c r="C19" s="93">
        <f t="shared" si="1"/>
        <v>2</v>
      </c>
      <c r="D19" s="93"/>
      <c r="E19" s="93">
        <f t="shared" si="2"/>
        <v>580</v>
      </c>
      <c r="F19" s="93">
        <f t="shared" si="3"/>
        <v>260</v>
      </c>
      <c r="G19" s="93" t="str">
        <f>D45</f>
        <v>PR6</v>
      </c>
      <c r="H19" s="29"/>
      <c r="J19" s="3">
        <f>J33</f>
        <v>2</v>
      </c>
      <c r="K19" s="4">
        <f>E45</f>
        <v>530</v>
      </c>
      <c r="L19" s="4">
        <f>F45</f>
        <v>262</v>
      </c>
    </row>
    <row r="20" spans="1:12" ht="18" x14ac:dyDescent="0.35">
      <c r="A20" s="109"/>
      <c r="B20" s="100"/>
      <c r="C20" s="93">
        <f t="shared" si="1"/>
        <v>2</v>
      </c>
      <c r="D20" s="93"/>
      <c r="E20" s="93">
        <f t="shared" si="2"/>
        <v>340</v>
      </c>
      <c r="F20" s="93">
        <f t="shared" si="3"/>
        <v>295</v>
      </c>
      <c r="G20" s="93" t="str">
        <f>D46</f>
        <v>PR6</v>
      </c>
      <c r="H20" s="29"/>
      <c r="J20" s="3">
        <f>J34</f>
        <v>2</v>
      </c>
      <c r="K20" s="4">
        <f>E46</f>
        <v>290</v>
      </c>
      <c r="L20" s="4">
        <f>F46</f>
        <v>297</v>
      </c>
    </row>
    <row r="21" spans="1:12" ht="18" x14ac:dyDescent="0.35">
      <c r="A21" s="109"/>
      <c r="B21" s="100"/>
      <c r="C21" s="72"/>
      <c r="D21" s="72"/>
      <c r="E21" s="72"/>
      <c r="F21" s="72"/>
      <c r="G21" s="72"/>
      <c r="H21" s="29"/>
      <c r="J21" s="23"/>
      <c r="K21" s="2"/>
      <c r="L21" s="2"/>
    </row>
    <row r="22" spans="1:12" ht="18" x14ac:dyDescent="0.35">
      <c r="A22" s="2"/>
      <c r="B22" s="82"/>
      <c r="C22" s="72"/>
      <c r="D22" s="72"/>
      <c r="E22" s="72"/>
      <c r="F22" s="72"/>
      <c r="G22" s="72"/>
      <c r="H22" s="29"/>
      <c r="J22" s="23"/>
      <c r="K22" s="2"/>
      <c r="L22" s="2"/>
    </row>
    <row r="23" spans="1:12" ht="6.75" customHeight="1" x14ac:dyDescent="0.35">
      <c r="A23" s="2"/>
      <c r="B23" s="29"/>
      <c r="C23" s="29"/>
      <c r="D23" s="29"/>
      <c r="E23" s="29"/>
      <c r="F23" s="29"/>
      <c r="G23" s="29"/>
      <c r="H23" s="29"/>
    </row>
    <row r="24" spans="1:12" ht="18" x14ac:dyDescent="0.35">
      <c r="A24" s="2"/>
      <c r="B24" s="124" t="s">
        <v>13</v>
      </c>
      <c r="C24" s="124"/>
      <c r="D24" s="124"/>
      <c r="E24" s="124"/>
      <c r="F24" s="124"/>
      <c r="G24" s="124"/>
      <c r="H24" s="29"/>
    </row>
    <row r="25" spans="1:12" ht="10.5" customHeight="1" x14ac:dyDescent="0.35">
      <c r="A25" s="2"/>
      <c r="B25" s="29"/>
      <c r="C25" s="29"/>
      <c r="D25" s="90"/>
      <c r="E25" s="29"/>
      <c r="F25" s="29"/>
      <c r="G25" s="29"/>
      <c r="H25" s="29"/>
    </row>
    <row r="26" spans="1:12" ht="18" x14ac:dyDescent="0.35">
      <c r="A26" s="2"/>
      <c r="B26" s="29"/>
      <c r="C26" s="29"/>
      <c r="D26" s="29"/>
      <c r="E26" s="65" t="s">
        <v>6</v>
      </c>
      <c r="F26" s="65" t="s">
        <v>7</v>
      </c>
      <c r="G26" s="29"/>
      <c r="H26" s="29"/>
    </row>
    <row r="27" spans="1:12" ht="18" x14ac:dyDescent="0.35">
      <c r="A27" s="2"/>
      <c r="B27" s="65" t="s">
        <v>8</v>
      </c>
      <c r="C27" s="81" t="s">
        <v>9</v>
      </c>
      <c r="D27" s="81" t="s">
        <v>10</v>
      </c>
      <c r="E27" s="94">
        <v>40</v>
      </c>
      <c r="F27" s="94">
        <v>90</v>
      </c>
      <c r="G27" s="81" t="s">
        <v>107</v>
      </c>
      <c r="H27" s="29"/>
      <c r="K27" s="5" t="s">
        <v>6</v>
      </c>
      <c r="L27" s="5" t="s">
        <v>7</v>
      </c>
    </row>
    <row r="28" spans="1:12" ht="18" x14ac:dyDescent="0.35">
      <c r="A28" s="109">
        <v>1</v>
      </c>
      <c r="B28" s="100"/>
      <c r="C28" s="95">
        <f t="shared" ref="C28" si="4">J28</f>
        <v>4</v>
      </c>
      <c r="D28" s="95"/>
      <c r="E28" s="95">
        <f>K28+E$27</f>
        <v>785</v>
      </c>
      <c r="F28" s="95">
        <f t="shared" ref="F28" si="5">L28+F$27</f>
        <v>377</v>
      </c>
      <c r="G28" s="95" t="str">
        <f>D40</f>
        <v>PR6</v>
      </c>
      <c r="H28" s="29"/>
      <c r="J28" s="3">
        <f>C40</f>
        <v>4</v>
      </c>
      <c r="K28" s="106">
        <f>E40</f>
        <v>745</v>
      </c>
      <c r="L28" s="106">
        <f>F40</f>
        <v>287</v>
      </c>
    </row>
    <row r="29" spans="1:12" ht="18" x14ac:dyDescent="0.35">
      <c r="A29" s="109"/>
      <c r="B29" s="100"/>
      <c r="C29" s="95">
        <f t="shared" ref="C29:C34" si="6">J29</f>
        <v>1</v>
      </c>
      <c r="D29" s="95"/>
      <c r="E29" s="95">
        <f t="shared" ref="E29:E34" si="7">K29+E$27</f>
        <v>765</v>
      </c>
      <c r="F29" s="95">
        <f t="shared" ref="F29:F34" si="8">L29+F$27</f>
        <v>733</v>
      </c>
      <c r="G29" s="95" t="str">
        <f>D41</f>
        <v>PR6</v>
      </c>
      <c r="H29" s="29"/>
      <c r="J29" s="3">
        <f>C41</f>
        <v>1</v>
      </c>
      <c r="K29" s="106">
        <f t="shared" ref="K29:L29" si="9">E41</f>
        <v>725</v>
      </c>
      <c r="L29" s="106">
        <f t="shared" si="9"/>
        <v>643</v>
      </c>
    </row>
    <row r="30" spans="1:12" ht="18" x14ac:dyDescent="0.35">
      <c r="A30" s="109"/>
      <c r="B30" s="100"/>
      <c r="C30" s="95">
        <f t="shared" si="6"/>
        <v>1</v>
      </c>
      <c r="D30" s="95"/>
      <c r="E30" s="95">
        <f t="shared" si="7"/>
        <v>765</v>
      </c>
      <c r="F30" s="95">
        <f t="shared" si="8"/>
        <v>587</v>
      </c>
      <c r="G30" s="95" t="str">
        <f>D42</f>
        <v>PR6</v>
      </c>
      <c r="H30" s="29"/>
      <c r="J30" s="3">
        <f>C42</f>
        <v>1</v>
      </c>
      <c r="K30" s="106">
        <f t="shared" ref="K30:L30" si="10">E42</f>
        <v>725</v>
      </c>
      <c r="L30" s="106">
        <f t="shared" si="10"/>
        <v>497</v>
      </c>
    </row>
    <row r="31" spans="1:12" ht="18" x14ac:dyDescent="0.35">
      <c r="A31" s="109"/>
      <c r="B31" s="100"/>
      <c r="C31" s="95">
        <f t="shared" si="6"/>
        <v>2</v>
      </c>
      <c r="D31" s="95"/>
      <c r="E31" s="95">
        <f t="shared" si="7"/>
        <v>765</v>
      </c>
      <c r="F31" s="95">
        <f t="shared" si="8"/>
        <v>529</v>
      </c>
      <c r="G31" s="95" t="str">
        <f>D43</f>
        <v>PR6</v>
      </c>
      <c r="H31" s="29"/>
      <c r="J31" s="3">
        <f>C43</f>
        <v>2</v>
      </c>
      <c r="K31" s="106">
        <f t="shared" ref="K31:L31" si="11">E43</f>
        <v>725</v>
      </c>
      <c r="L31" s="106">
        <f t="shared" si="11"/>
        <v>439</v>
      </c>
    </row>
    <row r="32" spans="1:12" ht="18" x14ac:dyDescent="0.35">
      <c r="A32" s="109"/>
      <c r="B32" s="100"/>
      <c r="C32" s="95">
        <f t="shared" si="6"/>
        <v>3</v>
      </c>
      <c r="D32" s="95"/>
      <c r="E32" s="95">
        <f t="shared" si="7"/>
        <v>659</v>
      </c>
      <c r="F32" s="95">
        <f t="shared" si="8"/>
        <v>548</v>
      </c>
      <c r="G32" s="95" t="str">
        <f>D44</f>
        <v>PR6</v>
      </c>
      <c r="H32" s="29"/>
      <c r="J32" s="3">
        <f>C44</f>
        <v>3</v>
      </c>
      <c r="K32" s="106">
        <f t="shared" ref="K32:L32" si="12">E44</f>
        <v>619</v>
      </c>
      <c r="L32" s="106">
        <f t="shared" si="12"/>
        <v>458</v>
      </c>
    </row>
    <row r="33" spans="1:12" ht="18" x14ac:dyDescent="0.35">
      <c r="A33" s="109"/>
      <c r="B33" s="100"/>
      <c r="C33" s="95">
        <f t="shared" si="6"/>
        <v>2</v>
      </c>
      <c r="D33" s="95"/>
      <c r="E33" s="95">
        <f t="shared" si="7"/>
        <v>570</v>
      </c>
      <c r="F33" s="95">
        <f t="shared" si="8"/>
        <v>352</v>
      </c>
      <c r="G33" s="95" t="str">
        <f>D45</f>
        <v>PR6</v>
      </c>
      <c r="H33" s="29"/>
      <c r="J33" s="3">
        <f>C45</f>
        <v>2</v>
      </c>
      <c r="K33" s="106">
        <f t="shared" ref="K33:L33" si="13">E45</f>
        <v>530</v>
      </c>
      <c r="L33" s="106">
        <f t="shared" si="13"/>
        <v>262</v>
      </c>
    </row>
    <row r="34" spans="1:12" ht="18" x14ac:dyDescent="0.35">
      <c r="A34" s="109"/>
      <c r="B34" s="100"/>
      <c r="C34" s="95">
        <f t="shared" si="6"/>
        <v>2</v>
      </c>
      <c r="D34" s="95"/>
      <c r="E34" s="95">
        <f t="shared" si="7"/>
        <v>330</v>
      </c>
      <c r="F34" s="95">
        <f t="shared" si="8"/>
        <v>387</v>
      </c>
      <c r="G34" s="95" t="str">
        <f>D46</f>
        <v>PR6</v>
      </c>
      <c r="H34" s="29"/>
      <c r="J34" s="3">
        <f>C46</f>
        <v>2</v>
      </c>
      <c r="K34" s="106">
        <f t="shared" ref="K34:L34" si="14">E46</f>
        <v>290</v>
      </c>
      <c r="L34" s="106">
        <f t="shared" si="14"/>
        <v>297</v>
      </c>
    </row>
    <row r="35" spans="1:12" ht="18" x14ac:dyDescent="0.35">
      <c r="A35" s="109"/>
      <c r="B35" s="100"/>
      <c r="C35" s="72"/>
      <c r="D35" s="72"/>
      <c r="E35" s="72"/>
      <c r="F35" s="72"/>
      <c r="G35" s="72"/>
      <c r="H35" s="29"/>
      <c r="J35" s="23"/>
      <c r="K35" s="122"/>
      <c r="L35" s="122"/>
    </row>
    <row r="36" spans="1:12" ht="18.600000000000001" thickBot="1" x14ac:dyDescent="0.4">
      <c r="A36" s="2"/>
      <c r="B36" s="82"/>
      <c r="C36" s="72"/>
      <c r="D36" s="72"/>
      <c r="E36" s="72"/>
      <c r="F36" s="72"/>
      <c r="G36" s="72"/>
      <c r="H36" s="29"/>
      <c r="I36" s="107"/>
      <c r="J36" s="108"/>
      <c r="K36" s="108"/>
      <c r="L36" s="108"/>
    </row>
    <row r="37" spans="1:12" ht="18.600000000000001" thickBot="1" x14ac:dyDescent="0.4">
      <c r="A37" s="2"/>
      <c r="B37" s="65"/>
      <c r="C37" s="96" t="s">
        <v>104</v>
      </c>
      <c r="D37" s="32"/>
      <c r="E37" s="32"/>
      <c r="F37" s="32"/>
      <c r="G37" s="97"/>
      <c r="H37" s="29"/>
      <c r="J37" s="2"/>
      <c r="K37" s="2"/>
      <c r="L37" s="2"/>
    </row>
    <row r="38" spans="1:12" ht="10.5" customHeight="1" x14ac:dyDescent="0.35">
      <c r="A38" s="2"/>
      <c r="B38" s="29"/>
      <c r="C38" s="29"/>
      <c r="D38" s="29"/>
      <c r="E38" s="29"/>
      <c r="F38" s="29"/>
      <c r="G38" s="29"/>
      <c r="H38" s="29"/>
    </row>
    <row r="39" spans="1:12" ht="18" x14ac:dyDescent="0.35">
      <c r="A39" s="2"/>
      <c r="B39" s="65" t="s">
        <v>8</v>
      </c>
      <c r="C39" s="98" t="s">
        <v>9</v>
      </c>
      <c r="D39" s="98" t="s">
        <v>107</v>
      </c>
      <c r="E39" s="98" t="s">
        <v>6</v>
      </c>
      <c r="F39" s="98" t="s">
        <v>7</v>
      </c>
      <c r="G39" s="98" t="s">
        <v>21</v>
      </c>
      <c r="H39" s="29"/>
    </row>
    <row r="40" spans="1:12" ht="18" x14ac:dyDescent="0.35">
      <c r="A40" s="109">
        <v>1</v>
      </c>
      <c r="B40" s="100" t="s">
        <v>139</v>
      </c>
      <c r="C40" s="93">
        <f>'4637'!B21</f>
        <v>4</v>
      </c>
      <c r="D40" s="93" t="str">
        <f>D68</f>
        <v>PR6</v>
      </c>
      <c r="E40" s="115">
        <f>'4637'!D21</f>
        <v>745</v>
      </c>
      <c r="F40" s="115">
        <f>'4637'!E21</f>
        <v>287</v>
      </c>
      <c r="G40" s="4" t="str">
        <f>'4637'!F21</f>
        <v>GLACIAL WHITE 22191 SF</v>
      </c>
      <c r="H40" s="29"/>
      <c r="I40" s="28">
        <f>E40*F40/1000000</f>
        <v>0.21381500000000001</v>
      </c>
      <c r="J40" s="28">
        <f>I40*C40</f>
        <v>0.85526000000000002</v>
      </c>
    </row>
    <row r="41" spans="1:12" ht="18" x14ac:dyDescent="0.35">
      <c r="A41" s="109"/>
      <c r="B41" s="100"/>
      <c r="C41" s="93">
        <f>'4637'!B22</f>
        <v>1</v>
      </c>
      <c r="D41" s="93" t="str">
        <f>D69</f>
        <v>PR6</v>
      </c>
      <c r="E41" s="115">
        <f>'4637'!D22</f>
        <v>725</v>
      </c>
      <c r="F41" s="115">
        <f>'4637'!E22</f>
        <v>643</v>
      </c>
      <c r="G41" s="4" t="str">
        <f>'4637'!F22</f>
        <v>GLACIAL WHITE 22191 SF</v>
      </c>
      <c r="H41" s="29"/>
      <c r="I41" s="28"/>
      <c r="J41" s="28"/>
    </row>
    <row r="42" spans="1:12" ht="18" x14ac:dyDescent="0.35">
      <c r="A42" s="109"/>
      <c r="B42" s="100"/>
      <c r="C42" s="93">
        <f>'4637'!B23</f>
        <v>1</v>
      </c>
      <c r="D42" s="93" t="str">
        <f>D70</f>
        <v>PR6</v>
      </c>
      <c r="E42" s="115">
        <f>'4637'!D23</f>
        <v>725</v>
      </c>
      <c r="F42" s="115">
        <f>'4637'!E23</f>
        <v>497</v>
      </c>
      <c r="G42" s="4" t="str">
        <f>'4637'!F23</f>
        <v>GLACIAL WHITE 22191 SF</v>
      </c>
      <c r="H42" s="29"/>
      <c r="I42" s="28"/>
      <c r="J42" s="28"/>
    </row>
    <row r="43" spans="1:12" ht="18" x14ac:dyDescent="0.35">
      <c r="A43" s="109"/>
      <c r="B43" s="100"/>
      <c r="C43" s="93">
        <f>'4637'!B24</f>
        <v>2</v>
      </c>
      <c r="D43" s="93" t="str">
        <f>D71</f>
        <v>PR6</v>
      </c>
      <c r="E43" s="115">
        <f>'4637'!D24</f>
        <v>725</v>
      </c>
      <c r="F43" s="115">
        <f>'4637'!E24</f>
        <v>439</v>
      </c>
      <c r="G43" s="4" t="str">
        <f>'4637'!F24</f>
        <v>GLACIAL WHITE 22191 SF</v>
      </c>
      <c r="H43" s="29"/>
      <c r="I43" s="28"/>
      <c r="J43" s="28"/>
    </row>
    <row r="44" spans="1:12" ht="18" x14ac:dyDescent="0.35">
      <c r="A44" s="109"/>
      <c r="B44" s="100"/>
      <c r="C44" s="93">
        <f>'4637'!B25</f>
        <v>3</v>
      </c>
      <c r="D44" s="93" t="str">
        <f>D72</f>
        <v>PR6</v>
      </c>
      <c r="E44" s="115">
        <f>'4637'!D25</f>
        <v>619</v>
      </c>
      <c r="F44" s="115">
        <f>'4637'!E25</f>
        <v>458</v>
      </c>
      <c r="G44" s="4" t="str">
        <f>'4637'!F25</f>
        <v>GLACIAL WHITE 22191 SF</v>
      </c>
      <c r="H44" s="29"/>
      <c r="I44" s="28"/>
      <c r="J44" s="28"/>
    </row>
    <row r="45" spans="1:12" ht="18" x14ac:dyDescent="0.35">
      <c r="A45" s="109"/>
      <c r="B45" s="100"/>
      <c r="C45" s="93">
        <f>'4637'!B26</f>
        <v>2</v>
      </c>
      <c r="D45" s="93" t="str">
        <f>D73</f>
        <v>PR6</v>
      </c>
      <c r="E45" s="115">
        <f>'4637'!D26</f>
        <v>530</v>
      </c>
      <c r="F45" s="115">
        <f>'4637'!E26</f>
        <v>262</v>
      </c>
      <c r="G45" s="4" t="str">
        <f>'4637'!F26</f>
        <v>GLACIAL WHITE 22191 SF</v>
      </c>
      <c r="H45" s="29"/>
      <c r="I45" s="28"/>
      <c r="J45" s="28"/>
    </row>
    <row r="46" spans="1:12" ht="18" x14ac:dyDescent="0.35">
      <c r="A46" s="109"/>
      <c r="B46" s="100"/>
      <c r="C46" s="93">
        <f>'4637'!B27</f>
        <v>2</v>
      </c>
      <c r="D46" s="93" t="str">
        <f>D74</f>
        <v>PR6</v>
      </c>
      <c r="E46" s="115">
        <f>'4637'!D27</f>
        <v>290</v>
      </c>
      <c r="F46" s="115">
        <f>'4637'!E27</f>
        <v>297</v>
      </c>
      <c r="G46" s="4" t="str">
        <f>'4637'!F27</f>
        <v>GLACIAL WHITE 22191 SF</v>
      </c>
      <c r="H46" s="29"/>
      <c r="I46" s="28"/>
      <c r="J46" s="28"/>
    </row>
    <row r="47" spans="1:12" ht="18" x14ac:dyDescent="0.35">
      <c r="A47" s="109"/>
      <c r="B47" s="100"/>
      <c r="C47" s="72"/>
      <c r="D47" s="72"/>
      <c r="E47" s="120"/>
      <c r="F47" s="120"/>
      <c r="G47" s="2"/>
      <c r="H47" s="29"/>
      <c r="I47" s="28"/>
      <c r="J47" s="28"/>
    </row>
    <row r="48" spans="1:12" ht="18" x14ac:dyDescent="0.35">
      <c r="A48" s="2"/>
      <c r="B48" s="29"/>
      <c r="C48" s="72"/>
      <c r="D48" s="72"/>
      <c r="E48" s="72"/>
      <c r="F48" s="72"/>
      <c r="G48" s="72"/>
      <c r="H48" s="29"/>
    </row>
    <row r="49" spans="1:10" ht="18" x14ac:dyDescent="0.35">
      <c r="A49" s="2"/>
      <c r="B49" s="29"/>
      <c r="C49" s="72"/>
      <c r="D49" s="72"/>
      <c r="E49" s="72"/>
      <c r="F49" s="72"/>
      <c r="G49" s="72"/>
      <c r="H49" s="29"/>
      <c r="J49" s="28">
        <f>SUM(J40:J40)*2</f>
        <v>1.71052</v>
      </c>
    </row>
    <row r="50" spans="1:10" ht="18" x14ac:dyDescent="0.35">
      <c r="A50" s="2"/>
      <c r="B50" s="29"/>
      <c r="C50" s="72"/>
      <c r="D50" s="72"/>
      <c r="E50" s="72"/>
      <c r="F50" s="72"/>
      <c r="G50" s="72"/>
      <c r="H50" s="29"/>
    </row>
    <row r="51" spans="1:10" ht="18" x14ac:dyDescent="0.35">
      <c r="A51" s="2"/>
      <c r="B51" s="29"/>
      <c r="C51" s="72"/>
      <c r="D51" s="72"/>
      <c r="E51" s="72"/>
      <c r="F51" s="72"/>
      <c r="G51" s="72"/>
      <c r="H51" s="29"/>
    </row>
    <row r="52" spans="1:10" ht="18" x14ac:dyDescent="0.35">
      <c r="A52" s="2"/>
      <c r="B52" s="29"/>
      <c r="C52" s="72"/>
      <c r="D52" s="72"/>
      <c r="E52" s="72"/>
      <c r="F52" s="72"/>
      <c r="G52" s="72"/>
      <c r="H52" s="29"/>
    </row>
    <row r="53" spans="1:10" ht="18" x14ac:dyDescent="0.35">
      <c r="A53" s="2"/>
      <c r="B53" s="29"/>
      <c r="C53" s="72"/>
      <c r="D53" s="72"/>
      <c r="E53" s="72"/>
      <c r="F53" s="72"/>
      <c r="G53" s="72"/>
      <c r="H53" s="29"/>
    </row>
    <row r="54" spans="1:10" ht="18" x14ac:dyDescent="0.35">
      <c r="A54" s="2"/>
      <c r="B54" s="29"/>
      <c r="C54" s="72"/>
      <c r="D54" s="72"/>
      <c r="E54" s="72"/>
      <c r="F54" s="72"/>
      <c r="G54" s="72"/>
      <c r="H54" s="29"/>
    </row>
    <row r="55" spans="1:10" ht="18" x14ac:dyDescent="0.35">
      <c r="A55" s="2"/>
      <c r="B55" s="29"/>
      <c r="C55" s="72"/>
      <c r="D55" s="72"/>
      <c r="E55" s="72"/>
      <c r="F55" s="72"/>
      <c r="G55" s="72"/>
      <c r="H55" s="29"/>
    </row>
    <row r="56" spans="1:10" ht="18" x14ac:dyDescent="0.35">
      <c r="A56" s="2"/>
      <c r="B56" s="29"/>
      <c r="C56" s="72"/>
      <c r="D56" s="72"/>
      <c r="E56" s="72"/>
      <c r="F56" s="72"/>
      <c r="G56" s="72"/>
      <c r="H56" s="29"/>
    </row>
    <row r="57" spans="1:10" ht="18" x14ac:dyDescent="0.35">
      <c r="A57" s="2"/>
      <c r="B57" s="29"/>
      <c r="C57" s="29"/>
      <c r="D57" s="29"/>
      <c r="E57" s="29"/>
      <c r="F57" s="29"/>
      <c r="G57" s="29"/>
      <c r="H57" s="29"/>
    </row>
    <row r="58" spans="1:10" ht="18" x14ac:dyDescent="0.35">
      <c r="A58" s="2"/>
      <c r="B58" s="29"/>
      <c r="C58" s="29"/>
      <c r="D58" s="73" t="s">
        <v>25</v>
      </c>
      <c r="E58" s="74">
        <f>'4637'!G8</f>
        <v>4249</v>
      </c>
      <c r="F58" s="29"/>
      <c r="G58" s="29"/>
      <c r="H58" s="29"/>
    </row>
    <row r="59" spans="1:10" ht="17.25" customHeight="1" x14ac:dyDescent="0.35">
      <c r="A59" s="2"/>
      <c r="B59" s="29"/>
      <c r="C59" s="29"/>
      <c r="D59" s="75" t="s">
        <v>64</v>
      </c>
      <c r="E59" s="76" t="str">
        <f>'4637'!C10</f>
        <v>AUTOMATICE</v>
      </c>
      <c r="F59" s="47"/>
      <c r="G59" s="47"/>
      <c r="H59" s="29"/>
    </row>
    <row r="60" spans="1:10" ht="4.5" customHeight="1" x14ac:dyDescent="0.35">
      <c r="A60" s="2"/>
      <c r="B60" s="29"/>
      <c r="C60" s="29"/>
      <c r="D60" s="77"/>
      <c r="E60" s="78"/>
      <c r="F60" s="29"/>
      <c r="G60" s="29"/>
      <c r="H60" s="29"/>
    </row>
    <row r="61" spans="1:10" ht="18" x14ac:dyDescent="0.35">
      <c r="A61" s="2"/>
      <c r="B61" s="29"/>
      <c r="C61" s="29"/>
      <c r="D61" s="79" t="str">
        <f>'4637'!F11</f>
        <v>FECHA LIMITE :</v>
      </c>
      <c r="E61" s="80">
        <f>'4637'!G11</f>
        <v>0</v>
      </c>
      <c r="F61" s="29"/>
      <c r="G61" s="29"/>
      <c r="H61" s="29"/>
    </row>
    <row r="62" spans="1:10" ht="18" x14ac:dyDescent="0.35">
      <c r="A62" s="2"/>
      <c r="B62" s="29"/>
      <c r="C62" s="29"/>
      <c r="D62" s="29"/>
      <c r="E62" s="29"/>
      <c r="F62" s="29"/>
      <c r="G62" s="29" t="s">
        <v>135</v>
      </c>
      <c r="H62" s="29"/>
    </row>
    <row r="63" spans="1:10" ht="18" x14ac:dyDescent="0.35">
      <c r="A63" s="2"/>
      <c r="B63" s="29"/>
      <c r="C63" s="29"/>
      <c r="D63" s="29"/>
      <c r="E63" s="29"/>
      <c r="F63" s="29"/>
      <c r="G63" s="29"/>
      <c r="H63" s="29"/>
    </row>
    <row r="64" spans="1:10" ht="18" x14ac:dyDescent="0.35">
      <c r="A64" s="2"/>
      <c r="B64" s="125" t="s">
        <v>65</v>
      </c>
      <c r="C64" s="125"/>
      <c r="D64" s="125"/>
      <c r="E64" s="125"/>
      <c r="F64" s="125"/>
      <c r="G64" s="125"/>
      <c r="H64" s="29"/>
    </row>
    <row r="65" spans="1:13" ht="18" x14ac:dyDescent="0.35">
      <c r="A65" s="2"/>
      <c r="B65" s="29"/>
      <c r="C65" s="29"/>
      <c r="D65" s="29"/>
      <c r="E65" s="29"/>
      <c r="F65" s="29"/>
      <c r="G65" s="29"/>
      <c r="H65" s="29"/>
    </row>
    <row r="66" spans="1:13" ht="20.100000000000001" customHeight="1" x14ac:dyDescent="0.35">
      <c r="A66" s="2"/>
      <c r="B66" s="29"/>
      <c r="C66" s="126" t="s">
        <v>66</v>
      </c>
      <c r="D66" s="127"/>
      <c r="E66" s="128"/>
      <c r="F66" s="128"/>
      <c r="G66" s="129"/>
      <c r="H66" s="29"/>
      <c r="I66" s="25" t="s">
        <v>130</v>
      </c>
    </row>
    <row r="67" spans="1:13" s="10" customFormat="1" ht="20.100000000000001" customHeight="1" x14ac:dyDescent="0.35">
      <c r="A67" s="110"/>
      <c r="B67" s="29"/>
      <c r="C67" s="83" t="s">
        <v>9</v>
      </c>
      <c r="D67" s="84" t="s">
        <v>10</v>
      </c>
      <c r="E67" s="87" t="s">
        <v>6</v>
      </c>
      <c r="F67" s="87" t="s">
        <v>7</v>
      </c>
      <c r="G67" s="85" t="s">
        <v>11</v>
      </c>
      <c r="H67" s="29"/>
      <c r="K67" s="10">
        <v>15000</v>
      </c>
    </row>
    <row r="68" spans="1:13" s="10" customFormat="1" ht="20.100000000000001" customHeight="1" x14ac:dyDescent="0.35">
      <c r="A68" s="109">
        <v>1</v>
      </c>
      <c r="B68" s="99" t="s">
        <v>139</v>
      </c>
      <c r="C68" s="95">
        <f>'4637'!B21</f>
        <v>4</v>
      </c>
      <c r="D68" s="4" t="str">
        <f>'4637'!C21</f>
        <v>PR6</v>
      </c>
      <c r="E68" s="115">
        <f>'4637'!D21</f>
        <v>745</v>
      </c>
      <c r="F68" s="102">
        <f>'4637'!E21</f>
        <v>287</v>
      </c>
      <c r="G68" s="4" t="str">
        <f>'4637'!F21</f>
        <v>GLACIAL WHITE 22191 SF</v>
      </c>
      <c r="H68" s="29"/>
      <c r="I68" s="10">
        <f>E68*F68/1000000</f>
        <v>0.21381500000000001</v>
      </c>
      <c r="J68" s="10">
        <f>I68*C68</f>
        <v>0.85526000000000002</v>
      </c>
      <c r="K68" s="26">
        <f>J68*K$67</f>
        <v>12828.9</v>
      </c>
      <c r="M68" s="24">
        <v>12096</v>
      </c>
    </row>
    <row r="69" spans="1:13" s="10" customFormat="1" ht="20.100000000000001" customHeight="1" x14ac:dyDescent="0.35">
      <c r="A69" s="109"/>
      <c r="B69" s="99"/>
      <c r="C69" s="95">
        <f>'4637'!B22</f>
        <v>1</v>
      </c>
      <c r="D69" s="4" t="str">
        <f>'4637'!C22</f>
        <v>PR6</v>
      </c>
      <c r="E69" s="115">
        <f>'4637'!D22</f>
        <v>725</v>
      </c>
      <c r="F69" s="102">
        <f>'4637'!E22</f>
        <v>643</v>
      </c>
      <c r="G69" s="4" t="str">
        <f>'4637'!F22</f>
        <v>GLACIAL WHITE 22191 SF</v>
      </c>
      <c r="H69" s="29"/>
      <c r="K69" s="26"/>
      <c r="M69" s="121"/>
    </row>
    <row r="70" spans="1:13" s="10" customFormat="1" ht="20.100000000000001" customHeight="1" x14ac:dyDescent="0.35">
      <c r="A70" s="109"/>
      <c r="B70" s="99"/>
      <c r="C70" s="95">
        <f>'4637'!B23</f>
        <v>1</v>
      </c>
      <c r="D70" s="4" t="str">
        <f>'4637'!C23</f>
        <v>PR6</v>
      </c>
      <c r="E70" s="115">
        <f>'4637'!D23</f>
        <v>725</v>
      </c>
      <c r="F70" s="102">
        <f>'4637'!E23</f>
        <v>497</v>
      </c>
      <c r="G70" s="4" t="str">
        <f>'4637'!F23</f>
        <v>GLACIAL WHITE 22191 SF</v>
      </c>
      <c r="H70" s="29"/>
      <c r="K70" s="26"/>
      <c r="M70" s="121"/>
    </row>
    <row r="71" spans="1:13" s="10" customFormat="1" ht="20.100000000000001" customHeight="1" x14ac:dyDescent="0.35">
      <c r="A71" s="109"/>
      <c r="B71" s="99"/>
      <c r="C71" s="95">
        <f>'4637'!B24</f>
        <v>2</v>
      </c>
      <c r="D71" s="4" t="str">
        <f>'4637'!C24</f>
        <v>PR6</v>
      </c>
      <c r="E71" s="115">
        <f>'4637'!D24</f>
        <v>725</v>
      </c>
      <c r="F71" s="102">
        <f>'4637'!E24</f>
        <v>439</v>
      </c>
      <c r="G71" s="4" t="str">
        <f>'4637'!F24</f>
        <v>GLACIAL WHITE 22191 SF</v>
      </c>
      <c r="H71" s="29"/>
      <c r="K71" s="26"/>
      <c r="M71" s="121"/>
    </row>
    <row r="72" spans="1:13" s="10" customFormat="1" ht="20.100000000000001" customHeight="1" x14ac:dyDescent="0.35">
      <c r="A72" s="109"/>
      <c r="B72" s="99"/>
      <c r="C72" s="95">
        <f>'4637'!B25</f>
        <v>3</v>
      </c>
      <c r="D72" s="4" t="str">
        <f>'4637'!C25</f>
        <v>PR6</v>
      </c>
      <c r="E72" s="115">
        <f>'4637'!D25</f>
        <v>619</v>
      </c>
      <c r="F72" s="102">
        <f>'4637'!E25</f>
        <v>458</v>
      </c>
      <c r="G72" s="4" t="str">
        <f>'4637'!F25</f>
        <v>GLACIAL WHITE 22191 SF</v>
      </c>
      <c r="H72" s="29"/>
      <c r="K72" s="26"/>
      <c r="M72" s="121"/>
    </row>
    <row r="73" spans="1:13" s="10" customFormat="1" ht="20.100000000000001" customHeight="1" x14ac:dyDescent="0.35">
      <c r="A73" s="109"/>
      <c r="B73" s="99"/>
      <c r="C73" s="95">
        <f>'4637'!B26</f>
        <v>2</v>
      </c>
      <c r="D73" s="4" t="str">
        <f>'4637'!C26</f>
        <v>PR6</v>
      </c>
      <c r="E73" s="115">
        <f>'4637'!D26</f>
        <v>530</v>
      </c>
      <c r="F73" s="102">
        <f>'4637'!E26</f>
        <v>262</v>
      </c>
      <c r="G73" s="4" t="str">
        <f>'4637'!F26</f>
        <v>GLACIAL WHITE 22191 SF</v>
      </c>
      <c r="H73" s="29"/>
      <c r="K73" s="26"/>
      <c r="M73" s="121"/>
    </row>
    <row r="74" spans="1:13" s="10" customFormat="1" ht="20.100000000000001" customHeight="1" x14ac:dyDescent="0.35">
      <c r="A74" s="109"/>
      <c r="B74" s="99"/>
      <c r="C74" s="95">
        <f>'4637'!B27</f>
        <v>2</v>
      </c>
      <c r="D74" s="4" t="str">
        <f>'4637'!C27</f>
        <v>PR6</v>
      </c>
      <c r="E74" s="115">
        <f>'4637'!D27</f>
        <v>290</v>
      </c>
      <c r="F74" s="102">
        <f>'4637'!E27</f>
        <v>297</v>
      </c>
      <c r="G74" s="4" t="str">
        <f>'4637'!F27</f>
        <v>GLACIAL WHITE 22191 SF</v>
      </c>
      <c r="H74" s="29"/>
      <c r="K74" s="26"/>
      <c r="M74" s="121"/>
    </row>
    <row r="75" spans="1:13" s="10" customFormat="1" ht="20.100000000000001" customHeight="1" x14ac:dyDescent="0.35">
      <c r="A75" s="109"/>
      <c r="B75" s="99"/>
      <c r="C75" s="72"/>
      <c r="D75" s="2"/>
      <c r="E75" s="120"/>
      <c r="F75" s="104"/>
      <c r="G75" s="2"/>
      <c r="H75" s="29"/>
      <c r="K75" s="26"/>
      <c r="M75" s="121"/>
    </row>
    <row r="76" spans="1:13" s="10" customFormat="1" ht="15" customHeight="1" x14ac:dyDescent="0.35">
      <c r="B76" s="82"/>
      <c r="C76" s="65"/>
      <c r="D76" s="65"/>
      <c r="E76" s="65"/>
      <c r="F76" s="65"/>
      <c r="G76" s="65"/>
      <c r="H76" s="29"/>
    </row>
    <row r="77" spans="1:13" ht="18" x14ac:dyDescent="0.35">
      <c r="B77" s="72"/>
      <c r="C77" s="72"/>
      <c r="D77" s="29"/>
      <c r="E77" s="72"/>
      <c r="F77" s="72"/>
      <c r="G77" s="77"/>
      <c r="H77" s="29"/>
    </row>
    <row r="78" spans="1:13" ht="18" x14ac:dyDescent="0.35">
      <c r="B78" s="72"/>
      <c r="C78" s="72"/>
      <c r="D78" s="29"/>
      <c r="E78" s="72"/>
      <c r="F78" s="72"/>
      <c r="G78" s="72"/>
      <c r="H78" s="29"/>
      <c r="J78" s="10">
        <f>SUM(J68:J68)</f>
        <v>0.85526000000000002</v>
      </c>
      <c r="K78" s="27">
        <f>SUM(K68:K68)</f>
        <v>12828.9</v>
      </c>
    </row>
    <row r="79" spans="1:13" ht="18" x14ac:dyDescent="0.35">
      <c r="B79" s="29"/>
      <c r="C79" s="29"/>
      <c r="D79" s="29"/>
      <c r="E79" s="29"/>
      <c r="F79" s="29"/>
      <c r="G79" s="29"/>
      <c r="H79" s="29"/>
    </row>
    <row r="80" spans="1:13" ht="18" x14ac:dyDescent="0.35">
      <c r="B80" s="29"/>
      <c r="C80" s="29"/>
      <c r="D80" s="29"/>
      <c r="E80" s="29"/>
      <c r="F80" s="29"/>
      <c r="G80" s="29"/>
      <c r="H80" s="29"/>
    </row>
    <row r="81" spans="2:8" ht="18" x14ac:dyDescent="0.35">
      <c r="B81" s="29"/>
      <c r="C81" s="29"/>
      <c r="D81" s="29"/>
      <c r="E81" s="29"/>
      <c r="F81" s="29"/>
      <c r="G81" s="29"/>
      <c r="H81" s="29"/>
    </row>
    <row r="82" spans="2:8" ht="15" customHeight="1" x14ac:dyDescent="0.35">
      <c r="B82" s="29"/>
      <c r="C82" s="29"/>
      <c r="D82" s="29"/>
      <c r="E82" s="29"/>
      <c r="F82" s="29"/>
      <c r="G82" s="29"/>
      <c r="H82" s="29"/>
    </row>
    <row r="83" spans="2:8" ht="18" x14ac:dyDescent="0.35">
      <c r="B83" s="29"/>
      <c r="C83" s="29"/>
      <c r="D83" s="29"/>
      <c r="E83" s="29"/>
      <c r="F83" s="29"/>
      <c r="G83" s="29"/>
      <c r="H83" s="29"/>
    </row>
    <row r="84" spans="2:8" ht="18" x14ac:dyDescent="0.35">
      <c r="B84" s="72"/>
      <c r="C84" s="86"/>
      <c r="D84" s="29"/>
      <c r="E84" s="29"/>
      <c r="F84" s="29"/>
      <c r="G84" s="29"/>
      <c r="H84" s="29"/>
    </row>
    <row r="85" spans="2:8" ht="18" x14ac:dyDescent="0.35">
      <c r="B85" s="29"/>
      <c r="C85" s="29"/>
      <c r="D85" s="29"/>
      <c r="E85" s="29"/>
      <c r="F85" s="29"/>
      <c r="G85" s="29"/>
      <c r="H85" s="29"/>
    </row>
    <row r="86" spans="2:8" x14ac:dyDescent="0.3">
      <c r="C86" s="14"/>
      <c r="D86" s="14"/>
      <c r="F86" s="14"/>
      <c r="G86" s="14"/>
    </row>
    <row r="87" spans="2:8" x14ac:dyDescent="0.3">
      <c r="C87" s="14"/>
      <c r="D87" s="14"/>
      <c r="F87" s="14"/>
      <c r="G87" s="14"/>
    </row>
  </sheetData>
  <mergeCells count="6">
    <mergeCell ref="N3:O3"/>
    <mergeCell ref="B24:G24"/>
    <mergeCell ref="B10:G10"/>
    <mergeCell ref="B64:G64"/>
    <mergeCell ref="C66:G6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2026-03-19T14:02:08Z</cp:lastPrinted>
  <dcterms:created xsi:type="dcterms:W3CDTF">2013-03-19T12:54:14Z</dcterms:created>
  <dcterms:modified xsi:type="dcterms:W3CDTF">2026-04-01T11:40:44Z</dcterms:modified>
</cp:coreProperties>
</file>