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4 ABRIL 2026\"/>
    </mc:Choice>
  </mc:AlternateContent>
  <xr:revisionPtr revIDLastSave="0" documentId="13_ncr:1_{7512968B-5EAC-442A-A737-0A3C9ED6982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A">CUBIERTA!$B:$B</definedName>
    <definedName name="_xlnm.Print_Area" localSheetId="0">'4637'!$B$1:$H$69</definedName>
    <definedName name="_xlnm.Print_Area" localSheetId="2">CUBIERTA!$A$118:$G$168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3" i="3" l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82" i="3"/>
  <c r="A16" i="3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15" i="3"/>
  <c r="A50" i="3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C88" i="3"/>
  <c r="J56" i="3" s="1"/>
  <c r="C56" i="3" s="1"/>
  <c r="E88" i="3"/>
  <c r="K56" i="3" s="1"/>
  <c r="E56" i="3" s="1"/>
  <c r="F88" i="3"/>
  <c r="L56" i="3" s="1"/>
  <c r="F56" i="3" s="1"/>
  <c r="G88" i="3"/>
  <c r="C89" i="3"/>
  <c r="J57" i="3" s="1"/>
  <c r="C57" i="3" s="1"/>
  <c r="E89" i="3"/>
  <c r="K57" i="3" s="1"/>
  <c r="E57" i="3" s="1"/>
  <c r="F89" i="3"/>
  <c r="L57" i="3" s="1"/>
  <c r="F57" i="3" s="1"/>
  <c r="G89" i="3"/>
  <c r="C90" i="3"/>
  <c r="J58" i="3" s="1"/>
  <c r="C58" i="3" s="1"/>
  <c r="E90" i="3"/>
  <c r="K58" i="3" s="1"/>
  <c r="E58" i="3" s="1"/>
  <c r="F90" i="3"/>
  <c r="L58" i="3" s="1"/>
  <c r="F58" i="3" s="1"/>
  <c r="G90" i="3"/>
  <c r="C91" i="3"/>
  <c r="J59" i="3" s="1"/>
  <c r="C59" i="3" s="1"/>
  <c r="E91" i="3"/>
  <c r="K59" i="3" s="1"/>
  <c r="E59" i="3" s="1"/>
  <c r="F91" i="3"/>
  <c r="L59" i="3" s="1"/>
  <c r="F59" i="3" s="1"/>
  <c r="G91" i="3"/>
  <c r="C92" i="3"/>
  <c r="J60" i="3" s="1"/>
  <c r="C60" i="3" s="1"/>
  <c r="E92" i="3"/>
  <c r="K60" i="3" s="1"/>
  <c r="E60" i="3" s="1"/>
  <c r="F92" i="3"/>
  <c r="L60" i="3" s="1"/>
  <c r="F60" i="3" s="1"/>
  <c r="G92" i="3"/>
  <c r="C93" i="3"/>
  <c r="J61" i="3" s="1"/>
  <c r="C61" i="3" s="1"/>
  <c r="E93" i="3"/>
  <c r="K61" i="3" s="1"/>
  <c r="E61" i="3" s="1"/>
  <c r="F93" i="3"/>
  <c r="L61" i="3" s="1"/>
  <c r="F61" i="3" s="1"/>
  <c r="G93" i="3"/>
  <c r="C94" i="3"/>
  <c r="J62" i="3" s="1"/>
  <c r="C62" i="3" s="1"/>
  <c r="E94" i="3"/>
  <c r="K62" i="3" s="1"/>
  <c r="E62" i="3" s="1"/>
  <c r="F94" i="3"/>
  <c r="L62" i="3" s="1"/>
  <c r="F62" i="3" s="1"/>
  <c r="G94" i="3"/>
  <c r="C95" i="3"/>
  <c r="J63" i="3" s="1"/>
  <c r="C63" i="3" s="1"/>
  <c r="E95" i="3"/>
  <c r="K63" i="3" s="1"/>
  <c r="E63" i="3" s="1"/>
  <c r="F95" i="3"/>
  <c r="L63" i="3" s="1"/>
  <c r="F63" i="3" s="1"/>
  <c r="G95" i="3"/>
  <c r="C96" i="3"/>
  <c r="J64" i="3" s="1"/>
  <c r="C64" i="3" s="1"/>
  <c r="E96" i="3"/>
  <c r="K64" i="3" s="1"/>
  <c r="E64" i="3" s="1"/>
  <c r="F96" i="3"/>
  <c r="L64" i="3" s="1"/>
  <c r="F64" i="3" s="1"/>
  <c r="G96" i="3"/>
  <c r="C97" i="3"/>
  <c r="J65" i="3" s="1"/>
  <c r="C65" i="3" s="1"/>
  <c r="E97" i="3"/>
  <c r="K65" i="3" s="1"/>
  <c r="E65" i="3" s="1"/>
  <c r="F97" i="3"/>
  <c r="L65" i="3" s="1"/>
  <c r="F65" i="3" s="1"/>
  <c r="G97" i="3"/>
  <c r="C98" i="3"/>
  <c r="J66" i="3" s="1"/>
  <c r="C66" i="3" s="1"/>
  <c r="E98" i="3"/>
  <c r="K66" i="3" s="1"/>
  <c r="E66" i="3" s="1"/>
  <c r="F98" i="3"/>
  <c r="L66" i="3" s="1"/>
  <c r="F66" i="3" s="1"/>
  <c r="G98" i="3"/>
  <c r="C99" i="3"/>
  <c r="J67" i="3" s="1"/>
  <c r="C67" i="3" s="1"/>
  <c r="E99" i="3"/>
  <c r="K67" i="3" s="1"/>
  <c r="E67" i="3" s="1"/>
  <c r="F99" i="3"/>
  <c r="L67" i="3" s="1"/>
  <c r="F67" i="3" s="1"/>
  <c r="G99" i="3"/>
  <c r="C100" i="3"/>
  <c r="J68" i="3" s="1"/>
  <c r="C68" i="3" s="1"/>
  <c r="E100" i="3"/>
  <c r="K68" i="3" s="1"/>
  <c r="E68" i="3" s="1"/>
  <c r="F100" i="3"/>
  <c r="L68" i="3" s="1"/>
  <c r="F68" i="3" s="1"/>
  <c r="G100" i="3"/>
  <c r="C101" i="3"/>
  <c r="J69" i="3" s="1"/>
  <c r="C69" i="3" s="1"/>
  <c r="E101" i="3"/>
  <c r="K69" i="3" s="1"/>
  <c r="E69" i="3" s="1"/>
  <c r="F101" i="3"/>
  <c r="L69" i="3" s="1"/>
  <c r="F69" i="3" s="1"/>
  <c r="G101" i="3"/>
  <c r="C102" i="3"/>
  <c r="J70" i="3" s="1"/>
  <c r="C70" i="3" s="1"/>
  <c r="E102" i="3"/>
  <c r="K70" i="3" s="1"/>
  <c r="E70" i="3" s="1"/>
  <c r="F102" i="3"/>
  <c r="L70" i="3" s="1"/>
  <c r="F70" i="3" s="1"/>
  <c r="G102" i="3"/>
  <c r="C103" i="3"/>
  <c r="J71" i="3" s="1"/>
  <c r="C71" i="3" s="1"/>
  <c r="E103" i="3"/>
  <c r="K71" i="3" s="1"/>
  <c r="E71" i="3" s="1"/>
  <c r="F103" i="3"/>
  <c r="L71" i="3" s="1"/>
  <c r="F71" i="3" s="1"/>
  <c r="G103" i="3"/>
  <c r="C104" i="3"/>
  <c r="J72" i="3" s="1"/>
  <c r="C72" i="3" s="1"/>
  <c r="E104" i="3"/>
  <c r="K72" i="3" s="1"/>
  <c r="E72" i="3" s="1"/>
  <c r="F104" i="3"/>
  <c r="L72" i="3" s="1"/>
  <c r="F72" i="3" s="1"/>
  <c r="G104" i="3"/>
  <c r="C105" i="3"/>
  <c r="J73" i="3" s="1"/>
  <c r="C73" i="3" s="1"/>
  <c r="E105" i="3"/>
  <c r="K73" i="3" s="1"/>
  <c r="E73" i="3" s="1"/>
  <c r="F105" i="3"/>
  <c r="L73" i="3" s="1"/>
  <c r="F73" i="3" s="1"/>
  <c r="G105" i="3"/>
  <c r="C106" i="3"/>
  <c r="J74" i="3" s="1"/>
  <c r="C74" i="3" s="1"/>
  <c r="E106" i="3"/>
  <c r="K74" i="3" s="1"/>
  <c r="E74" i="3" s="1"/>
  <c r="F106" i="3"/>
  <c r="L74" i="3" s="1"/>
  <c r="F74" i="3" s="1"/>
  <c r="G106" i="3"/>
  <c r="C107" i="3"/>
  <c r="J75" i="3" s="1"/>
  <c r="C75" i="3" s="1"/>
  <c r="E107" i="3"/>
  <c r="K75" i="3" s="1"/>
  <c r="E75" i="3" s="1"/>
  <c r="F107" i="3"/>
  <c r="L75" i="3" s="1"/>
  <c r="F75" i="3" s="1"/>
  <c r="G107" i="3"/>
  <c r="C108" i="3"/>
  <c r="J76" i="3" s="1"/>
  <c r="C76" i="3" s="1"/>
  <c r="E108" i="3"/>
  <c r="K76" i="3" s="1"/>
  <c r="E76" i="3" s="1"/>
  <c r="F108" i="3"/>
  <c r="L76" i="3" s="1"/>
  <c r="F76" i="3" s="1"/>
  <c r="G108" i="3"/>
  <c r="C152" i="3"/>
  <c r="D152" i="3"/>
  <c r="D103" i="3" s="1"/>
  <c r="G71" i="3" s="1"/>
  <c r="E152" i="3"/>
  <c r="F152" i="3"/>
  <c r="G152" i="3"/>
  <c r="C153" i="3"/>
  <c r="D153" i="3"/>
  <c r="D104" i="3" s="1"/>
  <c r="G72" i="3" s="1"/>
  <c r="E153" i="3"/>
  <c r="F153" i="3"/>
  <c r="G153" i="3"/>
  <c r="C154" i="3"/>
  <c r="D154" i="3"/>
  <c r="D105" i="3" s="1"/>
  <c r="G73" i="3" s="1"/>
  <c r="E154" i="3"/>
  <c r="F154" i="3"/>
  <c r="G154" i="3"/>
  <c r="C155" i="3"/>
  <c r="D155" i="3"/>
  <c r="D106" i="3" s="1"/>
  <c r="G74" i="3" s="1"/>
  <c r="E155" i="3"/>
  <c r="F155" i="3"/>
  <c r="G155" i="3"/>
  <c r="C156" i="3"/>
  <c r="D156" i="3"/>
  <c r="D107" i="3" s="1"/>
  <c r="G75" i="3" s="1"/>
  <c r="E156" i="3"/>
  <c r="F156" i="3"/>
  <c r="G156" i="3"/>
  <c r="C157" i="3"/>
  <c r="D157" i="3"/>
  <c r="D108" i="3" s="1"/>
  <c r="G76" i="3" s="1"/>
  <c r="E157" i="3"/>
  <c r="F157" i="3"/>
  <c r="G157" i="3"/>
  <c r="C137" i="3"/>
  <c r="D137" i="3"/>
  <c r="D88" i="3" s="1"/>
  <c r="G56" i="3" s="1"/>
  <c r="E137" i="3"/>
  <c r="F137" i="3"/>
  <c r="G137" i="3"/>
  <c r="C138" i="3"/>
  <c r="D138" i="3"/>
  <c r="D89" i="3" s="1"/>
  <c r="G57" i="3" s="1"/>
  <c r="E138" i="3"/>
  <c r="F138" i="3"/>
  <c r="G138" i="3"/>
  <c r="C139" i="3"/>
  <c r="D139" i="3"/>
  <c r="D90" i="3" s="1"/>
  <c r="G58" i="3" s="1"/>
  <c r="E139" i="3"/>
  <c r="F139" i="3"/>
  <c r="G139" i="3"/>
  <c r="C140" i="3"/>
  <c r="D140" i="3"/>
  <c r="D91" i="3" s="1"/>
  <c r="G59" i="3" s="1"/>
  <c r="E140" i="3"/>
  <c r="F140" i="3"/>
  <c r="G140" i="3"/>
  <c r="C141" i="3"/>
  <c r="D141" i="3"/>
  <c r="D92" i="3" s="1"/>
  <c r="G60" i="3" s="1"/>
  <c r="E141" i="3"/>
  <c r="F141" i="3"/>
  <c r="G141" i="3"/>
  <c r="C142" i="3"/>
  <c r="D142" i="3"/>
  <c r="D93" i="3" s="1"/>
  <c r="G61" i="3" s="1"/>
  <c r="E142" i="3"/>
  <c r="F142" i="3"/>
  <c r="G142" i="3"/>
  <c r="C143" i="3"/>
  <c r="D143" i="3"/>
  <c r="D94" i="3" s="1"/>
  <c r="G62" i="3" s="1"/>
  <c r="E143" i="3"/>
  <c r="F143" i="3"/>
  <c r="G143" i="3"/>
  <c r="C144" i="3"/>
  <c r="D144" i="3"/>
  <c r="D95" i="3" s="1"/>
  <c r="G63" i="3" s="1"/>
  <c r="E144" i="3"/>
  <c r="F144" i="3"/>
  <c r="G144" i="3"/>
  <c r="C145" i="3"/>
  <c r="D145" i="3"/>
  <c r="D96" i="3" s="1"/>
  <c r="G64" i="3" s="1"/>
  <c r="E145" i="3"/>
  <c r="F145" i="3"/>
  <c r="G145" i="3"/>
  <c r="C146" i="3"/>
  <c r="D146" i="3"/>
  <c r="D97" i="3" s="1"/>
  <c r="G65" i="3" s="1"/>
  <c r="E146" i="3"/>
  <c r="F146" i="3"/>
  <c r="G146" i="3"/>
  <c r="C147" i="3"/>
  <c r="D147" i="3"/>
  <c r="D98" i="3" s="1"/>
  <c r="G66" i="3" s="1"/>
  <c r="E147" i="3"/>
  <c r="F147" i="3"/>
  <c r="G147" i="3"/>
  <c r="C148" i="3"/>
  <c r="D148" i="3"/>
  <c r="D99" i="3" s="1"/>
  <c r="G67" i="3" s="1"/>
  <c r="E148" i="3"/>
  <c r="F148" i="3"/>
  <c r="G148" i="3"/>
  <c r="C149" i="3"/>
  <c r="D149" i="3"/>
  <c r="D100" i="3" s="1"/>
  <c r="G68" i="3" s="1"/>
  <c r="E149" i="3"/>
  <c r="F149" i="3"/>
  <c r="G149" i="3"/>
  <c r="C150" i="3"/>
  <c r="D150" i="3"/>
  <c r="D101" i="3" s="1"/>
  <c r="G69" i="3" s="1"/>
  <c r="E150" i="3"/>
  <c r="F150" i="3"/>
  <c r="G150" i="3"/>
  <c r="C151" i="3"/>
  <c r="D151" i="3"/>
  <c r="D102" i="3" s="1"/>
  <c r="G70" i="3" s="1"/>
  <c r="E151" i="3"/>
  <c r="F151" i="3"/>
  <c r="G151" i="3"/>
  <c r="H50" i="4"/>
  <c r="H52" i="4" s="1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C82" i="3"/>
  <c r="J50" i="3" s="1"/>
  <c r="C50" i="3" s="1"/>
  <c r="E82" i="3"/>
  <c r="K50" i="3" s="1"/>
  <c r="E50" i="3" s="1"/>
  <c r="F82" i="3"/>
  <c r="L50" i="3" s="1"/>
  <c r="F50" i="3" s="1"/>
  <c r="G82" i="3"/>
  <c r="C83" i="3"/>
  <c r="J51" i="3" s="1"/>
  <c r="C51" i="3" s="1"/>
  <c r="E83" i="3"/>
  <c r="K51" i="3" s="1"/>
  <c r="E51" i="3" s="1"/>
  <c r="F83" i="3"/>
  <c r="L51" i="3" s="1"/>
  <c r="F51" i="3" s="1"/>
  <c r="G83" i="3"/>
  <c r="C84" i="3"/>
  <c r="J52" i="3" s="1"/>
  <c r="C52" i="3" s="1"/>
  <c r="E84" i="3"/>
  <c r="K52" i="3" s="1"/>
  <c r="E52" i="3" s="1"/>
  <c r="F84" i="3"/>
  <c r="L52" i="3" s="1"/>
  <c r="F52" i="3" s="1"/>
  <c r="G84" i="3"/>
  <c r="C85" i="3"/>
  <c r="J53" i="3" s="1"/>
  <c r="C53" i="3" s="1"/>
  <c r="E85" i="3"/>
  <c r="K53" i="3" s="1"/>
  <c r="E53" i="3" s="1"/>
  <c r="F85" i="3"/>
  <c r="L53" i="3" s="1"/>
  <c r="F53" i="3" s="1"/>
  <c r="G85" i="3"/>
  <c r="C86" i="3"/>
  <c r="J54" i="3" s="1"/>
  <c r="C54" i="3" s="1"/>
  <c r="E86" i="3"/>
  <c r="K54" i="3" s="1"/>
  <c r="E54" i="3" s="1"/>
  <c r="F86" i="3"/>
  <c r="L54" i="3" s="1"/>
  <c r="F54" i="3" s="1"/>
  <c r="G86" i="3"/>
  <c r="C87" i="3"/>
  <c r="J55" i="3" s="1"/>
  <c r="C55" i="3" s="1"/>
  <c r="E87" i="3"/>
  <c r="K55" i="3" s="1"/>
  <c r="E55" i="3" s="1"/>
  <c r="F87" i="3"/>
  <c r="L55" i="3" s="1"/>
  <c r="F55" i="3" s="1"/>
  <c r="G87" i="3"/>
  <c r="C131" i="3"/>
  <c r="D131" i="3"/>
  <c r="D82" i="3" s="1"/>
  <c r="G50" i="3" s="1"/>
  <c r="E131" i="3"/>
  <c r="F131" i="3"/>
  <c r="G131" i="3"/>
  <c r="C132" i="3"/>
  <c r="D132" i="3"/>
  <c r="D83" i="3" s="1"/>
  <c r="G51" i="3" s="1"/>
  <c r="E132" i="3"/>
  <c r="F132" i="3"/>
  <c r="G132" i="3"/>
  <c r="C133" i="3"/>
  <c r="D133" i="3"/>
  <c r="D84" i="3" s="1"/>
  <c r="G52" i="3" s="1"/>
  <c r="E133" i="3"/>
  <c r="F133" i="3"/>
  <c r="G133" i="3"/>
  <c r="C134" i="3"/>
  <c r="D134" i="3"/>
  <c r="D85" i="3" s="1"/>
  <c r="G53" i="3" s="1"/>
  <c r="E134" i="3"/>
  <c r="F134" i="3"/>
  <c r="G134" i="3"/>
  <c r="C135" i="3"/>
  <c r="D135" i="3"/>
  <c r="D86" i="3" s="1"/>
  <c r="G54" i="3" s="1"/>
  <c r="E135" i="3"/>
  <c r="F135" i="3"/>
  <c r="G135" i="3"/>
  <c r="C136" i="3"/>
  <c r="D136" i="3"/>
  <c r="D87" i="3" s="1"/>
  <c r="G55" i="3" s="1"/>
  <c r="E136" i="3"/>
  <c r="F136" i="3"/>
  <c r="G136" i="3"/>
  <c r="L41" i="3" l="1"/>
  <c r="F41" i="3" s="1"/>
  <c r="L38" i="3"/>
  <c r="F38" i="3" s="1"/>
  <c r="L34" i="3"/>
  <c r="F34" i="3" s="1"/>
  <c r="L31" i="3"/>
  <c r="F31" i="3" s="1"/>
  <c r="L28" i="3"/>
  <c r="F28" i="3" s="1"/>
  <c r="L26" i="3"/>
  <c r="F26" i="3" s="1"/>
  <c r="L24" i="3"/>
  <c r="F24" i="3" s="1"/>
  <c r="L23" i="3"/>
  <c r="F23" i="3" s="1"/>
  <c r="K41" i="3"/>
  <c r="E41" i="3" s="1"/>
  <c r="K40" i="3"/>
  <c r="E40" i="3" s="1"/>
  <c r="K39" i="3"/>
  <c r="E39" i="3" s="1"/>
  <c r="K38" i="3"/>
  <c r="E38" i="3" s="1"/>
  <c r="K37" i="3"/>
  <c r="E37" i="3" s="1"/>
  <c r="K36" i="3"/>
  <c r="E36" i="3" s="1"/>
  <c r="K35" i="3"/>
  <c r="E35" i="3" s="1"/>
  <c r="K34" i="3"/>
  <c r="E34" i="3" s="1"/>
  <c r="K33" i="3"/>
  <c r="E33" i="3" s="1"/>
  <c r="K32" i="3"/>
  <c r="E32" i="3" s="1"/>
  <c r="K31" i="3"/>
  <c r="E31" i="3" s="1"/>
  <c r="K30" i="3"/>
  <c r="E30" i="3" s="1"/>
  <c r="K29" i="3"/>
  <c r="E29" i="3" s="1"/>
  <c r="K28" i="3"/>
  <c r="E28" i="3" s="1"/>
  <c r="K27" i="3"/>
  <c r="E27" i="3" s="1"/>
  <c r="K26" i="3"/>
  <c r="E26" i="3" s="1"/>
  <c r="K25" i="3"/>
  <c r="E25" i="3" s="1"/>
  <c r="K24" i="3"/>
  <c r="E24" i="3" s="1"/>
  <c r="K23" i="3"/>
  <c r="E23" i="3" s="1"/>
  <c r="K22" i="3"/>
  <c r="E22" i="3" s="1"/>
  <c r="K21" i="3"/>
  <c r="E21" i="3" s="1"/>
  <c r="L39" i="3"/>
  <c r="F39" i="3" s="1"/>
  <c r="L37" i="3"/>
  <c r="F37" i="3" s="1"/>
  <c r="L35" i="3"/>
  <c r="F35" i="3" s="1"/>
  <c r="L32" i="3"/>
  <c r="F32" i="3" s="1"/>
  <c r="L30" i="3"/>
  <c r="F30" i="3" s="1"/>
  <c r="L27" i="3"/>
  <c r="F27" i="3" s="1"/>
  <c r="L25" i="3"/>
  <c r="F25" i="3" s="1"/>
  <c r="L21" i="3"/>
  <c r="F21" i="3" s="1"/>
  <c r="J41" i="3"/>
  <c r="C41" i="3" s="1"/>
  <c r="J40" i="3"/>
  <c r="C40" i="3" s="1"/>
  <c r="J39" i="3"/>
  <c r="C39" i="3" s="1"/>
  <c r="J38" i="3"/>
  <c r="C38" i="3" s="1"/>
  <c r="J37" i="3"/>
  <c r="C37" i="3" s="1"/>
  <c r="J36" i="3"/>
  <c r="C36" i="3" s="1"/>
  <c r="J35" i="3"/>
  <c r="C35" i="3" s="1"/>
  <c r="J34" i="3"/>
  <c r="C34" i="3" s="1"/>
  <c r="J33" i="3"/>
  <c r="C33" i="3" s="1"/>
  <c r="J32" i="3"/>
  <c r="C32" i="3" s="1"/>
  <c r="J31" i="3"/>
  <c r="C31" i="3" s="1"/>
  <c r="J30" i="3"/>
  <c r="C30" i="3" s="1"/>
  <c r="J29" i="3"/>
  <c r="C29" i="3" s="1"/>
  <c r="J28" i="3"/>
  <c r="C28" i="3" s="1"/>
  <c r="J27" i="3"/>
  <c r="C27" i="3" s="1"/>
  <c r="J26" i="3"/>
  <c r="C26" i="3" s="1"/>
  <c r="J25" i="3"/>
  <c r="C25" i="3" s="1"/>
  <c r="J24" i="3"/>
  <c r="C24" i="3" s="1"/>
  <c r="J23" i="3"/>
  <c r="C23" i="3" s="1"/>
  <c r="J22" i="3"/>
  <c r="C22" i="3" s="1"/>
  <c r="J21" i="3"/>
  <c r="C21" i="3" s="1"/>
  <c r="L40" i="3"/>
  <c r="F40" i="3" s="1"/>
  <c r="L36" i="3"/>
  <c r="F36" i="3" s="1"/>
  <c r="L33" i="3"/>
  <c r="F33" i="3" s="1"/>
  <c r="L29" i="3"/>
  <c r="F29" i="3" s="1"/>
  <c r="L22" i="3"/>
  <c r="F22" i="3" s="1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J18" i="3"/>
  <c r="C18" i="3" s="1"/>
  <c r="J20" i="3"/>
  <c r="C20" i="3" s="1"/>
  <c r="G17" i="3"/>
  <c r="J19" i="3"/>
  <c r="C19" i="3" s="1"/>
  <c r="L16" i="3"/>
  <c r="F16" i="3" s="1"/>
  <c r="L18" i="3"/>
  <c r="F18" i="3" s="1"/>
  <c r="J16" i="3"/>
  <c r="C16" i="3" s="1"/>
  <c r="L20" i="3"/>
  <c r="F20" i="3" s="1"/>
  <c r="L19" i="3"/>
  <c r="F19" i="3" s="1"/>
  <c r="G20" i="3"/>
  <c r="G16" i="3"/>
  <c r="K17" i="3"/>
  <c r="E17" i="3" s="1"/>
  <c r="K15" i="3"/>
  <c r="E15" i="3" s="1"/>
  <c r="G19" i="3"/>
  <c r="G18" i="3"/>
  <c r="J15" i="3"/>
  <c r="C15" i="3" s="1"/>
  <c r="G15" i="3"/>
  <c r="K20" i="3"/>
  <c r="E20" i="3" s="1"/>
  <c r="K19" i="3"/>
  <c r="E19" i="3" s="1"/>
  <c r="K18" i="3"/>
  <c r="E18" i="3" s="1"/>
  <c r="L17" i="3"/>
  <c r="F17" i="3" s="1"/>
  <c r="K16" i="3"/>
  <c r="E16" i="3" s="1"/>
  <c r="L15" i="3"/>
  <c r="F15" i="3" s="1"/>
  <c r="J17" i="3"/>
  <c r="C17" i="3" s="1"/>
  <c r="G81" i="3"/>
  <c r="F81" i="3"/>
  <c r="L14" i="3" s="1"/>
  <c r="E81" i="3"/>
  <c r="K14" i="3" s="1"/>
  <c r="E14" i="3" s="1"/>
  <c r="C81" i="3"/>
  <c r="G130" i="3"/>
  <c r="F130" i="3"/>
  <c r="E130" i="3"/>
  <c r="D130" i="3"/>
  <c r="D81" i="3" s="1"/>
  <c r="C130" i="3"/>
  <c r="L21" i="4" l="1"/>
  <c r="K21" i="4"/>
  <c r="M21" i="4" l="1"/>
  <c r="N21" i="4" s="1"/>
  <c r="G49" i="3" l="1"/>
  <c r="L49" i="3"/>
  <c r="F49" i="3" s="1"/>
  <c r="J49" i="3" l="1"/>
  <c r="I81" i="3"/>
  <c r="J81" i="3" s="1"/>
  <c r="K49" i="3"/>
  <c r="E49" i="3" s="1"/>
  <c r="I130" i="3"/>
  <c r="J130" i="3" s="1"/>
  <c r="G14" i="3"/>
  <c r="F14" i="3"/>
  <c r="C49" i="3" l="1"/>
  <c r="J14" i="3"/>
  <c r="C14" i="3" s="1"/>
  <c r="J111" i="3"/>
  <c r="K130" i="3"/>
  <c r="J161" i="3"/>
  <c r="O5" i="3"/>
  <c r="K161" i="3" l="1"/>
  <c r="N5" i="3"/>
  <c r="M5" i="3"/>
  <c r="L5" i="3"/>
  <c r="D123" i="3" l="1"/>
  <c r="D7" i="3"/>
  <c r="E121" i="3"/>
  <c r="E5" i="3"/>
  <c r="E123" i="3"/>
  <c r="E7" i="3"/>
  <c r="E120" i="3"/>
  <c r="E4" i="3"/>
</calcChain>
</file>

<file path=xl/sharedStrings.xml><?xml version="1.0" encoding="utf-8"?>
<sst xmlns="http://schemas.openxmlformats.org/spreadsheetml/2006/main" count="303" uniqueCount="146">
  <si>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</si>
  <si>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</si>
  <si>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</si>
  <si>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</si>
  <si>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</si>
  <si>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</si>
  <si>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</si>
  <si>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</si>
  <si>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</si>
  <si>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</si>
  <si>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</si>
  <si>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</si>
  <si>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</si>
  <si>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</si>
  <si>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</si>
  <si>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</si>
  <si>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</si>
  <si>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</si>
  <si>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</si>
  <si>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</si>
  <si>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</si>
  <si>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</si>
  <si>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</si>
  <si>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</si>
  <si>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</si>
  <si>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</si>
  <si>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</si>
  <si>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</si>
  <si>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</si>
  <si>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</si>
  <si>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</si>
  <si>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</si>
  <si>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</si>
  <si>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</si>
  <si>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</si>
  <si>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</si>
  <si>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</si>
  <si>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</si>
  <si>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</si>
  <si>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</si>
  <si>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</si>
  <si>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</si>
  <si>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</si>
  <si>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</si>
  <si>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</si>
  <si>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</si>
  <si>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</si>
  <si>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</si>
  <si>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</si>
  <si>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</si>
  <si>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</si>
  <si>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</si>
  <si>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</si>
  <si>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</si>
  <si>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</si>
  <si>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</si>
  <si>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</si>
  <si>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</si>
  <si>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</si>
  <si>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</si>
  <si>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</si>
  <si>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</si>
  <si>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</si>
  <si>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</si>
  <si>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</si>
  <si>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</si>
  <si>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</si>
  <si>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</si>
  <si>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</si>
  <si>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</si>
  <si>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</si>
  <si>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</si>
  <si>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</si>
  <si>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</si>
  <si>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</si>
  <si>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</si>
  <si>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</si>
  <si>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</si>
  <si>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</si>
  <si>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</si>
  <si>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</si>
  <si>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</si>
  <si>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</si>
  <si>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</si>
  <si>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</si>
  <si>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</si>
  <si>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</si>
  <si>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</si>
  <si>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</si>
  <si>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</si>
  <si>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</si>
  <si>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</si>
  <si>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</si>
  <si>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</si>
  <si>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</si>
  <si>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</si>
  <si>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</si>
  <si>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</si>
  <si>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</si>
  <si>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</si>
  <si>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</si>
  <si>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</si>
  <si>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</si>
  <si>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</si>
  <si>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</si>
  <si>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</si>
  <si>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</si>
  <si>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</si>
  <si>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</si>
  <si>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</si>
  <si>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</si>
  <si>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</si>
  <si>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</si>
  <si>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</si>
  <si>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</si>
  <si>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</si>
  <si>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</si>
  <si>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</si>
  <si>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</si>
  <si>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</si>
  <si>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</si>
  <si>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</si>
  <si>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</si>
  <si>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</si>
  <si>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</si>
  <si>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</si>
  <si>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</si>
  <si>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</si>
  <si>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</si>
  <si>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</si>
  <si>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</si>
  <si>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</si>
  <si>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</si>
  <si>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</si>
  <si>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</si>
  <si>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</si>
  <si>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SANTIAGO</t>
  </si>
  <si>
    <t>MELAMIL 18MM</t>
  </si>
  <si>
    <t>N° 12056</t>
  </si>
  <si>
    <t>MUEBLERIA VALENTINA</t>
  </si>
  <si>
    <t>MANUEL VALENZUELA</t>
  </si>
  <si>
    <t>+569 7220 1095</t>
  </si>
  <si>
    <t>NEUTRAL OAK 1498 MT</t>
  </si>
  <si>
    <t>VAINILLA 2109 BR</t>
  </si>
  <si>
    <t>IVA</t>
  </si>
  <si>
    <t>PR12  2 CARAS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</si>
</sst>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sz val="12"/>
      <color rgb="FF000000"/>
      <name val="Segoe U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5" fillId="3" borderId="0" xfId="2" applyFill="1" applyBorder="1"/>
    <xf numFmtId="0" fontId="18" fillId="0" borderId="0" xfId="0" quotePrefix="1" applyFont="1" applyAlignment="1">
      <alignment horizontal="left"/>
    </xf>
    <xf numFmtId="0" fontId="19" fillId="3" borderId="0" xfId="0" applyFont="1" applyFill="1"/>
    <xf numFmtId="0" fontId="2" fillId="3" borderId="6" xfId="0" applyFont="1" applyFill="1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0" fontId="20" fillId="3" borderId="0" xfId="0" applyFont="1" applyFill="1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42" fontId="22" fillId="0" borderId="12" xfId="3" applyFont="1" applyFill="1" applyBorder="1"/>
    <xf numFmtId="3" fontId="2" fillId="9" borderId="13" xfId="0" applyNumberFormat="1" applyFont="1" applyFill="1" applyBorder="1" applyAlignment="1">
      <alignment horizontal="center"/>
    </xf>
    <xf numFmtId="42" fontId="22" fillId="9" borderId="27" xfId="3" applyFont="1" applyFill="1" applyBorder="1"/>
    <xf numFmtId="0" fontId="2" fillId="0" borderId="14" xfId="0" applyFont="1" applyBorder="1" applyAlignment="1">
      <alignment horizontal="center"/>
    </xf>
    <xf numFmtId="42" fontId="22" fillId="0" borderId="26" xfId="3" applyFont="1" applyFill="1" applyBorder="1"/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50</xdr:row>
      <xdr:rowOff>7776</xdr:rowOff>
    </xdr:from>
    <xdr:to>
      <xdr:col>5</xdr:col>
      <xdr:colOff>1539552</xdr:colOff>
      <xdr:row>53</xdr:row>
      <xdr:rowOff>202165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12106470"/>
          <a:ext cx="5920898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1</a:t>
          </a:r>
          <a:r>
            <a:rPr lang="es-CL" sz="1200" b="1" i="0" baseline="0"/>
            <a:t> $ 250.000.- MAS ABONO 2 $ 750.000.-</a:t>
          </a:r>
          <a:r>
            <a:rPr lang="es-CL" sz="1200" b="1" i="0"/>
            <a:t>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64</xdr:row>
      <xdr:rowOff>0</xdr:rowOff>
    </xdr:from>
    <xdr:to>
      <xdr:col>4</xdr:col>
      <xdr:colOff>369336</xdr:colOff>
      <xdr:row>64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66</xdr:row>
      <xdr:rowOff>1</xdr:rowOff>
    </xdr:from>
    <xdr:to>
      <xdr:col>4</xdr:col>
      <xdr:colOff>349897</xdr:colOff>
      <xdr:row>66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43</xdr:row>
      <xdr:rowOff>66674</xdr:rowOff>
    </xdr:from>
    <xdr:to>
      <xdr:col>6</xdr:col>
      <xdr:colOff>2914649</xdr:colOff>
      <xdr:row>45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124</xdr:row>
      <xdr:rowOff>190500</xdr:rowOff>
    </xdr:from>
    <xdr:to>
      <xdr:col>7</xdr:col>
      <xdr:colOff>9524</xdr:colOff>
      <xdr:row>126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121</xdr:row>
      <xdr:rowOff>30479</xdr:rowOff>
    </xdr:from>
    <xdr:to>
      <xdr:col>6</xdr:col>
      <xdr:colOff>2912745</xdr:colOff>
      <xdr:row>122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119</xdr:row>
      <xdr:rowOff>209549</xdr:rowOff>
    </xdr:from>
    <xdr:to>
      <xdr:col>7</xdr:col>
      <xdr:colOff>0</xdr:colOff>
      <xdr:row>121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118</xdr:row>
      <xdr:rowOff>171450</xdr:rowOff>
    </xdr:from>
    <xdr:to>
      <xdr:col>7</xdr:col>
      <xdr:colOff>19050</xdr:colOff>
      <xdr:row>119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159</xdr:row>
      <xdr:rowOff>0</xdr:rowOff>
    </xdr:from>
    <xdr:to>
      <xdr:col>3</xdr:col>
      <xdr:colOff>38100</xdr:colOff>
      <xdr:row>160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159</xdr:row>
      <xdr:rowOff>0</xdr:rowOff>
    </xdr:from>
    <xdr:to>
      <xdr:col>3</xdr:col>
      <xdr:colOff>1019175</xdr:colOff>
      <xdr:row>160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159</xdr:row>
      <xdr:rowOff>0</xdr:rowOff>
    </xdr:from>
    <xdr:to>
      <xdr:col>4</xdr:col>
      <xdr:colOff>352425</xdr:colOff>
      <xdr:row>160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159</xdr:row>
      <xdr:rowOff>0</xdr:rowOff>
    </xdr:from>
    <xdr:to>
      <xdr:col>5</xdr:col>
      <xdr:colOff>257175</xdr:colOff>
      <xdr:row>160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159</xdr:row>
      <xdr:rowOff>0</xdr:rowOff>
    </xdr:from>
    <xdr:to>
      <xdr:col>6</xdr:col>
      <xdr:colOff>447675</xdr:colOff>
      <xdr:row>160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159</xdr:row>
      <xdr:rowOff>0</xdr:rowOff>
    </xdr:from>
    <xdr:to>
      <xdr:col>7</xdr:col>
      <xdr:colOff>0</xdr:colOff>
      <xdr:row>160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160</xdr:row>
      <xdr:rowOff>0</xdr:rowOff>
    </xdr:from>
    <xdr:to>
      <xdr:col>3</xdr:col>
      <xdr:colOff>304800</xdr:colOff>
      <xdr:row>161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160</xdr:row>
      <xdr:rowOff>0</xdr:rowOff>
    </xdr:from>
    <xdr:to>
      <xdr:col>3</xdr:col>
      <xdr:colOff>1276350</xdr:colOff>
      <xdr:row>161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160</xdr:row>
      <xdr:rowOff>0</xdr:rowOff>
    </xdr:from>
    <xdr:to>
      <xdr:col>4</xdr:col>
      <xdr:colOff>619125</xdr:colOff>
      <xdr:row>161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160</xdr:row>
      <xdr:rowOff>0</xdr:rowOff>
    </xdr:from>
    <xdr:to>
      <xdr:col>5</xdr:col>
      <xdr:colOff>523875</xdr:colOff>
      <xdr:row>161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160</xdr:row>
      <xdr:rowOff>0</xdr:rowOff>
    </xdr:from>
    <xdr:to>
      <xdr:col>6</xdr:col>
      <xdr:colOff>723900</xdr:colOff>
      <xdr:row>161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160</xdr:row>
      <xdr:rowOff>0</xdr:rowOff>
    </xdr:from>
    <xdr:to>
      <xdr:col>7</xdr:col>
      <xdr:colOff>0</xdr:colOff>
      <xdr:row>161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110</xdr:row>
      <xdr:rowOff>15239</xdr:rowOff>
    </xdr:from>
    <xdr:to>
      <xdr:col>7</xdr:col>
      <xdr:colOff>0</xdr:colOff>
      <xdr:row>114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ENCHAPAR CON TAPACANTO PVC 0,45MM SEGUN COLOR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77</xdr:row>
      <xdr:rowOff>1</xdr:rowOff>
    </xdr:from>
    <xdr:to>
      <xdr:col>7</xdr:col>
      <xdr:colOff>19048</xdr:colOff>
      <xdr:row>78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162</xdr:row>
      <xdr:rowOff>32385</xdr:rowOff>
    </xdr:from>
    <xdr:to>
      <xdr:col>7</xdr:col>
      <xdr:colOff>7620</xdr:colOff>
      <xdr:row>166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ECNHAPADAS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 TAPACANTO PVC 0,45MM SEGUN COLOR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118</xdr:row>
      <xdr:rowOff>146685</xdr:rowOff>
    </xdr:from>
    <xdr:to>
      <xdr:col>2</xdr:col>
      <xdr:colOff>778903</xdr:colOff>
      <xdr:row>124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398145</xdr:colOff>
      <xdr:row>7</xdr:row>
      <xdr:rowOff>167640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168</xdr:row>
      <xdr:rowOff>0</xdr:rowOff>
    </xdr:from>
    <xdr:to>
      <xdr:col>4</xdr:col>
      <xdr:colOff>304800</xdr:colOff>
      <xdr:row>169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0"/>
  <sheetViews>
    <sheetView topLeftCell="A23" zoomScale="98" zoomScaleNormal="98" workbookViewId="0">
      <selection activeCell="C30" sqref="C30:C4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138</v>
      </c>
      <c r="E8" s="29"/>
      <c r="F8" s="34" t="s">
        <v>25</v>
      </c>
      <c r="G8" s="35">
        <v>4250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139</v>
      </c>
      <c r="D10" s="38"/>
      <c r="E10" s="38"/>
      <c r="F10" s="39" t="s">
        <v>26</v>
      </c>
      <c r="G10" s="40">
        <v>46118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/>
      <c r="H11" s="45"/>
      <c r="I11" s="29"/>
    </row>
    <row r="12" spans="1:17" ht="19.2" x14ac:dyDescent="0.45">
      <c r="A12" s="29"/>
      <c r="B12" s="113" t="s">
        <v>126</v>
      </c>
      <c r="C12" s="116" t="s">
        <v>140</v>
      </c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110"/>
      <c r="D13" s="47"/>
      <c r="E13" s="47"/>
      <c r="F13" s="47" t="s">
        <v>124</v>
      </c>
      <c r="G13" s="48" t="s">
        <v>134</v>
      </c>
      <c r="H13" s="49"/>
      <c r="I13" s="29"/>
    </row>
    <row r="14" spans="1:17" ht="18" x14ac:dyDescent="0.35">
      <c r="A14" s="29"/>
      <c r="B14" s="42" t="s">
        <v>16</v>
      </c>
      <c r="C14" s="111" t="s">
        <v>141</v>
      </c>
      <c r="D14" s="50"/>
      <c r="E14" s="43"/>
      <c r="F14" s="43"/>
      <c r="G14" s="43"/>
      <c r="H14" s="45"/>
      <c r="I14" s="29"/>
    </row>
    <row r="15" spans="1:17" ht="18.600000000000001" x14ac:dyDescent="0.4">
      <c r="A15" s="29"/>
      <c r="B15" s="113" t="s">
        <v>1</v>
      </c>
      <c r="C15" s="112"/>
      <c r="D15" s="47"/>
      <c r="E15" s="47"/>
      <c r="F15" s="51" t="s">
        <v>72</v>
      </c>
      <c r="G15" s="51" t="s">
        <v>129</v>
      </c>
      <c r="H15" s="49"/>
      <c r="I15" s="29"/>
    </row>
    <row r="16" spans="1:17" ht="18.600000000000001" thickBot="1" x14ac:dyDescent="0.4">
      <c r="A16" s="29"/>
      <c r="B16" s="52" t="s">
        <v>3</v>
      </c>
      <c r="C16" s="53" t="s">
        <v>136</v>
      </c>
      <c r="D16" s="54"/>
      <c r="E16" s="55"/>
      <c r="F16" s="124" t="s">
        <v>17</v>
      </c>
      <c r="G16" s="124"/>
      <c r="H16" s="125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6" t="s">
        <v>18</v>
      </c>
      <c r="C19" s="127"/>
      <c r="D19" s="127"/>
      <c r="E19" s="127"/>
      <c r="F19" s="127"/>
      <c r="G19" s="127"/>
      <c r="H19" s="128"/>
      <c r="I19" s="29"/>
    </row>
    <row r="20" spans="1:16" ht="20.100000000000001" customHeight="1" x14ac:dyDescent="0.35">
      <c r="A20" s="29"/>
      <c r="B20" s="56" t="s">
        <v>128</v>
      </c>
      <c r="C20" s="107" t="s">
        <v>19</v>
      </c>
      <c r="D20" s="107" t="s">
        <v>20</v>
      </c>
      <c r="E20" s="107" t="s">
        <v>7</v>
      </c>
      <c r="F20" s="108" t="s">
        <v>21</v>
      </c>
      <c r="G20" s="56" t="s">
        <v>22</v>
      </c>
      <c r="H20" s="108" t="s">
        <v>4</v>
      </c>
      <c r="I20" s="29"/>
      <c r="N20">
        <v>65000</v>
      </c>
    </row>
    <row r="21" spans="1:16" ht="20.100000000000001" customHeight="1" x14ac:dyDescent="0.35">
      <c r="A21" s="29"/>
      <c r="B21" s="95">
        <v>2</v>
      </c>
      <c r="C21" s="131" t="s">
        <v>145</v>
      </c>
      <c r="D21" s="96">
        <v>500</v>
      </c>
      <c r="E21" s="96">
        <v>480</v>
      </c>
      <c r="F21" s="95" t="s">
        <v>142</v>
      </c>
      <c r="G21" s="106">
        <v>35395</v>
      </c>
      <c r="H21" s="106">
        <f>G21*B21</f>
        <v>70790</v>
      </c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29"/>
      <c r="B22" s="95">
        <v>1</v>
      </c>
      <c r="C22" s="131" t="s">
        <v>145</v>
      </c>
      <c r="D22" s="96">
        <v>760</v>
      </c>
      <c r="E22" s="96">
        <v>427</v>
      </c>
      <c r="F22" s="95" t="s">
        <v>142</v>
      </c>
      <c r="G22" s="106">
        <v>45441</v>
      </c>
      <c r="H22" s="106">
        <f t="shared" ref="H22:H48" si="0">G22*B22</f>
        <v>45441</v>
      </c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95">
        <v>1</v>
      </c>
      <c r="C23" s="131" t="s">
        <v>145</v>
      </c>
      <c r="D23" s="96">
        <v>760</v>
      </c>
      <c r="E23" s="96">
        <v>715</v>
      </c>
      <c r="F23" s="95" t="s">
        <v>142</v>
      </c>
      <c r="G23" s="106">
        <v>74066</v>
      </c>
      <c r="H23" s="106">
        <f t="shared" si="0"/>
        <v>74066</v>
      </c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95">
        <v>1</v>
      </c>
      <c r="C24" s="131" t="s">
        <v>145</v>
      </c>
      <c r="D24" s="96">
        <v>760</v>
      </c>
      <c r="E24" s="96">
        <v>270</v>
      </c>
      <c r="F24" s="95" t="s">
        <v>142</v>
      </c>
      <c r="G24" s="106">
        <v>29836</v>
      </c>
      <c r="H24" s="106">
        <f t="shared" si="0"/>
        <v>29836</v>
      </c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95">
        <v>3</v>
      </c>
      <c r="C25" s="131" t="s">
        <v>145</v>
      </c>
      <c r="D25" s="96">
        <v>760</v>
      </c>
      <c r="E25" s="96">
        <v>477</v>
      </c>
      <c r="F25" s="95" t="s">
        <v>142</v>
      </c>
      <c r="G25" s="106">
        <v>50411</v>
      </c>
      <c r="H25" s="106">
        <f t="shared" si="0"/>
        <v>151233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95">
        <v>2</v>
      </c>
      <c r="C26" s="131" t="s">
        <v>145</v>
      </c>
      <c r="D26" s="96">
        <v>760</v>
      </c>
      <c r="E26" s="96">
        <v>472</v>
      </c>
      <c r="F26" s="95" t="s">
        <v>142</v>
      </c>
      <c r="G26" s="106">
        <v>49914</v>
      </c>
      <c r="H26" s="106">
        <f t="shared" si="0"/>
        <v>99828</v>
      </c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95">
        <v>2</v>
      </c>
      <c r="C27" s="131" t="s">
        <v>145</v>
      </c>
      <c r="D27" s="96">
        <v>760</v>
      </c>
      <c r="E27" s="96">
        <v>446</v>
      </c>
      <c r="F27" s="95" t="s">
        <v>142</v>
      </c>
      <c r="G27" s="106">
        <v>47329</v>
      </c>
      <c r="H27" s="106">
        <f t="shared" si="0"/>
        <v>94658</v>
      </c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95">
        <v>1</v>
      </c>
      <c r="C28" s="131" t="s">
        <v>145</v>
      </c>
      <c r="D28" s="96">
        <v>760</v>
      </c>
      <c r="E28" s="96">
        <v>595</v>
      </c>
      <c r="F28" s="95" t="s">
        <v>142</v>
      </c>
      <c r="G28" s="106">
        <v>62139</v>
      </c>
      <c r="H28" s="106">
        <f t="shared" si="0"/>
        <v>62139</v>
      </c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95">
        <v>1</v>
      </c>
      <c r="C29" s="131" t="s">
        <v>145</v>
      </c>
      <c r="D29" s="96">
        <v>760</v>
      </c>
      <c r="E29" s="96">
        <v>620</v>
      </c>
      <c r="F29" s="95" t="s">
        <v>142</v>
      </c>
      <c r="G29" s="106">
        <v>64624</v>
      </c>
      <c r="H29" s="106">
        <f t="shared" si="0"/>
        <v>64624</v>
      </c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95">
        <v>2</v>
      </c>
      <c r="C30" s="131" t="s">
        <v>62</v>
      </c>
      <c r="D30" s="96">
        <v>1120</v>
      </c>
      <c r="E30" s="96">
        <v>319</v>
      </c>
      <c r="F30" s="95" t="s">
        <v>143</v>
      </c>
      <c r="G30" s="106">
        <v>29071</v>
      </c>
      <c r="H30" s="106">
        <f t="shared" si="0"/>
        <v>58142</v>
      </c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95">
        <v>2</v>
      </c>
      <c r="C31" s="131" t="s">
        <v>62</v>
      </c>
      <c r="D31" s="96">
        <v>630</v>
      </c>
      <c r="E31" s="96">
        <v>321</v>
      </c>
      <c r="F31" s="95" t="s">
        <v>143</v>
      </c>
      <c r="G31" s="106">
        <v>18247</v>
      </c>
      <c r="H31" s="106">
        <f t="shared" si="0"/>
        <v>36494</v>
      </c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95">
        <v>1</v>
      </c>
      <c r="C32" s="131" t="s">
        <v>62</v>
      </c>
      <c r="D32" s="96">
        <v>600</v>
      </c>
      <c r="E32" s="96">
        <v>640</v>
      </c>
      <c r="F32" s="95" t="s">
        <v>143</v>
      </c>
      <c r="G32" s="106">
        <v>32058</v>
      </c>
      <c r="H32" s="106">
        <f t="shared" si="0"/>
        <v>32058</v>
      </c>
      <c r="I32" s="29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29"/>
      <c r="B33" s="95">
        <v>2</v>
      </c>
      <c r="C33" s="131" t="s">
        <v>62</v>
      </c>
      <c r="D33" s="96">
        <v>840</v>
      </c>
      <c r="E33" s="96">
        <v>447</v>
      </c>
      <c r="F33" s="95" t="s">
        <v>143</v>
      </c>
      <c r="G33" s="106">
        <v>30789</v>
      </c>
      <c r="H33" s="106">
        <f t="shared" si="0"/>
        <v>61578</v>
      </c>
      <c r="I33" s="29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29"/>
      <c r="B34" s="95">
        <v>1</v>
      </c>
      <c r="C34" s="131" t="s">
        <v>62</v>
      </c>
      <c r="D34" s="96">
        <v>840</v>
      </c>
      <c r="E34" s="96">
        <v>620</v>
      </c>
      <c r="F34" s="95" t="s">
        <v>143</v>
      </c>
      <c r="G34" s="106">
        <v>41544</v>
      </c>
      <c r="H34" s="106">
        <f t="shared" si="0"/>
        <v>41544</v>
      </c>
      <c r="I34" s="29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29"/>
      <c r="B35" s="95">
        <v>4</v>
      </c>
      <c r="C35" s="131" t="s">
        <v>62</v>
      </c>
      <c r="D35" s="96">
        <v>840</v>
      </c>
      <c r="E35" s="96">
        <v>447</v>
      </c>
      <c r="F35" s="95" t="s">
        <v>143</v>
      </c>
      <c r="G35" s="106">
        <v>30789</v>
      </c>
      <c r="H35" s="106">
        <f t="shared" si="0"/>
        <v>123156</v>
      </c>
      <c r="I35" s="29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29"/>
      <c r="B36" s="95">
        <v>1</v>
      </c>
      <c r="C36" s="131" t="s">
        <v>62</v>
      </c>
      <c r="D36" s="96">
        <v>840</v>
      </c>
      <c r="E36" s="96">
        <v>620</v>
      </c>
      <c r="F36" s="95" t="s">
        <v>143</v>
      </c>
      <c r="G36" s="106">
        <v>41544</v>
      </c>
      <c r="H36" s="106">
        <f t="shared" si="0"/>
        <v>41544</v>
      </c>
      <c r="I36" s="29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29"/>
      <c r="B37" s="95">
        <v>4</v>
      </c>
      <c r="C37" s="131" t="s">
        <v>62</v>
      </c>
      <c r="D37" s="96">
        <v>840</v>
      </c>
      <c r="E37" s="96">
        <v>447</v>
      </c>
      <c r="F37" s="95" t="s">
        <v>143</v>
      </c>
      <c r="G37" s="106">
        <v>30789</v>
      </c>
      <c r="H37" s="106">
        <f t="shared" si="0"/>
        <v>123156</v>
      </c>
      <c r="I37" s="29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29"/>
      <c r="B38" s="95">
        <v>1</v>
      </c>
      <c r="C38" s="131" t="s">
        <v>62</v>
      </c>
      <c r="D38" s="96">
        <v>880</v>
      </c>
      <c r="E38" s="96">
        <v>640</v>
      </c>
      <c r="F38" s="95" t="s">
        <v>143</v>
      </c>
      <c r="G38" s="106">
        <v>44576</v>
      </c>
      <c r="H38" s="106">
        <f t="shared" si="0"/>
        <v>44576</v>
      </c>
      <c r="I38" s="29"/>
      <c r="K38" s="11"/>
      <c r="L38" s="15"/>
      <c r="M38" s="11"/>
      <c r="N38" s="11"/>
      <c r="O38" s="15"/>
      <c r="P38" s="21"/>
    </row>
    <row r="39" spans="1:16" ht="20.100000000000001" customHeight="1" x14ac:dyDescent="0.35">
      <c r="A39" s="29"/>
      <c r="B39" s="95">
        <v>2</v>
      </c>
      <c r="C39" s="131" t="s">
        <v>62</v>
      </c>
      <c r="D39" s="96">
        <v>2230</v>
      </c>
      <c r="E39" s="96">
        <v>495</v>
      </c>
      <c r="F39" s="95" t="s">
        <v>143</v>
      </c>
      <c r="G39" s="106">
        <v>81835</v>
      </c>
      <c r="H39" s="106">
        <f t="shared" si="0"/>
        <v>163670</v>
      </c>
      <c r="I39" s="29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29"/>
      <c r="B40" s="95">
        <v>2</v>
      </c>
      <c r="C40" s="131" t="s">
        <v>62</v>
      </c>
      <c r="D40" s="96">
        <v>760</v>
      </c>
      <c r="E40" s="96">
        <v>372</v>
      </c>
      <c r="F40" s="95" t="s">
        <v>143</v>
      </c>
      <c r="G40" s="106">
        <v>24048</v>
      </c>
      <c r="H40" s="106">
        <f t="shared" si="0"/>
        <v>48096</v>
      </c>
      <c r="I40" s="29"/>
      <c r="K40" s="11"/>
      <c r="L40" s="15"/>
      <c r="M40" s="11"/>
      <c r="N40" s="11"/>
      <c r="O40" s="15"/>
      <c r="P40" s="21"/>
    </row>
    <row r="41" spans="1:16" ht="20.100000000000001" customHeight="1" x14ac:dyDescent="0.35">
      <c r="A41" s="29"/>
      <c r="B41" s="95">
        <v>1</v>
      </c>
      <c r="C41" s="131" t="s">
        <v>62</v>
      </c>
      <c r="D41" s="96">
        <v>760</v>
      </c>
      <c r="E41" s="96">
        <v>505</v>
      </c>
      <c r="F41" s="95" t="s">
        <v>143</v>
      </c>
      <c r="G41" s="106">
        <v>31573</v>
      </c>
      <c r="H41" s="106">
        <f t="shared" si="0"/>
        <v>31573</v>
      </c>
      <c r="I41" s="29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29"/>
      <c r="B42" s="95">
        <v>1</v>
      </c>
      <c r="C42" s="131" t="s">
        <v>62</v>
      </c>
      <c r="D42" s="96">
        <v>760</v>
      </c>
      <c r="E42" s="96">
        <v>520</v>
      </c>
      <c r="F42" s="95" t="s">
        <v>143</v>
      </c>
      <c r="G42" s="106">
        <v>32422</v>
      </c>
      <c r="H42" s="106">
        <f t="shared" si="0"/>
        <v>32422</v>
      </c>
      <c r="I42" s="29"/>
      <c r="K42" s="11"/>
      <c r="L42" s="15"/>
      <c r="M42" s="11"/>
      <c r="N42" s="11"/>
      <c r="O42" s="15"/>
      <c r="P42" s="21"/>
    </row>
    <row r="43" spans="1:16" ht="20.100000000000001" customHeight="1" x14ac:dyDescent="0.35">
      <c r="A43" s="29"/>
      <c r="B43" s="95">
        <v>2</v>
      </c>
      <c r="C43" s="131" t="s">
        <v>62</v>
      </c>
      <c r="D43" s="96">
        <v>760</v>
      </c>
      <c r="E43" s="96">
        <v>302</v>
      </c>
      <c r="F43" s="95" t="s">
        <v>143</v>
      </c>
      <c r="G43" s="106">
        <v>20087</v>
      </c>
      <c r="H43" s="106">
        <f t="shared" si="0"/>
        <v>40174</v>
      </c>
      <c r="I43" s="29"/>
      <c r="K43" s="11"/>
      <c r="L43" s="15"/>
      <c r="M43" s="11"/>
      <c r="N43" s="11"/>
      <c r="O43" s="15"/>
      <c r="P43" s="21"/>
    </row>
    <row r="44" spans="1:16" ht="20.100000000000001" customHeight="1" x14ac:dyDescent="0.35">
      <c r="A44" s="29"/>
      <c r="B44" s="95">
        <v>2</v>
      </c>
      <c r="C44" s="131" t="s">
        <v>62</v>
      </c>
      <c r="D44" s="96">
        <v>460</v>
      </c>
      <c r="E44" s="96">
        <v>330</v>
      </c>
      <c r="F44" s="95" t="s">
        <v>143</v>
      </c>
      <c r="G44" s="106">
        <v>14756</v>
      </c>
      <c r="H44" s="106">
        <f t="shared" si="0"/>
        <v>29512</v>
      </c>
      <c r="I44" s="29"/>
      <c r="K44" s="11"/>
      <c r="L44" s="15"/>
      <c r="M44" s="11"/>
      <c r="N44" s="11"/>
      <c r="O44" s="15"/>
      <c r="P44" s="21"/>
    </row>
    <row r="45" spans="1:16" ht="20.100000000000001" customHeight="1" x14ac:dyDescent="0.35">
      <c r="A45" s="29"/>
      <c r="B45" s="95">
        <v>1</v>
      </c>
      <c r="C45" s="131" t="s">
        <v>62</v>
      </c>
      <c r="D45" s="96">
        <v>760</v>
      </c>
      <c r="E45" s="96">
        <v>495</v>
      </c>
      <c r="F45" s="95" t="s">
        <v>143</v>
      </c>
      <c r="G45" s="106">
        <v>31007</v>
      </c>
      <c r="H45" s="106">
        <f t="shared" si="0"/>
        <v>31007</v>
      </c>
      <c r="I45" s="29"/>
      <c r="K45" s="11"/>
      <c r="L45" s="15"/>
      <c r="M45" s="11"/>
      <c r="N45" s="11"/>
      <c r="O45" s="15"/>
      <c r="P45" s="21"/>
    </row>
    <row r="46" spans="1:16" ht="20.100000000000001" customHeight="1" x14ac:dyDescent="0.35">
      <c r="A46" s="29"/>
      <c r="B46" s="95">
        <v>2</v>
      </c>
      <c r="C46" s="131" t="s">
        <v>62</v>
      </c>
      <c r="D46" s="96">
        <v>760</v>
      </c>
      <c r="E46" s="96">
        <v>342</v>
      </c>
      <c r="F46" s="95" t="s">
        <v>143</v>
      </c>
      <c r="G46" s="106">
        <v>22350</v>
      </c>
      <c r="H46" s="106">
        <f t="shared" si="0"/>
        <v>44700</v>
      </c>
      <c r="I46" s="29"/>
      <c r="K46" s="11"/>
      <c r="L46" s="15"/>
      <c r="M46" s="11"/>
      <c r="N46" s="11"/>
      <c r="O46" s="15"/>
      <c r="P46" s="21"/>
    </row>
    <row r="47" spans="1:16" ht="20.100000000000001" customHeight="1" x14ac:dyDescent="0.35">
      <c r="A47" s="29"/>
      <c r="B47" s="95">
        <v>3</v>
      </c>
      <c r="C47" s="131" t="s">
        <v>62</v>
      </c>
      <c r="D47" s="96">
        <v>2230</v>
      </c>
      <c r="E47" s="96">
        <v>463</v>
      </c>
      <c r="F47" s="95" t="s">
        <v>143</v>
      </c>
      <c r="G47" s="106">
        <v>76739</v>
      </c>
      <c r="H47" s="106">
        <f t="shared" si="0"/>
        <v>230217</v>
      </c>
      <c r="I47" s="29"/>
      <c r="K47" s="11"/>
      <c r="L47" s="15"/>
      <c r="M47" s="11"/>
      <c r="N47" s="11"/>
      <c r="O47" s="15"/>
      <c r="P47" s="21"/>
    </row>
    <row r="48" spans="1:16" ht="20.100000000000001" customHeight="1" x14ac:dyDescent="0.35">
      <c r="A48" s="29"/>
      <c r="B48" s="95">
        <v>3</v>
      </c>
      <c r="C48" s="131" t="s">
        <v>62</v>
      </c>
      <c r="D48" s="96">
        <v>2300</v>
      </c>
      <c r="E48" s="96">
        <v>417</v>
      </c>
      <c r="F48" s="95" t="s">
        <v>143</v>
      </c>
      <c r="G48" s="106">
        <v>71452</v>
      </c>
      <c r="H48" s="106">
        <f t="shared" si="0"/>
        <v>214356</v>
      </c>
      <c r="I48" s="29"/>
      <c r="K48" s="11"/>
      <c r="L48" s="15"/>
      <c r="M48" s="11"/>
      <c r="N48" s="11"/>
      <c r="O48" s="15"/>
      <c r="P48" s="21"/>
    </row>
    <row r="49" spans="1:16" ht="20.100000000000001" customHeight="1" thickBot="1" x14ac:dyDescent="0.4">
      <c r="A49" s="29"/>
      <c r="B49" s="97"/>
      <c r="C49" s="97"/>
      <c r="D49" s="105"/>
      <c r="E49" s="105"/>
      <c r="F49" s="97"/>
      <c r="G49" s="99"/>
      <c r="H49" s="99"/>
      <c r="I49" s="29"/>
      <c r="K49" s="11"/>
      <c r="L49" s="15"/>
      <c r="M49" s="11"/>
      <c r="N49" s="11"/>
      <c r="O49" s="15"/>
      <c r="P49" s="21"/>
    </row>
    <row r="50" spans="1:16" ht="20.100000000000001" customHeight="1" x14ac:dyDescent="0.35">
      <c r="A50" s="29"/>
      <c r="B50" s="97"/>
      <c r="C50" s="97"/>
      <c r="D50" s="105"/>
      <c r="E50" s="105"/>
      <c r="F50" s="97"/>
      <c r="G50" s="132" t="s">
        <v>5</v>
      </c>
      <c r="H50" s="133">
        <f>SUM(H20:H48)</f>
        <v>2120590</v>
      </c>
      <c r="I50" s="29"/>
      <c r="K50" s="11"/>
      <c r="L50" s="15"/>
      <c r="M50" s="11"/>
      <c r="N50" s="11"/>
      <c r="O50" s="15"/>
      <c r="P50" s="21"/>
    </row>
    <row r="51" spans="1:16" ht="20.100000000000001" customHeight="1" x14ac:dyDescent="0.35">
      <c r="A51" s="29"/>
      <c r="B51" s="97"/>
      <c r="C51" s="97"/>
      <c r="D51" s="98"/>
      <c r="E51" s="98"/>
      <c r="F51" s="97"/>
      <c r="G51" s="134" t="s">
        <v>144</v>
      </c>
      <c r="H51" s="135"/>
      <c r="I51" s="29"/>
      <c r="K51" s="11"/>
      <c r="L51" s="15"/>
      <c r="M51" s="11"/>
      <c r="N51" s="11"/>
      <c r="O51" s="15"/>
      <c r="P51" s="21"/>
    </row>
    <row r="52" spans="1:16" ht="20.100000000000001" customHeight="1" thickBot="1" x14ac:dyDescent="0.4">
      <c r="A52" s="29"/>
      <c r="B52" s="97"/>
      <c r="C52" s="97"/>
      <c r="D52" s="98"/>
      <c r="E52" s="98"/>
      <c r="F52" s="97"/>
      <c r="G52" s="136" t="s">
        <v>4</v>
      </c>
      <c r="H52" s="137">
        <f>H50+H51</f>
        <v>2120590</v>
      </c>
      <c r="I52" s="29"/>
      <c r="K52" s="11"/>
      <c r="L52" s="15"/>
      <c r="M52" s="11"/>
      <c r="N52" s="11"/>
      <c r="O52" s="15"/>
      <c r="P52" s="21"/>
    </row>
    <row r="53" spans="1:16" ht="13.2" customHeight="1" x14ac:dyDescent="0.35">
      <c r="A53" s="29"/>
      <c r="B53" s="58"/>
      <c r="C53" s="58"/>
      <c r="D53" s="58"/>
      <c r="E53" s="58"/>
      <c r="F53" s="58"/>
      <c r="G53" s="57"/>
      <c r="H53" s="57"/>
      <c r="I53" s="29"/>
    </row>
    <row r="54" spans="1:16" ht="20.100000000000001" customHeight="1" x14ac:dyDescent="0.35">
      <c r="A54" s="29"/>
      <c r="B54" s="29"/>
      <c r="C54" s="29"/>
      <c r="D54" s="29"/>
      <c r="E54" s="29"/>
      <c r="F54" s="29"/>
      <c r="I54" s="29"/>
    </row>
    <row r="55" spans="1:16" ht="20.100000000000001" customHeight="1" x14ac:dyDescent="0.35">
      <c r="A55" s="29"/>
      <c r="B55" s="29"/>
      <c r="C55" s="29"/>
      <c r="D55" s="29"/>
      <c r="E55" s="29"/>
      <c r="F55" s="29"/>
      <c r="I55" s="29"/>
    </row>
    <row r="56" spans="1:16" ht="20.100000000000001" customHeight="1" x14ac:dyDescent="0.35">
      <c r="A56" s="29"/>
      <c r="B56" s="29"/>
      <c r="C56" s="29"/>
      <c r="D56" s="29"/>
      <c r="E56" s="29"/>
      <c r="F56" s="29"/>
      <c r="I56" s="29"/>
    </row>
    <row r="57" spans="1:16" ht="20.100000000000001" customHeight="1" x14ac:dyDescent="0.35">
      <c r="A57" s="29"/>
      <c r="B57" s="29"/>
      <c r="C57" s="29"/>
      <c r="D57" s="29"/>
      <c r="E57" s="29"/>
      <c r="F57" s="29"/>
      <c r="G57" s="59"/>
      <c r="H57" s="60"/>
      <c r="I57" s="29"/>
    </row>
    <row r="58" spans="1:16" ht="18" x14ac:dyDescent="0.35">
      <c r="A58" s="29"/>
      <c r="B58" s="29"/>
      <c r="C58" s="29"/>
      <c r="D58" s="29"/>
      <c r="E58" s="29"/>
      <c r="F58" s="29"/>
      <c r="G58" s="29"/>
      <c r="H58" s="29"/>
      <c r="I58" s="29"/>
    </row>
    <row r="59" spans="1:16" ht="18" x14ac:dyDescent="0.35">
      <c r="A59" s="29"/>
      <c r="B59" s="61" t="s">
        <v>133</v>
      </c>
      <c r="C59" s="62"/>
      <c r="D59" s="63"/>
      <c r="E59" s="63"/>
      <c r="F59" s="58"/>
      <c r="G59" s="29"/>
      <c r="H59" s="29"/>
      <c r="I59" s="29"/>
    </row>
    <row r="60" spans="1:16" ht="18" x14ac:dyDescent="0.35">
      <c r="A60" s="29"/>
      <c r="B60" s="61" t="s">
        <v>119</v>
      </c>
      <c r="C60" s="62"/>
      <c r="D60" s="63"/>
      <c r="E60" s="63"/>
      <c r="F60" s="58"/>
      <c r="G60" s="29"/>
      <c r="H60" s="29"/>
      <c r="I60" s="29"/>
    </row>
    <row r="61" spans="1:16" ht="18" x14ac:dyDescent="0.35">
      <c r="A61" s="29"/>
      <c r="B61" s="29" t="s">
        <v>23</v>
      </c>
      <c r="C61" s="29"/>
      <c r="D61" s="29"/>
      <c r="E61" s="29"/>
      <c r="F61" s="29"/>
      <c r="G61" s="29"/>
      <c r="H61" s="29"/>
      <c r="I61" s="29"/>
    </row>
    <row r="62" spans="1:16" ht="18" x14ac:dyDescent="0.35">
      <c r="A62" s="29"/>
      <c r="B62" s="64" t="s">
        <v>24</v>
      </c>
      <c r="C62" s="64"/>
      <c r="D62" s="29"/>
      <c r="E62" s="29"/>
      <c r="F62" s="29"/>
      <c r="G62" s="29"/>
      <c r="H62" s="29"/>
      <c r="I62" s="29"/>
    </row>
    <row r="63" spans="1:16" ht="18" x14ac:dyDescent="0.35">
      <c r="A63" s="29"/>
      <c r="B63" s="29"/>
      <c r="C63" s="29"/>
      <c r="D63" s="29"/>
      <c r="E63" s="64"/>
      <c r="F63" s="29"/>
      <c r="G63" s="29"/>
      <c r="H63" s="29"/>
      <c r="I63" s="29"/>
    </row>
    <row r="64" spans="1:16" ht="18" x14ac:dyDescent="0.35">
      <c r="A64" s="29"/>
      <c r="B64" s="30" t="s">
        <v>131</v>
      </c>
      <c r="C64" s="30"/>
      <c r="D64" s="30"/>
      <c r="E64" s="65"/>
      <c r="F64" s="29"/>
      <c r="G64" s="29"/>
      <c r="H64" s="29"/>
      <c r="I64" s="29"/>
    </row>
    <row r="65" spans="1:9" ht="18" x14ac:dyDescent="0.35">
      <c r="A65" s="29"/>
      <c r="B65" s="30"/>
      <c r="C65" s="30"/>
      <c r="D65" s="30"/>
      <c r="E65" s="65"/>
      <c r="F65" s="29"/>
      <c r="G65" s="29"/>
      <c r="H65" s="29"/>
      <c r="I65" s="29"/>
    </row>
    <row r="66" spans="1:9" ht="18" x14ac:dyDescent="0.35">
      <c r="A66" s="29"/>
      <c r="B66" s="30" t="s">
        <v>132</v>
      </c>
      <c r="C66" s="29"/>
      <c r="D66" s="29"/>
      <c r="E66" s="64"/>
      <c r="F66" s="29"/>
      <c r="G66" s="29"/>
      <c r="H66" s="29"/>
      <c r="I66" s="29"/>
    </row>
    <row r="67" spans="1:9" ht="18" x14ac:dyDescent="0.35">
      <c r="A67" s="29"/>
      <c r="B67" s="29"/>
      <c r="C67" s="29"/>
      <c r="D67" s="29"/>
      <c r="E67" s="64"/>
      <c r="F67" s="29"/>
      <c r="G67" s="29"/>
      <c r="H67" s="29"/>
      <c r="I67" s="29"/>
    </row>
    <row r="68" spans="1:9" ht="18" x14ac:dyDescent="0.35">
      <c r="A68" s="29"/>
      <c r="B68" s="29"/>
      <c r="C68" s="29"/>
      <c r="D68" s="29"/>
      <c r="E68" s="29"/>
      <c r="F68" s="29"/>
      <c r="G68" s="29"/>
      <c r="H68" s="29"/>
      <c r="I68" s="29"/>
    </row>
    <row r="69" spans="1:9" ht="18" x14ac:dyDescent="0.35">
      <c r="A69" s="29"/>
      <c r="B69" s="29"/>
      <c r="C69" s="29"/>
      <c r="D69" s="29"/>
      <c r="E69" s="29"/>
      <c r="F69" s="29"/>
      <c r="G69" s="29"/>
      <c r="H69" s="29"/>
      <c r="I69" s="29"/>
    </row>
    <row r="70" spans="1:9" ht="15.6" x14ac:dyDescent="0.3">
      <c r="C70" s="1"/>
    </row>
  </sheetData>
  <sortState xmlns:xlrd2="http://schemas.microsoft.com/office/spreadsheetml/2017/richdata2" ref="B71">
    <sortCondition sortBy="fontColor" ref="B71" dxfId="0"/>
  </sortState>
  <mergeCells count="2">
    <mergeCell ref="F16:H16"/>
    <mergeCell ref="B19:H19"/>
  </mergeCells>
  <phoneticPr fontId="8" type="noConversion"/>
  <hyperlinks>
    <hyperlink ref="B6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5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28</v>
      </c>
      <c r="C2" s="129"/>
      <c r="D2" s="129"/>
      <c r="E2" s="12"/>
      <c r="G2" s="129" t="s">
        <v>67</v>
      </c>
      <c r="H2" s="129"/>
      <c r="I2" s="129"/>
      <c r="P2" s="130" t="s">
        <v>55</v>
      </c>
      <c r="Q2" s="130"/>
      <c r="R2" s="130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0" t="s">
        <v>55</v>
      </c>
      <c r="M8" s="130"/>
      <c r="N8" s="130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70"/>
  <sheetViews>
    <sheetView tabSelected="1" topLeftCell="A108" zoomScaleNormal="100" workbookViewId="0">
      <selection activeCell="A118" sqref="A118:G168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2.6640625" customWidth="1"/>
    <col min="5" max="5" width="13.5546875" customWidth="1"/>
    <col min="6" max="6" width="11.5546875" customWidth="1"/>
    <col min="7" max="7" width="35.332031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17" t="s">
        <v>58</v>
      </c>
      <c r="M3" s="117"/>
      <c r="N3" s="117" t="s">
        <v>13</v>
      </c>
      <c r="O3" s="117"/>
    </row>
    <row r="4" spans="1:15" ht="15.75" customHeight="1" x14ac:dyDescent="0.35">
      <c r="B4" s="29"/>
      <c r="C4" s="29"/>
      <c r="D4" s="67" t="s">
        <v>25</v>
      </c>
      <c r="E4" s="68">
        <f>'4637'!G8</f>
        <v>4250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69" t="s">
        <v>64</v>
      </c>
      <c r="E5" s="70" t="str">
        <f>'4637'!C10</f>
        <v>MUEBLERIA VALENTINA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1"/>
      <c r="E6" s="72"/>
      <c r="F6" s="29"/>
      <c r="G6" s="29"/>
      <c r="H6" s="29"/>
    </row>
    <row r="7" spans="1:15" ht="18" x14ac:dyDescent="0.35">
      <c r="B7" s="29"/>
      <c r="C7" s="29"/>
      <c r="D7" s="82" t="str">
        <f>'4637'!F11</f>
        <v>FECHA LIMITE :</v>
      </c>
      <c r="E7" s="74">
        <f>'4637'!G11</f>
        <v>0</v>
      </c>
      <c r="F7" s="29"/>
      <c r="G7" s="29" t="s">
        <v>135</v>
      </c>
      <c r="H7" s="29"/>
    </row>
    <row r="8" spans="1:15" ht="18" x14ac:dyDescent="0.35">
      <c r="B8" s="29"/>
      <c r="C8" s="29"/>
      <c r="D8" s="83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18" t="s">
        <v>58</v>
      </c>
      <c r="C10" s="118"/>
      <c r="D10" s="118"/>
      <c r="E10" s="118"/>
      <c r="F10" s="118"/>
      <c r="G10" s="118"/>
      <c r="H10" s="29"/>
    </row>
    <row r="11" spans="1:15" ht="18" x14ac:dyDescent="0.35">
      <c r="B11" s="29"/>
      <c r="C11" s="29"/>
      <c r="D11" s="84"/>
      <c r="E11" s="29"/>
      <c r="F11" s="29"/>
      <c r="G11" s="29"/>
      <c r="H11" s="29"/>
    </row>
    <row r="12" spans="1:15" ht="18" x14ac:dyDescent="0.35">
      <c r="B12" s="29"/>
      <c r="C12" s="29"/>
      <c r="D12" s="29"/>
      <c r="E12" s="59" t="s">
        <v>6</v>
      </c>
      <c r="F12" s="59" t="s">
        <v>7</v>
      </c>
      <c r="G12" s="29"/>
      <c r="H12" s="29"/>
    </row>
    <row r="13" spans="1:15" ht="18" x14ac:dyDescent="0.35">
      <c r="B13" s="59" t="s">
        <v>8</v>
      </c>
      <c r="C13" s="85" t="s">
        <v>9</v>
      </c>
      <c r="D13" s="85" t="s">
        <v>10</v>
      </c>
      <c r="E13" s="86">
        <v>50</v>
      </c>
      <c r="F13" s="86">
        <v>-2</v>
      </c>
      <c r="G13" s="85" t="s">
        <v>107</v>
      </c>
      <c r="H13" s="29"/>
      <c r="K13" s="5" t="s">
        <v>6</v>
      </c>
      <c r="L13" s="5" t="s">
        <v>7</v>
      </c>
    </row>
    <row r="14" spans="1:15" ht="18" x14ac:dyDescent="0.35">
      <c r="A14" s="103">
        <v>1</v>
      </c>
      <c r="B14" s="94" t="s">
        <v>137</v>
      </c>
      <c r="C14" s="87">
        <f>J14</f>
        <v>2</v>
      </c>
      <c r="D14" s="87"/>
      <c r="E14" s="87">
        <f>K14+E$13</f>
        <v>550</v>
      </c>
      <c r="F14" s="87">
        <f>L14+F$13</f>
        <v>478</v>
      </c>
      <c r="G14" s="87" t="str">
        <f t="shared" ref="G14:G20" si="0">D81</f>
        <v>PR12  2 CARAS</v>
      </c>
      <c r="H14" s="29"/>
      <c r="J14" s="3">
        <f>J49</f>
        <v>2</v>
      </c>
      <c r="K14" s="4">
        <f t="shared" ref="K14:L14" si="1">E81</f>
        <v>500</v>
      </c>
      <c r="L14" s="4">
        <f t="shared" si="1"/>
        <v>480</v>
      </c>
    </row>
    <row r="15" spans="1:15" ht="18" x14ac:dyDescent="0.35">
      <c r="A15" s="103">
        <f>A14+1</f>
        <v>2</v>
      </c>
      <c r="B15" s="94"/>
      <c r="C15" s="87">
        <f t="shared" ref="C15:C20" si="2">J15</f>
        <v>1</v>
      </c>
      <c r="D15" s="87"/>
      <c r="E15" s="87">
        <f t="shared" ref="E15:E20" si="3">K15+E$13</f>
        <v>810</v>
      </c>
      <c r="F15" s="87">
        <f t="shared" ref="F15:F20" si="4">L15+F$13</f>
        <v>425</v>
      </c>
      <c r="G15" s="87" t="str">
        <f t="shared" si="0"/>
        <v>PR12  2 CARAS</v>
      </c>
      <c r="H15" s="29"/>
      <c r="J15" s="3">
        <f>J50</f>
        <v>1</v>
      </c>
      <c r="K15" s="4">
        <f t="shared" ref="K15:L20" si="5">E82</f>
        <v>760</v>
      </c>
      <c r="L15" s="4">
        <f t="shared" si="5"/>
        <v>427</v>
      </c>
    </row>
    <row r="16" spans="1:15" ht="18" x14ac:dyDescent="0.35">
      <c r="A16" s="103">
        <f t="shared" ref="A16:A41" si="6">A15+1</f>
        <v>3</v>
      </c>
      <c r="B16" s="94"/>
      <c r="C16" s="87">
        <f t="shared" si="2"/>
        <v>1</v>
      </c>
      <c r="D16" s="87"/>
      <c r="E16" s="87">
        <f t="shared" si="3"/>
        <v>810</v>
      </c>
      <c r="F16" s="87">
        <f t="shared" si="4"/>
        <v>713</v>
      </c>
      <c r="G16" s="87" t="str">
        <f t="shared" si="0"/>
        <v>PR12  2 CARAS</v>
      </c>
      <c r="H16" s="29"/>
      <c r="J16" s="3">
        <f>J51</f>
        <v>1</v>
      </c>
      <c r="K16" s="4">
        <f t="shared" si="5"/>
        <v>760</v>
      </c>
      <c r="L16" s="4">
        <f t="shared" si="5"/>
        <v>715</v>
      </c>
    </row>
    <row r="17" spans="1:12" ht="18" x14ac:dyDescent="0.35">
      <c r="A17" s="103">
        <f t="shared" si="6"/>
        <v>4</v>
      </c>
      <c r="B17" s="94"/>
      <c r="C17" s="87">
        <f t="shared" si="2"/>
        <v>1</v>
      </c>
      <c r="D17" s="87"/>
      <c r="E17" s="87">
        <f t="shared" si="3"/>
        <v>810</v>
      </c>
      <c r="F17" s="87">
        <f t="shared" si="4"/>
        <v>268</v>
      </c>
      <c r="G17" s="87" t="str">
        <f t="shared" si="0"/>
        <v>PR12  2 CARAS</v>
      </c>
      <c r="H17" s="29"/>
      <c r="J17" s="3">
        <f>J52</f>
        <v>1</v>
      </c>
      <c r="K17" s="4">
        <f t="shared" si="5"/>
        <v>760</v>
      </c>
      <c r="L17" s="4">
        <f t="shared" si="5"/>
        <v>270</v>
      </c>
    </row>
    <row r="18" spans="1:12" ht="18" x14ac:dyDescent="0.35">
      <c r="A18" s="103">
        <f t="shared" si="6"/>
        <v>5</v>
      </c>
      <c r="B18" s="94"/>
      <c r="C18" s="87">
        <f t="shared" si="2"/>
        <v>3</v>
      </c>
      <c r="D18" s="87"/>
      <c r="E18" s="87">
        <f t="shared" si="3"/>
        <v>810</v>
      </c>
      <c r="F18" s="87">
        <f t="shared" si="4"/>
        <v>475</v>
      </c>
      <c r="G18" s="87" t="str">
        <f t="shared" si="0"/>
        <v>PR12  2 CARAS</v>
      </c>
      <c r="H18" s="29"/>
      <c r="J18" s="3">
        <f>J53</f>
        <v>3</v>
      </c>
      <c r="K18" s="4">
        <f t="shared" si="5"/>
        <v>760</v>
      </c>
      <c r="L18" s="4">
        <f t="shared" si="5"/>
        <v>477</v>
      </c>
    </row>
    <row r="19" spans="1:12" ht="18" x14ac:dyDescent="0.35">
      <c r="A19" s="103">
        <f t="shared" si="6"/>
        <v>6</v>
      </c>
      <c r="B19" s="94"/>
      <c r="C19" s="87">
        <f t="shared" si="2"/>
        <v>2</v>
      </c>
      <c r="D19" s="87"/>
      <c r="E19" s="87">
        <f t="shared" si="3"/>
        <v>810</v>
      </c>
      <c r="F19" s="87">
        <f t="shared" si="4"/>
        <v>470</v>
      </c>
      <c r="G19" s="87" t="str">
        <f t="shared" si="0"/>
        <v>PR12  2 CARAS</v>
      </c>
      <c r="H19" s="29"/>
      <c r="J19" s="3">
        <f>J54</f>
        <v>2</v>
      </c>
      <c r="K19" s="4">
        <f t="shared" si="5"/>
        <v>760</v>
      </c>
      <c r="L19" s="4">
        <f t="shared" si="5"/>
        <v>472</v>
      </c>
    </row>
    <row r="20" spans="1:12" ht="18" x14ac:dyDescent="0.35">
      <c r="A20" s="103">
        <f t="shared" si="6"/>
        <v>7</v>
      </c>
      <c r="B20" s="94"/>
      <c r="C20" s="87">
        <f t="shared" si="2"/>
        <v>2</v>
      </c>
      <c r="D20" s="87"/>
      <c r="E20" s="87">
        <f t="shared" si="3"/>
        <v>810</v>
      </c>
      <c r="F20" s="87">
        <f t="shared" si="4"/>
        <v>444</v>
      </c>
      <c r="G20" s="87" t="str">
        <f t="shared" si="0"/>
        <v>PR12  2 CARAS</v>
      </c>
      <c r="H20" s="29"/>
      <c r="J20" s="3">
        <f>J55</f>
        <v>2</v>
      </c>
      <c r="K20" s="4">
        <f t="shared" si="5"/>
        <v>760</v>
      </c>
      <c r="L20" s="4">
        <f t="shared" si="5"/>
        <v>446</v>
      </c>
    </row>
    <row r="21" spans="1:12" ht="18" x14ac:dyDescent="0.35">
      <c r="A21" s="103">
        <f t="shared" si="6"/>
        <v>8</v>
      </c>
      <c r="B21" s="94"/>
      <c r="C21" s="87">
        <f t="shared" ref="C21:C41" si="7">J21</f>
        <v>1</v>
      </c>
      <c r="D21" s="87"/>
      <c r="E21" s="87">
        <f t="shared" ref="E21:E41" si="8">K21+E$13</f>
        <v>810</v>
      </c>
      <c r="F21" s="87">
        <f t="shared" ref="F21:F41" si="9">L21+F$13</f>
        <v>593</v>
      </c>
      <c r="G21" s="87" t="str">
        <f>D88</f>
        <v>PR12  2 CARAS</v>
      </c>
      <c r="H21" s="29"/>
      <c r="J21" s="3">
        <f>J56</f>
        <v>1</v>
      </c>
      <c r="K21" s="4">
        <f>E88</f>
        <v>760</v>
      </c>
      <c r="L21" s="4">
        <f>F88</f>
        <v>595</v>
      </c>
    </row>
    <row r="22" spans="1:12" ht="18" x14ac:dyDescent="0.35">
      <c r="A22" s="103">
        <f t="shared" si="6"/>
        <v>9</v>
      </c>
      <c r="B22" s="94"/>
      <c r="C22" s="87">
        <f t="shared" si="7"/>
        <v>1</v>
      </c>
      <c r="D22" s="87"/>
      <c r="E22" s="87">
        <f t="shared" si="8"/>
        <v>810</v>
      </c>
      <c r="F22" s="87">
        <f t="shared" si="9"/>
        <v>618</v>
      </c>
      <c r="G22" s="87" t="str">
        <f>D89</f>
        <v>PR12  2 CARAS</v>
      </c>
      <c r="H22" s="29"/>
      <c r="J22" s="3">
        <f>J57</f>
        <v>1</v>
      </c>
      <c r="K22" s="4">
        <f>E89</f>
        <v>760</v>
      </c>
      <c r="L22" s="4">
        <f>F89</f>
        <v>620</v>
      </c>
    </row>
    <row r="23" spans="1:12" ht="18" x14ac:dyDescent="0.35">
      <c r="A23" s="103">
        <f t="shared" si="6"/>
        <v>10</v>
      </c>
      <c r="B23" s="94"/>
      <c r="C23" s="87">
        <f t="shared" si="7"/>
        <v>2</v>
      </c>
      <c r="D23" s="87"/>
      <c r="E23" s="87">
        <f t="shared" si="8"/>
        <v>1170</v>
      </c>
      <c r="F23" s="87">
        <f t="shared" si="9"/>
        <v>317</v>
      </c>
      <c r="G23" s="87" t="str">
        <f>D90</f>
        <v>PR12</v>
      </c>
      <c r="H23" s="29"/>
      <c r="J23" s="3">
        <f>J58</f>
        <v>2</v>
      </c>
      <c r="K23" s="4">
        <f>E90</f>
        <v>1120</v>
      </c>
      <c r="L23" s="4">
        <f>F90</f>
        <v>319</v>
      </c>
    </row>
    <row r="24" spans="1:12" ht="18" x14ac:dyDescent="0.35">
      <c r="A24" s="103">
        <f t="shared" si="6"/>
        <v>11</v>
      </c>
      <c r="B24" s="94"/>
      <c r="C24" s="87">
        <f t="shared" si="7"/>
        <v>2</v>
      </c>
      <c r="D24" s="87"/>
      <c r="E24" s="87">
        <f t="shared" si="8"/>
        <v>680</v>
      </c>
      <c r="F24" s="87">
        <f t="shared" si="9"/>
        <v>319</v>
      </c>
      <c r="G24" s="87" t="str">
        <f>D91</f>
        <v>PR12</v>
      </c>
      <c r="H24" s="29"/>
      <c r="J24" s="3">
        <f>J59</f>
        <v>2</v>
      </c>
      <c r="K24" s="4">
        <f>E91</f>
        <v>630</v>
      </c>
      <c r="L24" s="4">
        <f>F91</f>
        <v>321</v>
      </c>
    </row>
    <row r="25" spans="1:12" ht="18" x14ac:dyDescent="0.35">
      <c r="A25" s="103">
        <f t="shared" si="6"/>
        <v>12</v>
      </c>
      <c r="B25" s="94"/>
      <c r="C25" s="87">
        <f t="shared" si="7"/>
        <v>1</v>
      </c>
      <c r="D25" s="87"/>
      <c r="E25" s="87">
        <f t="shared" si="8"/>
        <v>650</v>
      </c>
      <c r="F25" s="87">
        <f t="shared" si="9"/>
        <v>638</v>
      </c>
      <c r="G25" s="87" t="str">
        <f>D92</f>
        <v>PR12</v>
      </c>
      <c r="H25" s="29"/>
      <c r="J25" s="3">
        <f>J60</f>
        <v>1</v>
      </c>
      <c r="K25" s="4">
        <f>E92</f>
        <v>600</v>
      </c>
      <c r="L25" s="4">
        <f>F92</f>
        <v>640</v>
      </c>
    </row>
    <row r="26" spans="1:12" ht="18" x14ac:dyDescent="0.35">
      <c r="A26" s="103">
        <f t="shared" si="6"/>
        <v>13</v>
      </c>
      <c r="B26" s="94"/>
      <c r="C26" s="87">
        <f t="shared" si="7"/>
        <v>2</v>
      </c>
      <c r="D26" s="87"/>
      <c r="E26" s="87">
        <f t="shared" si="8"/>
        <v>890</v>
      </c>
      <c r="F26" s="87">
        <f t="shared" si="9"/>
        <v>445</v>
      </c>
      <c r="G26" s="87" t="str">
        <f>D93</f>
        <v>PR12</v>
      </c>
      <c r="H26" s="29"/>
      <c r="J26" s="3">
        <f>J61</f>
        <v>2</v>
      </c>
      <c r="K26" s="4">
        <f>E93</f>
        <v>840</v>
      </c>
      <c r="L26" s="4">
        <f>F93</f>
        <v>447</v>
      </c>
    </row>
    <row r="27" spans="1:12" ht="18" x14ac:dyDescent="0.35">
      <c r="A27" s="103">
        <f t="shared" si="6"/>
        <v>14</v>
      </c>
      <c r="B27" s="94"/>
      <c r="C27" s="87">
        <f t="shared" si="7"/>
        <v>1</v>
      </c>
      <c r="D27" s="87"/>
      <c r="E27" s="87">
        <f t="shared" si="8"/>
        <v>890</v>
      </c>
      <c r="F27" s="87">
        <f t="shared" si="9"/>
        <v>618</v>
      </c>
      <c r="G27" s="87" t="str">
        <f>D94</f>
        <v>PR12</v>
      </c>
      <c r="H27" s="29"/>
      <c r="J27" s="3">
        <f>J62</f>
        <v>1</v>
      </c>
      <c r="K27" s="4">
        <f>E94</f>
        <v>840</v>
      </c>
      <c r="L27" s="4">
        <f>F94</f>
        <v>620</v>
      </c>
    </row>
    <row r="28" spans="1:12" ht="18" x14ac:dyDescent="0.35">
      <c r="A28" s="103">
        <f t="shared" si="6"/>
        <v>15</v>
      </c>
      <c r="B28" s="94"/>
      <c r="C28" s="87">
        <f t="shared" si="7"/>
        <v>4</v>
      </c>
      <c r="D28" s="87"/>
      <c r="E28" s="87">
        <f t="shared" si="8"/>
        <v>890</v>
      </c>
      <c r="F28" s="87">
        <f t="shared" si="9"/>
        <v>445</v>
      </c>
      <c r="G28" s="87" t="str">
        <f>D95</f>
        <v>PR12</v>
      </c>
      <c r="H28" s="29"/>
      <c r="J28" s="3">
        <f>J63</f>
        <v>4</v>
      </c>
      <c r="K28" s="4">
        <f>E95</f>
        <v>840</v>
      </c>
      <c r="L28" s="4">
        <f>F95</f>
        <v>447</v>
      </c>
    </row>
    <row r="29" spans="1:12" ht="18" x14ac:dyDescent="0.35">
      <c r="A29" s="103">
        <f t="shared" si="6"/>
        <v>16</v>
      </c>
      <c r="B29" s="94"/>
      <c r="C29" s="87">
        <f t="shared" si="7"/>
        <v>1</v>
      </c>
      <c r="D29" s="87"/>
      <c r="E29" s="87">
        <f t="shared" si="8"/>
        <v>890</v>
      </c>
      <c r="F29" s="87">
        <f t="shared" si="9"/>
        <v>618</v>
      </c>
      <c r="G29" s="87" t="str">
        <f>D96</f>
        <v>PR12</v>
      </c>
      <c r="H29" s="29"/>
      <c r="J29" s="3">
        <f>J64</f>
        <v>1</v>
      </c>
      <c r="K29" s="4">
        <f>E96</f>
        <v>840</v>
      </c>
      <c r="L29" s="4">
        <f>F96</f>
        <v>620</v>
      </c>
    </row>
    <row r="30" spans="1:12" ht="18" x14ac:dyDescent="0.35">
      <c r="A30" s="103">
        <f t="shared" si="6"/>
        <v>17</v>
      </c>
      <c r="B30" s="94"/>
      <c r="C30" s="87">
        <f t="shared" si="7"/>
        <v>4</v>
      </c>
      <c r="D30" s="87"/>
      <c r="E30" s="87">
        <f t="shared" si="8"/>
        <v>890</v>
      </c>
      <c r="F30" s="87">
        <f t="shared" si="9"/>
        <v>445</v>
      </c>
      <c r="G30" s="87" t="str">
        <f>D97</f>
        <v>PR12</v>
      </c>
      <c r="H30" s="29"/>
      <c r="J30" s="3">
        <f>J65</f>
        <v>4</v>
      </c>
      <c r="K30" s="4">
        <f>E97</f>
        <v>840</v>
      </c>
      <c r="L30" s="4">
        <f>F97</f>
        <v>447</v>
      </c>
    </row>
    <row r="31" spans="1:12" ht="18" x14ac:dyDescent="0.35">
      <c r="A31" s="103">
        <f t="shared" si="6"/>
        <v>18</v>
      </c>
      <c r="B31" s="94"/>
      <c r="C31" s="87">
        <f t="shared" si="7"/>
        <v>1</v>
      </c>
      <c r="D31" s="87"/>
      <c r="E31" s="87">
        <f t="shared" si="8"/>
        <v>930</v>
      </c>
      <c r="F31" s="87">
        <f t="shared" si="9"/>
        <v>638</v>
      </c>
      <c r="G31" s="87" t="str">
        <f>D98</f>
        <v>PR12</v>
      </c>
      <c r="H31" s="29"/>
      <c r="J31" s="3">
        <f>J66</f>
        <v>1</v>
      </c>
      <c r="K31" s="4">
        <f>E98</f>
        <v>880</v>
      </c>
      <c r="L31" s="4">
        <f>F98</f>
        <v>640</v>
      </c>
    </row>
    <row r="32" spans="1:12" ht="18" x14ac:dyDescent="0.35">
      <c r="A32" s="103">
        <f t="shared" si="6"/>
        <v>19</v>
      </c>
      <c r="B32" s="94"/>
      <c r="C32" s="87">
        <f t="shared" si="7"/>
        <v>2</v>
      </c>
      <c r="D32" s="87"/>
      <c r="E32" s="87">
        <f t="shared" si="8"/>
        <v>2280</v>
      </c>
      <c r="F32" s="87">
        <f t="shared" si="9"/>
        <v>493</v>
      </c>
      <c r="G32" s="87" t="str">
        <f>D99</f>
        <v>PR12</v>
      </c>
      <c r="H32" s="29"/>
      <c r="J32" s="3">
        <f>J67</f>
        <v>2</v>
      </c>
      <c r="K32" s="4">
        <f>E99</f>
        <v>2230</v>
      </c>
      <c r="L32" s="4">
        <f>F99</f>
        <v>495</v>
      </c>
    </row>
    <row r="33" spans="1:12" ht="18" x14ac:dyDescent="0.35">
      <c r="A33" s="103">
        <f t="shared" si="6"/>
        <v>20</v>
      </c>
      <c r="B33" s="94"/>
      <c r="C33" s="87">
        <f t="shared" si="7"/>
        <v>2</v>
      </c>
      <c r="D33" s="87"/>
      <c r="E33" s="87">
        <f t="shared" si="8"/>
        <v>810</v>
      </c>
      <c r="F33" s="87">
        <f t="shared" si="9"/>
        <v>370</v>
      </c>
      <c r="G33" s="87" t="str">
        <f>D100</f>
        <v>PR12</v>
      </c>
      <c r="H33" s="29"/>
      <c r="J33" s="3">
        <f>J68</f>
        <v>2</v>
      </c>
      <c r="K33" s="4">
        <f>E100</f>
        <v>760</v>
      </c>
      <c r="L33" s="4">
        <f>F100</f>
        <v>372</v>
      </c>
    </row>
    <row r="34" spans="1:12" ht="18" x14ac:dyDescent="0.35">
      <c r="A34" s="103">
        <f t="shared" si="6"/>
        <v>21</v>
      </c>
      <c r="B34" s="94"/>
      <c r="C34" s="87">
        <f t="shared" si="7"/>
        <v>1</v>
      </c>
      <c r="D34" s="87"/>
      <c r="E34" s="87">
        <f t="shared" si="8"/>
        <v>810</v>
      </c>
      <c r="F34" s="87">
        <f t="shared" si="9"/>
        <v>503</v>
      </c>
      <c r="G34" s="87" t="str">
        <f>D101</f>
        <v>PR12</v>
      </c>
      <c r="H34" s="29"/>
      <c r="J34" s="3">
        <f>J69</f>
        <v>1</v>
      </c>
      <c r="K34" s="4">
        <f>E101</f>
        <v>760</v>
      </c>
      <c r="L34" s="4">
        <f>F101</f>
        <v>505</v>
      </c>
    </row>
    <row r="35" spans="1:12" ht="18" x14ac:dyDescent="0.35">
      <c r="A35" s="103">
        <f t="shared" si="6"/>
        <v>22</v>
      </c>
      <c r="B35" s="94"/>
      <c r="C35" s="87">
        <f t="shared" si="7"/>
        <v>1</v>
      </c>
      <c r="D35" s="87"/>
      <c r="E35" s="87">
        <f t="shared" si="8"/>
        <v>810</v>
      </c>
      <c r="F35" s="87">
        <f t="shared" si="9"/>
        <v>518</v>
      </c>
      <c r="G35" s="87" t="str">
        <f>D102</f>
        <v>PR12</v>
      </c>
      <c r="H35" s="29"/>
      <c r="J35" s="3">
        <f>J70</f>
        <v>1</v>
      </c>
      <c r="K35" s="4">
        <f>E102</f>
        <v>760</v>
      </c>
      <c r="L35" s="4">
        <f>F102</f>
        <v>520</v>
      </c>
    </row>
    <row r="36" spans="1:12" ht="18" x14ac:dyDescent="0.35">
      <c r="A36" s="103">
        <f t="shared" si="6"/>
        <v>23</v>
      </c>
      <c r="B36" s="94"/>
      <c r="C36" s="87">
        <f t="shared" si="7"/>
        <v>2</v>
      </c>
      <c r="D36" s="87"/>
      <c r="E36" s="87">
        <f t="shared" si="8"/>
        <v>810</v>
      </c>
      <c r="F36" s="87">
        <f t="shared" si="9"/>
        <v>300</v>
      </c>
      <c r="G36" s="87" t="str">
        <f>D103</f>
        <v>PR12</v>
      </c>
      <c r="H36" s="29"/>
      <c r="J36" s="3">
        <f>J71</f>
        <v>2</v>
      </c>
      <c r="K36" s="4">
        <f>E103</f>
        <v>760</v>
      </c>
      <c r="L36" s="4">
        <f>F103</f>
        <v>302</v>
      </c>
    </row>
    <row r="37" spans="1:12" ht="18" x14ac:dyDescent="0.35">
      <c r="A37" s="103">
        <f t="shared" si="6"/>
        <v>24</v>
      </c>
      <c r="B37" s="94"/>
      <c r="C37" s="87">
        <f t="shared" si="7"/>
        <v>2</v>
      </c>
      <c r="D37" s="87"/>
      <c r="E37" s="87">
        <f t="shared" si="8"/>
        <v>510</v>
      </c>
      <c r="F37" s="87">
        <f t="shared" si="9"/>
        <v>328</v>
      </c>
      <c r="G37" s="87" t="str">
        <f>D104</f>
        <v>PR12</v>
      </c>
      <c r="H37" s="29"/>
      <c r="J37" s="3">
        <f>J72</f>
        <v>2</v>
      </c>
      <c r="K37" s="4">
        <f>E104</f>
        <v>460</v>
      </c>
      <c r="L37" s="4">
        <f>F104</f>
        <v>330</v>
      </c>
    </row>
    <row r="38" spans="1:12" ht="18" x14ac:dyDescent="0.35">
      <c r="A38" s="103">
        <f t="shared" si="6"/>
        <v>25</v>
      </c>
      <c r="B38" s="94"/>
      <c r="C38" s="87">
        <f t="shared" si="7"/>
        <v>1</v>
      </c>
      <c r="D38" s="87"/>
      <c r="E38" s="87">
        <f t="shared" si="8"/>
        <v>810</v>
      </c>
      <c r="F38" s="87">
        <f t="shared" si="9"/>
        <v>493</v>
      </c>
      <c r="G38" s="87" t="str">
        <f>D105</f>
        <v>PR12</v>
      </c>
      <c r="H38" s="29"/>
      <c r="J38" s="3">
        <f>J73</f>
        <v>1</v>
      </c>
      <c r="K38" s="4">
        <f>E105</f>
        <v>760</v>
      </c>
      <c r="L38" s="4">
        <f>F105</f>
        <v>495</v>
      </c>
    </row>
    <row r="39" spans="1:12" ht="18" x14ac:dyDescent="0.35">
      <c r="A39" s="103">
        <f t="shared" si="6"/>
        <v>26</v>
      </c>
      <c r="B39" s="94"/>
      <c r="C39" s="87">
        <f t="shared" si="7"/>
        <v>2</v>
      </c>
      <c r="D39" s="87"/>
      <c r="E39" s="87">
        <f t="shared" si="8"/>
        <v>810</v>
      </c>
      <c r="F39" s="87">
        <f t="shared" si="9"/>
        <v>340</v>
      </c>
      <c r="G39" s="87" t="str">
        <f>D106</f>
        <v>PR12</v>
      </c>
      <c r="H39" s="29"/>
      <c r="J39" s="3">
        <f>J74</f>
        <v>2</v>
      </c>
      <c r="K39" s="4">
        <f>E106</f>
        <v>760</v>
      </c>
      <c r="L39" s="4">
        <f>F106</f>
        <v>342</v>
      </c>
    </row>
    <row r="40" spans="1:12" ht="18" x14ac:dyDescent="0.35">
      <c r="A40" s="103">
        <f t="shared" si="6"/>
        <v>27</v>
      </c>
      <c r="B40" s="94"/>
      <c r="C40" s="87">
        <f t="shared" si="7"/>
        <v>3</v>
      </c>
      <c r="D40" s="87"/>
      <c r="E40" s="87">
        <f t="shared" si="8"/>
        <v>2280</v>
      </c>
      <c r="F40" s="87">
        <f t="shared" si="9"/>
        <v>461</v>
      </c>
      <c r="G40" s="87" t="str">
        <f>D107</f>
        <v>PR12</v>
      </c>
      <c r="H40" s="29"/>
      <c r="J40" s="3">
        <f>J75</f>
        <v>3</v>
      </c>
      <c r="K40" s="4">
        <f>E107</f>
        <v>2230</v>
      </c>
      <c r="L40" s="4">
        <f>F107</f>
        <v>463</v>
      </c>
    </row>
    <row r="41" spans="1:12" ht="18" x14ac:dyDescent="0.35">
      <c r="A41" s="103">
        <f t="shared" si="6"/>
        <v>28</v>
      </c>
      <c r="B41" s="94"/>
      <c r="C41" s="87">
        <f t="shared" si="7"/>
        <v>3</v>
      </c>
      <c r="D41" s="87"/>
      <c r="E41" s="87">
        <f t="shared" si="8"/>
        <v>2350</v>
      </c>
      <c r="F41" s="87">
        <f t="shared" si="9"/>
        <v>415</v>
      </c>
      <c r="G41" s="87" t="str">
        <f>D108</f>
        <v>PR12</v>
      </c>
      <c r="H41" s="29"/>
      <c r="J41" s="3">
        <f>J76</f>
        <v>3</v>
      </c>
      <c r="K41" s="4">
        <f>E108</f>
        <v>2300</v>
      </c>
      <c r="L41" s="4">
        <f>F108</f>
        <v>417</v>
      </c>
    </row>
    <row r="42" spans="1:12" ht="18" x14ac:dyDescent="0.35">
      <c r="A42" s="103"/>
      <c r="B42" s="94"/>
      <c r="C42" s="66"/>
      <c r="D42" s="66"/>
      <c r="E42" s="66"/>
      <c r="F42" s="66"/>
      <c r="G42" s="66"/>
      <c r="H42" s="29"/>
      <c r="J42" s="23"/>
      <c r="K42" s="2"/>
      <c r="L42" s="2"/>
    </row>
    <row r="43" spans="1:12" ht="18" x14ac:dyDescent="0.35">
      <c r="A43" s="2"/>
      <c r="B43" s="76"/>
      <c r="C43" s="66"/>
      <c r="D43" s="66"/>
      <c r="E43" s="66"/>
      <c r="F43" s="66"/>
      <c r="G43" s="66"/>
      <c r="H43" s="29"/>
      <c r="J43" s="23"/>
      <c r="K43" s="2"/>
      <c r="L43" s="2"/>
    </row>
    <row r="44" spans="1:12" ht="6.75" customHeight="1" x14ac:dyDescent="0.35">
      <c r="A44" s="2"/>
      <c r="B44" s="29"/>
      <c r="C44" s="29"/>
      <c r="D44" s="29"/>
      <c r="E44" s="29"/>
      <c r="F44" s="29"/>
      <c r="G44" s="29"/>
      <c r="H44" s="29"/>
    </row>
    <row r="45" spans="1:12" ht="18" x14ac:dyDescent="0.35">
      <c r="A45" s="2"/>
      <c r="B45" s="118" t="s">
        <v>13</v>
      </c>
      <c r="C45" s="118"/>
      <c r="D45" s="118"/>
      <c r="E45" s="118"/>
      <c r="F45" s="118"/>
      <c r="G45" s="118"/>
      <c r="H45" s="29"/>
    </row>
    <row r="46" spans="1:12" ht="10.5" customHeight="1" x14ac:dyDescent="0.35">
      <c r="A46" s="2"/>
      <c r="B46" s="29"/>
      <c r="C46" s="29"/>
      <c r="D46" s="84"/>
      <c r="E46" s="29"/>
      <c r="F46" s="29"/>
      <c r="G46" s="29"/>
      <c r="H46" s="29"/>
    </row>
    <row r="47" spans="1:12" ht="18" x14ac:dyDescent="0.35">
      <c r="A47" s="2"/>
      <c r="B47" s="29"/>
      <c r="C47" s="29"/>
      <c r="D47" s="29"/>
      <c r="E47" s="59" t="s">
        <v>6</v>
      </c>
      <c r="F47" s="59" t="s">
        <v>7</v>
      </c>
      <c r="G47" s="29"/>
      <c r="H47" s="29"/>
    </row>
    <row r="48" spans="1:12" ht="18" x14ac:dyDescent="0.35">
      <c r="A48" s="2"/>
      <c r="B48" s="59" t="s">
        <v>8</v>
      </c>
      <c r="C48" s="75" t="s">
        <v>9</v>
      </c>
      <c r="D48" s="75" t="s">
        <v>10</v>
      </c>
      <c r="E48" s="88">
        <v>40</v>
      </c>
      <c r="F48" s="88">
        <v>90</v>
      </c>
      <c r="G48" s="75" t="s">
        <v>107</v>
      </c>
      <c r="H48" s="29"/>
      <c r="K48" s="5" t="s">
        <v>6</v>
      </c>
      <c r="L48" s="5" t="s">
        <v>7</v>
      </c>
    </row>
    <row r="49" spans="1:12" ht="18" x14ac:dyDescent="0.35">
      <c r="A49" s="103">
        <v>1</v>
      </c>
      <c r="B49" s="94"/>
      <c r="C49" s="89">
        <f t="shared" ref="C49" si="10">J49</f>
        <v>2</v>
      </c>
      <c r="D49" s="89"/>
      <c r="E49" s="89">
        <f>K49+E$48</f>
        <v>540</v>
      </c>
      <c r="F49" s="89">
        <f t="shared" ref="F49" si="11">L49+F$48</f>
        <v>570</v>
      </c>
      <c r="G49" s="89" t="str">
        <f t="shared" ref="G49:G55" si="12">D81</f>
        <v>PR12  2 CARAS</v>
      </c>
      <c r="H49" s="29"/>
      <c r="J49" s="3">
        <f t="shared" ref="J49:J55" si="13">C81</f>
        <v>2</v>
      </c>
      <c r="K49" s="100">
        <f>E81</f>
        <v>500</v>
      </c>
      <c r="L49" s="100">
        <f>F81</f>
        <v>480</v>
      </c>
    </row>
    <row r="50" spans="1:12" ht="18" x14ac:dyDescent="0.35">
      <c r="A50" s="103">
        <f>A49+1</f>
        <v>2</v>
      </c>
      <c r="B50" s="94"/>
      <c r="C50" s="89">
        <f t="shared" ref="C50:C55" si="14">J50</f>
        <v>1</v>
      </c>
      <c r="D50" s="89"/>
      <c r="E50" s="89">
        <f t="shared" ref="E50:E55" si="15">K50+E$48</f>
        <v>800</v>
      </c>
      <c r="F50" s="89">
        <f t="shared" ref="F50:F55" si="16">L50+F$48</f>
        <v>517</v>
      </c>
      <c r="G50" s="89" t="str">
        <f t="shared" si="12"/>
        <v>PR12  2 CARAS</v>
      </c>
      <c r="H50" s="29"/>
      <c r="J50" s="3">
        <f t="shared" si="13"/>
        <v>1</v>
      </c>
      <c r="K50" s="100">
        <f t="shared" ref="K50:L50" si="17">E82</f>
        <v>760</v>
      </c>
      <c r="L50" s="100">
        <f t="shared" si="17"/>
        <v>427</v>
      </c>
    </row>
    <row r="51" spans="1:12" ht="18" x14ac:dyDescent="0.35">
      <c r="A51" s="103">
        <f t="shared" ref="A51:A76" si="18">A50+1</f>
        <v>3</v>
      </c>
      <c r="B51" s="94"/>
      <c r="C51" s="89">
        <f t="shared" si="14"/>
        <v>1</v>
      </c>
      <c r="D51" s="89"/>
      <c r="E51" s="89">
        <f t="shared" si="15"/>
        <v>800</v>
      </c>
      <c r="F51" s="89">
        <f t="shared" si="16"/>
        <v>805</v>
      </c>
      <c r="G51" s="89" t="str">
        <f t="shared" si="12"/>
        <v>PR12  2 CARAS</v>
      </c>
      <c r="H51" s="29"/>
      <c r="J51" s="3">
        <f t="shared" si="13"/>
        <v>1</v>
      </c>
      <c r="K51" s="100">
        <f t="shared" ref="K51:L51" si="19">E83</f>
        <v>760</v>
      </c>
      <c r="L51" s="100">
        <f t="shared" si="19"/>
        <v>715</v>
      </c>
    </row>
    <row r="52" spans="1:12" ht="18" x14ac:dyDescent="0.35">
      <c r="A52" s="103">
        <f t="shared" si="18"/>
        <v>4</v>
      </c>
      <c r="B52" s="94"/>
      <c r="C52" s="89">
        <f t="shared" si="14"/>
        <v>1</v>
      </c>
      <c r="D52" s="89"/>
      <c r="E52" s="89">
        <f t="shared" si="15"/>
        <v>800</v>
      </c>
      <c r="F52" s="89">
        <f t="shared" si="16"/>
        <v>360</v>
      </c>
      <c r="G52" s="89" t="str">
        <f t="shared" si="12"/>
        <v>PR12  2 CARAS</v>
      </c>
      <c r="H52" s="29"/>
      <c r="J52" s="3">
        <f t="shared" si="13"/>
        <v>1</v>
      </c>
      <c r="K52" s="100">
        <f t="shared" ref="K52:L52" si="20">E84</f>
        <v>760</v>
      </c>
      <c r="L52" s="100">
        <f t="shared" si="20"/>
        <v>270</v>
      </c>
    </row>
    <row r="53" spans="1:12" ht="18" x14ac:dyDescent="0.35">
      <c r="A53" s="103">
        <f t="shared" si="18"/>
        <v>5</v>
      </c>
      <c r="B53" s="94"/>
      <c r="C53" s="89">
        <f t="shared" si="14"/>
        <v>3</v>
      </c>
      <c r="D53" s="89"/>
      <c r="E53" s="89">
        <f t="shared" si="15"/>
        <v>800</v>
      </c>
      <c r="F53" s="89">
        <f t="shared" si="16"/>
        <v>567</v>
      </c>
      <c r="G53" s="89" t="str">
        <f t="shared" si="12"/>
        <v>PR12  2 CARAS</v>
      </c>
      <c r="H53" s="29"/>
      <c r="J53" s="3">
        <f t="shared" si="13"/>
        <v>3</v>
      </c>
      <c r="K53" s="100">
        <f t="shared" ref="K53:L53" si="21">E85</f>
        <v>760</v>
      </c>
      <c r="L53" s="100">
        <f t="shared" si="21"/>
        <v>477</v>
      </c>
    </row>
    <row r="54" spans="1:12" ht="18" x14ac:dyDescent="0.35">
      <c r="A54" s="103">
        <f t="shared" si="18"/>
        <v>6</v>
      </c>
      <c r="B54" s="94"/>
      <c r="C54" s="89">
        <f t="shared" si="14"/>
        <v>2</v>
      </c>
      <c r="D54" s="89"/>
      <c r="E54" s="89">
        <f t="shared" si="15"/>
        <v>800</v>
      </c>
      <c r="F54" s="89">
        <f t="shared" si="16"/>
        <v>562</v>
      </c>
      <c r="G54" s="89" t="str">
        <f t="shared" si="12"/>
        <v>PR12  2 CARAS</v>
      </c>
      <c r="H54" s="29"/>
      <c r="J54" s="3">
        <f t="shared" si="13"/>
        <v>2</v>
      </c>
      <c r="K54" s="100">
        <f t="shared" ref="K54:L54" si="22">E86</f>
        <v>760</v>
      </c>
      <c r="L54" s="100">
        <f t="shared" si="22"/>
        <v>472</v>
      </c>
    </row>
    <row r="55" spans="1:12" ht="18" x14ac:dyDescent="0.35">
      <c r="A55" s="103">
        <f t="shared" si="18"/>
        <v>7</v>
      </c>
      <c r="B55" s="94"/>
      <c r="C55" s="89">
        <f t="shared" si="14"/>
        <v>2</v>
      </c>
      <c r="D55" s="89"/>
      <c r="E55" s="89">
        <f t="shared" si="15"/>
        <v>800</v>
      </c>
      <c r="F55" s="89">
        <f t="shared" si="16"/>
        <v>536</v>
      </c>
      <c r="G55" s="89" t="str">
        <f t="shared" si="12"/>
        <v>PR12  2 CARAS</v>
      </c>
      <c r="H55" s="29"/>
      <c r="J55" s="3">
        <f t="shared" si="13"/>
        <v>2</v>
      </c>
      <c r="K55" s="100">
        <f t="shared" ref="K55:L55" si="23">E87</f>
        <v>760</v>
      </c>
      <c r="L55" s="100">
        <f t="shared" si="23"/>
        <v>446</v>
      </c>
    </row>
    <row r="56" spans="1:12" ht="18" x14ac:dyDescent="0.35">
      <c r="A56" s="103">
        <f t="shared" si="18"/>
        <v>8</v>
      </c>
      <c r="B56" s="94"/>
      <c r="C56" s="89">
        <f t="shared" ref="C56:C75" si="24">J56</f>
        <v>1</v>
      </c>
      <c r="D56" s="89"/>
      <c r="E56" s="89">
        <f t="shared" ref="E56:E75" si="25">K56+E$48</f>
        <v>800</v>
      </c>
      <c r="F56" s="89">
        <f t="shared" ref="F56:F75" si="26">L56+F$48</f>
        <v>685</v>
      </c>
      <c r="G56" s="89" t="str">
        <f t="shared" ref="G56:G75" si="27">D88</f>
        <v>PR12  2 CARAS</v>
      </c>
      <c r="H56" s="29"/>
      <c r="J56" s="3">
        <f t="shared" ref="J56:J75" si="28">C88</f>
        <v>1</v>
      </c>
      <c r="K56" s="100">
        <f t="shared" ref="K56:K75" si="29">E88</f>
        <v>760</v>
      </c>
      <c r="L56" s="100">
        <f t="shared" ref="L56:L75" si="30">F88</f>
        <v>595</v>
      </c>
    </row>
    <row r="57" spans="1:12" ht="18" x14ac:dyDescent="0.35">
      <c r="A57" s="103">
        <f t="shared" si="18"/>
        <v>9</v>
      </c>
      <c r="B57" s="94"/>
      <c r="C57" s="89">
        <f t="shared" si="24"/>
        <v>1</v>
      </c>
      <c r="D57" s="89"/>
      <c r="E57" s="89">
        <f t="shared" si="25"/>
        <v>800</v>
      </c>
      <c r="F57" s="89">
        <f t="shared" si="26"/>
        <v>710</v>
      </c>
      <c r="G57" s="89" t="str">
        <f t="shared" si="27"/>
        <v>PR12  2 CARAS</v>
      </c>
      <c r="H57" s="29"/>
      <c r="J57" s="3">
        <f t="shared" si="28"/>
        <v>1</v>
      </c>
      <c r="K57" s="100">
        <f t="shared" si="29"/>
        <v>760</v>
      </c>
      <c r="L57" s="100">
        <f t="shared" si="30"/>
        <v>620</v>
      </c>
    </row>
    <row r="58" spans="1:12" ht="18" x14ac:dyDescent="0.35">
      <c r="A58" s="103">
        <f t="shared" si="18"/>
        <v>10</v>
      </c>
      <c r="B58" s="94"/>
      <c r="C58" s="89">
        <f t="shared" si="24"/>
        <v>2</v>
      </c>
      <c r="D58" s="89"/>
      <c r="E58" s="89">
        <f t="shared" si="25"/>
        <v>1160</v>
      </c>
      <c r="F58" s="89">
        <f t="shared" si="26"/>
        <v>409</v>
      </c>
      <c r="G58" s="89" t="str">
        <f t="shared" si="27"/>
        <v>PR12</v>
      </c>
      <c r="H58" s="29"/>
      <c r="J58" s="3">
        <f t="shared" si="28"/>
        <v>2</v>
      </c>
      <c r="K58" s="100">
        <f t="shared" si="29"/>
        <v>1120</v>
      </c>
      <c r="L58" s="100">
        <f t="shared" si="30"/>
        <v>319</v>
      </c>
    </row>
    <row r="59" spans="1:12" ht="18" x14ac:dyDescent="0.35">
      <c r="A59" s="103">
        <f t="shared" si="18"/>
        <v>11</v>
      </c>
      <c r="B59" s="94"/>
      <c r="C59" s="89">
        <f t="shared" si="24"/>
        <v>2</v>
      </c>
      <c r="D59" s="89"/>
      <c r="E59" s="89">
        <f t="shared" si="25"/>
        <v>670</v>
      </c>
      <c r="F59" s="89">
        <f t="shared" si="26"/>
        <v>411</v>
      </c>
      <c r="G59" s="89" t="str">
        <f t="shared" si="27"/>
        <v>PR12</v>
      </c>
      <c r="H59" s="29"/>
      <c r="J59" s="3">
        <f t="shared" si="28"/>
        <v>2</v>
      </c>
      <c r="K59" s="100">
        <f t="shared" si="29"/>
        <v>630</v>
      </c>
      <c r="L59" s="100">
        <f t="shared" si="30"/>
        <v>321</v>
      </c>
    </row>
    <row r="60" spans="1:12" ht="18" x14ac:dyDescent="0.35">
      <c r="A60" s="103">
        <f t="shared" si="18"/>
        <v>12</v>
      </c>
      <c r="B60" s="94"/>
      <c r="C60" s="89">
        <f t="shared" si="24"/>
        <v>1</v>
      </c>
      <c r="D60" s="89"/>
      <c r="E60" s="89">
        <f t="shared" si="25"/>
        <v>640</v>
      </c>
      <c r="F60" s="89">
        <f t="shared" si="26"/>
        <v>730</v>
      </c>
      <c r="G60" s="89" t="str">
        <f t="shared" si="27"/>
        <v>PR12</v>
      </c>
      <c r="H60" s="29"/>
      <c r="J60" s="3">
        <f t="shared" si="28"/>
        <v>1</v>
      </c>
      <c r="K60" s="100">
        <f t="shared" si="29"/>
        <v>600</v>
      </c>
      <c r="L60" s="100">
        <f t="shared" si="30"/>
        <v>640</v>
      </c>
    </row>
    <row r="61" spans="1:12" ht="18" x14ac:dyDescent="0.35">
      <c r="A61" s="103">
        <f t="shared" si="18"/>
        <v>13</v>
      </c>
      <c r="B61" s="94"/>
      <c r="C61" s="89">
        <f t="shared" si="24"/>
        <v>2</v>
      </c>
      <c r="D61" s="89"/>
      <c r="E61" s="89">
        <f t="shared" si="25"/>
        <v>880</v>
      </c>
      <c r="F61" s="89">
        <f t="shared" si="26"/>
        <v>537</v>
      </c>
      <c r="G61" s="89" t="str">
        <f t="shared" si="27"/>
        <v>PR12</v>
      </c>
      <c r="H61" s="29"/>
      <c r="J61" s="3">
        <f t="shared" si="28"/>
        <v>2</v>
      </c>
      <c r="K61" s="100">
        <f t="shared" si="29"/>
        <v>840</v>
      </c>
      <c r="L61" s="100">
        <f t="shared" si="30"/>
        <v>447</v>
      </c>
    </row>
    <row r="62" spans="1:12" ht="18" x14ac:dyDescent="0.35">
      <c r="A62" s="103">
        <f t="shared" si="18"/>
        <v>14</v>
      </c>
      <c r="B62" s="94"/>
      <c r="C62" s="89">
        <f t="shared" si="24"/>
        <v>1</v>
      </c>
      <c r="D62" s="89"/>
      <c r="E62" s="89">
        <f t="shared" si="25"/>
        <v>880</v>
      </c>
      <c r="F62" s="89">
        <f t="shared" si="26"/>
        <v>710</v>
      </c>
      <c r="G62" s="89" t="str">
        <f t="shared" si="27"/>
        <v>PR12</v>
      </c>
      <c r="H62" s="29"/>
      <c r="J62" s="3">
        <f t="shared" si="28"/>
        <v>1</v>
      </c>
      <c r="K62" s="100">
        <f t="shared" si="29"/>
        <v>840</v>
      </c>
      <c r="L62" s="100">
        <f t="shared" si="30"/>
        <v>620</v>
      </c>
    </row>
    <row r="63" spans="1:12" ht="18" x14ac:dyDescent="0.35">
      <c r="A63" s="103">
        <f t="shared" si="18"/>
        <v>15</v>
      </c>
      <c r="B63" s="94"/>
      <c r="C63" s="89">
        <f t="shared" si="24"/>
        <v>4</v>
      </c>
      <c r="D63" s="89"/>
      <c r="E63" s="89">
        <f t="shared" si="25"/>
        <v>880</v>
      </c>
      <c r="F63" s="89">
        <f t="shared" si="26"/>
        <v>537</v>
      </c>
      <c r="G63" s="89" t="str">
        <f t="shared" si="27"/>
        <v>PR12</v>
      </c>
      <c r="H63" s="29"/>
      <c r="J63" s="3">
        <f t="shared" si="28"/>
        <v>4</v>
      </c>
      <c r="K63" s="100">
        <f t="shared" si="29"/>
        <v>840</v>
      </c>
      <c r="L63" s="100">
        <f t="shared" si="30"/>
        <v>447</v>
      </c>
    </row>
    <row r="64" spans="1:12" ht="18" x14ac:dyDescent="0.35">
      <c r="A64" s="103">
        <f t="shared" si="18"/>
        <v>16</v>
      </c>
      <c r="B64" s="94"/>
      <c r="C64" s="89">
        <f t="shared" si="24"/>
        <v>1</v>
      </c>
      <c r="D64" s="89"/>
      <c r="E64" s="89">
        <f t="shared" si="25"/>
        <v>880</v>
      </c>
      <c r="F64" s="89">
        <f t="shared" si="26"/>
        <v>710</v>
      </c>
      <c r="G64" s="89" t="str">
        <f t="shared" si="27"/>
        <v>PR12</v>
      </c>
      <c r="H64" s="29"/>
      <c r="J64" s="3">
        <f t="shared" si="28"/>
        <v>1</v>
      </c>
      <c r="K64" s="100">
        <f t="shared" si="29"/>
        <v>840</v>
      </c>
      <c r="L64" s="100">
        <f t="shared" si="30"/>
        <v>620</v>
      </c>
    </row>
    <row r="65" spans="1:12" ht="18" x14ac:dyDescent="0.35">
      <c r="A65" s="103">
        <f t="shared" si="18"/>
        <v>17</v>
      </c>
      <c r="B65" s="94"/>
      <c r="C65" s="89">
        <f t="shared" si="24"/>
        <v>4</v>
      </c>
      <c r="D65" s="89"/>
      <c r="E65" s="89">
        <f t="shared" si="25"/>
        <v>880</v>
      </c>
      <c r="F65" s="89">
        <f t="shared" si="26"/>
        <v>537</v>
      </c>
      <c r="G65" s="89" t="str">
        <f t="shared" si="27"/>
        <v>PR12</v>
      </c>
      <c r="H65" s="29"/>
      <c r="J65" s="3">
        <f t="shared" si="28"/>
        <v>4</v>
      </c>
      <c r="K65" s="100">
        <f t="shared" si="29"/>
        <v>840</v>
      </c>
      <c r="L65" s="100">
        <f t="shared" si="30"/>
        <v>447</v>
      </c>
    </row>
    <row r="66" spans="1:12" ht="18" x14ac:dyDescent="0.35">
      <c r="A66" s="103">
        <f t="shared" si="18"/>
        <v>18</v>
      </c>
      <c r="B66" s="94"/>
      <c r="C66" s="89">
        <f t="shared" si="24"/>
        <v>1</v>
      </c>
      <c r="D66" s="89"/>
      <c r="E66" s="89">
        <f t="shared" si="25"/>
        <v>920</v>
      </c>
      <c r="F66" s="89">
        <f t="shared" si="26"/>
        <v>730</v>
      </c>
      <c r="G66" s="89" t="str">
        <f t="shared" si="27"/>
        <v>PR12</v>
      </c>
      <c r="H66" s="29"/>
      <c r="J66" s="3">
        <f t="shared" si="28"/>
        <v>1</v>
      </c>
      <c r="K66" s="100">
        <f t="shared" si="29"/>
        <v>880</v>
      </c>
      <c r="L66" s="100">
        <f t="shared" si="30"/>
        <v>640</v>
      </c>
    </row>
    <row r="67" spans="1:12" ht="18" x14ac:dyDescent="0.35">
      <c r="A67" s="103">
        <f t="shared" si="18"/>
        <v>19</v>
      </c>
      <c r="B67" s="94"/>
      <c r="C67" s="89">
        <f t="shared" si="24"/>
        <v>2</v>
      </c>
      <c r="D67" s="89"/>
      <c r="E67" s="89">
        <f t="shared" si="25"/>
        <v>2270</v>
      </c>
      <c r="F67" s="89">
        <f t="shared" si="26"/>
        <v>585</v>
      </c>
      <c r="G67" s="89" t="str">
        <f t="shared" si="27"/>
        <v>PR12</v>
      </c>
      <c r="H67" s="29"/>
      <c r="J67" s="3">
        <f t="shared" si="28"/>
        <v>2</v>
      </c>
      <c r="K67" s="100">
        <f t="shared" si="29"/>
        <v>2230</v>
      </c>
      <c r="L67" s="100">
        <f t="shared" si="30"/>
        <v>495</v>
      </c>
    </row>
    <row r="68" spans="1:12" ht="18" x14ac:dyDescent="0.35">
      <c r="A68" s="103">
        <f t="shared" si="18"/>
        <v>20</v>
      </c>
      <c r="B68" s="94"/>
      <c r="C68" s="89">
        <f t="shared" si="24"/>
        <v>2</v>
      </c>
      <c r="D68" s="89"/>
      <c r="E68" s="89">
        <f t="shared" si="25"/>
        <v>800</v>
      </c>
      <c r="F68" s="89">
        <f t="shared" si="26"/>
        <v>462</v>
      </c>
      <c r="G68" s="89" t="str">
        <f t="shared" si="27"/>
        <v>PR12</v>
      </c>
      <c r="H68" s="29"/>
      <c r="J68" s="3">
        <f t="shared" si="28"/>
        <v>2</v>
      </c>
      <c r="K68" s="100">
        <f t="shared" si="29"/>
        <v>760</v>
      </c>
      <c r="L68" s="100">
        <f t="shared" si="30"/>
        <v>372</v>
      </c>
    </row>
    <row r="69" spans="1:12" ht="18" x14ac:dyDescent="0.35">
      <c r="A69" s="103">
        <f t="shared" si="18"/>
        <v>21</v>
      </c>
      <c r="B69" s="94"/>
      <c r="C69" s="89">
        <f t="shared" si="24"/>
        <v>1</v>
      </c>
      <c r="D69" s="89"/>
      <c r="E69" s="89">
        <f t="shared" si="25"/>
        <v>800</v>
      </c>
      <c r="F69" s="89">
        <f t="shared" si="26"/>
        <v>595</v>
      </c>
      <c r="G69" s="89" t="str">
        <f t="shared" si="27"/>
        <v>PR12</v>
      </c>
      <c r="H69" s="29"/>
      <c r="J69" s="3">
        <f t="shared" si="28"/>
        <v>1</v>
      </c>
      <c r="K69" s="100">
        <f t="shared" si="29"/>
        <v>760</v>
      </c>
      <c r="L69" s="100">
        <f t="shared" si="30"/>
        <v>505</v>
      </c>
    </row>
    <row r="70" spans="1:12" ht="18" x14ac:dyDescent="0.35">
      <c r="A70" s="103">
        <f t="shared" si="18"/>
        <v>22</v>
      </c>
      <c r="B70" s="94"/>
      <c r="C70" s="89">
        <f t="shared" si="24"/>
        <v>1</v>
      </c>
      <c r="D70" s="89"/>
      <c r="E70" s="89">
        <f t="shared" si="25"/>
        <v>800</v>
      </c>
      <c r="F70" s="89">
        <f t="shared" si="26"/>
        <v>610</v>
      </c>
      <c r="G70" s="89" t="str">
        <f t="shared" si="27"/>
        <v>PR12</v>
      </c>
      <c r="H70" s="29"/>
      <c r="J70" s="3">
        <f t="shared" si="28"/>
        <v>1</v>
      </c>
      <c r="K70" s="100">
        <f t="shared" si="29"/>
        <v>760</v>
      </c>
      <c r="L70" s="100">
        <f t="shared" si="30"/>
        <v>520</v>
      </c>
    </row>
    <row r="71" spans="1:12" ht="18" x14ac:dyDescent="0.35">
      <c r="A71" s="103">
        <f t="shared" si="18"/>
        <v>23</v>
      </c>
      <c r="B71" s="94"/>
      <c r="C71" s="89">
        <f t="shared" si="24"/>
        <v>2</v>
      </c>
      <c r="D71" s="89"/>
      <c r="E71" s="89">
        <f t="shared" si="25"/>
        <v>800</v>
      </c>
      <c r="F71" s="89">
        <f t="shared" si="26"/>
        <v>392</v>
      </c>
      <c r="G71" s="89" t="str">
        <f t="shared" si="27"/>
        <v>PR12</v>
      </c>
      <c r="H71" s="29"/>
      <c r="J71" s="3">
        <f t="shared" si="28"/>
        <v>2</v>
      </c>
      <c r="K71" s="100">
        <f t="shared" si="29"/>
        <v>760</v>
      </c>
      <c r="L71" s="100">
        <f t="shared" si="30"/>
        <v>302</v>
      </c>
    </row>
    <row r="72" spans="1:12" ht="18" x14ac:dyDescent="0.35">
      <c r="A72" s="103">
        <f t="shared" si="18"/>
        <v>24</v>
      </c>
      <c r="B72" s="94"/>
      <c r="C72" s="89">
        <f t="shared" si="24"/>
        <v>2</v>
      </c>
      <c r="D72" s="89"/>
      <c r="E72" s="89">
        <f t="shared" si="25"/>
        <v>500</v>
      </c>
      <c r="F72" s="89">
        <f t="shared" si="26"/>
        <v>420</v>
      </c>
      <c r="G72" s="89" t="str">
        <f t="shared" si="27"/>
        <v>PR12</v>
      </c>
      <c r="H72" s="29"/>
      <c r="J72" s="3">
        <f t="shared" si="28"/>
        <v>2</v>
      </c>
      <c r="K72" s="100">
        <f t="shared" si="29"/>
        <v>460</v>
      </c>
      <c r="L72" s="100">
        <f t="shared" si="30"/>
        <v>330</v>
      </c>
    </row>
    <row r="73" spans="1:12" ht="18" x14ac:dyDescent="0.35">
      <c r="A73" s="103">
        <f t="shared" si="18"/>
        <v>25</v>
      </c>
      <c r="B73" s="94"/>
      <c r="C73" s="89">
        <f t="shared" si="24"/>
        <v>1</v>
      </c>
      <c r="D73" s="89"/>
      <c r="E73" s="89">
        <f t="shared" si="25"/>
        <v>800</v>
      </c>
      <c r="F73" s="89">
        <f t="shared" si="26"/>
        <v>585</v>
      </c>
      <c r="G73" s="89" t="str">
        <f t="shared" si="27"/>
        <v>PR12</v>
      </c>
      <c r="H73" s="29"/>
      <c r="J73" s="3">
        <f t="shared" si="28"/>
        <v>1</v>
      </c>
      <c r="K73" s="100">
        <f t="shared" si="29"/>
        <v>760</v>
      </c>
      <c r="L73" s="100">
        <f t="shared" si="30"/>
        <v>495</v>
      </c>
    </row>
    <row r="74" spans="1:12" ht="18" x14ac:dyDescent="0.35">
      <c r="A74" s="103">
        <f t="shared" si="18"/>
        <v>26</v>
      </c>
      <c r="B74" s="94"/>
      <c r="C74" s="89">
        <f t="shared" si="24"/>
        <v>2</v>
      </c>
      <c r="D74" s="89"/>
      <c r="E74" s="89">
        <f t="shared" si="25"/>
        <v>800</v>
      </c>
      <c r="F74" s="89">
        <f t="shared" si="26"/>
        <v>432</v>
      </c>
      <c r="G74" s="89" t="str">
        <f t="shared" si="27"/>
        <v>PR12</v>
      </c>
      <c r="H74" s="29"/>
      <c r="J74" s="3">
        <f t="shared" si="28"/>
        <v>2</v>
      </c>
      <c r="K74" s="100">
        <f t="shared" si="29"/>
        <v>760</v>
      </c>
      <c r="L74" s="100">
        <f t="shared" si="30"/>
        <v>342</v>
      </c>
    </row>
    <row r="75" spans="1:12" ht="18" x14ac:dyDescent="0.35">
      <c r="A75" s="103">
        <f t="shared" si="18"/>
        <v>27</v>
      </c>
      <c r="B75" s="94"/>
      <c r="C75" s="89">
        <f t="shared" si="24"/>
        <v>3</v>
      </c>
      <c r="D75" s="89"/>
      <c r="E75" s="89">
        <f t="shared" si="25"/>
        <v>2270</v>
      </c>
      <c r="F75" s="89">
        <f t="shared" si="26"/>
        <v>553</v>
      </c>
      <c r="G75" s="89" t="str">
        <f t="shared" si="27"/>
        <v>PR12</v>
      </c>
      <c r="H75" s="29"/>
      <c r="J75" s="3">
        <f t="shared" si="28"/>
        <v>3</v>
      </c>
      <c r="K75" s="100">
        <f t="shared" si="29"/>
        <v>2230</v>
      </c>
      <c r="L75" s="100">
        <f t="shared" si="30"/>
        <v>463</v>
      </c>
    </row>
    <row r="76" spans="1:12" ht="18" x14ac:dyDescent="0.35">
      <c r="A76" s="103">
        <f t="shared" si="18"/>
        <v>28</v>
      </c>
      <c r="B76" s="94"/>
      <c r="C76" s="89">
        <f t="shared" ref="C76" si="31">J76</f>
        <v>3</v>
      </c>
      <c r="D76" s="89"/>
      <c r="E76" s="89">
        <f t="shared" ref="E76" si="32">K76+E$48</f>
        <v>2340</v>
      </c>
      <c r="F76" s="89">
        <f t="shared" ref="F76" si="33">L76+F$48</f>
        <v>507</v>
      </c>
      <c r="G76" s="89" t="str">
        <f t="shared" ref="G76" si="34">D108</f>
        <v>PR12</v>
      </c>
      <c r="H76" s="29"/>
      <c r="J76" s="3">
        <f t="shared" ref="J76" si="35">C108</f>
        <v>3</v>
      </c>
      <c r="K76" s="100">
        <f t="shared" ref="K76" si="36">E108</f>
        <v>2300</v>
      </c>
      <c r="L76" s="100">
        <f t="shared" ref="L76" si="37">F108</f>
        <v>417</v>
      </c>
    </row>
    <row r="77" spans="1:12" ht="18.600000000000001" thickBot="1" x14ac:dyDescent="0.4">
      <c r="A77" s="2"/>
      <c r="B77" s="76"/>
      <c r="C77" s="66"/>
      <c r="D77" s="66"/>
      <c r="E77" s="66"/>
      <c r="F77" s="66"/>
      <c r="G77" s="66"/>
      <c r="H77" s="29"/>
      <c r="I77" s="101"/>
      <c r="J77" s="102"/>
      <c r="K77" s="102"/>
      <c r="L77" s="102"/>
    </row>
    <row r="78" spans="1:12" ht="18.600000000000001" thickBot="1" x14ac:dyDescent="0.4">
      <c r="A78" s="2"/>
      <c r="B78" s="59"/>
      <c r="C78" s="90" t="s">
        <v>104</v>
      </c>
      <c r="D78" s="32"/>
      <c r="E78" s="32"/>
      <c r="F78" s="32"/>
      <c r="G78" s="91"/>
      <c r="H78" s="29"/>
      <c r="J78" s="2"/>
      <c r="K78" s="2"/>
      <c r="L78" s="2"/>
    </row>
    <row r="79" spans="1:12" ht="10.5" customHeight="1" x14ac:dyDescent="0.35">
      <c r="A79" s="2"/>
      <c r="B79" s="29"/>
      <c r="C79" s="29"/>
      <c r="D79" s="29"/>
      <c r="E79" s="29"/>
      <c r="F79" s="29"/>
      <c r="G79" s="29"/>
      <c r="H79" s="29"/>
    </row>
    <row r="80" spans="1:12" ht="18" x14ac:dyDescent="0.35">
      <c r="A80" s="2"/>
      <c r="B80" s="59" t="s">
        <v>8</v>
      </c>
      <c r="C80" s="92" t="s">
        <v>9</v>
      </c>
      <c r="D80" s="92" t="s">
        <v>107</v>
      </c>
      <c r="E80" s="92" t="s">
        <v>6</v>
      </c>
      <c r="F80" s="92" t="s">
        <v>7</v>
      </c>
      <c r="G80" s="92" t="s">
        <v>21</v>
      </c>
      <c r="H80" s="29"/>
    </row>
    <row r="81" spans="1:10" ht="18" x14ac:dyDescent="0.35">
      <c r="A81" s="103">
        <v>1</v>
      </c>
      <c r="B81" s="94" t="s">
        <v>137</v>
      </c>
      <c r="C81" s="87">
        <f>'4637'!B21</f>
        <v>2</v>
      </c>
      <c r="D81" s="87" t="str">
        <f>D130</f>
        <v>PR12  2 CARAS</v>
      </c>
      <c r="E81" s="109">
        <f>'4637'!D21</f>
        <v>500</v>
      </c>
      <c r="F81" s="109">
        <f>'4637'!E21</f>
        <v>480</v>
      </c>
      <c r="G81" s="4" t="str">
        <f>'4637'!F21</f>
        <v>NEUTRAL OAK 1498 MT</v>
      </c>
      <c r="H81" s="29"/>
      <c r="I81" s="28">
        <f>E81*F81/1000000</f>
        <v>0.24</v>
      </c>
      <c r="J81" s="28">
        <f>I81*C81</f>
        <v>0.48</v>
      </c>
    </row>
    <row r="82" spans="1:10" ht="18" x14ac:dyDescent="0.35">
      <c r="A82" s="103">
        <f>A81+1</f>
        <v>2</v>
      </c>
      <c r="B82" s="94"/>
      <c r="C82" s="87">
        <f>'4637'!B22</f>
        <v>1</v>
      </c>
      <c r="D82" s="87" t="str">
        <f>D131</f>
        <v>PR12  2 CARAS</v>
      </c>
      <c r="E82" s="109">
        <f>'4637'!D22</f>
        <v>760</v>
      </c>
      <c r="F82" s="109">
        <f>'4637'!E22</f>
        <v>427</v>
      </c>
      <c r="G82" s="4" t="str">
        <f>'4637'!F22</f>
        <v>NEUTRAL OAK 1498 MT</v>
      </c>
      <c r="H82" s="29"/>
      <c r="I82" s="28"/>
      <c r="J82" s="28"/>
    </row>
    <row r="83" spans="1:10" ht="18" x14ac:dyDescent="0.35">
      <c r="A83" s="103">
        <f t="shared" ref="A83:A108" si="38">A82+1</f>
        <v>3</v>
      </c>
      <c r="B83" s="94"/>
      <c r="C83" s="87">
        <f>'4637'!B23</f>
        <v>1</v>
      </c>
      <c r="D83" s="87" t="str">
        <f>D132</f>
        <v>PR12  2 CARAS</v>
      </c>
      <c r="E83" s="109">
        <f>'4637'!D23</f>
        <v>760</v>
      </c>
      <c r="F83" s="109">
        <f>'4637'!E23</f>
        <v>715</v>
      </c>
      <c r="G83" s="4" t="str">
        <f>'4637'!F23</f>
        <v>NEUTRAL OAK 1498 MT</v>
      </c>
      <c r="H83" s="29"/>
      <c r="I83" s="28"/>
      <c r="J83" s="28"/>
    </row>
    <row r="84" spans="1:10" ht="18" x14ac:dyDescent="0.35">
      <c r="A84" s="103">
        <f t="shared" si="38"/>
        <v>4</v>
      </c>
      <c r="B84" s="94"/>
      <c r="C84" s="87">
        <f>'4637'!B24</f>
        <v>1</v>
      </c>
      <c r="D84" s="87" t="str">
        <f>D133</f>
        <v>PR12  2 CARAS</v>
      </c>
      <c r="E84" s="109">
        <f>'4637'!D24</f>
        <v>760</v>
      </c>
      <c r="F84" s="109">
        <f>'4637'!E24</f>
        <v>270</v>
      </c>
      <c r="G84" s="4" t="str">
        <f>'4637'!F24</f>
        <v>NEUTRAL OAK 1498 MT</v>
      </c>
      <c r="H84" s="29"/>
      <c r="I84" s="28"/>
      <c r="J84" s="28"/>
    </row>
    <row r="85" spans="1:10" ht="18" x14ac:dyDescent="0.35">
      <c r="A85" s="103">
        <f t="shared" si="38"/>
        <v>5</v>
      </c>
      <c r="B85" s="94"/>
      <c r="C85" s="87">
        <f>'4637'!B25</f>
        <v>3</v>
      </c>
      <c r="D85" s="87" t="str">
        <f>D134</f>
        <v>PR12  2 CARAS</v>
      </c>
      <c r="E85" s="109">
        <f>'4637'!D25</f>
        <v>760</v>
      </c>
      <c r="F85" s="109">
        <f>'4637'!E25</f>
        <v>477</v>
      </c>
      <c r="G85" s="4" t="str">
        <f>'4637'!F25</f>
        <v>NEUTRAL OAK 1498 MT</v>
      </c>
      <c r="H85" s="29"/>
      <c r="I85" s="28"/>
      <c r="J85" s="28"/>
    </row>
    <row r="86" spans="1:10" ht="18" x14ac:dyDescent="0.35">
      <c r="A86" s="103">
        <f t="shared" si="38"/>
        <v>6</v>
      </c>
      <c r="B86" s="94"/>
      <c r="C86" s="87">
        <f>'4637'!B26</f>
        <v>2</v>
      </c>
      <c r="D86" s="87" t="str">
        <f>D135</f>
        <v>PR12  2 CARAS</v>
      </c>
      <c r="E86" s="109">
        <f>'4637'!D26</f>
        <v>760</v>
      </c>
      <c r="F86" s="109">
        <f>'4637'!E26</f>
        <v>472</v>
      </c>
      <c r="G86" s="4" t="str">
        <f>'4637'!F26</f>
        <v>NEUTRAL OAK 1498 MT</v>
      </c>
      <c r="H86" s="29"/>
      <c r="I86" s="28"/>
      <c r="J86" s="28"/>
    </row>
    <row r="87" spans="1:10" ht="18" x14ac:dyDescent="0.35">
      <c r="A87" s="103">
        <f t="shared" si="38"/>
        <v>7</v>
      </c>
      <c r="B87" s="94"/>
      <c r="C87" s="87">
        <f>'4637'!B27</f>
        <v>2</v>
      </c>
      <c r="D87" s="87" t="str">
        <f>D136</f>
        <v>PR12  2 CARAS</v>
      </c>
      <c r="E87" s="109">
        <f>'4637'!D27</f>
        <v>760</v>
      </c>
      <c r="F87" s="109">
        <f>'4637'!E27</f>
        <v>446</v>
      </c>
      <c r="G87" s="4" t="str">
        <f>'4637'!F27</f>
        <v>NEUTRAL OAK 1498 MT</v>
      </c>
      <c r="H87" s="29"/>
      <c r="I87" s="28"/>
      <c r="J87" s="28"/>
    </row>
    <row r="88" spans="1:10" ht="18" x14ac:dyDescent="0.35">
      <c r="A88" s="103">
        <f t="shared" si="38"/>
        <v>8</v>
      </c>
      <c r="B88" s="94"/>
      <c r="C88" s="87">
        <f>'4637'!B28</f>
        <v>1</v>
      </c>
      <c r="D88" s="87" t="str">
        <f>D137</f>
        <v>PR12  2 CARAS</v>
      </c>
      <c r="E88" s="109">
        <f>'4637'!D28</f>
        <v>760</v>
      </c>
      <c r="F88" s="109">
        <f>'4637'!E28</f>
        <v>595</v>
      </c>
      <c r="G88" s="4" t="str">
        <f>'4637'!F28</f>
        <v>NEUTRAL OAK 1498 MT</v>
      </c>
      <c r="H88" s="29"/>
      <c r="I88" s="28"/>
      <c r="J88" s="28"/>
    </row>
    <row r="89" spans="1:10" ht="18" x14ac:dyDescent="0.35">
      <c r="A89" s="103">
        <f t="shared" si="38"/>
        <v>9</v>
      </c>
      <c r="B89" s="94"/>
      <c r="C89" s="87">
        <f>'4637'!B29</f>
        <v>1</v>
      </c>
      <c r="D89" s="87" t="str">
        <f>D138</f>
        <v>PR12  2 CARAS</v>
      </c>
      <c r="E89" s="109">
        <f>'4637'!D29</f>
        <v>760</v>
      </c>
      <c r="F89" s="109">
        <f>'4637'!E29</f>
        <v>620</v>
      </c>
      <c r="G89" s="4" t="str">
        <f>'4637'!F29</f>
        <v>NEUTRAL OAK 1498 MT</v>
      </c>
      <c r="H89" s="29"/>
      <c r="I89" s="28"/>
      <c r="J89" s="28"/>
    </row>
    <row r="90" spans="1:10" ht="18" x14ac:dyDescent="0.35">
      <c r="A90" s="103">
        <f t="shared" si="38"/>
        <v>10</v>
      </c>
      <c r="B90" s="94"/>
      <c r="C90" s="87">
        <f>'4637'!B30</f>
        <v>2</v>
      </c>
      <c r="D90" s="87" t="str">
        <f>D139</f>
        <v>PR12</v>
      </c>
      <c r="E90" s="109">
        <f>'4637'!D30</f>
        <v>1120</v>
      </c>
      <c r="F90" s="109">
        <f>'4637'!E30</f>
        <v>319</v>
      </c>
      <c r="G90" s="4" t="str">
        <f>'4637'!F30</f>
        <v>VAINILLA 2109 BR</v>
      </c>
      <c r="H90" s="29"/>
      <c r="I90" s="28"/>
      <c r="J90" s="28"/>
    </row>
    <row r="91" spans="1:10" ht="18" x14ac:dyDescent="0.35">
      <c r="A91" s="103">
        <f t="shared" si="38"/>
        <v>11</v>
      </c>
      <c r="B91" s="94"/>
      <c r="C91" s="87">
        <f>'4637'!B31</f>
        <v>2</v>
      </c>
      <c r="D91" s="87" t="str">
        <f>D140</f>
        <v>PR12</v>
      </c>
      <c r="E91" s="109">
        <f>'4637'!D31</f>
        <v>630</v>
      </c>
      <c r="F91" s="109">
        <f>'4637'!E31</f>
        <v>321</v>
      </c>
      <c r="G91" s="4" t="str">
        <f>'4637'!F31</f>
        <v>VAINILLA 2109 BR</v>
      </c>
      <c r="H91" s="29"/>
      <c r="I91" s="28"/>
      <c r="J91" s="28"/>
    </row>
    <row r="92" spans="1:10" ht="18" x14ac:dyDescent="0.35">
      <c r="A92" s="103">
        <f t="shared" si="38"/>
        <v>12</v>
      </c>
      <c r="B92" s="94"/>
      <c r="C92" s="87">
        <f>'4637'!B32</f>
        <v>1</v>
      </c>
      <c r="D92" s="87" t="str">
        <f>D141</f>
        <v>PR12</v>
      </c>
      <c r="E92" s="109">
        <f>'4637'!D32</f>
        <v>600</v>
      </c>
      <c r="F92" s="109">
        <f>'4637'!E32</f>
        <v>640</v>
      </c>
      <c r="G92" s="4" t="str">
        <f>'4637'!F32</f>
        <v>VAINILLA 2109 BR</v>
      </c>
      <c r="H92" s="29"/>
      <c r="I92" s="28"/>
      <c r="J92" s="28"/>
    </row>
    <row r="93" spans="1:10" ht="18" x14ac:dyDescent="0.35">
      <c r="A93" s="103">
        <f t="shared" si="38"/>
        <v>13</v>
      </c>
      <c r="B93" s="94"/>
      <c r="C93" s="87">
        <f>'4637'!B33</f>
        <v>2</v>
      </c>
      <c r="D93" s="87" t="str">
        <f>D142</f>
        <v>PR12</v>
      </c>
      <c r="E93" s="109">
        <f>'4637'!D33</f>
        <v>840</v>
      </c>
      <c r="F93" s="109">
        <f>'4637'!E33</f>
        <v>447</v>
      </c>
      <c r="G93" s="4" t="str">
        <f>'4637'!F33</f>
        <v>VAINILLA 2109 BR</v>
      </c>
      <c r="H93" s="29"/>
      <c r="I93" s="28"/>
      <c r="J93" s="28"/>
    </row>
    <row r="94" spans="1:10" ht="18" x14ac:dyDescent="0.35">
      <c r="A94" s="103">
        <f t="shared" si="38"/>
        <v>14</v>
      </c>
      <c r="B94" s="94"/>
      <c r="C94" s="87">
        <f>'4637'!B34</f>
        <v>1</v>
      </c>
      <c r="D94" s="87" t="str">
        <f>D143</f>
        <v>PR12</v>
      </c>
      <c r="E94" s="109">
        <f>'4637'!D34</f>
        <v>840</v>
      </c>
      <c r="F94" s="109">
        <f>'4637'!E34</f>
        <v>620</v>
      </c>
      <c r="G94" s="4" t="str">
        <f>'4637'!F34</f>
        <v>VAINILLA 2109 BR</v>
      </c>
      <c r="H94" s="29"/>
      <c r="I94" s="28"/>
      <c r="J94" s="28"/>
    </row>
    <row r="95" spans="1:10" ht="18" x14ac:dyDescent="0.35">
      <c r="A95" s="103">
        <f t="shared" si="38"/>
        <v>15</v>
      </c>
      <c r="B95" s="94"/>
      <c r="C95" s="87">
        <f>'4637'!B35</f>
        <v>4</v>
      </c>
      <c r="D95" s="87" t="str">
        <f>D144</f>
        <v>PR12</v>
      </c>
      <c r="E95" s="109">
        <f>'4637'!D35</f>
        <v>840</v>
      </c>
      <c r="F95" s="109">
        <f>'4637'!E35</f>
        <v>447</v>
      </c>
      <c r="G95" s="4" t="str">
        <f>'4637'!F35</f>
        <v>VAINILLA 2109 BR</v>
      </c>
      <c r="H95" s="29"/>
      <c r="I95" s="28"/>
      <c r="J95" s="28"/>
    </row>
    <row r="96" spans="1:10" ht="18" x14ac:dyDescent="0.35">
      <c r="A96" s="103">
        <f t="shared" si="38"/>
        <v>16</v>
      </c>
      <c r="B96" s="94"/>
      <c r="C96" s="87">
        <f>'4637'!B36</f>
        <v>1</v>
      </c>
      <c r="D96" s="87" t="str">
        <f>D145</f>
        <v>PR12</v>
      </c>
      <c r="E96" s="109">
        <f>'4637'!D36</f>
        <v>840</v>
      </c>
      <c r="F96" s="109">
        <f>'4637'!E36</f>
        <v>620</v>
      </c>
      <c r="G96" s="4" t="str">
        <f>'4637'!F36</f>
        <v>VAINILLA 2109 BR</v>
      </c>
      <c r="H96" s="29"/>
      <c r="I96" s="28"/>
      <c r="J96" s="28"/>
    </row>
    <row r="97" spans="1:10" ht="18" x14ac:dyDescent="0.35">
      <c r="A97" s="103">
        <f t="shared" si="38"/>
        <v>17</v>
      </c>
      <c r="B97" s="94"/>
      <c r="C97" s="87">
        <f>'4637'!B37</f>
        <v>4</v>
      </c>
      <c r="D97" s="87" t="str">
        <f>D146</f>
        <v>PR12</v>
      </c>
      <c r="E97" s="109">
        <f>'4637'!D37</f>
        <v>840</v>
      </c>
      <c r="F97" s="109">
        <f>'4637'!E37</f>
        <v>447</v>
      </c>
      <c r="G97" s="4" t="str">
        <f>'4637'!F37</f>
        <v>VAINILLA 2109 BR</v>
      </c>
      <c r="H97" s="29"/>
      <c r="I97" s="28"/>
      <c r="J97" s="28"/>
    </row>
    <row r="98" spans="1:10" ht="18" x14ac:dyDescent="0.35">
      <c r="A98" s="103">
        <f t="shared" si="38"/>
        <v>18</v>
      </c>
      <c r="B98" s="94"/>
      <c r="C98" s="87">
        <f>'4637'!B38</f>
        <v>1</v>
      </c>
      <c r="D98" s="87" t="str">
        <f>D147</f>
        <v>PR12</v>
      </c>
      <c r="E98" s="109">
        <f>'4637'!D38</f>
        <v>880</v>
      </c>
      <c r="F98" s="109">
        <f>'4637'!E38</f>
        <v>640</v>
      </c>
      <c r="G98" s="4" t="str">
        <f>'4637'!F38</f>
        <v>VAINILLA 2109 BR</v>
      </c>
      <c r="H98" s="29"/>
      <c r="I98" s="28"/>
      <c r="J98" s="28"/>
    </row>
    <row r="99" spans="1:10" ht="18" x14ac:dyDescent="0.35">
      <c r="A99" s="103">
        <f t="shared" si="38"/>
        <v>19</v>
      </c>
      <c r="B99" s="94"/>
      <c r="C99" s="87">
        <f>'4637'!B39</f>
        <v>2</v>
      </c>
      <c r="D99" s="87" t="str">
        <f>D148</f>
        <v>PR12</v>
      </c>
      <c r="E99" s="109">
        <f>'4637'!D39</f>
        <v>2230</v>
      </c>
      <c r="F99" s="109">
        <f>'4637'!E39</f>
        <v>495</v>
      </c>
      <c r="G99" s="4" t="str">
        <f>'4637'!F39</f>
        <v>VAINILLA 2109 BR</v>
      </c>
      <c r="H99" s="29"/>
      <c r="I99" s="28"/>
      <c r="J99" s="28"/>
    </row>
    <row r="100" spans="1:10" ht="18" x14ac:dyDescent="0.35">
      <c r="A100" s="103">
        <f t="shared" si="38"/>
        <v>20</v>
      </c>
      <c r="B100" s="94"/>
      <c r="C100" s="87">
        <f>'4637'!B40</f>
        <v>2</v>
      </c>
      <c r="D100" s="87" t="str">
        <f>D149</f>
        <v>PR12</v>
      </c>
      <c r="E100" s="109">
        <f>'4637'!D40</f>
        <v>760</v>
      </c>
      <c r="F100" s="109">
        <f>'4637'!E40</f>
        <v>372</v>
      </c>
      <c r="G100" s="4" t="str">
        <f>'4637'!F40</f>
        <v>VAINILLA 2109 BR</v>
      </c>
      <c r="H100" s="29"/>
      <c r="I100" s="28"/>
      <c r="J100" s="28"/>
    </row>
    <row r="101" spans="1:10" ht="18" x14ac:dyDescent="0.35">
      <c r="A101" s="103">
        <f t="shared" si="38"/>
        <v>21</v>
      </c>
      <c r="B101" s="94"/>
      <c r="C101" s="87">
        <f>'4637'!B41</f>
        <v>1</v>
      </c>
      <c r="D101" s="87" t="str">
        <f>D150</f>
        <v>PR12</v>
      </c>
      <c r="E101" s="109">
        <f>'4637'!D41</f>
        <v>760</v>
      </c>
      <c r="F101" s="109">
        <f>'4637'!E41</f>
        <v>505</v>
      </c>
      <c r="G101" s="4" t="str">
        <f>'4637'!F41</f>
        <v>VAINILLA 2109 BR</v>
      </c>
      <c r="H101" s="29"/>
      <c r="I101" s="28"/>
      <c r="J101" s="28"/>
    </row>
    <row r="102" spans="1:10" ht="18" x14ac:dyDescent="0.35">
      <c r="A102" s="103">
        <f t="shared" si="38"/>
        <v>22</v>
      </c>
      <c r="B102" s="94"/>
      <c r="C102" s="87">
        <f>'4637'!B42</f>
        <v>1</v>
      </c>
      <c r="D102" s="87" t="str">
        <f>D151</f>
        <v>PR12</v>
      </c>
      <c r="E102" s="109">
        <f>'4637'!D42</f>
        <v>760</v>
      </c>
      <c r="F102" s="109">
        <f>'4637'!E42</f>
        <v>520</v>
      </c>
      <c r="G102" s="4" t="str">
        <f>'4637'!F42</f>
        <v>VAINILLA 2109 BR</v>
      </c>
      <c r="H102" s="29"/>
      <c r="I102" s="28"/>
      <c r="J102" s="28"/>
    </row>
    <row r="103" spans="1:10" ht="18" x14ac:dyDescent="0.35">
      <c r="A103" s="103">
        <f t="shared" si="38"/>
        <v>23</v>
      </c>
      <c r="B103" s="94"/>
      <c r="C103" s="87">
        <f>'4637'!B43</f>
        <v>2</v>
      </c>
      <c r="D103" s="87" t="str">
        <f>D152</f>
        <v>PR12</v>
      </c>
      <c r="E103" s="109">
        <f>'4637'!D43</f>
        <v>760</v>
      </c>
      <c r="F103" s="109">
        <f>'4637'!E43</f>
        <v>302</v>
      </c>
      <c r="G103" s="4" t="str">
        <f>'4637'!F43</f>
        <v>VAINILLA 2109 BR</v>
      </c>
      <c r="H103" s="29"/>
      <c r="I103" s="28"/>
      <c r="J103" s="28"/>
    </row>
    <row r="104" spans="1:10" ht="18" x14ac:dyDescent="0.35">
      <c r="A104" s="103">
        <f t="shared" si="38"/>
        <v>24</v>
      </c>
      <c r="B104" s="94"/>
      <c r="C104" s="87">
        <f>'4637'!B44</f>
        <v>2</v>
      </c>
      <c r="D104" s="87" t="str">
        <f>D153</f>
        <v>PR12</v>
      </c>
      <c r="E104" s="109">
        <f>'4637'!D44</f>
        <v>460</v>
      </c>
      <c r="F104" s="109">
        <f>'4637'!E44</f>
        <v>330</v>
      </c>
      <c r="G104" s="4" t="str">
        <f>'4637'!F44</f>
        <v>VAINILLA 2109 BR</v>
      </c>
      <c r="H104" s="29"/>
      <c r="I104" s="28"/>
      <c r="J104" s="28"/>
    </row>
    <row r="105" spans="1:10" ht="18" x14ac:dyDescent="0.35">
      <c r="A105" s="103">
        <f t="shared" si="38"/>
        <v>25</v>
      </c>
      <c r="B105" s="94"/>
      <c r="C105" s="87">
        <f>'4637'!B45</f>
        <v>1</v>
      </c>
      <c r="D105" s="87" t="str">
        <f>D154</f>
        <v>PR12</v>
      </c>
      <c r="E105" s="109">
        <f>'4637'!D45</f>
        <v>760</v>
      </c>
      <c r="F105" s="109">
        <f>'4637'!E45</f>
        <v>495</v>
      </c>
      <c r="G105" s="4" t="str">
        <f>'4637'!F45</f>
        <v>VAINILLA 2109 BR</v>
      </c>
      <c r="H105" s="29"/>
      <c r="I105" s="28"/>
      <c r="J105" s="28"/>
    </row>
    <row r="106" spans="1:10" ht="18" x14ac:dyDescent="0.35">
      <c r="A106" s="103">
        <f t="shared" si="38"/>
        <v>26</v>
      </c>
      <c r="B106" s="94"/>
      <c r="C106" s="87">
        <f>'4637'!B46</f>
        <v>2</v>
      </c>
      <c r="D106" s="87" t="str">
        <f>D155</f>
        <v>PR12</v>
      </c>
      <c r="E106" s="109">
        <f>'4637'!D46</f>
        <v>760</v>
      </c>
      <c r="F106" s="109">
        <f>'4637'!E46</f>
        <v>342</v>
      </c>
      <c r="G106" s="4" t="str">
        <f>'4637'!F46</f>
        <v>VAINILLA 2109 BR</v>
      </c>
      <c r="H106" s="29"/>
      <c r="I106" s="28"/>
      <c r="J106" s="28"/>
    </row>
    <row r="107" spans="1:10" ht="18" x14ac:dyDescent="0.35">
      <c r="A107" s="103">
        <f t="shared" si="38"/>
        <v>27</v>
      </c>
      <c r="B107" s="94"/>
      <c r="C107" s="87">
        <f>'4637'!B47</f>
        <v>3</v>
      </c>
      <c r="D107" s="87" t="str">
        <f>D156</f>
        <v>PR12</v>
      </c>
      <c r="E107" s="109">
        <f>'4637'!D47</f>
        <v>2230</v>
      </c>
      <c r="F107" s="109">
        <f>'4637'!E47</f>
        <v>463</v>
      </c>
      <c r="G107" s="4" t="str">
        <f>'4637'!F47</f>
        <v>VAINILLA 2109 BR</v>
      </c>
      <c r="H107" s="29"/>
      <c r="I107" s="28"/>
      <c r="J107" s="28"/>
    </row>
    <row r="108" spans="1:10" ht="18" x14ac:dyDescent="0.35">
      <c r="A108" s="103">
        <f t="shared" si="38"/>
        <v>28</v>
      </c>
      <c r="B108" s="94"/>
      <c r="C108" s="87">
        <f>'4637'!B48</f>
        <v>3</v>
      </c>
      <c r="D108" s="87" t="str">
        <f>D157</f>
        <v>PR12</v>
      </c>
      <c r="E108" s="109">
        <f>'4637'!D48</f>
        <v>2300</v>
      </c>
      <c r="F108" s="109">
        <f>'4637'!E48</f>
        <v>417</v>
      </c>
      <c r="G108" s="4" t="str">
        <f>'4637'!F48</f>
        <v>VAINILLA 2109 BR</v>
      </c>
      <c r="H108" s="29"/>
      <c r="I108" s="28"/>
      <c r="J108" s="28"/>
    </row>
    <row r="109" spans="1:10" ht="18" x14ac:dyDescent="0.35">
      <c r="A109" s="103"/>
      <c r="B109" s="94"/>
      <c r="C109" s="66"/>
      <c r="D109" s="66"/>
      <c r="E109" s="114"/>
      <c r="F109" s="114"/>
      <c r="G109" s="2"/>
      <c r="H109" s="29"/>
      <c r="I109" s="28"/>
      <c r="J109" s="28"/>
    </row>
    <row r="110" spans="1:10" ht="18" x14ac:dyDescent="0.35">
      <c r="A110" s="2"/>
      <c r="B110" s="29"/>
      <c r="C110" s="66"/>
      <c r="D110" s="66"/>
      <c r="E110" s="66"/>
      <c r="F110" s="66"/>
      <c r="G110" s="66"/>
      <c r="H110" s="29"/>
    </row>
    <row r="111" spans="1:10" ht="18" x14ac:dyDescent="0.35">
      <c r="A111" s="2"/>
      <c r="B111" s="29"/>
      <c r="C111" s="66"/>
      <c r="D111" s="66"/>
      <c r="E111" s="66"/>
      <c r="F111" s="66"/>
      <c r="G111" s="66"/>
      <c r="H111" s="29"/>
      <c r="J111" s="28">
        <f>SUM(J81:J81)*2</f>
        <v>0.96</v>
      </c>
    </row>
    <row r="112" spans="1:10" ht="18" x14ac:dyDescent="0.35">
      <c r="A112" s="2"/>
      <c r="B112" s="29"/>
      <c r="C112" s="66"/>
      <c r="D112" s="66"/>
      <c r="E112" s="66"/>
      <c r="F112" s="66"/>
      <c r="G112" s="66"/>
      <c r="H112" s="29"/>
    </row>
    <row r="113" spans="1:9" ht="18" x14ac:dyDescent="0.35">
      <c r="A113" s="2"/>
      <c r="B113" s="29"/>
      <c r="C113" s="66"/>
      <c r="D113" s="66"/>
      <c r="E113" s="66"/>
      <c r="F113" s="66"/>
      <c r="G113" s="66"/>
      <c r="H113" s="29"/>
    </row>
    <row r="114" spans="1:9" ht="18" x14ac:dyDescent="0.35">
      <c r="A114" s="2"/>
      <c r="B114" s="29"/>
      <c r="C114" s="66"/>
      <c r="D114" s="66"/>
      <c r="E114" s="66"/>
      <c r="F114" s="66"/>
      <c r="G114" s="66"/>
      <c r="H114" s="29"/>
    </row>
    <row r="115" spans="1:9" ht="18" x14ac:dyDescent="0.35">
      <c r="A115" s="2"/>
      <c r="B115" s="29"/>
      <c r="C115" s="66"/>
      <c r="D115" s="66"/>
      <c r="E115" s="66"/>
      <c r="F115" s="66"/>
      <c r="G115" s="66"/>
      <c r="H115" s="29"/>
    </row>
    <row r="116" spans="1:9" ht="18" x14ac:dyDescent="0.35">
      <c r="A116" s="2"/>
      <c r="B116" s="29"/>
      <c r="C116" s="66"/>
      <c r="D116" s="66"/>
      <c r="E116" s="66"/>
      <c r="F116" s="66"/>
      <c r="G116" s="66"/>
      <c r="H116" s="29"/>
    </row>
    <row r="117" spans="1:9" ht="18" x14ac:dyDescent="0.35">
      <c r="A117" s="2"/>
      <c r="B117" s="29"/>
      <c r="C117" s="66"/>
      <c r="D117" s="66"/>
      <c r="E117" s="66"/>
      <c r="F117" s="66"/>
      <c r="G117" s="66"/>
      <c r="H117" s="29"/>
    </row>
    <row r="118" spans="1:9" ht="18" x14ac:dyDescent="0.35">
      <c r="A118" s="2"/>
      <c r="B118" s="29"/>
      <c r="C118" s="66"/>
      <c r="D118" s="66"/>
      <c r="E118" s="66"/>
      <c r="F118" s="66"/>
      <c r="G118" s="66"/>
      <c r="H118" s="29"/>
    </row>
    <row r="119" spans="1:9" ht="18" x14ac:dyDescent="0.35">
      <c r="A119" s="2"/>
      <c r="B119" s="29"/>
      <c r="C119" s="29"/>
      <c r="D119" s="29"/>
      <c r="E119" s="29"/>
      <c r="F119" s="29"/>
      <c r="G119" s="29"/>
      <c r="H119" s="29"/>
    </row>
    <row r="120" spans="1:9" ht="18" x14ac:dyDescent="0.35">
      <c r="A120" s="2"/>
      <c r="B120" s="29"/>
      <c r="C120" s="29"/>
      <c r="D120" s="67" t="s">
        <v>25</v>
      </c>
      <c r="E120" s="68">
        <f>'4637'!G8</f>
        <v>4250</v>
      </c>
      <c r="F120" s="29"/>
      <c r="G120" s="29"/>
      <c r="H120" s="29"/>
    </row>
    <row r="121" spans="1:9" ht="17.25" customHeight="1" x14ac:dyDescent="0.35">
      <c r="A121" s="2"/>
      <c r="B121" s="29"/>
      <c r="C121" s="29"/>
      <c r="D121" s="69" t="s">
        <v>64</v>
      </c>
      <c r="E121" s="70" t="str">
        <f>'4637'!C10</f>
        <v>MUEBLERIA VALENTINA</v>
      </c>
      <c r="F121" s="47"/>
      <c r="G121" s="47"/>
      <c r="H121" s="29"/>
    </row>
    <row r="122" spans="1:9" ht="4.5" customHeight="1" x14ac:dyDescent="0.35">
      <c r="A122" s="2"/>
      <c r="B122" s="29"/>
      <c r="C122" s="29"/>
      <c r="D122" s="71"/>
      <c r="E122" s="72"/>
      <c r="F122" s="29"/>
      <c r="G122" s="29"/>
      <c r="H122" s="29"/>
    </row>
    <row r="123" spans="1:9" ht="18" x14ac:dyDescent="0.35">
      <c r="A123" s="2"/>
      <c r="B123" s="29"/>
      <c r="C123" s="29"/>
      <c r="D123" s="73" t="str">
        <f>'4637'!F11</f>
        <v>FECHA LIMITE :</v>
      </c>
      <c r="E123" s="74">
        <f>'4637'!G11</f>
        <v>0</v>
      </c>
      <c r="F123" s="29"/>
      <c r="G123" s="29"/>
      <c r="H123" s="29"/>
    </row>
    <row r="124" spans="1:9" ht="18" x14ac:dyDescent="0.35">
      <c r="A124" s="2"/>
      <c r="B124" s="29"/>
      <c r="C124" s="29"/>
      <c r="D124" s="29"/>
      <c r="E124" s="29"/>
      <c r="F124" s="29"/>
      <c r="G124" s="29" t="s">
        <v>135</v>
      </c>
      <c r="H124" s="29"/>
    </row>
    <row r="125" spans="1:9" ht="18" x14ac:dyDescent="0.35">
      <c r="A125" s="2"/>
      <c r="B125" s="29"/>
      <c r="C125" s="29"/>
      <c r="D125" s="29"/>
      <c r="E125" s="29"/>
      <c r="F125" s="29"/>
      <c r="G125" s="29"/>
      <c r="H125" s="29"/>
    </row>
    <row r="126" spans="1:9" ht="18" x14ac:dyDescent="0.35">
      <c r="A126" s="2"/>
      <c r="B126" s="119" t="s">
        <v>65</v>
      </c>
      <c r="C126" s="119"/>
      <c r="D126" s="119"/>
      <c r="E126" s="119"/>
      <c r="F126" s="119"/>
      <c r="G126" s="119"/>
      <c r="H126" s="29"/>
    </row>
    <row r="127" spans="1:9" ht="18" x14ac:dyDescent="0.35">
      <c r="A127" s="2"/>
      <c r="B127" s="29"/>
      <c r="C127" s="29"/>
      <c r="D127" s="29"/>
      <c r="E127" s="29"/>
      <c r="F127" s="29"/>
      <c r="G127" s="29"/>
      <c r="H127" s="29"/>
    </row>
    <row r="128" spans="1:9" ht="20.100000000000001" customHeight="1" x14ac:dyDescent="0.35">
      <c r="A128" s="2"/>
      <c r="B128" s="29"/>
      <c r="C128" s="120" t="s">
        <v>66</v>
      </c>
      <c r="D128" s="121"/>
      <c r="E128" s="122"/>
      <c r="F128" s="122"/>
      <c r="G128" s="123"/>
      <c r="H128" s="29"/>
      <c r="I128" s="25" t="s">
        <v>130</v>
      </c>
    </row>
    <row r="129" spans="1:13" s="10" customFormat="1" ht="20.100000000000001" customHeight="1" x14ac:dyDescent="0.35">
      <c r="A129" s="104"/>
      <c r="B129" s="29"/>
      <c r="C129" s="77" t="s">
        <v>9</v>
      </c>
      <c r="D129" s="78" t="s">
        <v>10</v>
      </c>
      <c r="E129" s="81" t="s">
        <v>6</v>
      </c>
      <c r="F129" s="81" t="s">
        <v>7</v>
      </c>
      <c r="G129" s="79" t="s">
        <v>11</v>
      </c>
      <c r="H129" s="29"/>
      <c r="K129" s="10">
        <v>15000</v>
      </c>
    </row>
    <row r="130" spans="1:13" s="10" customFormat="1" ht="20.100000000000001" customHeight="1" x14ac:dyDescent="0.35">
      <c r="A130" s="103"/>
      <c r="B130" s="93" t="s">
        <v>137</v>
      </c>
      <c r="C130" s="89">
        <f>'4637'!B21</f>
        <v>2</v>
      </c>
      <c r="D130" s="4" t="str">
        <f>'4637'!C21</f>
        <v>PR12  2 CARAS</v>
      </c>
      <c r="E130" s="109">
        <f>'4637'!D21</f>
        <v>500</v>
      </c>
      <c r="F130" s="96">
        <f>'4637'!E21</f>
        <v>480</v>
      </c>
      <c r="G130" s="4" t="str">
        <f>'4637'!F21</f>
        <v>NEUTRAL OAK 1498 MT</v>
      </c>
      <c r="H130" s="29"/>
      <c r="I130" s="10">
        <f>E130*F130/1000000</f>
        <v>0.24</v>
      </c>
      <c r="J130" s="10">
        <f>I130*C130</f>
        <v>0.48</v>
      </c>
      <c r="K130" s="26">
        <f>J130*K$129</f>
        <v>7200</v>
      </c>
      <c r="M130" s="24">
        <v>12096</v>
      </c>
    </row>
    <row r="131" spans="1:13" s="10" customFormat="1" ht="20.100000000000001" customHeight="1" x14ac:dyDescent="0.35">
      <c r="A131" s="103"/>
      <c r="B131" s="93"/>
      <c r="C131" s="89">
        <f>'4637'!B22</f>
        <v>1</v>
      </c>
      <c r="D131" s="4" t="str">
        <f>'4637'!C22</f>
        <v>PR12  2 CARAS</v>
      </c>
      <c r="E131" s="109">
        <f>'4637'!D22</f>
        <v>760</v>
      </c>
      <c r="F131" s="96">
        <f>'4637'!E22</f>
        <v>427</v>
      </c>
      <c r="G131" s="4" t="str">
        <f>'4637'!F22</f>
        <v>NEUTRAL OAK 1498 MT</v>
      </c>
      <c r="H131" s="29"/>
      <c r="K131" s="26"/>
      <c r="M131" s="115"/>
    </row>
    <row r="132" spans="1:13" s="10" customFormat="1" ht="20.100000000000001" customHeight="1" x14ac:dyDescent="0.35">
      <c r="A132" s="103"/>
      <c r="B132" s="93"/>
      <c r="C132" s="89">
        <f>'4637'!B23</f>
        <v>1</v>
      </c>
      <c r="D132" s="4" t="str">
        <f>'4637'!C23</f>
        <v>PR12  2 CARAS</v>
      </c>
      <c r="E132" s="109">
        <f>'4637'!D23</f>
        <v>760</v>
      </c>
      <c r="F132" s="96">
        <f>'4637'!E23</f>
        <v>715</v>
      </c>
      <c r="G132" s="4" t="str">
        <f>'4637'!F23</f>
        <v>NEUTRAL OAK 1498 MT</v>
      </c>
      <c r="H132" s="29"/>
      <c r="K132" s="26"/>
      <c r="M132" s="115"/>
    </row>
    <row r="133" spans="1:13" s="10" customFormat="1" ht="20.100000000000001" customHeight="1" x14ac:dyDescent="0.35">
      <c r="A133" s="103"/>
      <c r="B133" s="93"/>
      <c r="C133" s="89">
        <f>'4637'!B24</f>
        <v>1</v>
      </c>
      <c r="D133" s="4" t="str">
        <f>'4637'!C24</f>
        <v>PR12  2 CARAS</v>
      </c>
      <c r="E133" s="109">
        <f>'4637'!D24</f>
        <v>760</v>
      </c>
      <c r="F133" s="96">
        <f>'4637'!E24</f>
        <v>270</v>
      </c>
      <c r="G133" s="4" t="str">
        <f>'4637'!F24</f>
        <v>NEUTRAL OAK 1498 MT</v>
      </c>
      <c r="H133" s="29"/>
      <c r="K133" s="26"/>
      <c r="M133" s="115"/>
    </row>
    <row r="134" spans="1:13" s="10" customFormat="1" ht="20.100000000000001" customHeight="1" x14ac:dyDescent="0.35">
      <c r="A134" s="103"/>
      <c r="B134" s="93"/>
      <c r="C134" s="89">
        <f>'4637'!B25</f>
        <v>3</v>
      </c>
      <c r="D134" s="4" t="str">
        <f>'4637'!C25</f>
        <v>PR12  2 CARAS</v>
      </c>
      <c r="E134" s="109">
        <f>'4637'!D25</f>
        <v>760</v>
      </c>
      <c r="F134" s="96">
        <f>'4637'!E25</f>
        <v>477</v>
      </c>
      <c r="G134" s="4" t="str">
        <f>'4637'!F25</f>
        <v>NEUTRAL OAK 1498 MT</v>
      </c>
      <c r="H134" s="29"/>
      <c r="K134" s="26"/>
      <c r="M134" s="115"/>
    </row>
    <row r="135" spans="1:13" s="10" customFormat="1" ht="20.100000000000001" customHeight="1" x14ac:dyDescent="0.35">
      <c r="A135" s="103"/>
      <c r="B135" s="93"/>
      <c r="C135" s="89">
        <f>'4637'!B26</f>
        <v>2</v>
      </c>
      <c r="D135" s="4" t="str">
        <f>'4637'!C26</f>
        <v>PR12  2 CARAS</v>
      </c>
      <c r="E135" s="109">
        <f>'4637'!D26</f>
        <v>760</v>
      </c>
      <c r="F135" s="96">
        <f>'4637'!E26</f>
        <v>472</v>
      </c>
      <c r="G135" s="4" t="str">
        <f>'4637'!F26</f>
        <v>NEUTRAL OAK 1498 MT</v>
      </c>
      <c r="H135" s="29"/>
      <c r="K135" s="26"/>
      <c r="M135" s="115"/>
    </row>
    <row r="136" spans="1:13" s="10" customFormat="1" ht="20.100000000000001" customHeight="1" x14ac:dyDescent="0.35">
      <c r="A136" s="103"/>
      <c r="B136" s="93"/>
      <c r="C136" s="89">
        <f>'4637'!B27</f>
        <v>2</v>
      </c>
      <c r="D136" s="4" t="str">
        <f>'4637'!C27</f>
        <v>PR12  2 CARAS</v>
      </c>
      <c r="E136" s="109">
        <f>'4637'!D27</f>
        <v>760</v>
      </c>
      <c r="F136" s="96">
        <f>'4637'!E27</f>
        <v>446</v>
      </c>
      <c r="G136" s="4" t="str">
        <f>'4637'!F27</f>
        <v>NEUTRAL OAK 1498 MT</v>
      </c>
      <c r="H136" s="29"/>
      <c r="K136" s="26"/>
      <c r="M136" s="115"/>
    </row>
    <row r="137" spans="1:13" s="10" customFormat="1" ht="20.100000000000001" customHeight="1" x14ac:dyDescent="0.35">
      <c r="A137" s="103"/>
      <c r="B137" s="93"/>
      <c r="C137" s="89">
        <f>'4637'!B28</f>
        <v>1</v>
      </c>
      <c r="D137" s="4" t="str">
        <f>'4637'!C28</f>
        <v>PR12  2 CARAS</v>
      </c>
      <c r="E137" s="109">
        <f>'4637'!D28</f>
        <v>760</v>
      </c>
      <c r="F137" s="96">
        <f>'4637'!E28</f>
        <v>595</v>
      </c>
      <c r="G137" s="4" t="str">
        <f>'4637'!F28</f>
        <v>NEUTRAL OAK 1498 MT</v>
      </c>
      <c r="H137" s="29"/>
      <c r="K137" s="26"/>
      <c r="M137" s="115"/>
    </row>
    <row r="138" spans="1:13" s="10" customFormat="1" ht="20.100000000000001" customHeight="1" x14ac:dyDescent="0.35">
      <c r="A138" s="103"/>
      <c r="B138" s="93"/>
      <c r="C138" s="89">
        <f>'4637'!B29</f>
        <v>1</v>
      </c>
      <c r="D138" s="4" t="str">
        <f>'4637'!C29</f>
        <v>PR12  2 CARAS</v>
      </c>
      <c r="E138" s="109">
        <f>'4637'!D29</f>
        <v>760</v>
      </c>
      <c r="F138" s="96">
        <f>'4637'!E29</f>
        <v>620</v>
      </c>
      <c r="G138" s="4" t="str">
        <f>'4637'!F29</f>
        <v>NEUTRAL OAK 1498 MT</v>
      </c>
      <c r="H138" s="29"/>
      <c r="K138" s="26"/>
      <c r="M138" s="115"/>
    </row>
    <row r="139" spans="1:13" s="10" customFormat="1" ht="20.100000000000001" customHeight="1" x14ac:dyDescent="0.35">
      <c r="A139" s="103"/>
      <c r="B139" s="93"/>
      <c r="C139" s="89">
        <f>'4637'!B30</f>
        <v>2</v>
      </c>
      <c r="D139" s="4" t="str">
        <f>'4637'!C30</f>
        <v>PR12</v>
      </c>
      <c r="E139" s="109">
        <f>'4637'!D30</f>
        <v>1120</v>
      </c>
      <c r="F139" s="96">
        <f>'4637'!E30</f>
        <v>319</v>
      </c>
      <c r="G139" s="4" t="str">
        <f>'4637'!F30</f>
        <v>VAINILLA 2109 BR</v>
      </c>
      <c r="H139" s="29"/>
      <c r="K139" s="26"/>
      <c r="M139" s="115"/>
    </row>
    <row r="140" spans="1:13" s="10" customFormat="1" ht="20.100000000000001" customHeight="1" x14ac:dyDescent="0.35">
      <c r="A140" s="103"/>
      <c r="B140" s="93"/>
      <c r="C140" s="89">
        <f>'4637'!B31</f>
        <v>2</v>
      </c>
      <c r="D140" s="4" t="str">
        <f>'4637'!C31</f>
        <v>PR12</v>
      </c>
      <c r="E140" s="109">
        <f>'4637'!D31</f>
        <v>630</v>
      </c>
      <c r="F140" s="96">
        <f>'4637'!E31</f>
        <v>321</v>
      </c>
      <c r="G140" s="4" t="str">
        <f>'4637'!F31</f>
        <v>VAINILLA 2109 BR</v>
      </c>
      <c r="H140" s="29"/>
      <c r="K140" s="26"/>
      <c r="M140" s="115"/>
    </row>
    <row r="141" spans="1:13" s="10" customFormat="1" ht="20.100000000000001" customHeight="1" x14ac:dyDescent="0.35">
      <c r="A141" s="103"/>
      <c r="B141" s="93"/>
      <c r="C141" s="89">
        <f>'4637'!B32</f>
        <v>1</v>
      </c>
      <c r="D141" s="4" t="str">
        <f>'4637'!C32</f>
        <v>PR12</v>
      </c>
      <c r="E141" s="109">
        <f>'4637'!D32</f>
        <v>600</v>
      </c>
      <c r="F141" s="96">
        <f>'4637'!E32</f>
        <v>640</v>
      </c>
      <c r="G141" s="4" t="str">
        <f>'4637'!F32</f>
        <v>VAINILLA 2109 BR</v>
      </c>
      <c r="H141" s="29"/>
      <c r="K141" s="26"/>
      <c r="M141" s="115"/>
    </row>
    <row r="142" spans="1:13" s="10" customFormat="1" ht="20.100000000000001" customHeight="1" x14ac:dyDescent="0.35">
      <c r="A142" s="103"/>
      <c r="B142" s="93"/>
      <c r="C142" s="89">
        <f>'4637'!B33</f>
        <v>2</v>
      </c>
      <c r="D142" s="4" t="str">
        <f>'4637'!C33</f>
        <v>PR12</v>
      </c>
      <c r="E142" s="109">
        <f>'4637'!D33</f>
        <v>840</v>
      </c>
      <c r="F142" s="96">
        <f>'4637'!E33</f>
        <v>447</v>
      </c>
      <c r="G142" s="4" t="str">
        <f>'4637'!F33</f>
        <v>VAINILLA 2109 BR</v>
      </c>
      <c r="H142" s="29"/>
      <c r="K142" s="26"/>
      <c r="M142" s="115"/>
    </row>
    <row r="143" spans="1:13" s="10" customFormat="1" ht="20.100000000000001" customHeight="1" x14ac:dyDescent="0.35">
      <c r="A143" s="103"/>
      <c r="B143" s="93"/>
      <c r="C143" s="89">
        <f>'4637'!B34</f>
        <v>1</v>
      </c>
      <c r="D143" s="4" t="str">
        <f>'4637'!C34</f>
        <v>PR12</v>
      </c>
      <c r="E143" s="109">
        <f>'4637'!D34</f>
        <v>840</v>
      </c>
      <c r="F143" s="96">
        <f>'4637'!E34</f>
        <v>620</v>
      </c>
      <c r="G143" s="4" t="str">
        <f>'4637'!F34</f>
        <v>VAINILLA 2109 BR</v>
      </c>
      <c r="H143" s="29"/>
      <c r="K143" s="26"/>
      <c r="M143" s="115"/>
    </row>
    <row r="144" spans="1:13" s="10" customFormat="1" ht="20.100000000000001" customHeight="1" x14ac:dyDescent="0.35">
      <c r="A144" s="103"/>
      <c r="B144" s="93"/>
      <c r="C144" s="89">
        <f>'4637'!B35</f>
        <v>4</v>
      </c>
      <c r="D144" s="4" t="str">
        <f>'4637'!C35</f>
        <v>PR12</v>
      </c>
      <c r="E144" s="109">
        <f>'4637'!D35</f>
        <v>840</v>
      </c>
      <c r="F144" s="96">
        <f>'4637'!E35</f>
        <v>447</v>
      </c>
      <c r="G144" s="4" t="str">
        <f>'4637'!F35</f>
        <v>VAINILLA 2109 BR</v>
      </c>
      <c r="H144" s="29"/>
      <c r="K144" s="26"/>
      <c r="M144" s="115"/>
    </row>
    <row r="145" spans="1:13" s="10" customFormat="1" ht="20.100000000000001" customHeight="1" x14ac:dyDescent="0.35">
      <c r="A145" s="103"/>
      <c r="B145" s="93"/>
      <c r="C145" s="89">
        <f>'4637'!B36</f>
        <v>1</v>
      </c>
      <c r="D145" s="4" t="str">
        <f>'4637'!C36</f>
        <v>PR12</v>
      </c>
      <c r="E145" s="109">
        <f>'4637'!D36</f>
        <v>840</v>
      </c>
      <c r="F145" s="96">
        <f>'4637'!E36</f>
        <v>620</v>
      </c>
      <c r="G145" s="4" t="str">
        <f>'4637'!F36</f>
        <v>VAINILLA 2109 BR</v>
      </c>
      <c r="H145" s="29"/>
      <c r="K145" s="26"/>
      <c r="M145" s="115"/>
    </row>
    <row r="146" spans="1:13" s="10" customFormat="1" ht="20.100000000000001" customHeight="1" x14ac:dyDescent="0.35">
      <c r="A146" s="103"/>
      <c r="B146" s="93"/>
      <c r="C146" s="89">
        <f>'4637'!B37</f>
        <v>4</v>
      </c>
      <c r="D146" s="4" t="str">
        <f>'4637'!C37</f>
        <v>PR12</v>
      </c>
      <c r="E146" s="109">
        <f>'4637'!D37</f>
        <v>840</v>
      </c>
      <c r="F146" s="96">
        <f>'4637'!E37</f>
        <v>447</v>
      </c>
      <c r="G146" s="4" t="str">
        <f>'4637'!F37</f>
        <v>VAINILLA 2109 BR</v>
      </c>
      <c r="H146" s="29"/>
      <c r="K146" s="26"/>
      <c r="M146" s="115"/>
    </row>
    <row r="147" spans="1:13" s="10" customFormat="1" ht="20.100000000000001" customHeight="1" x14ac:dyDescent="0.35">
      <c r="A147" s="103"/>
      <c r="B147" s="93"/>
      <c r="C147" s="89">
        <f>'4637'!B38</f>
        <v>1</v>
      </c>
      <c r="D147" s="4" t="str">
        <f>'4637'!C38</f>
        <v>PR12</v>
      </c>
      <c r="E147" s="109">
        <f>'4637'!D38</f>
        <v>880</v>
      </c>
      <c r="F147" s="96">
        <f>'4637'!E38</f>
        <v>640</v>
      </c>
      <c r="G147" s="4" t="str">
        <f>'4637'!F38</f>
        <v>VAINILLA 2109 BR</v>
      </c>
      <c r="H147" s="29"/>
      <c r="K147" s="26"/>
      <c r="M147" s="115"/>
    </row>
    <row r="148" spans="1:13" s="10" customFormat="1" ht="20.100000000000001" customHeight="1" x14ac:dyDescent="0.35">
      <c r="A148" s="103"/>
      <c r="B148" s="93"/>
      <c r="C148" s="89">
        <f>'4637'!B39</f>
        <v>2</v>
      </c>
      <c r="D148" s="4" t="str">
        <f>'4637'!C39</f>
        <v>PR12</v>
      </c>
      <c r="E148" s="109">
        <f>'4637'!D39</f>
        <v>2230</v>
      </c>
      <c r="F148" s="96">
        <f>'4637'!E39</f>
        <v>495</v>
      </c>
      <c r="G148" s="4" t="str">
        <f>'4637'!F39</f>
        <v>VAINILLA 2109 BR</v>
      </c>
      <c r="H148" s="29"/>
      <c r="K148" s="26"/>
      <c r="M148" s="115"/>
    </row>
    <row r="149" spans="1:13" s="10" customFormat="1" ht="20.100000000000001" customHeight="1" x14ac:dyDescent="0.35">
      <c r="A149" s="103"/>
      <c r="B149" s="93"/>
      <c r="C149" s="89">
        <f>'4637'!B40</f>
        <v>2</v>
      </c>
      <c r="D149" s="4" t="str">
        <f>'4637'!C40</f>
        <v>PR12</v>
      </c>
      <c r="E149" s="109">
        <f>'4637'!D40</f>
        <v>760</v>
      </c>
      <c r="F149" s="96">
        <f>'4637'!E40</f>
        <v>372</v>
      </c>
      <c r="G149" s="4" t="str">
        <f>'4637'!F40</f>
        <v>VAINILLA 2109 BR</v>
      </c>
      <c r="H149" s="29"/>
      <c r="K149" s="26"/>
      <c r="M149" s="115"/>
    </row>
    <row r="150" spans="1:13" s="10" customFormat="1" ht="20.100000000000001" customHeight="1" x14ac:dyDescent="0.35">
      <c r="A150" s="103"/>
      <c r="B150" s="93"/>
      <c r="C150" s="89">
        <f>'4637'!B41</f>
        <v>1</v>
      </c>
      <c r="D150" s="4" t="str">
        <f>'4637'!C41</f>
        <v>PR12</v>
      </c>
      <c r="E150" s="109">
        <f>'4637'!D41</f>
        <v>760</v>
      </c>
      <c r="F150" s="96">
        <f>'4637'!E41</f>
        <v>505</v>
      </c>
      <c r="G150" s="4" t="str">
        <f>'4637'!F41</f>
        <v>VAINILLA 2109 BR</v>
      </c>
      <c r="H150" s="29"/>
      <c r="K150" s="26"/>
      <c r="M150" s="115"/>
    </row>
    <row r="151" spans="1:13" s="10" customFormat="1" ht="20.100000000000001" customHeight="1" x14ac:dyDescent="0.35">
      <c r="A151" s="103"/>
      <c r="B151" s="93"/>
      <c r="C151" s="89">
        <f>'4637'!B42</f>
        <v>1</v>
      </c>
      <c r="D151" s="4" t="str">
        <f>'4637'!C42</f>
        <v>PR12</v>
      </c>
      <c r="E151" s="109">
        <f>'4637'!D42</f>
        <v>760</v>
      </c>
      <c r="F151" s="96">
        <f>'4637'!E42</f>
        <v>520</v>
      </c>
      <c r="G151" s="4" t="str">
        <f>'4637'!F42</f>
        <v>VAINILLA 2109 BR</v>
      </c>
      <c r="H151" s="29"/>
      <c r="K151" s="26"/>
      <c r="M151" s="115"/>
    </row>
    <row r="152" spans="1:13" s="10" customFormat="1" ht="20.100000000000001" customHeight="1" x14ac:dyDescent="0.35">
      <c r="A152" s="103"/>
      <c r="B152" s="93"/>
      <c r="C152" s="89">
        <f>'4637'!B43</f>
        <v>2</v>
      </c>
      <c r="D152" s="4" t="str">
        <f>'4637'!C43</f>
        <v>PR12</v>
      </c>
      <c r="E152" s="109">
        <f>'4637'!D43</f>
        <v>760</v>
      </c>
      <c r="F152" s="96">
        <f>'4637'!E43</f>
        <v>302</v>
      </c>
      <c r="G152" s="4" t="str">
        <f>'4637'!F43</f>
        <v>VAINILLA 2109 BR</v>
      </c>
      <c r="H152" s="29"/>
      <c r="K152" s="26"/>
      <c r="M152" s="115"/>
    </row>
    <row r="153" spans="1:13" s="10" customFormat="1" ht="20.100000000000001" customHeight="1" x14ac:dyDescent="0.35">
      <c r="A153" s="103"/>
      <c r="B153" s="93"/>
      <c r="C153" s="89">
        <f>'4637'!B44</f>
        <v>2</v>
      </c>
      <c r="D153" s="4" t="str">
        <f>'4637'!C44</f>
        <v>PR12</v>
      </c>
      <c r="E153" s="109">
        <f>'4637'!D44</f>
        <v>460</v>
      </c>
      <c r="F153" s="96">
        <f>'4637'!E44</f>
        <v>330</v>
      </c>
      <c r="G153" s="4" t="str">
        <f>'4637'!F44</f>
        <v>VAINILLA 2109 BR</v>
      </c>
      <c r="H153" s="29"/>
      <c r="K153" s="26"/>
      <c r="M153" s="115"/>
    </row>
    <row r="154" spans="1:13" s="10" customFormat="1" ht="20.100000000000001" customHeight="1" x14ac:dyDescent="0.35">
      <c r="A154" s="103"/>
      <c r="B154" s="93"/>
      <c r="C154" s="89">
        <f>'4637'!B45</f>
        <v>1</v>
      </c>
      <c r="D154" s="4" t="str">
        <f>'4637'!C45</f>
        <v>PR12</v>
      </c>
      <c r="E154" s="109">
        <f>'4637'!D45</f>
        <v>760</v>
      </c>
      <c r="F154" s="96">
        <f>'4637'!E45</f>
        <v>495</v>
      </c>
      <c r="G154" s="4" t="str">
        <f>'4637'!F45</f>
        <v>VAINILLA 2109 BR</v>
      </c>
      <c r="H154" s="29"/>
      <c r="K154" s="26"/>
      <c r="M154" s="115"/>
    </row>
    <row r="155" spans="1:13" s="10" customFormat="1" ht="20.100000000000001" customHeight="1" x14ac:dyDescent="0.35">
      <c r="A155" s="103"/>
      <c r="B155" s="93"/>
      <c r="C155" s="89">
        <f>'4637'!B46</f>
        <v>2</v>
      </c>
      <c r="D155" s="4" t="str">
        <f>'4637'!C46</f>
        <v>PR12</v>
      </c>
      <c r="E155" s="109">
        <f>'4637'!D46</f>
        <v>760</v>
      </c>
      <c r="F155" s="96">
        <f>'4637'!E46</f>
        <v>342</v>
      </c>
      <c r="G155" s="4" t="str">
        <f>'4637'!F46</f>
        <v>VAINILLA 2109 BR</v>
      </c>
      <c r="H155" s="29"/>
      <c r="K155" s="26"/>
      <c r="M155" s="115"/>
    </row>
    <row r="156" spans="1:13" s="10" customFormat="1" ht="20.100000000000001" customHeight="1" x14ac:dyDescent="0.35">
      <c r="A156" s="103"/>
      <c r="B156" s="93"/>
      <c r="C156" s="89">
        <f>'4637'!B47</f>
        <v>3</v>
      </c>
      <c r="D156" s="4" t="str">
        <f>'4637'!C47</f>
        <v>PR12</v>
      </c>
      <c r="E156" s="109">
        <f>'4637'!D47</f>
        <v>2230</v>
      </c>
      <c r="F156" s="96">
        <f>'4637'!E47</f>
        <v>463</v>
      </c>
      <c r="G156" s="4" t="str">
        <f>'4637'!F47</f>
        <v>VAINILLA 2109 BR</v>
      </c>
      <c r="H156" s="29"/>
      <c r="K156" s="26"/>
      <c r="M156" s="115"/>
    </row>
    <row r="157" spans="1:13" s="10" customFormat="1" ht="20.100000000000001" customHeight="1" x14ac:dyDescent="0.35">
      <c r="A157" s="103"/>
      <c r="B157" s="93"/>
      <c r="C157" s="89">
        <f>'4637'!B48</f>
        <v>3</v>
      </c>
      <c r="D157" s="4" t="str">
        <f>'4637'!C48</f>
        <v>PR12</v>
      </c>
      <c r="E157" s="109">
        <f>'4637'!D48</f>
        <v>2300</v>
      </c>
      <c r="F157" s="96">
        <f>'4637'!E48</f>
        <v>417</v>
      </c>
      <c r="G157" s="4" t="str">
        <f>'4637'!F48</f>
        <v>VAINILLA 2109 BR</v>
      </c>
      <c r="H157" s="29"/>
      <c r="K157" s="26"/>
      <c r="M157" s="115"/>
    </row>
    <row r="158" spans="1:13" s="10" customFormat="1" ht="20.100000000000001" customHeight="1" x14ac:dyDescent="0.35">
      <c r="A158" s="103"/>
      <c r="B158" s="93"/>
      <c r="C158" s="66"/>
      <c r="D158" s="2"/>
      <c r="E158" s="114"/>
      <c r="F158" s="98"/>
      <c r="G158" s="2"/>
      <c r="H158" s="29"/>
      <c r="K158" s="26"/>
      <c r="M158" s="115"/>
    </row>
    <row r="159" spans="1:13" s="10" customFormat="1" ht="15" customHeight="1" x14ac:dyDescent="0.35">
      <c r="B159" s="76"/>
      <c r="C159" s="59"/>
      <c r="D159" s="59"/>
      <c r="E159" s="59"/>
      <c r="F159" s="59"/>
      <c r="G159" s="59"/>
      <c r="H159" s="29"/>
    </row>
    <row r="160" spans="1:13" ht="18" x14ac:dyDescent="0.35">
      <c r="B160" s="66"/>
      <c r="C160" s="66"/>
      <c r="D160" s="29"/>
      <c r="E160" s="66"/>
      <c r="F160" s="66"/>
      <c r="G160" s="71"/>
      <c r="H160" s="29"/>
    </row>
    <row r="161" spans="2:11" ht="18" x14ac:dyDescent="0.35">
      <c r="B161" s="66"/>
      <c r="C161" s="66"/>
      <c r="D161" s="29"/>
      <c r="E161" s="66"/>
      <c r="F161" s="66"/>
      <c r="G161" s="66"/>
      <c r="H161" s="29"/>
      <c r="J161" s="10">
        <f>SUM(J130:J130)</f>
        <v>0.48</v>
      </c>
      <c r="K161" s="27">
        <f>SUM(K130:K130)</f>
        <v>7200</v>
      </c>
    </row>
    <row r="162" spans="2:11" ht="18" x14ac:dyDescent="0.35">
      <c r="B162" s="29"/>
      <c r="C162" s="29"/>
      <c r="D162" s="29"/>
      <c r="E162" s="29"/>
      <c r="F162" s="29"/>
      <c r="G162" s="29"/>
      <c r="H162" s="29"/>
    </row>
    <row r="163" spans="2:11" ht="18" x14ac:dyDescent="0.35">
      <c r="B163" s="29"/>
      <c r="C163" s="29"/>
      <c r="D163" s="29"/>
      <c r="E163" s="29"/>
      <c r="F163" s="29"/>
      <c r="G163" s="29"/>
      <c r="H163" s="29"/>
    </row>
    <row r="164" spans="2:11" ht="18" x14ac:dyDescent="0.35">
      <c r="B164" s="29"/>
      <c r="C164" s="29"/>
      <c r="D164" s="29"/>
      <c r="E164" s="29"/>
      <c r="F164" s="29"/>
      <c r="G164" s="29"/>
      <c r="H164" s="29"/>
    </row>
    <row r="165" spans="2:11" ht="15" customHeight="1" x14ac:dyDescent="0.35">
      <c r="B165" s="29"/>
      <c r="C165" s="29"/>
      <c r="D165" s="29"/>
      <c r="E165" s="29"/>
      <c r="F165" s="29"/>
      <c r="G165" s="29"/>
      <c r="H165" s="29"/>
    </row>
    <row r="166" spans="2:11" ht="18" x14ac:dyDescent="0.35">
      <c r="B166" s="29"/>
      <c r="C166" s="29"/>
      <c r="D166" s="29"/>
      <c r="E166" s="29"/>
      <c r="F166" s="29"/>
      <c r="G166" s="29"/>
      <c r="H166" s="29"/>
    </row>
    <row r="167" spans="2:11" ht="18" x14ac:dyDescent="0.35">
      <c r="B167" s="66"/>
      <c r="C167" s="80"/>
      <c r="D167" s="29"/>
      <c r="E167" s="29"/>
      <c r="F167" s="29"/>
      <c r="G167" s="29"/>
      <c r="H167" s="29"/>
    </row>
    <row r="168" spans="2:11" ht="18" x14ac:dyDescent="0.35">
      <c r="B168" s="29"/>
      <c r="C168" s="29"/>
      <c r="D168" s="29"/>
      <c r="E168" s="29"/>
      <c r="F168" s="29"/>
      <c r="G168" s="29"/>
      <c r="H168" s="29"/>
    </row>
    <row r="169" spans="2:11" x14ac:dyDescent="0.3">
      <c r="C169" s="14"/>
      <c r="D169" s="14"/>
      <c r="F169" s="14"/>
      <c r="G169" s="14"/>
    </row>
    <row r="170" spans="2:11" x14ac:dyDescent="0.3">
      <c r="C170" s="14"/>
      <c r="D170" s="14"/>
      <c r="F170" s="14"/>
      <c r="G170" s="14"/>
    </row>
  </sheetData>
  <mergeCells count="6">
    <mergeCell ref="N3:O3"/>
    <mergeCell ref="B45:G45"/>
    <mergeCell ref="B10:G10"/>
    <mergeCell ref="B126:G126"/>
    <mergeCell ref="C128:G12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4637</vt:lpstr>
      <vt:lpstr>REGLAS</vt:lpstr>
      <vt:lpstr>CUBIERTA</vt:lpstr>
      <vt:lpstr>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2026-04-06T16:09:44Z</cp:lastPrinted>
  <dcterms:created xsi:type="dcterms:W3CDTF">2013-03-19T12:54:14Z</dcterms:created>
  <dcterms:modified xsi:type="dcterms:W3CDTF">2026-04-06T16:09:53Z</dcterms:modified>
</cp:coreProperties>
</file>