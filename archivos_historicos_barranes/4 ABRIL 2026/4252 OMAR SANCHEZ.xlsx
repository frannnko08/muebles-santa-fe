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6\"/>
    </mc:Choice>
  </mc:AlternateContent>
  <xr:revisionPtr revIDLastSave="0" documentId="13_ncr:1_{04EE9055-ABBC-4720-A0F8-288B8D40C6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CUBIERTA!$A$40:$G$66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3" l="1"/>
  <c r="D55" i="3"/>
  <c r="E55" i="3"/>
  <c r="F55" i="3"/>
  <c r="G55" i="3"/>
  <c r="H26" i="4"/>
  <c r="H23" i="4"/>
  <c r="H22" i="4"/>
  <c r="H21" i="4"/>
  <c r="C31" i="3"/>
  <c r="J24" i="3" s="1"/>
  <c r="C24" i="3" s="1"/>
  <c r="E31" i="3"/>
  <c r="K24" i="3" s="1"/>
  <c r="F31" i="3"/>
  <c r="L24" i="3" s="1"/>
  <c r="F24" i="3" s="1"/>
  <c r="G31" i="3"/>
  <c r="C54" i="3"/>
  <c r="D54" i="3"/>
  <c r="D31" i="3" s="1"/>
  <c r="G24" i="3" s="1"/>
  <c r="E54" i="3"/>
  <c r="F54" i="3"/>
  <c r="G54" i="3"/>
  <c r="K15" i="3" l="1"/>
  <c r="J15" i="3"/>
  <c r="C15" i="3" s="1"/>
  <c r="G15" i="3"/>
  <c r="L15" i="3"/>
  <c r="F15" i="3" s="1"/>
  <c r="G30" i="3"/>
  <c r="F30" i="3"/>
  <c r="L14" i="3" s="1"/>
  <c r="E30" i="3"/>
  <c r="K14" i="3" s="1"/>
  <c r="C30" i="3"/>
  <c r="G53" i="3"/>
  <c r="F53" i="3"/>
  <c r="E53" i="3"/>
  <c r="D53" i="3"/>
  <c r="D30" i="3" s="1"/>
  <c r="C53" i="3"/>
  <c r="H28" i="4" l="1"/>
  <c r="L21" i="4"/>
  <c r="K21" i="4"/>
  <c r="M21" i="4" l="1"/>
  <c r="N21" i="4" s="1"/>
  <c r="G23" i="3" l="1"/>
  <c r="L23" i="3"/>
  <c r="F23" i="3" s="1"/>
  <c r="J23" i="3" l="1"/>
  <c r="I30" i="3"/>
  <c r="J30" i="3" s="1"/>
  <c r="K23" i="3"/>
  <c r="I53" i="3"/>
  <c r="J53" i="3" s="1"/>
  <c r="G14" i="3"/>
  <c r="F14" i="3"/>
  <c r="C23" i="3" l="1"/>
  <c r="J14" i="3"/>
  <c r="C14" i="3" s="1"/>
  <c r="J34" i="3"/>
  <c r="K53" i="3"/>
  <c r="J58" i="3"/>
  <c r="O5" i="3"/>
  <c r="K58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<sst xmlns="http://schemas.openxmlformats.org/spreadsheetml/2006/main" count="252" uniqueCount="147">
  <si>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</si>
  <si>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</si>
  <si>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</si>
  <si>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</si>
  <si>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</si>
  <si>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</si>
  <si>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</si>
  <si>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</si>
  <si>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</si>
  <si>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</si>
  <si>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</si>
  <si>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</si>
  <si>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</si>
  <si>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</si>
  <si>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</si>
  <si>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</si>
  <si>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</si>
  <si>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</si>
  <si>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</si>
  <si>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</si>
  <si>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</si>
  <si>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</si>
  <si>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</si>
  <si>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</si>
  <si>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</si>
  <si>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</si>
  <si>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</si>
  <si>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</si>
  <si>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</si>
  <si>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</si>
  <si>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</si>
  <si>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</si>
  <si>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</si>
  <si>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</si>
  <si>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</si>
  <si>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</si>
  <si>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</si>
  <si>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</si>
  <si>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</si>
  <si>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</si>
  <si>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</si>
  <si>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</si>
  <si>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</si>
  <si>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</si>
  <si>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</si>
  <si>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</si>
  <si>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</si>
  <si>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</si>
  <si>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</si>
  <si>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</si>
  <si>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</si>
  <si>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</si>
  <si>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</si>
  <si>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</si>
  <si>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</si>
  <si>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</si>
  <si>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</si>
  <si>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</si>
  <si>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</si>
  <si>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</si>
  <si>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</si>
  <si>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</si>
  <si>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</si>
  <si>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</si>
  <si>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</si>
  <si>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</si>
  <si>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</si>
  <si>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</si>
  <si>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</si>
  <si>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</si>
  <si>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</si>
  <si>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</si>
  <si>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</si>
  <si>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</si>
  <si>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</si>
  <si>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</si>
  <si>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</si>
  <si>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</si>
  <si>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</si>
  <si>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</si>
  <si>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</si>
  <si>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</si>
  <si>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</si>
  <si>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</si>
  <si>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</si>
  <si>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</si>
  <si>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</si>
  <si>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</si>
  <si>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</si>
  <si>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</si>
  <si>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</si>
  <si>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</si>
  <si>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</si>
  <si>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</si>
  <si>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</si>
  <si>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</si>
  <si>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</si>
  <si>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</si>
  <si>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</si>
  <si>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</si>
  <si>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</si>
  <si>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</si>
  <si>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</si>
  <si>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</si>
  <si>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</si>
  <si>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</si>
  <si>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</si>
  <si>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</si>
  <si>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</si>
  <si>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</si>
  <si>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</si>
  <si>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</si>
  <si>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</si>
  <si>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</si>
  <si>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</si>
  <si>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</si>
  <si>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</si>
  <si>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</si>
  <si>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</si>
  <si>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</si>
  <si>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</si>
  <si>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</si>
  <si>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</si>
  <si>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</si>
  <si>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</si>
  <si>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</si>
  <si>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</si>
  <si>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</si>
  <si>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</si>
  <si>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</si>
  <si>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</si>
  <si>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</si>
  <si>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</si>
  <si>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</si>
  <si>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</si>
  <si>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</si>
  <si>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</si>
  <si>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</si>
  <si>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MELAMIL 18MM</t>
  </si>
  <si>
    <t xml:space="preserve">N° </t>
  </si>
  <si>
    <t>OMAR SANCHEZ</t>
  </si>
  <si>
    <t>+569 9007 4152</t>
  </si>
  <si>
    <t>CUB C/R R8</t>
  </si>
  <si>
    <t xml:space="preserve">BLANCO OPACO </t>
  </si>
  <si>
    <t>AV.LUIS THAYER OJEDA 0180 PROVIDENCIA</t>
  </si>
  <si>
    <t>DESPACHO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</si>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</sst>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$ 60.000.-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59</xdr:row>
      <xdr:rowOff>32385</xdr:rowOff>
    </xdr:from>
    <xdr:to>
      <xdr:col>7</xdr:col>
      <xdr:colOff>7620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778903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13" zoomScale="98" zoomScaleNormal="98" workbookViewId="0">
      <selection activeCell="E25" sqref="E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4252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140</v>
      </c>
      <c r="D10" s="38"/>
      <c r="E10" s="38"/>
      <c r="F10" s="39" t="s">
        <v>26</v>
      </c>
      <c r="G10" s="40">
        <v>46134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46136</v>
      </c>
      <c r="H11" s="45"/>
      <c r="I11" s="29"/>
    </row>
    <row r="12" spans="1:17" ht="19.2" x14ac:dyDescent="0.45">
      <c r="A12" s="29"/>
      <c r="B12" s="117" t="s">
        <v>126</v>
      </c>
      <c r="C12" s="121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141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 t="s">
        <v>144</v>
      </c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1" t="s">
        <v>17</v>
      </c>
      <c r="G16" s="131"/>
      <c r="H16" s="13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3" t="s">
        <v>18</v>
      </c>
      <c r="C19" s="134"/>
      <c r="D19" s="134"/>
      <c r="E19" s="134"/>
      <c r="F19" s="134"/>
      <c r="G19" s="134"/>
      <c r="H19" s="135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N20">
        <v>65000</v>
      </c>
    </row>
    <row r="21" spans="1:16" ht="20.100000000000001" customHeight="1" x14ac:dyDescent="0.35">
      <c r="A21" s="29"/>
      <c r="B21" s="122">
        <v>1</v>
      </c>
      <c r="C21" s="122" t="s">
        <v>142</v>
      </c>
      <c r="D21" s="101">
        <v>2400</v>
      </c>
      <c r="E21" s="101">
        <v>405</v>
      </c>
      <c r="F21" s="122" t="s">
        <v>143</v>
      </c>
      <c r="G21" s="123">
        <v>59000</v>
      </c>
      <c r="H21" s="123">
        <f>G21*B21</f>
        <v>59000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22">
        <v>1</v>
      </c>
      <c r="C22" s="122" t="s">
        <v>142</v>
      </c>
      <c r="D22" s="101">
        <v>2400</v>
      </c>
      <c r="E22" s="101">
        <v>505</v>
      </c>
      <c r="F22" s="122" t="s">
        <v>143</v>
      </c>
      <c r="G22" s="123">
        <v>59000</v>
      </c>
      <c r="H22" s="123">
        <f>G22*B22</f>
        <v>59000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22">
        <v>1</v>
      </c>
      <c r="C23" s="122" t="s">
        <v>145</v>
      </c>
      <c r="D23" s="101"/>
      <c r="E23" s="101"/>
      <c r="F23" s="122"/>
      <c r="G23" s="123">
        <v>20000</v>
      </c>
      <c r="H23" s="123">
        <f>G23*B23</f>
        <v>20000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03"/>
      <c r="E24" s="103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2"/>
      <c r="C25" s="102"/>
      <c r="D25" s="110"/>
      <c r="E25" s="110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59" t="s">
        <v>5</v>
      </c>
      <c r="H26" s="60">
        <f>SUM(H21:H23)</f>
        <v>138000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61" t="s">
        <v>136</v>
      </c>
      <c r="H27" s="62"/>
      <c r="I27" s="29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29"/>
      <c r="B28" s="102"/>
      <c r="C28" s="102"/>
      <c r="D28" s="110"/>
      <c r="E28" s="110"/>
      <c r="F28" s="102"/>
      <c r="G28" s="63" t="s">
        <v>4</v>
      </c>
      <c r="H28" s="64">
        <f>H26+H27</f>
        <v>138000</v>
      </c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13.2" customHeight="1" x14ac:dyDescent="0.35">
      <c r="A34" s="29"/>
      <c r="B34" s="58"/>
      <c r="C34" s="58"/>
      <c r="D34" s="58"/>
      <c r="E34" s="58"/>
      <c r="F34" s="58"/>
      <c r="G34" s="57"/>
      <c r="H34" s="57"/>
      <c r="I34" s="29"/>
    </row>
    <row r="35" spans="1:16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G38" s="65"/>
      <c r="H38" s="66"/>
      <c r="I38" s="29"/>
    </row>
    <row r="39" spans="1:16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16" ht="18" x14ac:dyDescent="0.35">
      <c r="A40" s="29"/>
      <c r="B40" s="67" t="s">
        <v>133</v>
      </c>
      <c r="C40" s="68"/>
      <c r="D40" s="69"/>
      <c r="E40" s="69"/>
      <c r="F40" s="58"/>
      <c r="G40" s="29"/>
      <c r="H40" s="29"/>
      <c r="I40" s="29"/>
    </row>
    <row r="41" spans="1:16" ht="18" x14ac:dyDescent="0.35">
      <c r="A41" s="29"/>
      <c r="B41" s="67" t="s">
        <v>119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29" t="s">
        <v>23</v>
      </c>
      <c r="C42" s="29"/>
      <c r="D42" s="29"/>
      <c r="E42" s="29"/>
      <c r="F42" s="29"/>
      <c r="G42" s="29"/>
      <c r="H42" s="29"/>
      <c r="I42" s="29"/>
    </row>
    <row r="43" spans="1:16" ht="18" x14ac:dyDescent="0.35">
      <c r="A43" s="29"/>
      <c r="B43" s="70" t="s">
        <v>24</v>
      </c>
      <c r="C43" s="70"/>
      <c r="D43" s="29"/>
      <c r="E43" s="29"/>
      <c r="F43" s="29"/>
      <c r="G43" s="29"/>
      <c r="H43" s="29"/>
      <c r="I43" s="29"/>
    </row>
    <row r="44" spans="1:16" ht="18" x14ac:dyDescent="0.35">
      <c r="A44" s="29"/>
      <c r="B44" s="29"/>
      <c r="C44" s="29"/>
      <c r="D44" s="29"/>
      <c r="E44" s="70"/>
      <c r="F44" s="29"/>
      <c r="G44" s="29"/>
      <c r="H44" s="29"/>
      <c r="I44" s="29"/>
    </row>
    <row r="45" spans="1:16" ht="18" x14ac:dyDescent="0.35">
      <c r="A45" s="29"/>
      <c r="B45" s="30" t="s">
        <v>131</v>
      </c>
      <c r="C45" s="30"/>
      <c r="D45" s="30"/>
      <c r="E45" s="71"/>
      <c r="F45" s="29"/>
      <c r="G45" s="29"/>
      <c r="H45" s="29"/>
      <c r="I45" s="29"/>
    </row>
    <row r="46" spans="1:16" ht="18" x14ac:dyDescent="0.35">
      <c r="A46" s="29"/>
      <c r="B46" s="30"/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 t="s">
        <v>132</v>
      </c>
      <c r="C47" s="29"/>
      <c r="D47" s="29"/>
      <c r="E47" s="70"/>
      <c r="F47" s="29"/>
      <c r="G47" s="29"/>
      <c r="H47" s="29"/>
      <c r="I47" s="29"/>
    </row>
    <row r="48" spans="1:16" ht="18" x14ac:dyDescent="0.35">
      <c r="A48" s="29"/>
      <c r="B48" s="29"/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7"/>
  <sheetViews>
    <sheetView tabSelected="1" zoomScaleNormal="100" workbookViewId="0">
      <selection activeCell="A2" sqref="A2:G2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29"/>
      <c r="C4" s="29"/>
      <c r="D4" s="73" t="s">
        <v>25</v>
      </c>
      <c r="E4" s="74">
        <f>'4637'!G8</f>
        <v>4252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OMAR SANCHEZ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46136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146</v>
      </c>
      <c r="C14" s="93">
        <f>J14</f>
        <v>1</v>
      </c>
      <c r="D14" s="93"/>
      <c r="E14" s="93">
        <v>2440</v>
      </c>
      <c r="F14" s="93">
        <f>L14+F$13</f>
        <v>375</v>
      </c>
      <c r="G14" s="93" t="str">
        <f>D30</f>
        <v>CUB C/R R8</v>
      </c>
      <c r="H14" s="29"/>
      <c r="J14" s="3">
        <f>J23</f>
        <v>1</v>
      </c>
      <c r="K14" s="4">
        <f t="shared" ref="K14:L14" si="0">E30</f>
        <v>2400</v>
      </c>
      <c r="L14" s="4">
        <f t="shared" si="0"/>
        <v>405</v>
      </c>
    </row>
    <row r="15" spans="1:15" ht="18" x14ac:dyDescent="0.35">
      <c r="A15" s="108"/>
      <c r="B15" s="100"/>
      <c r="C15" s="93">
        <f t="shared" ref="C15" si="1">J15</f>
        <v>1</v>
      </c>
      <c r="D15" s="93"/>
      <c r="E15" s="93">
        <v>2440</v>
      </c>
      <c r="F15" s="93">
        <f t="shared" ref="F15" si="2">L15+F$13</f>
        <v>475</v>
      </c>
      <c r="G15" s="93" t="str">
        <f>D31</f>
        <v>CUB C/R R8</v>
      </c>
      <c r="H15" s="29"/>
      <c r="J15" s="3">
        <f>J24</f>
        <v>1</v>
      </c>
      <c r="K15" s="4">
        <f>E31</f>
        <v>2400</v>
      </c>
      <c r="L15" s="4">
        <f>F31</f>
        <v>505</v>
      </c>
    </row>
    <row r="16" spans="1:15" ht="18" x14ac:dyDescent="0.35">
      <c r="A16" s="108"/>
      <c r="B16" s="100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18" x14ac:dyDescent="0.35">
      <c r="A17" s="2"/>
      <c r="B17" s="82"/>
      <c r="C17" s="72"/>
      <c r="D17" s="72"/>
      <c r="E17" s="72"/>
      <c r="F17" s="72"/>
      <c r="G17" s="72"/>
      <c r="H17" s="29"/>
      <c r="J17" s="23"/>
      <c r="K17" s="2"/>
      <c r="L17" s="2"/>
    </row>
    <row r="18" spans="1:12" ht="6.75" customHeight="1" x14ac:dyDescent="0.35">
      <c r="A18" s="2"/>
      <c r="B18" s="29"/>
      <c r="C18" s="29"/>
      <c r="D18" s="29"/>
      <c r="E18" s="29"/>
      <c r="F18" s="29"/>
      <c r="G18" s="29"/>
      <c r="H18" s="29"/>
    </row>
    <row r="19" spans="1:12" ht="18" x14ac:dyDescent="0.35">
      <c r="A19" s="2"/>
      <c r="B19" s="125" t="s">
        <v>13</v>
      </c>
      <c r="C19" s="125"/>
      <c r="D19" s="125"/>
      <c r="E19" s="125"/>
      <c r="F19" s="125"/>
      <c r="G19" s="125"/>
      <c r="H19" s="29"/>
    </row>
    <row r="20" spans="1:12" ht="10.5" customHeight="1" x14ac:dyDescent="0.35">
      <c r="A20" s="2"/>
      <c r="B20" s="29"/>
      <c r="C20" s="29"/>
      <c r="D20" s="90"/>
      <c r="E20" s="29"/>
      <c r="F20" s="29"/>
      <c r="G20" s="29"/>
      <c r="H20" s="29"/>
    </row>
    <row r="21" spans="1:12" ht="18" x14ac:dyDescent="0.35">
      <c r="A21" s="2"/>
      <c r="B21" s="29"/>
      <c r="C21" s="29"/>
      <c r="D21" s="29"/>
      <c r="E21" s="65" t="s">
        <v>6</v>
      </c>
      <c r="F21" s="65" t="s">
        <v>7</v>
      </c>
      <c r="G21" s="29"/>
      <c r="H21" s="29"/>
    </row>
    <row r="22" spans="1:12" ht="18" x14ac:dyDescent="0.35">
      <c r="A22" s="2"/>
      <c r="B22" s="65" t="s">
        <v>8</v>
      </c>
      <c r="C22" s="81" t="s">
        <v>9</v>
      </c>
      <c r="D22" s="81" t="s">
        <v>10</v>
      </c>
      <c r="E22" s="94">
        <v>40</v>
      </c>
      <c r="F22" s="94">
        <v>130</v>
      </c>
      <c r="G22" s="81" t="s">
        <v>107</v>
      </c>
      <c r="H22" s="29"/>
      <c r="K22" s="5" t="s">
        <v>6</v>
      </c>
      <c r="L22" s="5" t="s">
        <v>7</v>
      </c>
    </row>
    <row r="23" spans="1:12" ht="18" x14ac:dyDescent="0.35">
      <c r="A23" s="108">
        <v>1</v>
      </c>
      <c r="B23" s="100"/>
      <c r="C23" s="95">
        <f t="shared" ref="C23" si="3">J23</f>
        <v>1</v>
      </c>
      <c r="D23" s="95"/>
      <c r="E23" s="95">
        <v>2430</v>
      </c>
      <c r="F23" s="95">
        <f t="shared" ref="F23" si="4">L23+F$22</f>
        <v>535</v>
      </c>
      <c r="G23" s="95" t="str">
        <f>D30</f>
        <v>CUB C/R R8</v>
      </c>
      <c r="H23" s="29"/>
      <c r="J23" s="3">
        <f>C30</f>
        <v>1</v>
      </c>
      <c r="K23" s="105">
        <f>E30</f>
        <v>2400</v>
      </c>
      <c r="L23" s="105">
        <f>F30</f>
        <v>405</v>
      </c>
    </row>
    <row r="24" spans="1:12" ht="18" x14ac:dyDescent="0.35">
      <c r="A24" s="108"/>
      <c r="B24" s="100"/>
      <c r="C24" s="95">
        <f t="shared" ref="C24" si="5">J24</f>
        <v>1</v>
      </c>
      <c r="D24" s="95"/>
      <c r="E24" s="95">
        <v>2430</v>
      </c>
      <c r="F24" s="95">
        <f t="shared" ref="F24" si="6">L24+F$22</f>
        <v>635</v>
      </c>
      <c r="G24" s="95" t="str">
        <f>D31</f>
        <v>CUB C/R R8</v>
      </c>
      <c r="H24" s="29"/>
      <c r="J24" s="3">
        <f>C31</f>
        <v>1</v>
      </c>
      <c r="K24" s="105">
        <f t="shared" ref="K24:L24" si="7">E31</f>
        <v>2400</v>
      </c>
      <c r="L24" s="105">
        <f t="shared" si="7"/>
        <v>505</v>
      </c>
    </row>
    <row r="25" spans="1:12" ht="18" x14ac:dyDescent="0.35">
      <c r="A25" s="108"/>
      <c r="B25" s="100"/>
      <c r="C25" s="72"/>
      <c r="D25" s="72"/>
      <c r="E25" s="72"/>
      <c r="F25" s="72"/>
      <c r="G25" s="72"/>
      <c r="H25" s="29"/>
      <c r="J25" s="23"/>
      <c r="K25" s="120"/>
      <c r="L25" s="120"/>
    </row>
    <row r="26" spans="1:12" ht="18.600000000000001" thickBot="1" x14ac:dyDescent="0.4">
      <c r="A26" s="2"/>
      <c r="B26" s="82"/>
      <c r="C26" s="72"/>
      <c r="D26" s="72"/>
      <c r="E26" s="72"/>
      <c r="F26" s="72"/>
      <c r="G26" s="72"/>
      <c r="H26" s="29"/>
      <c r="I26" s="106"/>
      <c r="J26" s="107"/>
      <c r="K26" s="107"/>
      <c r="L26" s="107"/>
    </row>
    <row r="27" spans="1:12" ht="18.600000000000001" thickBot="1" x14ac:dyDescent="0.4">
      <c r="A27" s="2"/>
      <c r="B27" s="65"/>
      <c r="C27" s="96" t="s">
        <v>104</v>
      </c>
      <c r="D27" s="32"/>
      <c r="E27" s="32"/>
      <c r="F27" s="32"/>
      <c r="G27" s="97"/>
      <c r="H27" s="29"/>
      <c r="J27" s="2"/>
      <c r="K27" s="2"/>
      <c r="L27" s="2"/>
    </row>
    <row r="28" spans="1:12" ht="10.5" customHeight="1" x14ac:dyDescent="0.35">
      <c r="A28" s="2"/>
      <c r="B28" s="29"/>
      <c r="C28" s="29"/>
      <c r="D28" s="29"/>
      <c r="E28" s="29"/>
      <c r="F28" s="29"/>
      <c r="G28" s="29"/>
      <c r="H28" s="29"/>
    </row>
    <row r="29" spans="1:12" ht="18" x14ac:dyDescent="0.35">
      <c r="A29" s="2"/>
      <c r="B29" s="65" t="s">
        <v>8</v>
      </c>
      <c r="C29" s="98" t="s">
        <v>9</v>
      </c>
      <c r="D29" s="98" t="s">
        <v>107</v>
      </c>
      <c r="E29" s="98" t="s">
        <v>6</v>
      </c>
      <c r="F29" s="98" t="s">
        <v>7</v>
      </c>
      <c r="G29" s="98" t="s">
        <v>21</v>
      </c>
      <c r="H29" s="29"/>
    </row>
    <row r="30" spans="1:12" ht="18" x14ac:dyDescent="0.35">
      <c r="A30" s="108">
        <v>1</v>
      </c>
      <c r="B30" s="100" t="s">
        <v>138</v>
      </c>
      <c r="C30" s="93">
        <f>'4637'!B21</f>
        <v>1</v>
      </c>
      <c r="D30" s="93" t="str">
        <f>D53</f>
        <v>CUB C/R R8</v>
      </c>
      <c r="E30" s="113">
        <f>'4637'!D21</f>
        <v>2400</v>
      </c>
      <c r="F30" s="113">
        <f>'4637'!E21</f>
        <v>405</v>
      </c>
      <c r="G30" s="4" t="str">
        <f>'4637'!F21</f>
        <v xml:space="preserve">BLANCO OPACO </v>
      </c>
      <c r="H30" s="29"/>
      <c r="I30" s="28">
        <f>E30*F30/1000000</f>
        <v>0.97199999999999998</v>
      </c>
      <c r="J30" s="28">
        <f>I30*C30</f>
        <v>0.97199999999999998</v>
      </c>
    </row>
    <row r="31" spans="1:12" ht="18" x14ac:dyDescent="0.35">
      <c r="A31" s="108"/>
      <c r="B31" s="100"/>
      <c r="C31" s="93">
        <f>'4637'!B22</f>
        <v>1</v>
      </c>
      <c r="D31" s="93" t="str">
        <f>D54</f>
        <v>CUB C/R R8</v>
      </c>
      <c r="E31" s="113">
        <f>'4637'!D22</f>
        <v>2400</v>
      </c>
      <c r="F31" s="113">
        <f>'4637'!E22</f>
        <v>505</v>
      </c>
      <c r="G31" s="4" t="str">
        <f>'4637'!F22</f>
        <v xml:space="preserve">BLANCO OPACO </v>
      </c>
      <c r="H31" s="29"/>
      <c r="I31" s="28"/>
      <c r="J31" s="28"/>
    </row>
    <row r="32" spans="1:12" ht="18" x14ac:dyDescent="0.35">
      <c r="A32" s="108"/>
      <c r="B32" s="100"/>
      <c r="C32" s="72"/>
      <c r="D32" s="72"/>
      <c r="E32" s="118"/>
      <c r="F32" s="118"/>
      <c r="G32" s="2"/>
      <c r="H32" s="29"/>
      <c r="I32" s="28"/>
      <c r="J32" s="28"/>
    </row>
    <row r="33" spans="1:10" ht="18" x14ac:dyDescent="0.35">
      <c r="A33" s="2"/>
      <c r="B33" s="29"/>
      <c r="C33" s="72"/>
      <c r="D33" s="72"/>
      <c r="E33" s="72"/>
      <c r="F33" s="72"/>
      <c r="G33" s="72"/>
      <c r="H33" s="29"/>
    </row>
    <row r="34" spans="1:10" ht="18" x14ac:dyDescent="0.35">
      <c r="A34" s="2"/>
      <c r="B34" s="29"/>
      <c r="C34" s="72"/>
      <c r="D34" s="72"/>
      <c r="E34" s="72"/>
      <c r="F34" s="72"/>
      <c r="G34" s="72"/>
      <c r="H34" s="29"/>
      <c r="J34" s="28">
        <f>SUM(J30:J30)*2</f>
        <v>1.944</v>
      </c>
    </row>
    <row r="35" spans="1:10" ht="18" x14ac:dyDescent="0.35">
      <c r="A35" s="2"/>
      <c r="B35" s="29"/>
      <c r="C35" s="72"/>
      <c r="D35" s="72"/>
      <c r="E35" s="72"/>
      <c r="F35" s="72"/>
      <c r="G35" s="72"/>
      <c r="H35" s="29"/>
    </row>
    <row r="36" spans="1:10" ht="18" x14ac:dyDescent="0.35">
      <c r="A36" s="2"/>
      <c r="B36" s="29"/>
      <c r="C36" s="72"/>
      <c r="D36" s="72"/>
      <c r="E36" s="72"/>
      <c r="F36" s="72"/>
      <c r="G36" s="72"/>
      <c r="H36" s="29"/>
    </row>
    <row r="37" spans="1:10" ht="18" x14ac:dyDescent="0.35">
      <c r="A37" s="2"/>
      <c r="B37" s="29"/>
      <c r="C37" s="72"/>
      <c r="D37" s="72"/>
      <c r="E37" s="72"/>
      <c r="F37" s="72"/>
      <c r="G37" s="72"/>
      <c r="H37" s="29"/>
    </row>
    <row r="38" spans="1:10" ht="18" x14ac:dyDescent="0.35">
      <c r="A38" s="2"/>
      <c r="B38" s="29"/>
      <c r="C38" s="72"/>
      <c r="D38" s="72"/>
      <c r="E38" s="72"/>
      <c r="F38" s="72"/>
      <c r="G38" s="72"/>
      <c r="H38" s="29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29"/>
      <c r="D42" s="29"/>
      <c r="E42" s="29"/>
      <c r="F42" s="29"/>
      <c r="G42" s="29"/>
      <c r="H42" s="29"/>
    </row>
    <row r="43" spans="1:10" ht="18" x14ac:dyDescent="0.35">
      <c r="A43" s="2"/>
      <c r="B43" s="29"/>
      <c r="C43" s="29"/>
      <c r="D43" s="73" t="s">
        <v>25</v>
      </c>
      <c r="E43" s="74">
        <f>'4637'!G8</f>
        <v>4252</v>
      </c>
      <c r="F43" s="29"/>
      <c r="G43" s="29"/>
      <c r="H43" s="29"/>
    </row>
    <row r="44" spans="1:10" ht="17.25" customHeight="1" x14ac:dyDescent="0.35">
      <c r="A44" s="2"/>
      <c r="B44" s="29"/>
      <c r="C44" s="29"/>
      <c r="D44" s="75" t="s">
        <v>64</v>
      </c>
      <c r="E44" s="76" t="str">
        <f>'4637'!C10</f>
        <v>OMAR SANCHEZ</v>
      </c>
      <c r="F44" s="47"/>
      <c r="G44" s="47"/>
      <c r="H44" s="29"/>
    </row>
    <row r="45" spans="1:10" ht="4.5" customHeight="1" x14ac:dyDescent="0.35">
      <c r="A45" s="2"/>
      <c r="B45" s="29"/>
      <c r="C45" s="29"/>
      <c r="D45" s="77"/>
      <c r="E45" s="78"/>
      <c r="F45" s="29"/>
      <c r="G45" s="29"/>
      <c r="H45" s="29"/>
    </row>
    <row r="46" spans="1:10" ht="18" x14ac:dyDescent="0.35">
      <c r="A46" s="2"/>
      <c r="B46" s="29"/>
      <c r="C46" s="29"/>
      <c r="D46" s="79" t="str">
        <f>'4637'!F11</f>
        <v>FECHA LIMITE :</v>
      </c>
      <c r="E46" s="80">
        <f>'4637'!G11</f>
        <v>46136</v>
      </c>
      <c r="F46" s="29"/>
      <c r="G46" s="29"/>
      <c r="H46" s="29"/>
    </row>
    <row r="47" spans="1:10" ht="18" x14ac:dyDescent="0.35">
      <c r="A47" s="2"/>
      <c r="B47" s="29"/>
      <c r="C47" s="29"/>
      <c r="D47" s="29"/>
      <c r="E47" s="29"/>
      <c r="F47" s="29"/>
      <c r="G47" s="29" t="s">
        <v>135</v>
      </c>
      <c r="H47" s="29"/>
    </row>
    <row r="48" spans="1:10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18" x14ac:dyDescent="0.35">
      <c r="A49" s="2"/>
      <c r="B49" s="126" t="s">
        <v>65</v>
      </c>
      <c r="C49" s="126"/>
      <c r="D49" s="126"/>
      <c r="E49" s="126"/>
      <c r="F49" s="126"/>
      <c r="G49" s="126"/>
      <c r="H49" s="29"/>
    </row>
    <row r="50" spans="1:13" ht="18" x14ac:dyDescent="0.35">
      <c r="A50" s="2"/>
      <c r="B50" s="29"/>
      <c r="C50" s="29"/>
      <c r="D50" s="29"/>
      <c r="E50" s="29"/>
      <c r="F50" s="29"/>
      <c r="G50" s="29"/>
      <c r="H50" s="29"/>
    </row>
    <row r="51" spans="1:13" ht="20.100000000000001" customHeight="1" x14ac:dyDescent="0.35">
      <c r="A51" s="2"/>
      <c r="B51" s="29"/>
      <c r="C51" s="127" t="s">
        <v>66</v>
      </c>
      <c r="D51" s="128"/>
      <c r="E51" s="129"/>
      <c r="F51" s="129"/>
      <c r="G51" s="130"/>
      <c r="H51" s="29"/>
      <c r="I51" s="25" t="s">
        <v>130</v>
      </c>
    </row>
    <row r="52" spans="1:13" s="10" customFormat="1" ht="20.100000000000001" customHeight="1" x14ac:dyDescent="0.35">
      <c r="A52" s="109"/>
      <c r="B52" s="29"/>
      <c r="C52" s="83" t="s">
        <v>9</v>
      </c>
      <c r="D52" s="84" t="s">
        <v>10</v>
      </c>
      <c r="E52" s="87" t="s">
        <v>6</v>
      </c>
      <c r="F52" s="87" t="s">
        <v>7</v>
      </c>
      <c r="G52" s="85" t="s">
        <v>11</v>
      </c>
      <c r="H52" s="29"/>
      <c r="K52" s="10">
        <v>15000</v>
      </c>
    </row>
    <row r="53" spans="1:13" s="10" customFormat="1" ht="20.100000000000001" customHeight="1" x14ac:dyDescent="0.35">
      <c r="A53" s="108">
        <v>1</v>
      </c>
      <c r="B53" s="99" t="s">
        <v>146</v>
      </c>
      <c r="C53" s="95">
        <f>'4637'!B21</f>
        <v>1</v>
      </c>
      <c r="D53" s="4" t="str">
        <f>'4637'!C21</f>
        <v>CUB C/R R8</v>
      </c>
      <c r="E53" s="113">
        <f>'4637'!D21</f>
        <v>2400</v>
      </c>
      <c r="F53" s="101">
        <f>'4637'!E21</f>
        <v>405</v>
      </c>
      <c r="G53" s="4" t="str">
        <f>'4637'!F21</f>
        <v xml:space="preserve">BLANCO OPACO </v>
      </c>
      <c r="H53" s="29"/>
      <c r="I53" s="10">
        <f>E53*F53/1000000</f>
        <v>0.97199999999999998</v>
      </c>
      <c r="J53" s="10">
        <f>I53*C53</f>
        <v>0.97199999999999998</v>
      </c>
      <c r="K53" s="26">
        <f>J53*K$52</f>
        <v>14580</v>
      </c>
      <c r="M53" s="24">
        <v>12096</v>
      </c>
    </row>
    <row r="54" spans="1:13" s="10" customFormat="1" ht="20.100000000000001" customHeight="1" x14ac:dyDescent="0.35">
      <c r="A54" s="108"/>
      <c r="B54" s="99"/>
      <c r="C54" s="95">
        <f>'4637'!B22</f>
        <v>1</v>
      </c>
      <c r="D54" s="4" t="str">
        <f>'4637'!C22</f>
        <v>CUB C/R R8</v>
      </c>
      <c r="E54" s="113">
        <f>'4637'!D22</f>
        <v>2400</v>
      </c>
      <c r="F54" s="101">
        <f>'4637'!E22</f>
        <v>505</v>
      </c>
      <c r="G54" s="4" t="str">
        <f>'4637'!F22</f>
        <v xml:space="preserve">BLANCO OPACO </v>
      </c>
      <c r="H54" s="29"/>
      <c r="K54" s="26"/>
      <c r="M54" s="119"/>
    </row>
    <row r="55" spans="1:13" s="10" customFormat="1" ht="20.100000000000001" customHeight="1" x14ac:dyDescent="0.35">
      <c r="A55" s="108"/>
      <c r="B55" s="99"/>
      <c r="C55" s="95">
        <f>'4637'!B23</f>
        <v>1</v>
      </c>
      <c r="D55" s="4" t="str">
        <f>'4637'!C23</f>
        <v>DESPACHO</v>
      </c>
      <c r="E55" s="113">
        <f>'4637'!D23</f>
        <v>0</v>
      </c>
      <c r="F55" s="101">
        <f>'4637'!E23</f>
        <v>0</v>
      </c>
      <c r="G55" s="4">
        <f>'4637'!F23</f>
        <v>0</v>
      </c>
      <c r="H55" s="29"/>
      <c r="K55" s="26"/>
      <c r="M55" s="119"/>
    </row>
    <row r="56" spans="1:13" s="10" customFormat="1" ht="15" customHeight="1" x14ac:dyDescent="0.35">
      <c r="B56" s="82"/>
      <c r="C56" s="65"/>
      <c r="D56" s="65"/>
      <c r="E56" s="65"/>
      <c r="F56" s="65"/>
      <c r="G56" s="65"/>
      <c r="H56" s="29"/>
    </row>
    <row r="57" spans="1:13" ht="18" x14ac:dyDescent="0.35">
      <c r="B57" s="72"/>
      <c r="C57" s="72"/>
      <c r="D57" s="29"/>
      <c r="E57" s="72"/>
      <c r="F57" s="72"/>
      <c r="G57" s="77"/>
      <c r="H57" s="29"/>
    </row>
    <row r="58" spans="1:13" ht="18" x14ac:dyDescent="0.35">
      <c r="B58" s="72"/>
      <c r="C58" s="72"/>
      <c r="D58" s="29"/>
      <c r="E58" s="72"/>
      <c r="F58" s="72"/>
      <c r="G58" s="72"/>
      <c r="H58" s="29"/>
      <c r="J58" s="10">
        <f>SUM(J53:J53)</f>
        <v>0.97199999999999998</v>
      </c>
      <c r="K58" s="27">
        <f>SUM(K53:K53)</f>
        <v>14580</v>
      </c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5" customHeight="1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72"/>
      <c r="C64" s="86"/>
      <c r="D64" s="29"/>
      <c r="E64" s="29"/>
      <c r="F64" s="29"/>
      <c r="G64" s="29"/>
      <c r="H64" s="29"/>
    </row>
    <row r="65" spans="2:8" ht="18" x14ac:dyDescent="0.35">
      <c r="B65" s="29"/>
      <c r="C65" s="29"/>
      <c r="D65" s="29"/>
      <c r="E65" s="29"/>
      <c r="F65" s="29"/>
      <c r="G65" s="29"/>
      <c r="H65" s="29"/>
    </row>
    <row r="66" spans="2:8" x14ac:dyDescent="0.3">
      <c r="C66" s="14"/>
      <c r="D66" s="14"/>
      <c r="F66" s="14"/>
      <c r="G66" s="14"/>
    </row>
    <row r="67" spans="2:8" x14ac:dyDescent="0.3">
      <c r="C67" s="14"/>
      <c r="D67" s="14"/>
      <c r="F67" s="14"/>
      <c r="G67" s="14"/>
    </row>
  </sheetData>
  <mergeCells count="6">
    <mergeCell ref="N3:O3"/>
    <mergeCell ref="B19:G19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2026-04-23T12:16:52Z</cp:lastPrinted>
  <dcterms:created xsi:type="dcterms:W3CDTF">2013-03-19T12:54:14Z</dcterms:created>
  <dcterms:modified xsi:type="dcterms:W3CDTF">2026-04-23T12:55:40Z</dcterms:modified>
</cp:coreProperties>
</file>