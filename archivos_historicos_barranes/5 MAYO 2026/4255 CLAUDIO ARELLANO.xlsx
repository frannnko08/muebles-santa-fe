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5 MAYO 2026\"/>
    </mc:Choice>
  </mc:AlternateContent>
  <xr:revisionPtr revIDLastSave="0" documentId="13_ncr:1_{D8AD1019-CF25-48A0-8490-C86D8AFE41A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CUBIERTA!$A$46:$G$74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3" l="1"/>
  <c r="J26" i="3" s="1"/>
  <c r="E35" i="3"/>
  <c r="K26" i="3" s="1"/>
  <c r="F35" i="3"/>
  <c r="L26" i="3" s="1"/>
  <c r="G35" i="3"/>
  <c r="C36" i="3"/>
  <c r="J27" i="3" s="1"/>
  <c r="E36" i="3"/>
  <c r="K27" i="3" s="1"/>
  <c r="F36" i="3"/>
  <c r="L27" i="3" s="1"/>
  <c r="G36" i="3"/>
  <c r="C37" i="3"/>
  <c r="J28" i="3" s="1"/>
  <c r="E37" i="3"/>
  <c r="K28" i="3" s="1"/>
  <c r="F37" i="3"/>
  <c r="L28" i="3" s="1"/>
  <c r="G37" i="3"/>
  <c r="C60" i="3"/>
  <c r="D60" i="3"/>
  <c r="D35" i="3" s="1"/>
  <c r="G26" i="3" s="1"/>
  <c r="G16" i="3" s="1"/>
  <c r="E60" i="3"/>
  <c r="F60" i="3"/>
  <c r="G60" i="3"/>
  <c r="C61" i="3"/>
  <c r="D61" i="3"/>
  <c r="D36" i="3" s="1"/>
  <c r="G27" i="3" s="1"/>
  <c r="G17" i="3" s="1"/>
  <c r="E61" i="3"/>
  <c r="F61" i="3"/>
  <c r="G61" i="3"/>
  <c r="C62" i="3"/>
  <c r="D62" i="3"/>
  <c r="D37" i="3" s="1"/>
  <c r="G28" i="3" s="1"/>
  <c r="G18" i="3" s="1"/>
  <c r="E62" i="3"/>
  <c r="F62" i="3"/>
  <c r="G62" i="3"/>
  <c r="L22" i="4"/>
  <c r="L24" i="4" s="1"/>
  <c r="E26" i="3" l="1"/>
  <c r="K16" i="3"/>
  <c r="E16" i="3" s="1"/>
  <c r="F27" i="3"/>
  <c r="L17" i="3"/>
  <c r="F17" i="3" s="1"/>
  <c r="C26" i="3"/>
  <c r="J16" i="3"/>
  <c r="C16" i="3" s="1"/>
  <c r="F26" i="3"/>
  <c r="L16" i="3"/>
  <c r="F16" i="3" s="1"/>
  <c r="C27" i="3"/>
  <c r="J17" i="3"/>
  <c r="C17" i="3" s="1"/>
  <c r="E27" i="3"/>
  <c r="K17" i="3"/>
  <c r="E17" i="3" s="1"/>
  <c r="C28" i="3"/>
  <c r="J18" i="3"/>
  <c r="C18" i="3" s="1"/>
  <c r="E28" i="3"/>
  <c r="K18" i="3"/>
  <c r="E18" i="3" s="1"/>
  <c r="F28" i="3"/>
  <c r="L18" i="3"/>
  <c r="F18" i="3" s="1"/>
  <c r="G34" i="3"/>
  <c r="F34" i="3"/>
  <c r="L14" i="3" s="1"/>
  <c r="E34" i="3"/>
  <c r="K14" i="3" s="1"/>
  <c r="E14" i="3" s="1"/>
  <c r="C34" i="3"/>
  <c r="G59" i="3"/>
  <c r="F59" i="3"/>
  <c r="E59" i="3"/>
  <c r="D59" i="3"/>
  <c r="D34" i="3" s="1"/>
  <c r="C59" i="3"/>
  <c r="H29" i="4" l="1"/>
  <c r="G25" i="3" l="1"/>
  <c r="L25" i="3"/>
  <c r="F25" i="3" s="1"/>
  <c r="J25" i="3" l="1"/>
  <c r="I34" i="3"/>
  <c r="J34" i="3" s="1"/>
  <c r="K25" i="3"/>
  <c r="E25" i="3" s="1"/>
  <c r="I59" i="3"/>
  <c r="J59" i="3" s="1"/>
  <c r="G14" i="3"/>
  <c r="F14" i="3"/>
  <c r="C25" i="3" l="1"/>
  <c r="J14" i="3"/>
  <c r="C14" i="3" s="1"/>
  <c r="J40" i="3"/>
  <c r="K59" i="3"/>
  <c r="J66" i="3"/>
  <c r="O5" i="3"/>
  <c r="K66" i="3" l="1"/>
  <c r="N5" i="3"/>
  <c r="M5" i="3"/>
  <c r="L5" i="3"/>
  <c r="D52" i="3" l="1"/>
  <c r="D7" i="3"/>
  <c r="E50" i="3"/>
  <c r="E5" i="3"/>
  <c r="E52" i="3"/>
  <c r="E7" i="3"/>
  <c r="E49" i="3"/>
  <c r="E4" i="3"/>
</calcChain>
</file>

<file path=xl/sharedStrings.xml><?xml version="1.0" encoding="utf-8"?>
<sst xmlns="http://schemas.openxmlformats.org/spreadsheetml/2006/main" count="259" uniqueCount="146">
  <si>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</si>
  <si>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</si>
  <si>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</si>
  <si>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</si>
  <si>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</si>
  <si>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</si>
  <si>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</si>
  <si>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</si>
  <si>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</si>
  <si>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</si>
  <si>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</si>
  <si>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</si>
  <si>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</si>
  <si>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</si>
  <si>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</si>
  <si>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</si>
  <si>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</si>
  <si>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</si>
  <si>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</si>
  <si>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</si>
  <si>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</si>
  <si>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</si>
  <si>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</si>
  <si>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</si>
  <si>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</si>
  <si>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</si>
  <si>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</si>
  <si>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</si>
  <si>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</si>
  <si>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</si>
  <si>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</si>
  <si>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</si>
  <si>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</si>
  <si>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</si>
  <si>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</si>
  <si>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</si>
  <si>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</si>
  <si>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</si>
  <si>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</si>
  <si>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</si>
  <si>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</si>
  <si>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</si>
  <si>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</si>
  <si>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</si>
  <si>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</si>
  <si>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</si>
  <si>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</si>
  <si>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</si>
  <si>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</si>
  <si>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</si>
  <si>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</si>
  <si>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</si>
  <si>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</si>
  <si>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</si>
  <si>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</si>
  <si>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</si>
  <si>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</si>
  <si>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</si>
  <si>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</si>
  <si>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</si>
  <si>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</si>
  <si>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</si>
  <si>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</si>
  <si>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</si>
  <si>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</si>
  <si>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</si>
  <si>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</si>
  <si>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</si>
  <si>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</si>
  <si>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</si>
  <si>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</si>
  <si>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</si>
  <si>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</si>
  <si>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</si>
  <si>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</si>
  <si>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</si>
  <si>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</si>
  <si>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</si>
  <si>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</si>
  <si>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</si>
  <si>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</si>
  <si>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</si>
  <si>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</si>
  <si>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</si>
  <si>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</si>
  <si>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</si>
  <si>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</si>
  <si>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</si>
  <si>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</si>
  <si>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</si>
  <si>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</si>
  <si>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</si>
  <si>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</si>
  <si>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</si>
  <si>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</si>
  <si>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</si>
  <si>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</si>
  <si>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</si>
  <si>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</si>
  <si>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</si>
  <si>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</si>
  <si>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</si>
  <si>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</si>
  <si>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</si>
  <si>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</si>
  <si>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</si>
  <si>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</si>
  <si>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</si>
  <si>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</si>
  <si>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</si>
  <si>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</si>
  <si>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</si>
  <si>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</si>
  <si>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</si>
  <si>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</si>
  <si>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</si>
  <si>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</si>
  <si>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</si>
  <si>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</si>
  <si>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</si>
  <si>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</si>
  <si>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</si>
  <si>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</si>
  <si>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</si>
  <si>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</si>
  <si>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</si>
  <si>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</si>
  <si>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</si>
  <si>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</si>
  <si>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</si>
  <si>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</si>
  <si>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</si>
  <si>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</si>
  <si>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</si>
  <si>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</si>
  <si>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</si>
  <si>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</si>
  <si>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</si>
  <si>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</si>
  <si>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N° 12123</t>
  </si>
  <si>
    <t>CUB C/R R8</t>
  </si>
  <si>
    <t>VERDASTRO GRANITE 42009 GL</t>
  </si>
  <si>
    <t>CLAUDIO ARELLANO</t>
  </si>
  <si>
    <t>+569 8906 4442</t>
  </si>
  <si>
    <t>NATURAL ELM 1499 MT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</si>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</sst>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20" fillId="3" borderId="0" xfId="0" applyFont="1" applyFill="1"/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1" fontId="9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3" fillId="0" borderId="2" xfId="0" applyFont="1" applyBorder="1" applyAlignment="1">
      <alignment horizontal="center"/>
    </xf>
    <xf numFmtId="0" fontId="10" fillId="7" borderId="2" xfId="0" applyFont="1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19</xdr:row>
      <xdr:rowOff>66674</xdr:rowOff>
    </xdr:from>
    <xdr:to>
      <xdr:col>6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53</xdr:row>
      <xdr:rowOff>190500</xdr:rowOff>
    </xdr:from>
    <xdr:to>
      <xdr:col>7</xdr:col>
      <xdr:colOff>9524</xdr:colOff>
      <xdr:row>55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50</xdr:row>
      <xdr:rowOff>30479</xdr:rowOff>
    </xdr:from>
    <xdr:to>
      <xdr:col>6</xdr:col>
      <xdr:colOff>2912745</xdr:colOff>
      <xdr:row>51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48</xdr:row>
      <xdr:rowOff>209549</xdr:rowOff>
    </xdr:from>
    <xdr:to>
      <xdr:col>7</xdr:col>
      <xdr:colOff>0</xdr:colOff>
      <xdr:row>50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47</xdr:row>
      <xdr:rowOff>171450</xdr:rowOff>
    </xdr:from>
    <xdr:to>
      <xdr:col>7</xdr:col>
      <xdr:colOff>19050</xdr:colOff>
      <xdr:row>48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64</xdr:row>
      <xdr:rowOff>0</xdr:rowOff>
    </xdr:from>
    <xdr:to>
      <xdr:col>3</xdr:col>
      <xdr:colOff>1019175</xdr:colOff>
      <xdr:row>65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64</xdr:row>
      <xdr:rowOff>0</xdr:rowOff>
    </xdr:from>
    <xdr:to>
      <xdr:col>4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64</xdr:row>
      <xdr:rowOff>0</xdr:rowOff>
    </xdr:from>
    <xdr:to>
      <xdr:col>5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64</xdr:row>
      <xdr:rowOff>0</xdr:rowOff>
    </xdr:from>
    <xdr:to>
      <xdr:col>6</xdr:col>
      <xdr:colOff>447675</xdr:colOff>
      <xdr:row>65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64</xdr:row>
      <xdr:rowOff>0</xdr:rowOff>
    </xdr:from>
    <xdr:to>
      <xdr:col>7</xdr:col>
      <xdr:colOff>0</xdr:colOff>
      <xdr:row>65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3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65</xdr:row>
      <xdr:rowOff>0</xdr:rowOff>
    </xdr:from>
    <xdr:to>
      <xdr:col>3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65</xdr:row>
      <xdr:rowOff>0</xdr:rowOff>
    </xdr:from>
    <xdr:to>
      <xdr:col>4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65</xdr:row>
      <xdr:rowOff>0</xdr:rowOff>
    </xdr:from>
    <xdr:to>
      <xdr:col>5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65</xdr:row>
      <xdr:rowOff>0</xdr:rowOff>
    </xdr:from>
    <xdr:to>
      <xdr:col>6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65</xdr:row>
      <xdr:rowOff>0</xdr:rowOff>
    </xdr:from>
    <xdr:to>
      <xdr:col>7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39</xdr:row>
      <xdr:rowOff>15239</xdr:rowOff>
    </xdr:from>
    <xdr:to>
      <xdr:col>7</xdr:col>
      <xdr:colOff>0</xdr:colOff>
      <xdr:row>43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1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 PARA PROYECTO DE MUEBLES</a:t>
          </a:r>
          <a:endParaRPr lang="es-ES" sz="1400" i="1" u="none">
            <a:effectLst/>
          </a:endParaRPr>
        </a:p>
      </xdr:txBody>
    </xdr:sp>
    <xdr:clientData/>
  </xdr:twoCellAnchor>
  <xdr:twoCellAnchor>
    <xdr:from>
      <xdr:col>1</xdr:col>
      <xdr:colOff>1057274</xdr:colOff>
      <xdr:row>30</xdr:row>
      <xdr:rowOff>1</xdr:rowOff>
    </xdr:from>
    <xdr:to>
      <xdr:col>7</xdr:col>
      <xdr:colOff>19048</xdr:colOff>
      <xdr:row>31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67</xdr:row>
      <xdr:rowOff>32385</xdr:rowOff>
    </xdr:from>
    <xdr:to>
      <xdr:col>7</xdr:col>
      <xdr:colOff>7620</xdr:colOff>
      <xdr:row>71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ES PARA PROYECTO DE MUEBLES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47</xdr:row>
      <xdr:rowOff>146685</xdr:rowOff>
    </xdr:from>
    <xdr:to>
      <xdr:col>2</xdr:col>
      <xdr:colOff>778903</xdr:colOff>
      <xdr:row>53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304800</xdr:colOff>
      <xdr:row>74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10" zoomScale="98" zoomScaleNormal="98" workbookViewId="0">
      <selection activeCell="B25" sqref="B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139</v>
      </c>
      <c r="E8" s="29"/>
      <c r="F8" s="34" t="s">
        <v>25</v>
      </c>
      <c r="G8" s="35">
        <v>4253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142</v>
      </c>
      <c r="D10" s="38"/>
      <c r="E10" s="38"/>
      <c r="F10" s="39" t="s">
        <v>26</v>
      </c>
      <c r="G10" s="40">
        <v>46167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9.2" x14ac:dyDescent="0.45">
      <c r="A12" s="29"/>
      <c r="B12" s="117" t="s">
        <v>126</v>
      </c>
      <c r="C12" s="120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4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5" t="s">
        <v>143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7" t="s">
        <v>1</v>
      </c>
      <c r="C15" s="116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30" t="s">
        <v>17</v>
      </c>
      <c r="G16" s="130"/>
      <c r="H16" s="131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2" t="s">
        <v>18</v>
      </c>
      <c r="C19" s="133"/>
      <c r="D19" s="133"/>
      <c r="E19" s="133"/>
      <c r="F19" s="133"/>
      <c r="G19" s="133"/>
      <c r="H19" s="134"/>
      <c r="I19" s="29"/>
    </row>
    <row r="20" spans="1:16" ht="20.100000000000001" customHeight="1" x14ac:dyDescent="0.35">
      <c r="A20" s="29"/>
      <c r="B20" s="56" t="s">
        <v>128</v>
      </c>
      <c r="C20" s="111" t="s">
        <v>19</v>
      </c>
      <c r="D20" s="111" t="s">
        <v>20</v>
      </c>
      <c r="E20" s="111" t="s">
        <v>7</v>
      </c>
      <c r="F20" s="112" t="s">
        <v>21</v>
      </c>
      <c r="G20" s="56" t="s">
        <v>22</v>
      </c>
      <c r="H20" s="112" t="s">
        <v>4</v>
      </c>
      <c r="I20" s="29"/>
      <c r="L20">
        <v>290</v>
      </c>
    </row>
    <row r="21" spans="1:16" ht="20.100000000000001" customHeight="1" x14ac:dyDescent="0.35">
      <c r="A21" s="29"/>
      <c r="B21" s="121">
        <v>1</v>
      </c>
      <c r="C21" s="121" t="s">
        <v>140</v>
      </c>
      <c r="D21" s="101">
        <v>2250</v>
      </c>
      <c r="E21" s="101">
        <v>600</v>
      </c>
      <c r="F21" s="121" t="s">
        <v>141</v>
      </c>
      <c r="G21" s="122"/>
      <c r="H21" s="122"/>
      <c r="I21" s="29"/>
      <c r="K21" s="11"/>
      <c r="L21" s="15">
        <v>90</v>
      </c>
      <c r="M21" s="11"/>
      <c r="N21" s="11"/>
      <c r="O21" s="15"/>
      <c r="P21" s="21"/>
    </row>
    <row r="22" spans="1:16" ht="20.100000000000001" customHeight="1" x14ac:dyDescent="0.35">
      <c r="A22" s="29"/>
      <c r="B22" s="121">
        <v>4</v>
      </c>
      <c r="C22" s="121" t="s">
        <v>60</v>
      </c>
      <c r="D22" s="101">
        <v>700</v>
      </c>
      <c r="E22" s="101">
        <v>397</v>
      </c>
      <c r="F22" s="121" t="s">
        <v>144</v>
      </c>
      <c r="G22" s="122"/>
      <c r="H22" s="122"/>
      <c r="I22" s="29"/>
      <c r="K22" s="11"/>
      <c r="L22" s="15">
        <f>L20-L21</f>
        <v>200</v>
      </c>
      <c r="M22" s="11"/>
      <c r="N22" s="11"/>
      <c r="O22" s="15"/>
      <c r="P22" s="21"/>
    </row>
    <row r="23" spans="1:16" ht="20.100000000000001" customHeight="1" x14ac:dyDescent="0.35">
      <c r="A23" s="29"/>
      <c r="B23" s="121">
        <v>4</v>
      </c>
      <c r="C23" s="121" t="s">
        <v>60</v>
      </c>
      <c r="D23" s="101">
        <v>750</v>
      </c>
      <c r="E23" s="101">
        <v>397</v>
      </c>
      <c r="F23" s="121" t="s">
        <v>144</v>
      </c>
      <c r="G23" s="122"/>
      <c r="H23" s="122"/>
      <c r="I23" s="29"/>
      <c r="K23" s="11"/>
      <c r="L23" s="15">
        <v>600</v>
      </c>
      <c r="M23" s="11"/>
      <c r="N23" s="11"/>
      <c r="O23" s="15"/>
      <c r="P23" s="21"/>
    </row>
    <row r="24" spans="1:16" ht="20.100000000000001" customHeight="1" x14ac:dyDescent="0.35">
      <c r="A24" s="29"/>
      <c r="B24" s="121">
        <v>1</v>
      </c>
      <c r="C24" s="121" t="s">
        <v>60</v>
      </c>
      <c r="D24" s="101">
        <v>750</v>
      </c>
      <c r="E24" s="101">
        <v>599</v>
      </c>
      <c r="F24" s="121" t="s">
        <v>144</v>
      </c>
      <c r="G24" s="122"/>
      <c r="H24" s="122"/>
      <c r="I24" s="29"/>
      <c r="K24" s="11"/>
      <c r="L24" s="15">
        <f>L22-L23</f>
        <v>-400</v>
      </c>
      <c r="M24" s="11"/>
      <c r="N24" s="11"/>
      <c r="O24" s="15"/>
      <c r="P24" s="21"/>
    </row>
    <row r="25" spans="1:16" ht="20.100000000000001" customHeight="1" x14ac:dyDescent="0.35">
      <c r="A25" s="29"/>
      <c r="B25" s="102"/>
      <c r="C25" s="102"/>
      <c r="D25" s="103"/>
      <c r="E25" s="103"/>
      <c r="F25" s="102"/>
      <c r="G25" s="104"/>
      <c r="H25" s="104"/>
      <c r="I25" s="29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29"/>
      <c r="B26" s="102"/>
      <c r="C26" s="102"/>
      <c r="D26" s="110"/>
      <c r="E26" s="110"/>
      <c r="F26" s="102"/>
      <c r="G26" s="104"/>
      <c r="H26" s="104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2"/>
      <c r="C27" s="102"/>
      <c r="D27" s="110"/>
      <c r="E27" s="110"/>
      <c r="F27" s="102"/>
      <c r="G27" s="59" t="s">
        <v>5</v>
      </c>
      <c r="H27" s="60">
        <v>380000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10"/>
      <c r="E28" s="110"/>
      <c r="F28" s="102"/>
      <c r="G28" s="61" t="s">
        <v>136</v>
      </c>
      <c r="H28" s="62"/>
      <c r="I28" s="29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29"/>
      <c r="B29" s="102"/>
      <c r="C29" s="102"/>
      <c r="D29" s="110"/>
      <c r="E29" s="110"/>
      <c r="F29" s="102"/>
      <c r="G29" s="63" t="s">
        <v>4</v>
      </c>
      <c r="H29" s="64">
        <f>H27+H28</f>
        <v>380000</v>
      </c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10"/>
      <c r="E31" s="110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2"/>
      <c r="C32" s="102"/>
      <c r="D32" s="110"/>
      <c r="E32" s="110"/>
      <c r="F32" s="102"/>
      <c r="G32" s="104"/>
      <c r="H32" s="104"/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102"/>
      <c r="C33" s="102"/>
      <c r="D33" s="103"/>
      <c r="E33" s="103"/>
      <c r="F33" s="102"/>
      <c r="G33" s="104"/>
      <c r="H33" s="104"/>
      <c r="I33" s="29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29"/>
      <c r="B34" s="102"/>
      <c r="C34" s="102"/>
      <c r="D34" s="103"/>
      <c r="E34" s="103"/>
      <c r="F34" s="102"/>
      <c r="G34" s="104"/>
      <c r="H34" s="104"/>
      <c r="I34" s="29"/>
      <c r="K34" s="11"/>
      <c r="L34" s="15"/>
      <c r="M34" s="11"/>
      <c r="N34" s="11"/>
      <c r="O34" s="15"/>
      <c r="P34" s="21"/>
    </row>
    <row r="35" spans="1:16" ht="13.2" customHeight="1" x14ac:dyDescent="0.35">
      <c r="A35" s="29"/>
      <c r="B35" s="58"/>
      <c r="C35" s="58"/>
      <c r="D35" s="58"/>
      <c r="E35" s="58"/>
      <c r="F35" s="58"/>
      <c r="G35" s="57"/>
      <c r="H35" s="57"/>
      <c r="I35" s="29"/>
    </row>
    <row r="36" spans="1:16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16" ht="20.100000000000001" customHeight="1" x14ac:dyDescent="0.35">
      <c r="A37" s="29"/>
      <c r="B37" s="29"/>
      <c r="C37" s="29"/>
      <c r="D37" s="29"/>
      <c r="E37" s="29"/>
      <c r="F37" s="29"/>
      <c r="I37" s="29"/>
    </row>
    <row r="38" spans="1:16" ht="20.100000000000001" customHeight="1" x14ac:dyDescent="0.35">
      <c r="A38" s="29"/>
      <c r="B38" s="29"/>
      <c r="C38" s="29"/>
      <c r="D38" s="29"/>
      <c r="E38" s="29"/>
      <c r="F38" s="29"/>
      <c r="I38" s="29"/>
    </row>
    <row r="39" spans="1:16" ht="20.100000000000001" customHeight="1" x14ac:dyDescent="0.35">
      <c r="A39" s="29"/>
      <c r="B39" s="29"/>
      <c r="C39" s="29"/>
      <c r="D39" s="29"/>
      <c r="E39" s="29"/>
      <c r="F39" s="29"/>
      <c r="G39" s="65"/>
      <c r="H39" s="66"/>
      <c r="I39" s="29"/>
    </row>
    <row r="40" spans="1:16" ht="18" x14ac:dyDescent="0.35">
      <c r="A40" s="29"/>
      <c r="B40" s="29"/>
      <c r="C40" s="29"/>
      <c r="D40" s="29"/>
      <c r="E40" s="29"/>
      <c r="F40" s="29"/>
      <c r="G40" s="29"/>
      <c r="H40" s="29"/>
      <c r="I40" s="29"/>
    </row>
    <row r="41" spans="1:16" ht="18" x14ac:dyDescent="0.35">
      <c r="A41" s="29"/>
      <c r="B41" s="67" t="s">
        <v>133</v>
      </c>
      <c r="C41" s="68"/>
      <c r="D41" s="69"/>
      <c r="E41" s="69"/>
      <c r="F41" s="58"/>
      <c r="G41" s="29"/>
      <c r="H41" s="29"/>
      <c r="I41" s="29"/>
    </row>
    <row r="42" spans="1:16" ht="18" x14ac:dyDescent="0.35">
      <c r="A42" s="29"/>
      <c r="B42" s="67" t="s">
        <v>119</v>
      </c>
      <c r="C42" s="68"/>
      <c r="D42" s="69"/>
      <c r="E42" s="69"/>
      <c r="F42" s="58"/>
      <c r="G42" s="29"/>
      <c r="H42" s="29"/>
      <c r="I42" s="29"/>
    </row>
    <row r="43" spans="1:16" ht="18" x14ac:dyDescent="0.35">
      <c r="A43" s="29"/>
      <c r="B43" s="29" t="s">
        <v>23</v>
      </c>
      <c r="C43" s="29"/>
      <c r="D43" s="29"/>
      <c r="E43" s="29"/>
      <c r="F43" s="29"/>
      <c r="G43" s="29"/>
      <c r="H43" s="29"/>
      <c r="I43" s="29"/>
    </row>
    <row r="44" spans="1:16" ht="18" x14ac:dyDescent="0.35">
      <c r="A44" s="29"/>
      <c r="B44" s="70" t="s">
        <v>24</v>
      </c>
      <c r="C44" s="70"/>
      <c r="D44" s="29"/>
      <c r="E44" s="29"/>
      <c r="F44" s="29"/>
      <c r="G44" s="29"/>
      <c r="H44" s="29"/>
      <c r="I44" s="29"/>
    </row>
    <row r="45" spans="1:16" ht="18" x14ac:dyDescent="0.35">
      <c r="A45" s="29"/>
      <c r="B45" s="29"/>
      <c r="C45" s="29"/>
      <c r="D45" s="29"/>
      <c r="E45" s="70"/>
      <c r="F45" s="29"/>
      <c r="G45" s="29"/>
      <c r="H45" s="29"/>
      <c r="I45" s="29"/>
    </row>
    <row r="46" spans="1:16" ht="18" x14ac:dyDescent="0.35">
      <c r="A46" s="29"/>
      <c r="B46" s="30" t="s">
        <v>131</v>
      </c>
      <c r="C46" s="30"/>
      <c r="D46" s="30"/>
      <c r="E46" s="71"/>
      <c r="F46" s="29"/>
      <c r="G46" s="29"/>
      <c r="H46" s="29"/>
      <c r="I46" s="29"/>
    </row>
    <row r="47" spans="1:16" ht="18" x14ac:dyDescent="0.35">
      <c r="A47" s="29"/>
      <c r="B47" s="30"/>
      <c r="C47" s="30"/>
      <c r="D47" s="30"/>
      <c r="E47" s="71"/>
      <c r="F47" s="29"/>
      <c r="G47" s="29"/>
      <c r="H47" s="29"/>
      <c r="I47" s="29"/>
    </row>
    <row r="48" spans="1:16" ht="18" x14ac:dyDescent="0.35">
      <c r="A48" s="29"/>
      <c r="B48" s="30" t="s">
        <v>132</v>
      </c>
      <c r="C48" s="29"/>
      <c r="D48" s="29"/>
      <c r="E48" s="70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70"/>
      <c r="F49" s="29"/>
      <c r="G49" s="29"/>
      <c r="H49" s="29"/>
      <c r="I49" s="29"/>
    </row>
    <row r="50" spans="1:9" ht="18" x14ac:dyDescent="0.35">
      <c r="A50" s="29"/>
      <c r="B50" s="29"/>
      <c r="C50" s="29"/>
      <c r="D50" s="29"/>
      <c r="E50" s="29"/>
      <c r="F50" s="29"/>
      <c r="G50" s="29"/>
      <c r="H50" s="29"/>
      <c r="I50" s="29"/>
    </row>
    <row r="51" spans="1:9" ht="18" x14ac:dyDescent="0.35">
      <c r="A51" s="29"/>
      <c r="B51" s="29"/>
      <c r="C51" s="29"/>
      <c r="D51" s="29"/>
      <c r="E51" s="29"/>
      <c r="F51" s="29"/>
      <c r="G51" s="29"/>
      <c r="H51" s="29"/>
      <c r="I51" s="29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3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5" t="s">
        <v>28</v>
      </c>
      <c r="C2" s="135"/>
      <c r="D2" s="135"/>
      <c r="E2" s="12"/>
      <c r="G2" s="135" t="s">
        <v>67</v>
      </c>
      <c r="H2" s="135"/>
      <c r="I2" s="135"/>
      <c r="P2" s="136" t="s">
        <v>55</v>
      </c>
      <c r="Q2" s="136"/>
      <c r="R2" s="13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6" t="s">
        <v>55</v>
      </c>
      <c r="M8" s="136"/>
      <c r="N8" s="13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5"/>
  <sheetViews>
    <sheetView tabSelected="1" topLeftCell="A22" zoomScaleNormal="100" workbookViewId="0">
      <selection activeCell="A19" sqref="A19:XFD19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3" t="s">
        <v>58</v>
      </c>
      <c r="M3" s="123"/>
      <c r="N3" s="123" t="s">
        <v>13</v>
      </c>
      <c r="O3" s="123"/>
    </row>
    <row r="4" spans="1:15" ht="15.75" customHeight="1" x14ac:dyDescent="0.35">
      <c r="B4" s="29"/>
      <c r="C4" s="29"/>
      <c r="D4" s="73" t="s">
        <v>25</v>
      </c>
      <c r="E4" s="74">
        <f>'4637'!G8</f>
        <v>4253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CLAUDIO ARELLANO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4" t="s">
        <v>58</v>
      </c>
      <c r="C10" s="124"/>
      <c r="D10" s="124"/>
      <c r="E10" s="124"/>
      <c r="F10" s="124"/>
      <c r="G10" s="124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>
        <v>-30</v>
      </c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138</v>
      </c>
      <c r="C14" s="93">
        <f>J14</f>
        <v>1</v>
      </c>
      <c r="D14" s="93"/>
      <c r="E14" s="93">
        <f>K14+E13</f>
        <v>2330</v>
      </c>
      <c r="F14" s="93">
        <f>L14+F$13</f>
        <v>570</v>
      </c>
      <c r="G14" s="93" t="str">
        <f>D34</f>
        <v>CUB C/R R8</v>
      </c>
      <c r="H14" s="29"/>
      <c r="J14" s="3">
        <f>J25</f>
        <v>1</v>
      </c>
      <c r="K14" s="4">
        <f t="shared" ref="K14:L14" si="0">E34</f>
        <v>2250</v>
      </c>
      <c r="L14" s="4">
        <f t="shared" si="0"/>
        <v>600</v>
      </c>
    </row>
    <row r="15" spans="1:15" ht="18" x14ac:dyDescent="0.35">
      <c r="A15" s="108"/>
      <c r="B15" s="65" t="s">
        <v>8</v>
      </c>
      <c r="C15" s="91" t="s">
        <v>9</v>
      </c>
      <c r="D15" s="91" t="s">
        <v>10</v>
      </c>
      <c r="E15" s="92">
        <v>50</v>
      </c>
      <c r="F15" s="92">
        <v>-2</v>
      </c>
      <c r="G15" s="91" t="s">
        <v>107</v>
      </c>
      <c r="H15" s="29"/>
      <c r="J15" s="23"/>
      <c r="K15" s="2"/>
      <c r="L15" s="2"/>
    </row>
    <row r="16" spans="1:15" ht="18" x14ac:dyDescent="0.35">
      <c r="A16" s="108"/>
      <c r="B16" s="142" t="s">
        <v>145</v>
      </c>
      <c r="C16" s="143">
        <f>J16</f>
        <v>4</v>
      </c>
      <c r="D16" s="143"/>
      <c r="E16" s="144">
        <f>K16+E$15</f>
        <v>750</v>
      </c>
      <c r="F16" s="144">
        <f>L16+F$15</f>
        <v>395</v>
      </c>
      <c r="G16" s="143" t="str">
        <f>G26</f>
        <v>PR6</v>
      </c>
      <c r="H16" s="29"/>
      <c r="J16" s="5">
        <f>J26</f>
        <v>4</v>
      </c>
      <c r="K16" s="4">
        <f>K26</f>
        <v>700</v>
      </c>
      <c r="L16" s="4">
        <f>L26</f>
        <v>397</v>
      </c>
    </row>
    <row r="17" spans="1:12" ht="18" x14ac:dyDescent="0.35">
      <c r="A17" s="108"/>
      <c r="B17" s="65"/>
      <c r="C17" s="143">
        <f t="shared" ref="C17:C18" si="1">J17</f>
        <v>4</v>
      </c>
      <c r="D17" s="143"/>
      <c r="E17" s="144">
        <f t="shared" ref="E17:E18" si="2">K17+E$15</f>
        <v>800</v>
      </c>
      <c r="F17" s="144">
        <f t="shared" ref="F17:F18" si="3">L17+F$15</f>
        <v>395</v>
      </c>
      <c r="G17" s="143" t="str">
        <f t="shared" ref="G17:G18" si="4">G27</f>
        <v>PR6</v>
      </c>
      <c r="H17" s="29"/>
      <c r="J17" s="5">
        <f t="shared" ref="J17:L18" si="5">J27</f>
        <v>4</v>
      </c>
      <c r="K17" s="4">
        <f t="shared" si="5"/>
        <v>750</v>
      </c>
      <c r="L17" s="4">
        <f t="shared" si="5"/>
        <v>397</v>
      </c>
    </row>
    <row r="18" spans="1:12" ht="18" x14ac:dyDescent="0.35">
      <c r="A18" s="108"/>
      <c r="B18" s="65"/>
      <c r="C18" s="143">
        <f t="shared" si="1"/>
        <v>1</v>
      </c>
      <c r="D18" s="143"/>
      <c r="E18" s="144">
        <f t="shared" si="2"/>
        <v>800</v>
      </c>
      <c r="F18" s="144">
        <f t="shared" si="3"/>
        <v>597</v>
      </c>
      <c r="G18" s="143" t="str">
        <f t="shared" si="4"/>
        <v>PR6</v>
      </c>
      <c r="H18" s="29"/>
      <c r="J18" s="5">
        <f t="shared" si="5"/>
        <v>1</v>
      </c>
      <c r="K18" s="4">
        <f t="shared" si="5"/>
        <v>750</v>
      </c>
      <c r="L18" s="4">
        <f t="shared" si="5"/>
        <v>599</v>
      </c>
    </row>
    <row r="19" spans="1:12" ht="18" x14ac:dyDescent="0.35">
      <c r="A19" s="2"/>
      <c r="B19" s="82"/>
      <c r="C19" s="72"/>
      <c r="D19" s="72"/>
      <c r="E19" s="72"/>
      <c r="F19" s="72"/>
      <c r="G19" s="72"/>
      <c r="H19" s="29"/>
      <c r="J19" s="23"/>
      <c r="K19" s="2"/>
      <c r="L19" s="2"/>
    </row>
    <row r="20" spans="1:12" ht="6.75" customHeight="1" x14ac:dyDescent="0.35">
      <c r="A20" s="2"/>
      <c r="B20" s="29"/>
      <c r="C20" s="29"/>
      <c r="D20" s="29"/>
      <c r="E20" s="29"/>
      <c r="F20" s="29"/>
      <c r="G20" s="29"/>
      <c r="H20" s="29"/>
    </row>
    <row r="21" spans="1:12" ht="18" x14ac:dyDescent="0.35">
      <c r="A21" s="2"/>
      <c r="B21" s="124" t="s">
        <v>13</v>
      </c>
      <c r="C21" s="124"/>
      <c r="D21" s="124"/>
      <c r="E21" s="124"/>
      <c r="F21" s="124"/>
      <c r="G21" s="124"/>
      <c r="H21" s="29"/>
    </row>
    <row r="22" spans="1:12" ht="10.5" customHeight="1" x14ac:dyDescent="0.35">
      <c r="A22" s="2"/>
      <c r="B22" s="29"/>
      <c r="C22" s="29"/>
      <c r="D22" s="90"/>
      <c r="E22" s="29"/>
      <c r="F22" s="29"/>
      <c r="G22" s="29"/>
      <c r="H22" s="29"/>
    </row>
    <row r="23" spans="1:12" ht="18" x14ac:dyDescent="0.35">
      <c r="A23" s="2"/>
      <c r="B23" s="29"/>
      <c r="C23" s="29"/>
      <c r="D23" s="29"/>
      <c r="E23" s="65" t="s">
        <v>6</v>
      </c>
      <c r="F23" s="65" t="s">
        <v>7</v>
      </c>
      <c r="G23" s="29"/>
      <c r="H23" s="29"/>
    </row>
    <row r="24" spans="1:12" ht="18" x14ac:dyDescent="0.35">
      <c r="A24" s="2"/>
      <c r="B24" s="65" t="s">
        <v>8</v>
      </c>
      <c r="C24" s="81" t="s">
        <v>9</v>
      </c>
      <c r="D24" s="81" t="s">
        <v>10</v>
      </c>
      <c r="E24" s="94">
        <v>40</v>
      </c>
      <c r="F24" s="94">
        <v>130</v>
      </c>
      <c r="G24" s="81" t="s">
        <v>107</v>
      </c>
      <c r="H24" s="29"/>
      <c r="K24" s="5" t="s">
        <v>6</v>
      </c>
      <c r="L24" s="5" t="s">
        <v>7</v>
      </c>
    </row>
    <row r="25" spans="1:12" ht="18" x14ac:dyDescent="0.35">
      <c r="A25" s="108">
        <v>1</v>
      </c>
      <c r="B25" s="100"/>
      <c r="C25" s="95">
        <f t="shared" ref="C25" si="6">J25</f>
        <v>1</v>
      </c>
      <c r="D25" s="95"/>
      <c r="E25" s="95">
        <f>K25+E$24</f>
        <v>2290</v>
      </c>
      <c r="F25" s="95">
        <f t="shared" ref="F25" si="7">L25+F$24</f>
        <v>730</v>
      </c>
      <c r="G25" s="95" t="str">
        <f>D34</f>
        <v>CUB C/R R8</v>
      </c>
      <c r="H25" s="29"/>
      <c r="J25" s="3">
        <f>C34</f>
        <v>1</v>
      </c>
      <c r="K25" s="105">
        <f>E34</f>
        <v>2250</v>
      </c>
      <c r="L25" s="105">
        <f>F34</f>
        <v>600</v>
      </c>
    </row>
    <row r="26" spans="1:12" ht="18" x14ac:dyDescent="0.35">
      <c r="A26" s="108"/>
      <c r="B26" s="100"/>
      <c r="C26" s="95">
        <f t="shared" ref="C26:C28" si="8">J26</f>
        <v>4</v>
      </c>
      <c r="D26" s="95"/>
      <c r="E26" s="95">
        <f t="shared" ref="E26:E28" si="9">K26+E$24</f>
        <v>740</v>
      </c>
      <c r="F26" s="95">
        <f>L26+90</f>
        <v>487</v>
      </c>
      <c r="G26" s="95" t="str">
        <f t="shared" ref="G26:G28" si="10">D35</f>
        <v>PR6</v>
      </c>
      <c r="H26" s="29"/>
      <c r="J26" s="3">
        <f t="shared" ref="J26:J28" si="11">C35</f>
        <v>4</v>
      </c>
      <c r="K26" s="105">
        <f t="shared" ref="K26:L26" si="12">E35</f>
        <v>700</v>
      </c>
      <c r="L26" s="105">
        <f t="shared" si="12"/>
        <v>397</v>
      </c>
    </row>
    <row r="27" spans="1:12" ht="18" x14ac:dyDescent="0.35">
      <c r="A27" s="108"/>
      <c r="B27" s="100"/>
      <c r="C27" s="95">
        <f t="shared" si="8"/>
        <v>4</v>
      </c>
      <c r="D27" s="95"/>
      <c r="E27" s="95">
        <f t="shared" si="9"/>
        <v>790</v>
      </c>
      <c r="F27" s="95">
        <f t="shared" ref="F27:F28" si="13">L27+90</f>
        <v>487</v>
      </c>
      <c r="G27" s="95" t="str">
        <f t="shared" si="10"/>
        <v>PR6</v>
      </c>
      <c r="H27" s="29"/>
      <c r="J27" s="3">
        <f t="shared" si="11"/>
        <v>4</v>
      </c>
      <c r="K27" s="105">
        <f t="shared" ref="K27:L27" si="14">E36</f>
        <v>750</v>
      </c>
      <c r="L27" s="105">
        <f t="shared" si="14"/>
        <v>397</v>
      </c>
    </row>
    <row r="28" spans="1:12" ht="18" x14ac:dyDescent="0.35">
      <c r="A28" s="108"/>
      <c r="B28" s="100"/>
      <c r="C28" s="95">
        <f t="shared" si="8"/>
        <v>1</v>
      </c>
      <c r="D28" s="95"/>
      <c r="E28" s="95">
        <f t="shared" si="9"/>
        <v>790</v>
      </c>
      <c r="F28" s="95">
        <f t="shared" si="13"/>
        <v>689</v>
      </c>
      <c r="G28" s="95" t="str">
        <f t="shared" si="10"/>
        <v>PR6</v>
      </c>
      <c r="H28" s="29"/>
      <c r="J28" s="3">
        <f t="shared" si="11"/>
        <v>1</v>
      </c>
      <c r="K28" s="105">
        <f t="shared" ref="K28:L28" si="15">E37</f>
        <v>750</v>
      </c>
      <c r="L28" s="105">
        <f t="shared" si="15"/>
        <v>599</v>
      </c>
    </row>
    <row r="29" spans="1:12" ht="18" x14ac:dyDescent="0.35">
      <c r="A29" s="108"/>
      <c r="B29" s="100"/>
      <c r="C29" s="72"/>
      <c r="D29" s="72"/>
      <c r="E29" s="72"/>
      <c r="F29" s="72"/>
      <c r="G29" s="72"/>
      <c r="H29" s="29"/>
      <c r="J29" s="23"/>
      <c r="K29" s="119"/>
      <c r="L29" s="119"/>
    </row>
    <row r="30" spans="1:12" ht="18.600000000000001" thickBot="1" x14ac:dyDescent="0.4">
      <c r="A30" s="2"/>
      <c r="B30" s="82"/>
      <c r="C30" s="72"/>
      <c r="D30" s="72"/>
      <c r="E30" s="72"/>
      <c r="F30" s="72"/>
      <c r="G30" s="72"/>
      <c r="H30" s="29"/>
      <c r="I30" s="106"/>
      <c r="J30" s="107"/>
      <c r="K30" s="107"/>
      <c r="L30" s="107"/>
    </row>
    <row r="31" spans="1:12" ht="18.600000000000001" thickBot="1" x14ac:dyDescent="0.4">
      <c r="A31" s="2"/>
      <c r="B31" s="65"/>
      <c r="C31" s="96" t="s">
        <v>104</v>
      </c>
      <c r="D31" s="32"/>
      <c r="E31" s="32"/>
      <c r="F31" s="32"/>
      <c r="G31" s="97"/>
      <c r="H31" s="29"/>
      <c r="J31" s="2"/>
      <c r="K31" s="2"/>
      <c r="L31" s="2"/>
    </row>
    <row r="32" spans="1:12" ht="10.5" customHeight="1" x14ac:dyDescent="0.35">
      <c r="A32" s="2"/>
      <c r="B32" s="29"/>
      <c r="C32" s="29"/>
      <c r="D32" s="29"/>
      <c r="E32" s="29"/>
      <c r="F32" s="29"/>
      <c r="G32" s="29"/>
      <c r="H32" s="29"/>
    </row>
    <row r="33" spans="1:10" ht="18" x14ac:dyDescent="0.35">
      <c r="A33" s="2"/>
      <c r="B33" s="65" t="s">
        <v>8</v>
      </c>
      <c r="C33" s="98" t="s">
        <v>9</v>
      </c>
      <c r="D33" s="98" t="s">
        <v>107</v>
      </c>
      <c r="E33" s="98" t="s">
        <v>6</v>
      </c>
      <c r="F33" s="98" t="s">
        <v>7</v>
      </c>
      <c r="G33" s="98" t="s">
        <v>21</v>
      </c>
      <c r="H33" s="29"/>
    </row>
    <row r="34" spans="1:10" ht="18" x14ac:dyDescent="0.35">
      <c r="A34" s="108">
        <v>1</v>
      </c>
      <c r="B34" s="100" t="s">
        <v>138</v>
      </c>
      <c r="C34" s="93">
        <f>'4637'!B21</f>
        <v>1</v>
      </c>
      <c r="D34" s="93" t="str">
        <f>D59</f>
        <v>CUB C/R R8</v>
      </c>
      <c r="E34" s="113">
        <f>'4637'!D21</f>
        <v>2250</v>
      </c>
      <c r="F34" s="113">
        <f>'4637'!E21</f>
        <v>600</v>
      </c>
      <c r="G34" s="4" t="str">
        <f>'4637'!F21</f>
        <v>VERDASTRO GRANITE 42009 GL</v>
      </c>
      <c r="H34" s="29"/>
      <c r="I34" s="28">
        <f>E34*F34/1000000</f>
        <v>1.35</v>
      </c>
      <c r="J34" s="28">
        <f>I34*C34</f>
        <v>1.35</v>
      </c>
    </row>
    <row r="35" spans="1:10" ht="18" x14ac:dyDescent="0.35">
      <c r="A35" s="108"/>
      <c r="B35" s="100"/>
      <c r="C35" s="93">
        <f>'4637'!B22</f>
        <v>4</v>
      </c>
      <c r="D35" s="93" t="str">
        <f>D60</f>
        <v>PR6</v>
      </c>
      <c r="E35" s="113">
        <f>'4637'!D22</f>
        <v>700</v>
      </c>
      <c r="F35" s="113">
        <f>'4637'!E22</f>
        <v>397</v>
      </c>
      <c r="G35" s="4" t="str">
        <f>'4637'!F22</f>
        <v>NATURAL ELM 1499 MT</v>
      </c>
      <c r="H35" s="29"/>
      <c r="I35" s="28"/>
      <c r="J35" s="28"/>
    </row>
    <row r="36" spans="1:10" ht="18" x14ac:dyDescent="0.35">
      <c r="A36" s="108"/>
      <c r="B36" s="100"/>
      <c r="C36" s="93">
        <f>'4637'!B23</f>
        <v>4</v>
      </c>
      <c r="D36" s="93" t="str">
        <f>D61</f>
        <v>PR6</v>
      </c>
      <c r="E36" s="113">
        <f>'4637'!D23</f>
        <v>750</v>
      </c>
      <c r="F36" s="113">
        <f>'4637'!E23</f>
        <v>397</v>
      </c>
      <c r="G36" s="4" t="str">
        <f>'4637'!F23</f>
        <v>NATURAL ELM 1499 MT</v>
      </c>
      <c r="H36" s="29"/>
      <c r="I36" s="28"/>
      <c r="J36" s="28"/>
    </row>
    <row r="37" spans="1:10" ht="18" x14ac:dyDescent="0.35">
      <c r="A37" s="108"/>
      <c r="B37" s="100"/>
      <c r="C37" s="93">
        <f>'4637'!B24</f>
        <v>1</v>
      </c>
      <c r="D37" s="93" t="str">
        <f>D62</f>
        <v>PR6</v>
      </c>
      <c r="E37" s="113">
        <f>'4637'!D24</f>
        <v>750</v>
      </c>
      <c r="F37" s="113">
        <f>'4637'!E24</f>
        <v>599</v>
      </c>
      <c r="G37" s="4" t="str">
        <f>'4637'!F24</f>
        <v>NATURAL ELM 1499 MT</v>
      </c>
      <c r="H37" s="29"/>
      <c r="I37" s="28"/>
      <c r="J37" s="28"/>
    </row>
    <row r="38" spans="1:10" ht="18" x14ac:dyDescent="0.35">
      <c r="A38" s="108"/>
      <c r="B38" s="100"/>
      <c r="C38" s="72"/>
      <c r="D38" s="72"/>
      <c r="E38" s="118"/>
      <c r="F38" s="118"/>
      <c r="G38" s="2"/>
      <c r="H38" s="29"/>
      <c r="I38" s="28"/>
      <c r="J38" s="28"/>
    </row>
    <row r="39" spans="1:10" ht="18" x14ac:dyDescent="0.35">
      <c r="A39" s="2"/>
      <c r="B39" s="29"/>
      <c r="C39" s="72"/>
      <c r="D39" s="72"/>
      <c r="E39" s="72"/>
      <c r="F39" s="72"/>
      <c r="G39" s="72"/>
      <c r="H39" s="29"/>
    </row>
    <row r="40" spans="1:10" ht="18" x14ac:dyDescent="0.35">
      <c r="A40" s="2"/>
      <c r="B40" s="29"/>
      <c r="C40" s="72"/>
      <c r="D40" s="72"/>
      <c r="E40" s="72"/>
      <c r="F40" s="72"/>
      <c r="G40" s="72"/>
      <c r="H40" s="29"/>
      <c r="J40" s="28">
        <f>SUM(J34:J34)*2</f>
        <v>2.7</v>
      </c>
    </row>
    <row r="41" spans="1:10" ht="18" x14ac:dyDescent="0.35">
      <c r="A41" s="2"/>
      <c r="B41" s="29"/>
      <c r="C41" s="72"/>
      <c r="D41" s="72"/>
      <c r="E41" s="72"/>
      <c r="F41" s="72"/>
      <c r="G41" s="72"/>
      <c r="H41" s="29"/>
    </row>
    <row r="42" spans="1:10" ht="18" x14ac:dyDescent="0.35">
      <c r="A42" s="2"/>
      <c r="B42" s="29"/>
      <c r="C42" s="72"/>
      <c r="D42" s="72"/>
      <c r="E42" s="72"/>
      <c r="F42" s="72"/>
      <c r="G42" s="72"/>
      <c r="H42" s="29"/>
    </row>
    <row r="43" spans="1:10" ht="18" x14ac:dyDescent="0.35">
      <c r="A43" s="2"/>
      <c r="B43" s="29"/>
      <c r="C43" s="72"/>
      <c r="D43" s="72"/>
      <c r="E43" s="72"/>
      <c r="F43" s="72"/>
      <c r="G43" s="72"/>
      <c r="H43" s="29"/>
    </row>
    <row r="44" spans="1:10" ht="18" x14ac:dyDescent="0.35">
      <c r="A44" s="2"/>
      <c r="B44" s="29"/>
      <c r="C44" s="72"/>
      <c r="D44" s="72"/>
      <c r="E44" s="72"/>
      <c r="F44" s="72"/>
      <c r="G44" s="72"/>
      <c r="H44" s="29"/>
    </row>
    <row r="45" spans="1:10" ht="18" x14ac:dyDescent="0.35">
      <c r="A45" s="2"/>
      <c r="B45" s="29"/>
      <c r="C45" s="72"/>
      <c r="D45" s="72"/>
      <c r="E45" s="72"/>
      <c r="F45" s="72"/>
      <c r="G45" s="72"/>
      <c r="H45" s="29"/>
    </row>
    <row r="46" spans="1:10" ht="18" x14ac:dyDescent="0.35">
      <c r="A46" s="2"/>
      <c r="B46" s="29"/>
      <c r="C46" s="72"/>
      <c r="D46" s="72"/>
      <c r="E46" s="72"/>
      <c r="F46" s="72"/>
      <c r="G46" s="72"/>
      <c r="H46" s="29"/>
    </row>
    <row r="47" spans="1:10" ht="18" x14ac:dyDescent="0.35">
      <c r="A47" s="2"/>
      <c r="B47" s="29"/>
      <c r="C47" s="72"/>
      <c r="D47" s="72"/>
      <c r="E47" s="72"/>
      <c r="F47" s="72"/>
      <c r="G47" s="72"/>
      <c r="H47" s="29"/>
    </row>
    <row r="48" spans="1:10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18" x14ac:dyDescent="0.35">
      <c r="A49" s="2"/>
      <c r="B49" s="29"/>
      <c r="C49" s="29"/>
      <c r="D49" s="73" t="s">
        <v>25</v>
      </c>
      <c r="E49" s="74">
        <f>'4637'!G8</f>
        <v>4253</v>
      </c>
      <c r="F49" s="29"/>
      <c r="G49" s="29"/>
      <c r="H49" s="29"/>
    </row>
    <row r="50" spans="1:13" ht="17.25" customHeight="1" x14ac:dyDescent="0.35">
      <c r="A50" s="2"/>
      <c r="B50" s="29"/>
      <c r="C50" s="29"/>
      <c r="D50" s="75" t="s">
        <v>64</v>
      </c>
      <c r="E50" s="76" t="str">
        <f>'4637'!C10</f>
        <v>CLAUDIO ARELLANO</v>
      </c>
      <c r="F50" s="47"/>
      <c r="G50" s="47"/>
      <c r="H50" s="29"/>
    </row>
    <row r="51" spans="1:13" ht="4.5" customHeight="1" x14ac:dyDescent="0.35">
      <c r="A51" s="2"/>
      <c r="B51" s="29"/>
      <c r="C51" s="29"/>
      <c r="D51" s="77"/>
      <c r="E51" s="78"/>
      <c r="F51" s="29"/>
      <c r="G51" s="29"/>
      <c r="H51" s="29"/>
    </row>
    <row r="52" spans="1:13" ht="18" x14ac:dyDescent="0.35">
      <c r="A52" s="2"/>
      <c r="B52" s="29"/>
      <c r="C52" s="29"/>
      <c r="D52" s="79" t="str">
        <f>'4637'!F11</f>
        <v>FECHA LIMITE :</v>
      </c>
      <c r="E52" s="80">
        <f>'4637'!G11</f>
        <v>0</v>
      </c>
      <c r="F52" s="29"/>
      <c r="G52" s="29"/>
      <c r="H52" s="29"/>
    </row>
    <row r="53" spans="1:13" ht="18" x14ac:dyDescent="0.35">
      <c r="A53" s="2"/>
      <c r="B53" s="29"/>
      <c r="C53" s="29"/>
      <c r="D53" s="29"/>
      <c r="E53" s="29"/>
      <c r="F53" s="29"/>
      <c r="G53" s="29" t="s">
        <v>135</v>
      </c>
      <c r="H53" s="29"/>
    </row>
    <row r="54" spans="1:13" ht="18" x14ac:dyDescent="0.35">
      <c r="A54" s="2"/>
      <c r="B54" s="29"/>
      <c r="C54" s="29"/>
      <c r="D54" s="29"/>
      <c r="E54" s="29"/>
      <c r="F54" s="29"/>
      <c r="G54" s="29"/>
      <c r="H54" s="29"/>
    </row>
    <row r="55" spans="1:13" ht="18" x14ac:dyDescent="0.35">
      <c r="A55" s="2"/>
      <c r="B55" s="125" t="s">
        <v>65</v>
      </c>
      <c r="C55" s="125"/>
      <c r="D55" s="125"/>
      <c r="E55" s="125"/>
      <c r="F55" s="125"/>
      <c r="G55" s="125"/>
      <c r="H55" s="29"/>
    </row>
    <row r="56" spans="1:13" ht="18" x14ac:dyDescent="0.35">
      <c r="A56" s="2"/>
      <c r="B56" s="29"/>
      <c r="C56" s="29"/>
      <c r="D56" s="29"/>
      <c r="E56" s="29"/>
      <c r="F56" s="29"/>
      <c r="G56" s="29"/>
      <c r="H56" s="29"/>
    </row>
    <row r="57" spans="1:13" ht="20.100000000000001" customHeight="1" x14ac:dyDescent="0.35">
      <c r="A57" s="2"/>
      <c r="B57" s="29"/>
      <c r="C57" s="126" t="s">
        <v>66</v>
      </c>
      <c r="D57" s="127"/>
      <c r="E57" s="128"/>
      <c r="F57" s="128"/>
      <c r="G57" s="129"/>
      <c r="H57" s="29"/>
      <c r="I57" s="25" t="s">
        <v>130</v>
      </c>
    </row>
    <row r="58" spans="1:13" s="10" customFormat="1" ht="20.100000000000001" customHeight="1" x14ac:dyDescent="0.35">
      <c r="A58" s="109"/>
      <c r="B58" s="29"/>
      <c r="C58" s="83" t="s">
        <v>9</v>
      </c>
      <c r="D58" s="84" t="s">
        <v>10</v>
      </c>
      <c r="E58" s="87" t="s">
        <v>6</v>
      </c>
      <c r="F58" s="87" t="s">
        <v>7</v>
      </c>
      <c r="G58" s="85" t="s">
        <v>11</v>
      </c>
      <c r="H58" s="29"/>
      <c r="K58" s="10">
        <v>15000</v>
      </c>
    </row>
    <row r="59" spans="1:13" s="10" customFormat="1" ht="20.100000000000001" customHeight="1" x14ac:dyDescent="0.35">
      <c r="A59" s="108">
        <v>1</v>
      </c>
      <c r="B59" s="99" t="s">
        <v>138</v>
      </c>
      <c r="C59" s="95">
        <f>'4637'!B21</f>
        <v>1</v>
      </c>
      <c r="D59" s="4" t="str">
        <f>'4637'!C21</f>
        <v>CUB C/R R8</v>
      </c>
      <c r="E59" s="113">
        <f>'4637'!D21</f>
        <v>2250</v>
      </c>
      <c r="F59" s="101">
        <f>'4637'!E21</f>
        <v>600</v>
      </c>
      <c r="G59" s="4" t="str">
        <f>'4637'!F21</f>
        <v>VERDASTRO GRANITE 42009 GL</v>
      </c>
      <c r="H59" s="29"/>
      <c r="I59" s="10">
        <f>E59*F59/1000000</f>
        <v>1.35</v>
      </c>
      <c r="J59" s="10">
        <f>I59*C59</f>
        <v>1.35</v>
      </c>
      <c r="K59" s="26">
        <f>J59*K$58</f>
        <v>20250</v>
      </c>
      <c r="M59" s="24">
        <v>12096</v>
      </c>
    </row>
    <row r="60" spans="1:13" s="10" customFormat="1" ht="20.100000000000001" customHeight="1" x14ac:dyDescent="0.35">
      <c r="A60" s="108"/>
      <c r="B60" s="99"/>
      <c r="C60" s="95">
        <f>'4637'!B22</f>
        <v>4</v>
      </c>
      <c r="D60" s="4" t="str">
        <f>'4637'!C22</f>
        <v>PR6</v>
      </c>
      <c r="E60" s="113">
        <f>'4637'!D22</f>
        <v>700</v>
      </c>
      <c r="F60" s="101">
        <f>'4637'!E22</f>
        <v>397</v>
      </c>
      <c r="G60" s="4" t="str">
        <f>'4637'!F22</f>
        <v>NATURAL ELM 1499 MT</v>
      </c>
      <c r="H60" s="29"/>
      <c r="K60" s="26"/>
      <c r="M60" s="141"/>
    </row>
    <row r="61" spans="1:13" s="10" customFormat="1" ht="20.100000000000001" customHeight="1" x14ac:dyDescent="0.35">
      <c r="A61" s="108"/>
      <c r="B61" s="99"/>
      <c r="C61" s="95">
        <f>'4637'!B23</f>
        <v>4</v>
      </c>
      <c r="D61" s="4" t="str">
        <f>'4637'!C23</f>
        <v>PR6</v>
      </c>
      <c r="E61" s="113">
        <f>'4637'!D23</f>
        <v>750</v>
      </c>
      <c r="F61" s="101">
        <f>'4637'!E23</f>
        <v>397</v>
      </c>
      <c r="G61" s="4" t="str">
        <f>'4637'!F23</f>
        <v>NATURAL ELM 1499 MT</v>
      </c>
      <c r="H61" s="29"/>
      <c r="K61" s="26"/>
      <c r="M61" s="141"/>
    </row>
    <row r="62" spans="1:13" s="10" customFormat="1" ht="20.100000000000001" customHeight="1" x14ac:dyDescent="0.35">
      <c r="A62" s="108"/>
      <c r="B62" s="99"/>
      <c r="C62" s="95">
        <f>'4637'!B24</f>
        <v>1</v>
      </c>
      <c r="D62" s="4" t="str">
        <f>'4637'!C24</f>
        <v>PR6</v>
      </c>
      <c r="E62" s="113">
        <f>'4637'!D24</f>
        <v>750</v>
      </c>
      <c r="F62" s="101">
        <f>'4637'!E24</f>
        <v>599</v>
      </c>
      <c r="G62" s="4" t="str">
        <f>'4637'!F24</f>
        <v>NATURAL ELM 1499 MT</v>
      </c>
      <c r="H62" s="29"/>
      <c r="K62" s="26"/>
      <c r="M62" s="141"/>
    </row>
    <row r="63" spans="1:13" s="10" customFormat="1" ht="20.100000000000001" customHeight="1" x14ac:dyDescent="0.35">
      <c r="A63" s="108"/>
      <c r="B63" s="99"/>
      <c r="C63" s="138"/>
      <c r="D63" s="139"/>
      <c r="E63" s="140"/>
      <c r="F63" s="137"/>
      <c r="G63" s="139"/>
      <c r="H63" s="29"/>
      <c r="K63" s="26"/>
      <c r="M63" s="141"/>
    </row>
    <row r="64" spans="1:13" s="10" customFormat="1" ht="15" customHeight="1" x14ac:dyDescent="0.35">
      <c r="B64" s="82"/>
      <c r="C64" s="65"/>
      <c r="D64" s="65"/>
      <c r="E64" s="65"/>
      <c r="F64" s="65"/>
      <c r="G64" s="65"/>
      <c r="H64" s="29"/>
    </row>
    <row r="65" spans="2:11" ht="18" x14ac:dyDescent="0.35">
      <c r="B65" s="72"/>
      <c r="C65" s="72"/>
      <c r="D65" s="29"/>
      <c r="E65" s="72"/>
      <c r="F65" s="72"/>
      <c r="G65" s="77"/>
      <c r="H65" s="29"/>
    </row>
    <row r="66" spans="2:11" ht="18" x14ac:dyDescent="0.35">
      <c r="B66" s="72"/>
      <c r="C66" s="72"/>
      <c r="D66" s="29"/>
      <c r="E66" s="72"/>
      <c r="F66" s="72"/>
      <c r="G66" s="72"/>
      <c r="H66" s="29"/>
      <c r="J66" s="10">
        <f>SUM(J59:J59)</f>
        <v>1.35</v>
      </c>
      <c r="K66" s="27">
        <f>SUM(K59:K59)</f>
        <v>20250</v>
      </c>
    </row>
    <row r="67" spans="2:11" ht="18" x14ac:dyDescent="0.35">
      <c r="B67" s="29"/>
      <c r="C67" s="29"/>
      <c r="D67" s="29"/>
      <c r="E67" s="29"/>
      <c r="F67" s="29"/>
      <c r="G67" s="29"/>
      <c r="H67" s="29"/>
    </row>
    <row r="68" spans="2:11" ht="18" x14ac:dyDescent="0.35">
      <c r="B68" s="29"/>
      <c r="C68" s="29"/>
      <c r="D68" s="29"/>
      <c r="E68" s="29"/>
      <c r="F68" s="29"/>
      <c r="G68" s="29"/>
      <c r="H68" s="29"/>
    </row>
    <row r="69" spans="2:11" ht="18" x14ac:dyDescent="0.35">
      <c r="B69" s="29"/>
      <c r="C69" s="29"/>
      <c r="D69" s="29"/>
      <c r="E69" s="29"/>
      <c r="F69" s="29"/>
      <c r="G69" s="29"/>
      <c r="H69" s="29"/>
    </row>
    <row r="70" spans="2:11" ht="15" customHeight="1" x14ac:dyDescent="0.35">
      <c r="B70" s="29"/>
      <c r="C70" s="29"/>
      <c r="D70" s="29"/>
      <c r="E70" s="29"/>
      <c r="F70" s="29"/>
      <c r="G70" s="29"/>
      <c r="H70" s="29"/>
    </row>
    <row r="71" spans="2:11" ht="18" x14ac:dyDescent="0.35">
      <c r="B71" s="29"/>
      <c r="C71" s="29"/>
      <c r="D71" s="29"/>
      <c r="E71" s="29"/>
      <c r="F71" s="29"/>
      <c r="G71" s="29"/>
      <c r="H71" s="29"/>
    </row>
    <row r="72" spans="2:11" ht="18" x14ac:dyDescent="0.35">
      <c r="B72" s="72"/>
      <c r="C72" s="86"/>
      <c r="D72" s="29"/>
      <c r="E72" s="29"/>
      <c r="F72" s="29"/>
      <c r="G72" s="29"/>
      <c r="H72" s="29"/>
    </row>
    <row r="73" spans="2:11" ht="18" x14ac:dyDescent="0.35">
      <c r="B73" s="29"/>
      <c r="C73" s="29"/>
      <c r="D73" s="29"/>
      <c r="E73" s="29"/>
      <c r="F73" s="29"/>
      <c r="G73" s="29"/>
      <c r="H73" s="29"/>
    </row>
    <row r="74" spans="2:11" x14ac:dyDescent="0.3">
      <c r="C74" s="14"/>
      <c r="D74" s="14"/>
      <c r="F74" s="14"/>
      <c r="G74" s="14"/>
    </row>
    <row r="75" spans="2:11" x14ac:dyDescent="0.3">
      <c r="C75" s="14"/>
      <c r="D75" s="14"/>
      <c r="F75" s="14"/>
      <c r="G75" s="14"/>
    </row>
  </sheetData>
  <mergeCells count="6">
    <mergeCell ref="N3:O3"/>
    <mergeCell ref="B21:G21"/>
    <mergeCell ref="B10:G10"/>
    <mergeCell ref="B55:G55"/>
    <mergeCell ref="C57:G5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2026-04-23T12:16:52Z</cp:lastPrinted>
  <dcterms:created xsi:type="dcterms:W3CDTF">2013-03-19T12:54:14Z</dcterms:created>
  <dcterms:modified xsi:type="dcterms:W3CDTF">2026-05-25T20:45:43Z</dcterms:modified>
</cp:coreProperties>
</file>