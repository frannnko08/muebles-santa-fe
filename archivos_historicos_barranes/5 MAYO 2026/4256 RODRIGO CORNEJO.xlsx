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5 MAYO 2026\"/>
    </mc:Choice>
  </mc:AlternateContent>
  <xr:revisionPtr revIDLastSave="0" documentId="13_ncr:1_{DC37E105-B819-4962-9A2B-7621A7A4E23F}" xr6:coauthVersionLast="47" xr6:coauthVersionMax="47" xr10:uidLastSave="{00000000-0000-0000-0000-000000000000}"/>
  <bookViews>
    <workbookView xWindow="-20610" yWindow="1635" windowWidth="20730" windowHeight="11040" activeTab="3" xr2:uid="{00000000-000D-0000-FFFF-FFFF00000000}"/>
  </bookViews>
  <sheets>
    <sheet name="4637" sheetId="4" r:id="rId1"/>
    <sheet name="REGLAS" sheetId="5" r:id="rId2"/>
    <sheet name="CUBIERTA" sheetId="3" r:id="rId3"/>
    <sheet name="RESUMEN" sheetId="6" r:id="rId4"/>
  </sheets>
  <definedNames>
    <definedName name="_xlnm.Print_Area" localSheetId="0">'4637'!$B$1:$H$49</definedName>
    <definedName name="_xlnm.Print_Area" localSheetId="2">CUBIERTA!$A$37:$G$63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C2" i="6"/>
  <c r="B2" i="6"/>
  <c r="A2" i="6"/>
  <c r="H22" i="4" l="1"/>
  <c r="H25" i="4" s="1"/>
  <c r="L21" i="4"/>
  <c r="L22" i="4" s="1"/>
  <c r="C28" i="3"/>
  <c r="E28" i="3"/>
  <c r="F28" i="3"/>
  <c r="G28" i="3"/>
  <c r="C51" i="3"/>
  <c r="D51" i="3"/>
  <c r="D28" i="3" s="1"/>
  <c r="E51" i="3"/>
  <c r="F51" i="3"/>
  <c r="G51" i="3"/>
  <c r="G27" i="3" l="1"/>
  <c r="F27" i="3"/>
  <c r="L14" i="3" s="1"/>
  <c r="E27" i="3"/>
  <c r="K14" i="3" s="1"/>
  <c r="E14" i="3" s="1"/>
  <c r="C27" i="3"/>
  <c r="G50" i="3"/>
  <c r="F50" i="3"/>
  <c r="E50" i="3"/>
  <c r="D50" i="3"/>
  <c r="D27" i="3" s="1"/>
  <c r="C50" i="3"/>
  <c r="H27" i="4" l="1"/>
  <c r="G21" i="3" l="1"/>
  <c r="L21" i="3"/>
  <c r="F21" i="3" s="1"/>
  <c r="J21" i="3" l="1"/>
  <c r="I27" i="3"/>
  <c r="J27" i="3" s="1"/>
  <c r="K21" i="3"/>
  <c r="I50" i="3"/>
  <c r="J50" i="3" s="1"/>
  <c r="G14" i="3"/>
  <c r="F14" i="3"/>
  <c r="C21" i="3" l="1"/>
  <c r="J14" i="3"/>
  <c r="C14" i="3" s="1"/>
  <c r="J31" i="3"/>
  <c r="K50" i="3"/>
  <c r="J55" i="3"/>
  <c r="O5" i="3"/>
  <c r="K55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<sst xmlns="http://schemas.openxmlformats.org/spreadsheetml/2006/main" count="255" uniqueCount="150">
  <si>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</si>
  <si>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</si>
  <si>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</si>
  <si>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</si>
  <si>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</si>
  <si>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</si>
  <si>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</si>
  <si>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</si>
  <si>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</si>
  <si>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</si>
  <si>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</si>
  <si>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</si>
  <si>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</si>
  <si>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</si>
  <si>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</si>
  <si>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</si>
  <si>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</si>
  <si>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</si>
  <si>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</si>
  <si>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</si>
  <si>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</si>
  <si>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</si>
  <si>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</si>
  <si>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</si>
  <si>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</si>
  <si>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</si>
  <si>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</si>
  <si>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</si>
  <si>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</si>
  <si>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</si>
  <si>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</si>
  <si>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</si>
  <si>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</si>
  <si>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</si>
  <si>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</si>
  <si>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</si>
  <si>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</si>
  <si>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</si>
  <si>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</si>
  <si>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</si>
  <si>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</si>
  <si>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</si>
  <si>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</si>
  <si>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</si>
  <si>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</si>
  <si>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</si>
  <si>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</si>
  <si>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</si>
  <si>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</si>
  <si>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</si>
  <si>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</si>
  <si>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</si>
  <si>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</si>
  <si>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</si>
  <si>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</si>
  <si>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</si>
  <si>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</si>
  <si>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</si>
  <si>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</si>
  <si>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</si>
  <si>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</si>
  <si>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</si>
  <si>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</si>
  <si>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</si>
  <si>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</si>
  <si>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</si>
  <si>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</si>
  <si>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</si>
  <si>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</si>
  <si>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</si>
  <si>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</si>
  <si>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</si>
  <si>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</si>
  <si>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</si>
  <si>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</si>
  <si>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</si>
  <si>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</si>
  <si>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</si>
  <si>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</si>
  <si>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</si>
  <si>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</si>
  <si>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</si>
  <si>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</si>
  <si>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</si>
  <si>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</si>
  <si>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</si>
  <si>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</si>
  <si>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</si>
  <si>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</si>
  <si>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</si>
  <si>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</si>
  <si>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</si>
  <si>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</si>
  <si>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</si>
  <si>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</si>
  <si>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</si>
  <si>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</si>
  <si>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</si>
  <si>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</si>
  <si>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</si>
  <si>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</si>
  <si>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</si>
  <si>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</si>
  <si>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</si>
  <si>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</si>
  <si>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</si>
  <si>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</si>
  <si>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</si>
  <si>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</si>
  <si>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</si>
  <si>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</si>
  <si>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</si>
  <si>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</si>
  <si>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</si>
  <si>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</si>
  <si>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</si>
  <si>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</si>
  <si>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</si>
  <si>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</si>
  <si>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</si>
  <si>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</si>
  <si>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</si>
  <si>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</si>
  <si>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</si>
  <si>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</si>
  <si>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</si>
  <si>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</si>
  <si>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</si>
  <si>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</si>
  <si>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</si>
  <si>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</si>
  <si>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</si>
  <si>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</si>
  <si>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</si>
  <si>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</si>
  <si>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</si>
  <si>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</si>
  <si>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</si>
  <si>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</si>
  <si>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S/R R8</t>
  </si>
  <si>
    <t>N° 12165</t>
  </si>
  <si>
    <t>RODRIGO CORNEJO</t>
  </si>
  <si>
    <t>+569 9303 5040</t>
  </si>
  <si>
    <t>DESPACHO HOSPITAL BARROS LUCO</t>
  </si>
  <si>
    <t>DESPACHO</t>
  </si>
  <si>
    <t>GRIS A-5083 TX</t>
  </si>
  <si>
    <t>COTIZACION</t>
  </si>
  <si>
    <t>NOTA DE VENTA</t>
  </si>
  <si>
    <t>NOMBRE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</si>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</sst>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20" fillId="3" borderId="0" xfId="0" applyFont="1" applyFill="1"/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42" fontId="9" fillId="0" borderId="0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0" borderId="0" xfId="0" applyNumberFormat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  ABONO $ 235.000.-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1" u="none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56</xdr:row>
      <xdr:rowOff>32385</xdr:rowOff>
    </xdr:from>
    <xdr:to>
      <xdr:col>7</xdr:col>
      <xdr:colOff>7620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782713</xdr:colOff>
      <xdr:row>44</xdr:row>
      <xdr:rowOff>95250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401955</xdr:colOff>
      <xdr:row>7</xdr:row>
      <xdr:rowOff>171450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15" zoomScale="98" zoomScaleNormal="9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140</v>
      </c>
      <c r="E8" s="29"/>
      <c r="F8" s="34" t="s">
        <v>25</v>
      </c>
      <c r="G8" s="35">
        <v>4256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46170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7" t="s">
        <v>126</v>
      </c>
      <c r="C12" s="120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4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5" t="s">
        <v>142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7" t="s">
        <v>1</v>
      </c>
      <c r="C15" s="116" t="s">
        <v>143</v>
      </c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31" t="s">
        <v>17</v>
      </c>
      <c r="G16" s="131"/>
      <c r="H16" s="13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3" t="s">
        <v>18</v>
      </c>
      <c r="C19" s="134"/>
      <c r="D19" s="134"/>
      <c r="E19" s="134"/>
      <c r="F19" s="134"/>
      <c r="G19" s="134"/>
      <c r="H19" s="135"/>
      <c r="I19" s="29"/>
    </row>
    <row r="20" spans="1:16" ht="20.100000000000001" customHeight="1" x14ac:dyDescent="0.35">
      <c r="A20" s="29"/>
      <c r="B20" s="56" t="s">
        <v>128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29"/>
      <c r="L20">
        <v>470</v>
      </c>
    </row>
    <row r="21" spans="1:16" ht="20.100000000000001" customHeight="1" x14ac:dyDescent="0.35">
      <c r="A21" s="29"/>
      <c r="B21" s="121">
        <v>6</v>
      </c>
      <c r="C21" s="121" t="s">
        <v>139</v>
      </c>
      <c r="D21" s="101">
        <v>3000</v>
      </c>
      <c r="E21" s="101">
        <v>600</v>
      </c>
      <c r="F21" s="121" t="s">
        <v>145</v>
      </c>
      <c r="G21" s="122">
        <v>0.33</v>
      </c>
      <c r="H21" s="122">
        <v>470000</v>
      </c>
      <c r="I21" s="29"/>
      <c r="K21" s="11"/>
      <c r="L21" s="15">
        <f>L20/6</f>
        <v>78.333333333333329</v>
      </c>
      <c r="M21" s="11"/>
      <c r="N21" s="11"/>
      <c r="O21" s="15"/>
      <c r="P21" s="21"/>
    </row>
    <row r="22" spans="1:16" ht="20.100000000000001" customHeight="1" x14ac:dyDescent="0.35">
      <c r="A22" s="29"/>
      <c r="B22" s="121">
        <v>1</v>
      </c>
      <c r="C22" s="121" t="s">
        <v>144</v>
      </c>
      <c r="D22" s="101"/>
      <c r="E22" s="101"/>
      <c r="F22" s="121"/>
      <c r="G22" s="122">
        <v>15000</v>
      </c>
      <c r="H22" s="122">
        <f>G22*B22</f>
        <v>15000</v>
      </c>
      <c r="I22" s="29"/>
      <c r="K22" s="11"/>
      <c r="L22" s="15">
        <f>L20-L21</f>
        <v>391.66666666666669</v>
      </c>
      <c r="M22" s="11"/>
      <c r="N22" s="11"/>
      <c r="O22" s="15"/>
      <c r="P22" s="21"/>
    </row>
    <row r="23" spans="1:16" ht="20.100000000000001" customHeight="1" x14ac:dyDescent="0.35">
      <c r="A23" s="29"/>
      <c r="B23" s="102"/>
      <c r="C23" s="102"/>
      <c r="D23" s="103"/>
      <c r="E23" s="103"/>
      <c r="F23" s="102"/>
      <c r="G23" s="104"/>
      <c r="H23" s="104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2"/>
      <c r="C24" s="102"/>
      <c r="D24" s="110"/>
      <c r="E24" s="110"/>
      <c r="F24" s="102"/>
      <c r="G24" s="104"/>
      <c r="H24" s="104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10"/>
      <c r="E25" s="110"/>
      <c r="F25" s="102"/>
      <c r="G25" s="59" t="s">
        <v>5</v>
      </c>
      <c r="H25" s="60">
        <f>SUM(H21:H24)</f>
        <v>485000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G26" s="61" t="s">
        <v>136</v>
      </c>
      <c r="H26" s="62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2"/>
      <c r="C27" s="102"/>
      <c r="D27" s="110"/>
      <c r="E27" s="110"/>
      <c r="F27" s="102"/>
      <c r="G27" s="63" t="s">
        <v>4</v>
      </c>
      <c r="H27" s="64">
        <f>H25+H26</f>
        <v>485000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03"/>
      <c r="E31" s="103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03"/>
      <c r="E32" s="103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8"/>
      <c r="C33" s="58"/>
      <c r="D33" s="58"/>
      <c r="E33" s="58"/>
      <c r="F33" s="58"/>
      <c r="G33" s="57"/>
      <c r="H33" s="57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5"/>
      <c r="H37" s="66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7" t="s">
        <v>133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67" t="s">
        <v>119</v>
      </c>
      <c r="C40" s="68"/>
      <c r="D40" s="69"/>
      <c r="E40" s="69"/>
      <c r="F40" s="58"/>
      <c r="G40" s="29"/>
      <c r="H40" s="29"/>
      <c r="I40" s="29"/>
    </row>
    <row r="41" spans="1:9" ht="18" x14ac:dyDescent="0.35">
      <c r="A41" s="29"/>
      <c r="B41" s="29" t="s">
        <v>23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70" t="s">
        <v>24</v>
      </c>
      <c r="C42" s="70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70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1"/>
      <c r="F45" s="29"/>
      <c r="G45" s="29"/>
      <c r="H45" s="29"/>
      <c r="I45" s="29"/>
    </row>
    <row r="46" spans="1:9" ht="18" x14ac:dyDescent="0.35">
      <c r="A46" s="29"/>
      <c r="B46" s="30" t="s">
        <v>132</v>
      </c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70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28</v>
      </c>
      <c r="C2" s="136"/>
      <c r="D2" s="136"/>
      <c r="E2" s="12"/>
      <c r="G2" s="136" t="s">
        <v>67</v>
      </c>
      <c r="H2" s="136"/>
      <c r="I2" s="136"/>
      <c r="P2" s="137" t="s">
        <v>55</v>
      </c>
      <c r="Q2" s="137"/>
      <c r="R2" s="13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7" t="s">
        <v>55</v>
      </c>
      <c r="M8" s="137"/>
      <c r="N8" s="13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opLeftCell="A28" zoomScaleNormal="100" workbookViewId="0">
      <selection activeCell="H61" sqref="B38:H6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4" t="s">
        <v>58</v>
      </c>
      <c r="M3" s="124"/>
      <c r="N3" s="124" t="s">
        <v>13</v>
      </c>
      <c r="O3" s="124"/>
    </row>
    <row r="4" spans="1:15" ht="15.75" customHeight="1" x14ac:dyDescent="0.35">
      <c r="B4" s="29"/>
      <c r="C4" s="29"/>
      <c r="D4" s="73" t="s">
        <v>25</v>
      </c>
      <c r="E4" s="74">
        <f>'4637'!G8</f>
        <v>4256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RODRIGO CORNEJO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5" t="s">
        <v>58</v>
      </c>
      <c r="C10" s="125"/>
      <c r="D10" s="125"/>
      <c r="E10" s="125"/>
      <c r="F10" s="125"/>
      <c r="G10" s="125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100</v>
      </c>
      <c r="F13" s="92"/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138</v>
      </c>
      <c r="C14" s="93">
        <f>J14</f>
        <v>6</v>
      </c>
      <c r="D14" s="93"/>
      <c r="E14" s="93">
        <f>K14+E13</f>
        <v>3100</v>
      </c>
      <c r="F14" s="93">
        <f>L14+F$13</f>
        <v>600</v>
      </c>
      <c r="G14" s="93" t="str">
        <f>D27</f>
        <v>CUB S/R R8</v>
      </c>
      <c r="H14" s="29"/>
      <c r="J14" s="3">
        <f>J21</f>
        <v>6</v>
      </c>
      <c r="K14" s="4">
        <f t="shared" ref="K14:L14" si="0">E27</f>
        <v>3000</v>
      </c>
      <c r="L14" s="4">
        <f t="shared" si="0"/>
        <v>600</v>
      </c>
    </row>
    <row r="15" spans="1:15" ht="18" x14ac:dyDescent="0.35">
      <c r="A15" s="2"/>
      <c r="B15" s="82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5" t="s">
        <v>13</v>
      </c>
      <c r="C17" s="125"/>
      <c r="D17" s="125"/>
      <c r="E17" s="125"/>
      <c r="F17" s="125"/>
      <c r="G17" s="125"/>
      <c r="H17" s="29"/>
    </row>
    <row r="18" spans="1:12" ht="10.5" customHeight="1" x14ac:dyDescent="0.35">
      <c r="A18" s="2"/>
      <c r="B18" s="29"/>
      <c r="C18" s="29"/>
      <c r="D18" s="90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5" t="s">
        <v>6</v>
      </c>
      <c r="F19" s="65" t="s">
        <v>7</v>
      </c>
      <c r="G19" s="29"/>
      <c r="H19" s="29"/>
    </row>
    <row r="20" spans="1:12" ht="18" x14ac:dyDescent="0.35">
      <c r="A20" s="2"/>
      <c r="B20" s="65" t="s">
        <v>8</v>
      </c>
      <c r="C20" s="81" t="s">
        <v>9</v>
      </c>
      <c r="D20" s="81" t="s">
        <v>10</v>
      </c>
      <c r="E20" s="94">
        <v>40</v>
      </c>
      <c r="F20" s="94">
        <v>60</v>
      </c>
      <c r="G20" s="81" t="s">
        <v>107</v>
      </c>
      <c r="H20" s="29"/>
      <c r="K20" s="5" t="s">
        <v>6</v>
      </c>
      <c r="L20" s="5" t="s">
        <v>7</v>
      </c>
    </row>
    <row r="21" spans="1:12" ht="18" x14ac:dyDescent="0.35">
      <c r="A21" s="108">
        <v>1</v>
      </c>
      <c r="B21" s="100"/>
      <c r="C21" s="95">
        <f t="shared" ref="C21" si="1">J21</f>
        <v>6</v>
      </c>
      <c r="D21" s="95"/>
      <c r="E21" s="95">
        <v>3080</v>
      </c>
      <c r="F21" s="95">
        <f t="shared" ref="F21" si="2">L21+F$20</f>
        <v>660</v>
      </c>
      <c r="G21" s="95" t="str">
        <f>D27</f>
        <v>CUB S/R R8</v>
      </c>
      <c r="H21" s="29"/>
      <c r="J21" s="3">
        <f>C27</f>
        <v>6</v>
      </c>
      <c r="K21" s="105">
        <f>E27</f>
        <v>3000</v>
      </c>
      <c r="L21" s="105">
        <f>F27</f>
        <v>600</v>
      </c>
    </row>
    <row r="22" spans="1:12" ht="18" x14ac:dyDescent="0.35">
      <c r="A22" s="108"/>
      <c r="B22" s="100"/>
      <c r="C22" s="72"/>
      <c r="D22" s="72"/>
      <c r="E22" s="72"/>
      <c r="F22" s="72"/>
      <c r="G22" s="72"/>
      <c r="H22" s="29"/>
      <c r="J22" s="23"/>
      <c r="K22" s="119"/>
      <c r="L22" s="119"/>
    </row>
    <row r="23" spans="1:12" ht="18.600000000000001" thickBot="1" x14ac:dyDescent="0.4">
      <c r="A23" s="2"/>
      <c r="B23" s="82"/>
      <c r="C23" s="72"/>
      <c r="D23" s="72"/>
      <c r="E23" s="72"/>
      <c r="F23" s="72"/>
      <c r="G23" s="72"/>
      <c r="H23" s="29"/>
      <c r="I23" s="106"/>
      <c r="J23" s="107"/>
      <c r="K23" s="107"/>
      <c r="L23" s="107"/>
    </row>
    <row r="24" spans="1:12" ht="18.600000000000001" thickBot="1" x14ac:dyDescent="0.4">
      <c r="A24" s="2"/>
      <c r="B24" s="65"/>
      <c r="C24" s="96" t="s">
        <v>104</v>
      </c>
      <c r="D24" s="32"/>
      <c r="E24" s="32"/>
      <c r="F24" s="32"/>
      <c r="G24" s="97"/>
      <c r="H24" s="29"/>
      <c r="J24" s="2"/>
      <c r="K24" s="2"/>
      <c r="L24" s="2"/>
    </row>
    <row r="25" spans="1:12" ht="10.5" customHeight="1" x14ac:dyDescent="0.35">
      <c r="A25" s="2"/>
      <c r="B25" s="29"/>
      <c r="C25" s="29"/>
      <c r="D25" s="29"/>
      <c r="E25" s="29"/>
      <c r="F25" s="29"/>
      <c r="G25" s="29"/>
      <c r="H25" s="29"/>
    </row>
    <row r="26" spans="1:12" ht="18" x14ac:dyDescent="0.35">
      <c r="A26" s="2"/>
      <c r="B26" s="65" t="s">
        <v>8</v>
      </c>
      <c r="C26" s="98" t="s">
        <v>9</v>
      </c>
      <c r="D26" s="98" t="s">
        <v>107</v>
      </c>
      <c r="E26" s="98" t="s">
        <v>6</v>
      </c>
      <c r="F26" s="98" t="s">
        <v>7</v>
      </c>
      <c r="G26" s="98" t="s">
        <v>21</v>
      </c>
      <c r="H26" s="29"/>
    </row>
    <row r="27" spans="1:12" ht="18" x14ac:dyDescent="0.35">
      <c r="A27" s="108">
        <v>1</v>
      </c>
      <c r="B27" s="100" t="s">
        <v>138</v>
      </c>
      <c r="C27" s="93">
        <f>'4637'!B21</f>
        <v>6</v>
      </c>
      <c r="D27" s="93" t="str">
        <f>D50</f>
        <v>CUB S/R R8</v>
      </c>
      <c r="E27" s="113">
        <f>'4637'!D21</f>
        <v>3000</v>
      </c>
      <c r="F27" s="113">
        <f>'4637'!E21</f>
        <v>600</v>
      </c>
      <c r="G27" s="4" t="str">
        <f>'4637'!F21</f>
        <v>GRIS A-5083 TX</v>
      </c>
      <c r="H27" s="29"/>
      <c r="I27" s="28">
        <f>E27*F27/1000000</f>
        <v>1.8</v>
      </c>
      <c r="J27" s="28">
        <f>I27*C27</f>
        <v>10.8</v>
      </c>
    </row>
    <row r="28" spans="1:12" ht="18" x14ac:dyDescent="0.35">
      <c r="A28" s="108"/>
      <c r="B28" s="100"/>
      <c r="C28" s="93">
        <f>'4637'!B22</f>
        <v>1</v>
      </c>
      <c r="D28" s="93" t="str">
        <f>D51</f>
        <v>DESPACHO</v>
      </c>
      <c r="E28" s="113">
        <f>'4637'!D22</f>
        <v>0</v>
      </c>
      <c r="F28" s="113">
        <f>'4637'!E22</f>
        <v>0</v>
      </c>
      <c r="G28" s="4">
        <f>'4637'!F22</f>
        <v>0</v>
      </c>
      <c r="H28" s="29"/>
      <c r="I28" s="28"/>
      <c r="J28" s="28"/>
    </row>
    <row r="29" spans="1:12" ht="18" x14ac:dyDescent="0.35">
      <c r="A29" s="108"/>
      <c r="B29" s="100"/>
      <c r="C29" s="72"/>
      <c r="D29" s="72"/>
      <c r="E29" s="118"/>
      <c r="F29" s="118"/>
      <c r="G29" s="2"/>
      <c r="H29" s="29"/>
      <c r="I29" s="28"/>
      <c r="J29" s="28"/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  <c r="J31" s="28">
        <f>SUM(J27:J27)*2</f>
        <v>21.6</v>
      </c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9" ht="18" x14ac:dyDescent="0.35">
      <c r="A33" s="2"/>
      <c r="B33" s="29"/>
      <c r="C33" s="72"/>
      <c r="D33" s="72"/>
      <c r="E33" s="72"/>
      <c r="F33" s="72"/>
      <c r="G33" s="72"/>
      <c r="H33" s="29"/>
    </row>
    <row r="34" spans="1:9" ht="18" x14ac:dyDescent="0.35">
      <c r="A34" s="2"/>
      <c r="B34" s="29"/>
      <c r="C34" s="72"/>
      <c r="D34" s="72"/>
      <c r="E34" s="72"/>
      <c r="F34" s="72"/>
      <c r="G34" s="72"/>
      <c r="H34" s="29"/>
    </row>
    <row r="35" spans="1:9" ht="18" x14ac:dyDescent="0.35">
      <c r="A35" s="2"/>
      <c r="B35" s="29"/>
      <c r="C35" s="72"/>
      <c r="D35" s="72"/>
      <c r="E35" s="72"/>
      <c r="F35" s="72"/>
      <c r="G35" s="72"/>
      <c r="H35" s="29"/>
    </row>
    <row r="36" spans="1:9" ht="18" x14ac:dyDescent="0.35">
      <c r="A36" s="2"/>
      <c r="B36" s="29"/>
      <c r="C36" s="72"/>
      <c r="D36" s="72"/>
      <c r="E36" s="72"/>
      <c r="F36" s="72"/>
      <c r="G36" s="72"/>
      <c r="H36" s="29"/>
    </row>
    <row r="37" spans="1:9" ht="18" x14ac:dyDescent="0.35">
      <c r="A37" s="2"/>
      <c r="B37" s="29"/>
      <c r="C37" s="72"/>
      <c r="D37" s="72"/>
      <c r="E37" s="72"/>
      <c r="F37" s="72"/>
      <c r="G37" s="72"/>
      <c r="H37" s="29"/>
    </row>
    <row r="38" spans="1:9" ht="18" x14ac:dyDescent="0.35">
      <c r="A38" s="2"/>
      <c r="B38" s="29"/>
      <c r="C38" s="72"/>
      <c r="D38" s="72"/>
      <c r="E38" s="72"/>
      <c r="F38" s="72"/>
      <c r="G38" s="72"/>
      <c r="H38" s="29"/>
    </row>
    <row r="39" spans="1:9" ht="18" x14ac:dyDescent="0.35">
      <c r="A39" s="2"/>
      <c r="B39" s="29"/>
      <c r="C39" s="29"/>
      <c r="D39" s="29"/>
      <c r="E39" s="29"/>
      <c r="F39" s="29"/>
      <c r="G39" s="29"/>
      <c r="H39" s="29"/>
    </row>
    <row r="40" spans="1:9" ht="18" x14ac:dyDescent="0.35">
      <c r="A40" s="2"/>
      <c r="B40" s="29"/>
      <c r="C40" s="29"/>
      <c r="D40" s="73" t="s">
        <v>25</v>
      </c>
      <c r="E40" s="74">
        <f>'4637'!G8</f>
        <v>4256</v>
      </c>
      <c r="F40" s="29"/>
      <c r="G40" s="29"/>
      <c r="H40" s="29"/>
    </row>
    <row r="41" spans="1:9" ht="17.25" customHeight="1" x14ac:dyDescent="0.35">
      <c r="A41" s="2"/>
      <c r="B41" s="29"/>
      <c r="C41" s="29"/>
      <c r="D41" s="75" t="s">
        <v>64</v>
      </c>
      <c r="E41" s="76" t="str">
        <f>'4637'!C10</f>
        <v>RODRIGO CORNEJO</v>
      </c>
      <c r="F41" s="47"/>
      <c r="G41" s="47"/>
      <c r="H41" s="29"/>
    </row>
    <row r="42" spans="1:9" ht="4.5" customHeight="1" x14ac:dyDescent="0.35">
      <c r="A42" s="2"/>
      <c r="B42" s="29"/>
      <c r="C42" s="29"/>
      <c r="D42" s="77"/>
      <c r="E42" s="78"/>
      <c r="F42" s="29"/>
      <c r="G42" s="29"/>
      <c r="H42" s="29"/>
    </row>
    <row r="43" spans="1:9" ht="18" x14ac:dyDescent="0.35">
      <c r="A43" s="2"/>
      <c r="B43" s="29"/>
      <c r="C43" s="29"/>
      <c r="D43" s="79" t="str">
        <f>'4637'!F11</f>
        <v>FECHA LIMITE :</v>
      </c>
      <c r="E43" s="80">
        <f>'4637'!G11</f>
        <v>0</v>
      </c>
      <c r="F43" s="29"/>
      <c r="G43" s="29"/>
      <c r="H43" s="29"/>
    </row>
    <row r="44" spans="1:9" ht="18" x14ac:dyDescent="0.35">
      <c r="A44" s="2"/>
      <c r="B44" s="29"/>
      <c r="C44" s="29"/>
      <c r="D44" s="29"/>
      <c r="E44" s="29"/>
      <c r="F44" s="29"/>
      <c r="G44" s="29" t="s">
        <v>135</v>
      </c>
      <c r="H44" s="29"/>
    </row>
    <row r="45" spans="1:9" ht="18" x14ac:dyDescent="0.35">
      <c r="A45" s="2"/>
      <c r="B45" s="29"/>
      <c r="C45" s="29"/>
      <c r="D45" s="29"/>
      <c r="E45" s="29"/>
      <c r="F45" s="29"/>
      <c r="G45" s="29"/>
      <c r="H45" s="29"/>
    </row>
    <row r="46" spans="1:9" ht="18" x14ac:dyDescent="0.35">
      <c r="A46" s="2"/>
      <c r="B46" s="126" t="s">
        <v>65</v>
      </c>
      <c r="C46" s="126"/>
      <c r="D46" s="126"/>
      <c r="E46" s="126"/>
      <c r="F46" s="126"/>
      <c r="G46" s="126"/>
      <c r="H46" s="29"/>
    </row>
    <row r="47" spans="1:9" ht="18" x14ac:dyDescent="0.35">
      <c r="A47" s="2"/>
      <c r="B47" s="29"/>
      <c r="C47" s="29"/>
      <c r="D47" s="29"/>
      <c r="E47" s="29"/>
      <c r="F47" s="29"/>
      <c r="G47" s="29"/>
      <c r="H47" s="29"/>
    </row>
    <row r="48" spans="1:9" ht="20.100000000000001" customHeight="1" x14ac:dyDescent="0.35">
      <c r="A48" s="2"/>
      <c r="B48" s="29"/>
      <c r="C48" s="127" t="s">
        <v>66</v>
      </c>
      <c r="D48" s="128"/>
      <c r="E48" s="129"/>
      <c r="F48" s="129"/>
      <c r="G48" s="130"/>
      <c r="H48" s="29"/>
      <c r="I48" s="25" t="s">
        <v>130</v>
      </c>
    </row>
    <row r="49" spans="1:13" s="10" customFormat="1" ht="20.100000000000001" customHeight="1" x14ac:dyDescent="0.35">
      <c r="A49" s="109"/>
      <c r="B49" s="29"/>
      <c r="C49" s="83" t="s">
        <v>9</v>
      </c>
      <c r="D49" s="84" t="s">
        <v>10</v>
      </c>
      <c r="E49" s="87" t="s">
        <v>6</v>
      </c>
      <c r="F49" s="87" t="s">
        <v>7</v>
      </c>
      <c r="G49" s="85" t="s">
        <v>11</v>
      </c>
      <c r="H49" s="29"/>
      <c r="K49" s="10">
        <v>15000</v>
      </c>
    </row>
    <row r="50" spans="1:13" s="10" customFormat="1" ht="20.100000000000001" customHeight="1" x14ac:dyDescent="0.35">
      <c r="A50" s="108">
        <v>1</v>
      </c>
      <c r="B50" s="99" t="s">
        <v>138</v>
      </c>
      <c r="C50" s="95">
        <f>'4637'!B21</f>
        <v>6</v>
      </c>
      <c r="D50" s="4" t="str">
        <f>'4637'!C21</f>
        <v>CUB S/R R8</v>
      </c>
      <c r="E50" s="113">
        <f>'4637'!D21</f>
        <v>3000</v>
      </c>
      <c r="F50" s="101">
        <f>'4637'!E21</f>
        <v>600</v>
      </c>
      <c r="G50" s="4" t="str">
        <f>'4637'!F21</f>
        <v>GRIS A-5083 TX</v>
      </c>
      <c r="H50" s="29"/>
      <c r="I50" s="10">
        <f>E50*F50/1000000</f>
        <v>1.8</v>
      </c>
      <c r="J50" s="10">
        <f>I50*C50</f>
        <v>10.8</v>
      </c>
      <c r="K50" s="26">
        <f>J50*K$49</f>
        <v>162000</v>
      </c>
      <c r="M50" s="24">
        <v>12096</v>
      </c>
    </row>
    <row r="51" spans="1:13" s="10" customFormat="1" ht="20.100000000000001" customHeight="1" x14ac:dyDescent="0.35">
      <c r="A51" s="108"/>
      <c r="B51" s="99"/>
      <c r="C51" s="95">
        <f>'4637'!B22</f>
        <v>1</v>
      </c>
      <c r="D51" s="4" t="str">
        <f>'4637'!C22</f>
        <v>DESPACHO</v>
      </c>
      <c r="E51" s="113">
        <f>'4637'!D22</f>
        <v>0</v>
      </c>
      <c r="F51" s="101">
        <f>'4637'!E22</f>
        <v>0</v>
      </c>
      <c r="G51" s="4">
        <f>'4637'!F22</f>
        <v>0</v>
      </c>
      <c r="H51" s="29"/>
      <c r="K51" s="26"/>
      <c r="M51" s="123"/>
    </row>
    <row r="52" spans="1:13" s="10" customFormat="1" ht="20.100000000000001" customHeight="1" x14ac:dyDescent="0.35">
      <c r="A52" s="108"/>
      <c r="B52" s="99"/>
      <c r="C52" s="72"/>
      <c r="D52" s="2"/>
      <c r="E52" s="118"/>
      <c r="F52" s="103"/>
      <c r="G52" s="2"/>
      <c r="H52" s="29"/>
      <c r="K52" s="26"/>
      <c r="M52" s="123"/>
    </row>
    <row r="53" spans="1:13" s="10" customFormat="1" ht="15" customHeight="1" x14ac:dyDescent="0.35">
      <c r="B53" s="82"/>
      <c r="C53" s="65"/>
      <c r="D53" s="65"/>
      <c r="E53" s="65"/>
      <c r="F53" s="65"/>
      <c r="G53" s="65"/>
      <c r="H53" s="29"/>
    </row>
    <row r="54" spans="1:13" ht="18" x14ac:dyDescent="0.35">
      <c r="B54" s="72"/>
      <c r="C54" s="72"/>
      <c r="D54" s="29"/>
      <c r="E54" s="72"/>
      <c r="F54" s="72"/>
      <c r="G54" s="77"/>
      <c r="H54" s="29"/>
    </row>
    <row r="55" spans="1:13" ht="18" x14ac:dyDescent="0.35">
      <c r="B55" s="72"/>
      <c r="C55" s="72"/>
      <c r="D55" s="29"/>
      <c r="E55" s="72"/>
      <c r="F55" s="72"/>
      <c r="G55" s="72"/>
      <c r="H55" s="29"/>
      <c r="J55" s="10">
        <f>SUM(J50:J50)</f>
        <v>10.8</v>
      </c>
      <c r="K55" s="27">
        <f>SUM(K50:K50)</f>
        <v>162000</v>
      </c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5" customHeight="1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72"/>
      <c r="C61" s="86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7:G17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50A3-83D8-446D-8075-9A8990A9BF79}">
  <dimension ref="A1:E2"/>
  <sheetViews>
    <sheetView tabSelected="1" workbookViewId="0">
      <selection activeCell="E3" sqref="E3"/>
    </sheetView>
  </sheetViews>
  <sheetFormatPr baseColWidth="10" defaultRowHeight="14.4" x14ac:dyDescent="0.3"/>
  <cols>
    <col min="2" max="2" width="14.88671875" bestFit="1" customWidth="1"/>
    <col min="3" max="3" width="38.88671875" customWidth="1"/>
  </cols>
  <sheetData>
    <row r="1" spans="1:5" x14ac:dyDescent="0.3">
      <c r="A1" t="s">
        <v>146</v>
      </c>
      <c r="B1" t="s">
        <v>147</v>
      </c>
      <c r="C1" t="s">
        <v>148</v>
      </c>
      <c r="D1" s="138" t="s">
        <v>149</v>
      </c>
      <c r="E1" t="s">
        <v>4</v>
      </c>
    </row>
    <row r="2" spans="1:5" x14ac:dyDescent="0.3">
      <c r="A2" t="str">
        <f>'4637'!D8</f>
        <v>N° 12165</v>
      </c>
      <c r="B2">
        <f>'4637'!G8</f>
        <v>4256</v>
      </c>
      <c r="C2" t="str">
        <f>'4637'!C10</f>
        <v>RODRIGO CORNEJO</v>
      </c>
      <c r="D2" s="138">
        <f>'4637'!G10</f>
        <v>46170</v>
      </c>
      <c r="E2">
        <f>'4637'!H27</f>
        <v>485000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RESUMEN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2026-06-02T18:23:54Z</cp:lastPrinted>
  <dcterms:created xsi:type="dcterms:W3CDTF">2013-03-19T12:54:14Z</dcterms:created>
  <dcterms:modified xsi:type="dcterms:W3CDTF">2026-06-03T21:13:14Z</dcterms:modified>
</cp:coreProperties>
</file>