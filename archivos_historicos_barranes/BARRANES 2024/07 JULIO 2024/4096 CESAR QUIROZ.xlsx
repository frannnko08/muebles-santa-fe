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7 JULIO 2024\"/>
    </mc:Choice>
  </mc:AlternateContent>
  <xr:revisionPtr revIDLastSave="0" documentId="13_ncr:1_{A845BA0F-191B-499E-AFF8-F9903F98348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'4637'!$B$1:$H$47</definedName>
    <definedName name="_xlnm.Print_Area" localSheetId="2">CUBIERTA!$A$1:$F$49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3" l="1"/>
  <c r="E18" i="3"/>
  <c r="H26" i="4"/>
  <c r="H25" i="4"/>
  <c r="H24" i="4"/>
  <c r="H23" i="4"/>
  <c r="H22" i="4"/>
  <c r="H21" i="4"/>
  <c r="I15" i="3"/>
  <c r="B15" i="3" s="1"/>
  <c r="I16" i="3"/>
  <c r="B16" i="3" s="1"/>
  <c r="I17" i="3"/>
  <c r="B17" i="3" s="1"/>
  <c r="I18" i="3"/>
  <c r="B18" i="3" s="1"/>
  <c r="B37" i="3"/>
  <c r="I27" i="3" s="1"/>
  <c r="B27" i="3" s="1"/>
  <c r="C37" i="3"/>
  <c r="F27" i="3" s="1"/>
  <c r="D37" i="3"/>
  <c r="J27" i="3" s="1"/>
  <c r="D27" i="3" s="1"/>
  <c r="E37" i="3"/>
  <c r="K27" i="3" s="1"/>
  <c r="E27" i="3" s="1"/>
  <c r="F37" i="3"/>
  <c r="B38" i="3"/>
  <c r="I28" i="3" s="1"/>
  <c r="B28" i="3" s="1"/>
  <c r="C38" i="3"/>
  <c r="F28" i="3" s="1"/>
  <c r="D38" i="3"/>
  <c r="J28" i="3" s="1"/>
  <c r="D28" i="3" s="1"/>
  <c r="E38" i="3"/>
  <c r="K28" i="3" s="1"/>
  <c r="E28" i="3" s="1"/>
  <c r="F38" i="3"/>
  <c r="B39" i="3"/>
  <c r="I29" i="3" s="1"/>
  <c r="B29" i="3" s="1"/>
  <c r="C39" i="3"/>
  <c r="F29" i="3" s="1"/>
  <c r="D39" i="3"/>
  <c r="J29" i="3" s="1"/>
  <c r="E39" i="3"/>
  <c r="K29" i="3" s="1"/>
  <c r="F39" i="3"/>
  <c r="B40" i="3"/>
  <c r="C40" i="3"/>
  <c r="D40" i="3"/>
  <c r="E40" i="3"/>
  <c r="F40" i="3"/>
  <c r="B64" i="3"/>
  <c r="C64" i="3"/>
  <c r="D64" i="3"/>
  <c r="E64" i="3"/>
  <c r="F64" i="3"/>
  <c r="B65" i="3"/>
  <c r="C65" i="3"/>
  <c r="D65" i="3"/>
  <c r="E65" i="3"/>
  <c r="F65" i="3"/>
  <c r="B66" i="3"/>
  <c r="C66" i="3"/>
  <c r="D66" i="3"/>
  <c r="E66" i="3"/>
  <c r="F66" i="3"/>
  <c r="B67" i="3"/>
  <c r="C67" i="3"/>
  <c r="D67" i="3"/>
  <c r="E67" i="3"/>
  <c r="F67" i="3"/>
  <c r="J17" i="3" l="1"/>
  <c r="D17" i="3" s="1"/>
  <c r="J18" i="3"/>
  <c r="F18" i="3"/>
  <c r="F17" i="3"/>
  <c r="F16" i="3"/>
  <c r="J16" i="3"/>
  <c r="D16" i="3" s="1"/>
  <c r="K18" i="3"/>
  <c r="K17" i="3"/>
  <c r="E17" i="3" s="1"/>
  <c r="K16" i="3"/>
  <c r="E16" i="3" s="1"/>
  <c r="B36" i="3"/>
  <c r="I26" i="3" s="1"/>
  <c r="B26" i="3" s="1"/>
  <c r="C36" i="3"/>
  <c r="D36" i="3"/>
  <c r="E36" i="3"/>
  <c r="F36" i="3"/>
  <c r="B63" i="3"/>
  <c r="C63" i="3"/>
  <c r="D63" i="3"/>
  <c r="E63" i="3"/>
  <c r="F63" i="3"/>
  <c r="I14" i="3"/>
  <c r="B14" i="3" s="1"/>
  <c r="F26" i="3" l="1"/>
  <c r="F15" i="3"/>
  <c r="K26" i="3"/>
  <c r="E26" i="3" s="1"/>
  <c r="K15" i="3"/>
  <c r="E15" i="3" s="1"/>
  <c r="J26" i="3"/>
  <c r="D26" i="3" s="1"/>
  <c r="J15" i="3"/>
  <c r="D15" i="3" s="1"/>
  <c r="C62" i="3"/>
  <c r="L21" i="4" l="1"/>
  <c r="K21" i="4"/>
  <c r="M21" i="4" l="1"/>
  <c r="N21" i="4" s="1"/>
  <c r="B35" i="3" l="1"/>
  <c r="I25" i="3" s="1"/>
  <c r="B25" i="3" s="1"/>
  <c r="C35" i="3"/>
  <c r="F25" i="3" s="1"/>
  <c r="D35" i="3"/>
  <c r="E35" i="3"/>
  <c r="K25" i="3" s="1"/>
  <c r="E25" i="3" s="1"/>
  <c r="F35" i="3"/>
  <c r="B62" i="3"/>
  <c r="D62" i="3"/>
  <c r="E62" i="3"/>
  <c r="F62" i="3"/>
  <c r="H35" i="3" l="1"/>
  <c r="I35" i="3" s="1"/>
  <c r="J25" i="3"/>
  <c r="D25" i="3" s="1"/>
  <c r="H62" i="3"/>
  <c r="I62" i="3" s="1"/>
  <c r="J14" i="3"/>
  <c r="D14" i="3" s="1"/>
  <c r="F14" i="3"/>
  <c r="K14" i="3"/>
  <c r="E14" i="3" s="1"/>
  <c r="I43" i="3" l="1"/>
  <c r="J62" i="3"/>
  <c r="I71" i="3"/>
  <c r="N5" i="3"/>
  <c r="J71" i="3" l="1"/>
  <c r="M5" i="3"/>
  <c r="L5" i="3"/>
  <c r="K5" i="3"/>
  <c r="C55" i="3" l="1"/>
  <c r="C7" i="3"/>
  <c r="D53" i="3"/>
  <c r="D5" i="3"/>
  <c r="D55" i="3"/>
  <c r="D7" i="3"/>
  <c r="D52" i="3"/>
  <c r="D4" i="3"/>
  <c r="H30" i="4" l="1"/>
  <c r="H28" i="4"/>
</calcChain>
</file>

<file path=xl/sharedStrings.xml><?xml version="1.0" encoding="utf-8"?>
<sst xmlns="http://schemas.openxmlformats.org/spreadsheetml/2006/main" count="256" uniqueCount="146">
  <si>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</si>
  <si>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</si>
  <si>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</si>
  <si>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</si>
  <si>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</si>
  <si>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</si>
  <si>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</si>
  <si>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</si>
  <si>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</si>
  <si>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</si>
  <si>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</si>
  <si>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</si>
  <si>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</si>
  <si>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</si>
  <si>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</si>
  <si>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</si>
  <si>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</si>
  <si>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</si>
  <si>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</si>
  <si>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</si>
  <si>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</si>
  <si>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</si>
  <si>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</si>
  <si>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</si>
  <si>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</si>
  <si>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</si>
  <si>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</si>
  <si>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</si>
  <si>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</si>
  <si>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</si>
  <si>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</si>
  <si>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</si>
  <si>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</si>
  <si>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</si>
  <si>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</si>
  <si>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</si>
  <si>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</si>
  <si>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</si>
  <si>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</si>
  <si>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</si>
  <si>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</si>
  <si>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</si>
  <si>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</si>
  <si>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</si>
  <si>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</si>
  <si>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</si>
  <si>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</si>
  <si>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</si>
  <si>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</si>
  <si>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</si>
  <si>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</si>
  <si>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</si>
  <si>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</si>
  <si>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</si>
  <si>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</si>
  <si>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</si>
  <si>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</si>
  <si>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</si>
  <si>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</si>
  <si>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</si>
  <si>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</si>
  <si>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</si>
  <si>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</si>
  <si>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</si>
  <si>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</si>
  <si>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</si>
  <si>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</si>
  <si>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</si>
  <si>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</si>
  <si>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</si>
  <si>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</si>
  <si>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</si>
  <si>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</si>
  <si>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</si>
  <si>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</si>
  <si>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</si>
  <si>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</si>
  <si>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</si>
  <si>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</si>
  <si>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</si>
  <si>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</si>
  <si>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</si>
  <si>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</si>
  <si>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</si>
  <si>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</si>
  <si>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</si>
  <si>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</si>
  <si>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</si>
  <si>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</si>
  <si>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</si>
  <si>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</si>
  <si>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</si>
  <si>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</si>
  <si>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</si>
  <si>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</si>
  <si>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</si>
  <si>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</si>
  <si>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</si>
  <si>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</si>
  <si>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</si>
  <si>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</si>
  <si>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</si>
  <si>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</si>
  <si>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</si>
  <si>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</si>
  <si>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</si>
  <si>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</si>
  <si>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</si>
  <si>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</si>
  <si>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</si>
  <si>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</si>
  <si>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</si>
  <si>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</si>
  <si>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</si>
  <si>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</si>
  <si>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</si>
  <si>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</si>
  <si>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</si>
  <si>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</si>
  <si>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</si>
  <si>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</si>
  <si>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</si>
  <si>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</si>
  <si>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</si>
  <si>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</si>
  <si>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</si>
  <si>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</si>
  <si>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</si>
  <si>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</si>
  <si>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</si>
  <si>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</si>
  <si>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</si>
  <si>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</si>
  <si>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</si>
  <si>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</si>
  <si>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</si>
  <si>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</si>
  <si>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CESAR QUIROZ</t>
  </si>
  <si>
    <t>+569 4201 5434</t>
  </si>
  <si>
    <t>SAN TIAGO</t>
  </si>
  <si>
    <t>CUB C/R R8</t>
  </si>
  <si>
    <t>CUB MESA R8 4 LADOS</t>
  </si>
  <si>
    <t>CORTES 45°</t>
  </si>
  <si>
    <t xml:space="preserve">WHITE MARBLE BR </t>
  </si>
  <si>
    <t>MDF 18MM</t>
  </si>
  <si>
    <t>MDF18MM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</si>
</sst>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11" borderId="2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19" fillId="0" borderId="0" xfId="2" quotePrefix="1" applyFont="1" applyFill="1" applyBorder="1" applyAlignment="1">
      <alignment horizontal="left"/>
    </xf>
    <xf numFmtId="0" fontId="11" fillId="8" borderId="30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165" fontId="9" fillId="0" borderId="2" xfId="0" applyNumberFormat="1" applyFont="1" applyBorder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1" fontId="9" fillId="0" borderId="2" xfId="0" applyNumberFormat="1" applyFont="1" applyBorder="1" applyAlignment="1">
      <alignment horizontal="center" vertic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159551</xdr:colOff>
      <xdr:row>27</xdr:row>
      <xdr:rowOff>7775</xdr:rowOff>
    </xdr:from>
    <xdr:to>
      <xdr:col>5</xdr:col>
      <xdr:colOff>1702837</xdr:colOff>
      <xdr:row>30</xdr:row>
      <xdr:rowOff>124409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53939" y="6360367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:ABONO $ 214.523.-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42</xdr:row>
      <xdr:rowOff>0</xdr:rowOff>
    </xdr:from>
    <xdr:to>
      <xdr:col>4</xdr:col>
      <xdr:colOff>369336</xdr:colOff>
      <xdr:row>42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44</xdr:row>
      <xdr:rowOff>1</xdr:rowOff>
    </xdr:from>
    <xdr:to>
      <xdr:col>4</xdr:col>
      <xdr:colOff>349897</xdr:colOff>
      <xdr:row>44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19</xdr:row>
      <xdr:rowOff>66674</xdr:rowOff>
    </xdr:from>
    <xdr:to>
      <xdr:col>5</xdr:col>
      <xdr:colOff>2914649</xdr:colOff>
      <xdr:row>21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19050</xdr:colOff>
      <xdr:row>9</xdr:row>
      <xdr:rowOff>19050</xdr:rowOff>
    </xdr:from>
    <xdr:to>
      <xdr:col>6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1047750</xdr:colOff>
      <xdr:row>56</xdr:row>
      <xdr:rowOff>190500</xdr:rowOff>
    </xdr:from>
    <xdr:to>
      <xdr:col>6</xdr:col>
      <xdr:colOff>9524</xdr:colOff>
      <xdr:row>58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912495</xdr:colOff>
      <xdr:row>53</xdr:row>
      <xdr:rowOff>30479</xdr:rowOff>
    </xdr:from>
    <xdr:to>
      <xdr:col>5</xdr:col>
      <xdr:colOff>2912745</xdr:colOff>
      <xdr:row>54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51</xdr:row>
      <xdr:rowOff>209549</xdr:rowOff>
    </xdr:from>
    <xdr:to>
      <xdr:col>6</xdr:col>
      <xdr:colOff>0</xdr:colOff>
      <xdr:row>53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50</xdr:row>
      <xdr:rowOff>171450</xdr:rowOff>
    </xdr:from>
    <xdr:to>
      <xdr:col>6</xdr:col>
      <xdr:colOff>19050</xdr:colOff>
      <xdr:row>51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69</xdr:row>
      <xdr:rowOff>0</xdr:rowOff>
    </xdr:from>
    <xdr:to>
      <xdr:col>2</xdr:col>
      <xdr:colOff>38100</xdr:colOff>
      <xdr:row>70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69</xdr:row>
      <xdr:rowOff>0</xdr:rowOff>
    </xdr:from>
    <xdr:to>
      <xdr:col>2</xdr:col>
      <xdr:colOff>1019175</xdr:colOff>
      <xdr:row>70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69</xdr:row>
      <xdr:rowOff>0</xdr:rowOff>
    </xdr:from>
    <xdr:to>
      <xdr:col>3</xdr:col>
      <xdr:colOff>352425</xdr:colOff>
      <xdr:row>70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69</xdr:row>
      <xdr:rowOff>0</xdr:rowOff>
    </xdr:from>
    <xdr:to>
      <xdr:col>4</xdr:col>
      <xdr:colOff>257175</xdr:colOff>
      <xdr:row>70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69</xdr:row>
      <xdr:rowOff>0</xdr:rowOff>
    </xdr:from>
    <xdr:to>
      <xdr:col>5</xdr:col>
      <xdr:colOff>447675</xdr:colOff>
      <xdr:row>70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69</xdr:row>
      <xdr:rowOff>0</xdr:rowOff>
    </xdr:from>
    <xdr:to>
      <xdr:col>6</xdr:col>
      <xdr:colOff>0</xdr:colOff>
      <xdr:row>70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70</xdr:row>
      <xdr:rowOff>0</xdr:rowOff>
    </xdr:from>
    <xdr:to>
      <xdr:col>2</xdr:col>
      <xdr:colOff>304800</xdr:colOff>
      <xdr:row>71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70</xdr:row>
      <xdr:rowOff>0</xdr:rowOff>
    </xdr:from>
    <xdr:to>
      <xdr:col>2</xdr:col>
      <xdr:colOff>1276350</xdr:colOff>
      <xdr:row>71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70</xdr:row>
      <xdr:rowOff>0</xdr:rowOff>
    </xdr:from>
    <xdr:to>
      <xdr:col>3</xdr:col>
      <xdr:colOff>619125</xdr:colOff>
      <xdr:row>71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70</xdr:row>
      <xdr:rowOff>0</xdr:rowOff>
    </xdr:from>
    <xdr:to>
      <xdr:col>4</xdr:col>
      <xdr:colOff>523875</xdr:colOff>
      <xdr:row>71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70</xdr:row>
      <xdr:rowOff>0</xdr:rowOff>
    </xdr:from>
    <xdr:to>
      <xdr:col>5</xdr:col>
      <xdr:colOff>723900</xdr:colOff>
      <xdr:row>71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70</xdr:row>
      <xdr:rowOff>0</xdr:rowOff>
    </xdr:from>
    <xdr:to>
      <xdr:col>6</xdr:col>
      <xdr:colOff>0</xdr:colOff>
      <xdr:row>71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7620</xdr:colOff>
      <xdr:row>42</xdr:row>
      <xdr:rowOff>15239</xdr:rowOff>
    </xdr:from>
    <xdr:to>
      <xdr:col>6</xdr:col>
      <xdr:colOff>0</xdr:colOff>
      <xdr:row>46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LLEVA CORTE 45° SEGUN DIBUJO</a:t>
          </a:r>
          <a:endParaRPr lang="es-ES" sz="1400">
            <a:effectLst/>
          </a:endParaRPr>
        </a:p>
      </xdr:txBody>
    </xdr:sp>
    <xdr:clientData/>
  </xdr:twoCellAnchor>
  <xdr:twoCellAnchor>
    <xdr:from>
      <xdr:col>0</xdr:col>
      <xdr:colOff>1057274</xdr:colOff>
      <xdr:row>31</xdr:row>
      <xdr:rowOff>1</xdr:rowOff>
    </xdr:from>
    <xdr:to>
      <xdr:col>6</xdr:col>
      <xdr:colOff>19048</xdr:colOff>
      <xdr:row>32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72</xdr:row>
      <xdr:rowOff>32385</xdr:rowOff>
    </xdr:from>
    <xdr:to>
      <xdr:col>6</xdr:col>
      <xdr:colOff>0</xdr:colOff>
      <xdr:row>76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LLEVA CORTE 45° SEGUN DIBUJO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0</xdr:col>
      <xdr:colOff>379095</xdr:colOff>
      <xdr:row>50</xdr:row>
      <xdr:rowOff>146685</xdr:rowOff>
    </xdr:from>
    <xdr:to>
      <xdr:col>1</xdr:col>
      <xdr:colOff>786523</xdr:colOff>
      <xdr:row>56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174138</xdr:rowOff>
    </xdr:from>
    <xdr:to>
      <xdr:col>1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3</xdr:col>
      <xdr:colOff>0</xdr:colOff>
      <xdr:row>78</xdr:row>
      <xdr:rowOff>0</xdr:rowOff>
    </xdr:from>
    <xdr:to>
      <xdr:col>3</xdr:col>
      <xdr:colOff>304800</xdr:colOff>
      <xdr:row>79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8"/>
  <sheetViews>
    <sheetView topLeftCell="A15" zoomScale="98" zoomScaleNormal="98" workbookViewId="0">
      <selection activeCell="E23" sqref="E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11027</v>
      </c>
      <c r="E8" s="30">
        <v>0</v>
      </c>
      <c r="F8" s="35" t="s">
        <v>25</v>
      </c>
      <c r="G8" s="36">
        <v>4096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137</v>
      </c>
      <c r="D10" s="39"/>
      <c r="E10" s="39"/>
      <c r="F10" s="40" t="s">
        <v>26</v>
      </c>
      <c r="G10" s="41">
        <v>45488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>
        <v>45495</v>
      </c>
      <c r="H11" s="46"/>
      <c r="I11" s="30"/>
    </row>
    <row r="12" spans="1:17" ht="18" x14ac:dyDescent="0.35">
      <c r="A12" s="30"/>
      <c r="B12" s="47" t="s">
        <v>126</v>
      </c>
      <c r="C12" s="30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51"/>
      <c r="D13" s="48"/>
      <c r="E13" s="48"/>
      <c r="F13" s="48" t="s">
        <v>124</v>
      </c>
      <c r="G13" s="49" t="s">
        <v>134</v>
      </c>
      <c r="H13" s="50"/>
      <c r="I13" s="30"/>
    </row>
    <row r="14" spans="1:17" ht="18" x14ac:dyDescent="0.35">
      <c r="A14" s="30"/>
      <c r="B14" s="43" t="s">
        <v>16</v>
      </c>
      <c r="C14" s="112" t="s">
        <v>138</v>
      </c>
      <c r="D14" s="52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C15" s="30"/>
      <c r="D15" s="48"/>
      <c r="E15" s="48"/>
      <c r="F15" s="53" t="s">
        <v>72</v>
      </c>
      <c r="G15" s="53" t="s">
        <v>129</v>
      </c>
      <c r="H15" s="50"/>
      <c r="I15" s="30"/>
    </row>
    <row r="16" spans="1:17" ht="18.600000000000001" thickBot="1" x14ac:dyDescent="0.4">
      <c r="A16" s="30"/>
      <c r="B16" s="54" t="s">
        <v>3</v>
      </c>
      <c r="C16" s="55" t="s">
        <v>139</v>
      </c>
      <c r="D16" s="56"/>
      <c r="E16" s="57"/>
      <c r="F16" s="120" t="s">
        <v>17</v>
      </c>
      <c r="G16" s="120"/>
      <c r="H16" s="121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2" t="s">
        <v>18</v>
      </c>
      <c r="C19" s="123"/>
      <c r="D19" s="123"/>
      <c r="E19" s="123"/>
      <c r="F19" s="123"/>
      <c r="G19" s="123"/>
      <c r="H19" s="124"/>
      <c r="I19" s="30"/>
    </row>
    <row r="20" spans="1:16" ht="20.100000000000001" customHeight="1" x14ac:dyDescent="0.35">
      <c r="A20" s="30"/>
      <c r="B20" s="58" t="s">
        <v>128</v>
      </c>
      <c r="C20" s="113" t="s">
        <v>19</v>
      </c>
      <c r="D20" s="113" t="s">
        <v>20</v>
      </c>
      <c r="E20" s="113" t="s">
        <v>7</v>
      </c>
      <c r="F20" s="114" t="s">
        <v>21</v>
      </c>
      <c r="G20" s="115" t="s">
        <v>22</v>
      </c>
      <c r="H20" s="114" t="s">
        <v>4</v>
      </c>
      <c r="I20" s="30"/>
      <c r="N20">
        <v>65000</v>
      </c>
    </row>
    <row r="21" spans="1:16" ht="20.100000000000001" customHeight="1" x14ac:dyDescent="0.35">
      <c r="A21" s="30"/>
      <c r="B21" s="104">
        <v>1</v>
      </c>
      <c r="C21" s="104" t="s">
        <v>140</v>
      </c>
      <c r="D21" s="134">
        <v>2350</v>
      </c>
      <c r="E21" s="134">
        <v>530</v>
      </c>
      <c r="F21" s="104" t="s">
        <v>143</v>
      </c>
      <c r="G21" s="119">
        <v>96226</v>
      </c>
      <c r="H21" s="119">
        <f>G21*B21</f>
        <v>96226</v>
      </c>
      <c r="I21" s="30"/>
      <c r="K21" s="11">
        <f>D21/1000</f>
        <v>2.35</v>
      </c>
      <c r="L21" s="15">
        <f>E21/1000</f>
        <v>0.53</v>
      </c>
      <c r="M21" s="11">
        <f>K21*L21</f>
        <v>1.2455000000000001</v>
      </c>
      <c r="N21" s="11">
        <f>M21*N$20</f>
        <v>80957.5</v>
      </c>
      <c r="O21" s="15"/>
      <c r="P21" s="21"/>
    </row>
    <row r="22" spans="1:16" ht="20.100000000000001" customHeight="1" x14ac:dyDescent="0.35">
      <c r="A22" s="30"/>
      <c r="B22" s="104">
        <v>1</v>
      </c>
      <c r="C22" s="104" t="s">
        <v>140</v>
      </c>
      <c r="D22" s="134">
        <v>2110</v>
      </c>
      <c r="E22" s="134">
        <v>530</v>
      </c>
      <c r="F22" s="104" t="s">
        <v>143</v>
      </c>
      <c r="G22" s="119">
        <v>86604</v>
      </c>
      <c r="H22" s="119">
        <f>G22*B22</f>
        <v>86604</v>
      </c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04">
        <v>1</v>
      </c>
      <c r="C23" s="104" t="s">
        <v>140</v>
      </c>
      <c r="D23" s="134">
        <v>2110</v>
      </c>
      <c r="E23" s="134">
        <v>580</v>
      </c>
      <c r="F23" s="104" t="s">
        <v>143</v>
      </c>
      <c r="G23" s="119">
        <v>94774</v>
      </c>
      <c r="H23" s="119">
        <f>G23*B23</f>
        <v>94774</v>
      </c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04">
        <v>1</v>
      </c>
      <c r="C24" s="104" t="s">
        <v>140</v>
      </c>
      <c r="D24" s="134">
        <v>1250</v>
      </c>
      <c r="E24" s="134">
        <v>430</v>
      </c>
      <c r="F24" s="104" t="s">
        <v>143</v>
      </c>
      <c r="G24" s="119">
        <v>42288</v>
      </c>
      <c r="H24" s="119">
        <f>G24*B24</f>
        <v>42288</v>
      </c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04">
        <v>1</v>
      </c>
      <c r="C25" s="104" t="s">
        <v>141</v>
      </c>
      <c r="D25" s="134">
        <v>1000</v>
      </c>
      <c r="E25" s="134">
        <v>650</v>
      </c>
      <c r="F25" s="104" t="s">
        <v>143</v>
      </c>
      <c r="G25" s="119">
        <v>54631</v>
      </c>
      <c r="H25" s="119">
        <f t="shared" ref="H25:H26" si="0">G25*B25</f>
        <v>54631</v>
      </c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104">
        <v>4</v>
      </c>
      <c r="C26" s="104" t="s">
        <v>142</v>
      </c>
      <c r="D26" s="118"/>
      <c r="E26" s="118"/>
      <c r="F26" s="104"/>
      <c r="G26" s="119">
        <v>10000</v>
      </c>
      <c r="H26" s="119">
        <f t="shared" si="0"/>
        <v>40000</v>
      </c>
      <c r="I26" s="30"/>
      <c r="K26" s="11"/>
      <c r="L26" s="15"/>
      <c r="M26" s="11"/>
      <c r="N26" s="11"/>
      <c r="O26" s="15"/>
      <c r="P26" s="21"/>
    </row>
    <row r="27" spans="1:16" ht="20.100000000000001" customHeight="1" thickBot="1" x14ac:dyDescent="0.4">
      <c r="A27" s="30"/>
      <c r="B27" s="105"/>
      <c r="C27" s="105"/>
      <c r="D27" s="106"/>
      <c r="E27" s="106"/>
      <c r="F27" s="105"/>
      <c r="G27" s="107"/>
      <c r="H27" s="107"/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05"/>
      <c r="C28" s="105"/>
      <c r="D28" s="106"/>
      <c r="E28" s="106"/>
      <c r="F28" s="105"/>
      <c r="G28" s="61" t="s">
        <v>5</v>
      </c>
      <c r="H28" s="62">
        <f ca="1">SUM(H21:H31)</f>
        <v>414523</v>
      </c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105"/>
      <c r="C29" s="105"/>
      <c r="D29" s="106"/>
      <c r="E29" s="106"/>
      <c r="F29" s="105"/>
      <c r="G29" s="63" t="s">
        <v>136</v>
      </c>
      <c r="H29" s="64"/>
      <c r="I29" s="30"/>
      <c r="K29" s="11"/>
      <c r="L29" s="15"/>
      <c r="M29" s="11"/>
      <c r="N29" s="11"/>
      <c r="O29" s="15"/>
      <c r="P29" s="21"/>
    </row>
    <row r="30" spans="1:16" ht="20.100000000000001" customHeight="1" thickBot="1" x14ac:dyDescent="0.4">
      <c r="A30" s="30"/>
      <c r="B30" s="105"/>
      <c r="C30" s="105"/>
      <c r="D30" s="106"/>
      <c r="E30" s="106"/>
      <c r="F30" s="105"/>
      <c r="G30" s="65" t="s">
        <v>4</v>
      </c>
      <c r="H30" s="66">
        <f ca="1">H28+H29</f>
        <v>414523</v>
      </c>
      <c r="I30" s="30"/>
      <c r="K30" s="11"/>
      <c r="L30" s="15"/>
      <c r="M30" s="11"/>
      <c r="N30" s="11"/>
      <c r="O30" s="15"/>
      <c r="P30" s="21"/>
    </row>
    <row r="31" spans="1:16" ht="13.2" customHeight="1" x14ac:dyDescent="0.35">
      <c r="A31" s="30"/>
      <c r="B31" s="60"/>
      <c r="C31" s="60"/>
      <c r="D31" s="60"/>
      <c r="E31" s="60"/>
      <c r="F31" s="60"/>
      <c r="G31" s="59"/>
      <c r="H31" s="59"/>
      <c r="I31" s="30"/>
    </row>
    <row r="32" spans="1:16" ht="20.100000000000001" customHeight="1" x14ac:dyDescent="0.35">
      <c r="A32" s="30"/>
      <c r="B32" s="30"/>
      <c r="C32" s="30"/>
      <c r="D32" s="30"/>
      <c r="E32" s="30"/>
      <c r="F32" s="30"/>
      <c r="I32" s="30"/>
    </row>
    <row r="33" spans="1:9" ht="20.100000000000001" customHeight="1" x14ac:dyDescent="0.35">
      <c r="A33" s="30"/>
      <c r="B33" s="30"/>
      <c r="C33" s="30"/>
      <c r="D33" s="30"/>
      <c r="E33" s="30"/>
      <c r="F33" s="30"/>
      <c r="I33" s="30"/>
    </row>
    <row r="34" spans="1:9" ht="20.100000000000001" customHeight="1" x14ac:dyDescent="0.35">
      <c r="A34" s="30"/>
      <c r="B34" s="30"/>
      <c r="C34" s="30"/>
      <c r="D34" s="30"/>
      <c r="E34" s="30"/>
      <c r="F34" s="30"/>
      <c r="I34" s="30"/>
    </row>
    <row r="35" spans="1:9" ht="20.100000000000001" customHeight="1" x14ac:dyDescent="0.35">
      <c r="A35" s="30"/>
      <c r="B35" s="30"/>
      <c r="C35" s="30"/>
      <c r="D35" s="30"/>
      <c r="E35" s="30"/>
      <c r="F35" s="30"/>
      <c r="G35" s="67"/>
      <c r="H35" s="68"/>
      <c r="I35" s="30"/>
    </row>
    <row r="36" spans="1:9" ht="18" x14ac:dyDescent="0.35">
      <c r="A36" s="30"/>
      <c r="B36" s="30"/>
      <c r="C36" s="30"/>
      <c r="D36" s="30"/>
      <c r="E36" s="30"/>
      <c r="F36" s="30"/>
      <c r="G36" s="30"/>
      <c r="H36" s="30"/>
      <c r="I36" s="30"/>
    </row>
    <row r="37" spans="1:9" ht="18" x14ac:dyDescent="0.35">
      <c r="A37" s="30"/>
      <c r="B37" s="69" t="s">
        <v>133</v>
      </c>
      <c r="C37" s="70"/>
      <c r="D37" s="71"/>
      <c r="E37" s="71"/>
      <c r="F37" s="60"/>
      <c r="G37" s="30"/>
      <c r="H37" s="30"/>
      <c r="I37" s="30"/>
    </row>
    <row r="38" spans="1:9" ht="18" x14ac:dyDescent="0.35">
      <c r="A38" s="30"/>
      <c r="B38" s="69" t="s">
        <v>119</v>
      </c>
      <c r="C38" s="70"/>
      <c r="D38" s="71"/>
      <c r="E38" s="71"/>
      <c r="F38" s="60"/>
      <c r="G38" s="30"/>
      <c r="H38" s="30"/>
      <c r="I38" s="30"/>
    </row>
    <row r="39" spans="1:9" ht="18" x14ac:dyDescent="0.35">
      <c r="A39" s="30"/>
      <c r="B39" s="30" t="s">
        <v>23</v>
      </c>
      <c r="C39" s="30"/>
      <c r="D39" s="30"/>
      <c r="E39" s="30"/>
      <c r="F39" s="30"/>
      <c r="G39" s="30"/>
      <c r="H39" s="30"/>
      <c r="I39" s="30"/>
    </row>
    <row r="40" spans="1:9" ht="18" x14ac:dyDescent="0.35">
      <c r="A40" s="30"/>
      <c r="B40" s="72" t="s">
        <v>24</v>
      </c>
      <c r="C40" s="72"/>
      <c r="D40" s="30"/>
      <c r="E40" s="30"/>
      <c r="F40" s="30"/>
      <c r="G40" s="30"/>
      <c r="H40" s="30"/>
      <c r="I40" s="30"/>
    </row>
    <row r="41" spans="1:9" ht="18" x14ac:dyDescent="0.35">
      <c r="A41" s="30"/>
      <c r="B41" s="30"/>
      <c r="C41" s="30"/>
      <c r="D41" s="30"/>
      <c r="E41" s="72"/>
      <c r="F41" s="30"/>
      <c r="G41" s="30"/>
      <c r="H41" s="30"/>
      <c r="I41" s="30"/>
    </row>
    <row r="42" spans="1:9" ht="18" x14ac:dyDescent="0.35">
      <c r="A42" s="30"/>
      <c r="B42" s="31" t="s">
        <v>131</v>
      </c>
      <c r="C42" s="31"/>
      <c r="D42" s="31"/>
      <c r="E42" s="73"/>
      <c r="F42" s="30"/>
      <c r="G42" s="30"/>
      <c r="H42" s="30"/>
      <c r="I42" s="30"/>
    </row>
    <row r="43" spans="1:9" ht="18" x14ac:dyDescent="0.35">
      <c r="A43" s="30"/>
      <c r="B43" s="31"/>
      <c r="C43" s="31"/>
      <c r="D43" s="31"/>
      <c r="E43" s="73"/>
      <c r="F43" s="30"/>
      <c r="G43" s="30"/>
      <c r="H43" s="30"/>
      <c r="I43" s="30"/>
    </row>
    <row r="44" spans="1:9" ht="18" x14ac:dyDescent="0.35">
      <c r="A44" s="30"/>
      <c r="B44" s="31" t="s">
        <v>132</v>
      </c>
      <c r="C44" s="30"/>
      <c r="D44" s="30"/>
      <c r="E44" s="72"/>
      <c r="F44" s="30"/>
      <c r="G44" s="30"/>
      <c r="H44" s="30"/>
      <c r="I44" s="30"/>
    </row>
    <row r="45" spans="1:9" ht="18" x14ac:dyDescent="0.35">
      <c r="A45" s="30"/>
      <c r="B45" s="30"/>
      <c r="C45" s="30"/>
      <c r="D45" s="30"/>
      <c r="E45" s="72"/>
      <c r="F45" s="30"/>
      <c r="G45" s="30"/>
      <c r="H45" s="30"/>
      <c r="I45" s="30"/>
    </row>
    <row r="46" spans="1:9" ht="18" x14ac:dyDescent="0.35">
      <c r="A46" s="30"/>
      <c r="B46" s="30"/>
      <c r="C46" s="30"/>
      <c r="D46" s="30"/>
      <c r="E46" s="30"/>
      <c r="F46" s="30"/>
      <c r="G46" s="30"/>
      <c r="H46" s="30"/>
      <c r="I46" s="30"/>
    </row>
    <row r="47" spans="1:9" ht="18" x14ac:dyDescent="0.35">
      <c r="A47" s="30"/>
      <c r="B47" s="30"/>
      <c r="C47" s="30"/>
      <c r="D47" s="30"/>
      <c r="E47" s="30"/>
      <c r="F47" s="30"/>
      <c r="G47" s="30"/>
      <c r="H47" s="30"/>
      <c r="I47" s="30"/>
    </row>
    <row r="48" spans="1:9" ht="15.6" x14ac:dyDescent="0.3">
      <c r="C48" s="1"/>
    </row>
  </sheetData>
  <sortState xmlns:xlrd2="http://schemas.microsoft.com/office/spreadsheetml/2017/richdata2" ref="B49">
    <sortCondition sortBy="fontColor" ref="B49" dxfId="0"/>
  </sortState>
  <mergeCells count="2">
    <mergeCell ref="F16:H16"/>
    <mergeCell ref="B19:H19"/>
  </mergeCells>
  <phoneticPr fontId="8" type="noConversion"/>
  <hyperlinks>
    <hyperlink ref="B40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5" t="s">
        <v>28</v>
      </c>
      <c r="C2" s="125"/>
      <c r="D2" s="125"/>
      <c r="E2" s="12"/>
      <c r="G2" s="125" t="s">
        <v>67</v>
      </c>
      <c r="H2" s="125"/>
      <c r="I2" s="125"/>
      <c r="P2" s="126" t="s">
        <v>55</v>
      </c>
      <c r="Q2" s="126"/>
      <c r="R2" s="126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6" t="s">
        <v>55</v>
      </c>
      <c r="M8" s="126"/>
      <c r="N8" s="126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80"/>
  <sheetViews>
    <sheetView tabSelected="1" zoomScaleNormal="100" workbookViewId="0">
      <selection sqref="A1:F49"/>
    </sheetView>
  </sheetViews>
  <sheetFormatPr baseColWidth="10" defaultRowHeight="14.4" x14ac:dyDescent="0.3"/>
  <cols>
    <col min="1" max="1" width="17.109375" customWidth="1"/>
    <col min="2" max="2" width="13.6640625" customWidth="1"/>
    <col min="3" max="3" width="38.88671875" customWidth="1"/>
    <col min="4" max="4" width="15.33203125" customWidth="1"/>
    <col min="5" max="5" width="12.6640625" bestFit="1" customWidth="1"/>
    <col min="6" max="6" width="43.6640625" customWidth="1"/>
    <col min="9" max="9" width="10" customWidth="1"/>
    <col min="10" max="10" width="9.33203125" customWidth="1"/>
    <col min="11" max="11" width="8.6640625" customWidth="1"/>
  </cols>
  <sheetData>
    <row r="1" spans="1:14" ht="18" x14ac:dyDescent="0.35">
      <c r="A1" s="30"/>
      <c r="B1" s="30"/>
      <c r="C1" s="30"/>
      <c r="D1" s="30"/>
      <c r="E1" s="30"/>
      <c r="F1" s="30"/>
      <c r="G1" s="30"/>
    </row>
    <row r="2" spans="1:14" ht="16.5" customHeight="1" x14ac:dyDescent="0.35">
      <c r="A2" s="30"/>
      <c r="B2" s="30"/>
      <c r="C2" s="30"/>
      <c r="D2" s="30"/>
      <c r="E2" s="30"/>
      <c r="F2" s="30"/>
      <c r="G2" s="30"/>
      <c r="K2" s="22" t="s">
        <v>122</v>
      </c>
      <c r="L2" s="22"/>
      <c r="M2" s="22"/>
    </row>
    <row r="3" spans="1:14" ht="18" x14ac:dyDescent="0.35">
      <c r="A3" s="30"/>
      <c r="B3" s="30"/>
      <c r="C3" s="30"/>
      <c r="D3" s="30"/>
      <c r="E3" s="30"/>
      <c r="F3" s="30"/>
      <c r="G3" s="30"/>
      <c r="K3" s="127" t="s">
        <v>58</v>
      </c>
      <c r="L3" s="127"/>
      <c r="M3" s="127" t="s">
        <v>13</v>
      </c>
      <c r="N3" s="127"/>
    </row>
    <row r="4" spans="1:14" ht="15.75" customHeight="1" x14ac:dyDescent="0.35">
      <c r="A4" s="30"/>
      <c r="B4" s="30"/>
      <c r="C4" s="75" t="s">
        <v>25</v>
      </c>
      <c r="D4" s="76">
        <f>'4637'!G8</f>
        <v>4096</v>
      </c>
      <c r="E4" s="30"/>
      <c r="F4" s="30"/>
      <c r="G4" s="30"/>
      <c r="K4" t="s">
        <v>6</v>
      </c>
      <c r="L4" t="s">
        <v>7</v>
      </c>
      <c r="M4" t="s">
        <v>6</v>
      </c>
      <c r="N4" t="s">
        <v>7</v>
      </c>
    </row>
    <row r="5" spans="1:14" ht="18" customHeight="1" x14ac:dyDescent="0.35">
      <c r="A5" s="30"/>
      <c r="B5" s="30"/>
      <c r="C5" s="77" t="s">
        <v>64</v>
      </c>
      <c r="D5" s="78" t="str">
        <f>'4637'!C10</f>
        <v>CESAR QUIROZ</v>
      </c>
      <c r="E5" s="48"/>
      <c r="F5" s="48"/>
      <c r="G5" s="30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5">
      <c r="A6" s="30"/>
      <c r="B6" s="30"/>
      <c r="C6" s="79"/>
      <c r="D6" s="80"/>
      <c r="E6" s="30"/>
      <c r="F6" s="30"/>
      <c r="G6" s="30"/>
    </row>
    <row r="7" spans="1:14" ht="18" x14ac:dyDescent="0.35">
      <c r="A7" s="30"/>
      <c r="B7" s="30"/>
      <c r="C7" s="90" t="str">
        <f>'4637'!F11</f>
        <v>FECHA LIMITE :</v>
      </c>
      <c r="D7" s="82">
        <f>'4637'!G11</f>
        <v>45495</v>
      </c>
      <c r="E7" s="30"/>
      <c r="F7" s="30" t="s">
        <v>135</v>
      </c>
      <c r="G7" s="30"/>
    </row>
    <row r="8" spans="1:14" ht="18" x14ac:dyDescent="0.35">
      <c r="A8" s="30"/>
      <c r="B8" s="30"/>
      <c r="C8" s="91" t="s">
        <v>121</v>
      </c>
      <c r="D8" s="30"/>
      <c r="E8" s="30"/>
      <c r="F8" s="30"/>
      <c r="G8" s="30"/>
    </row>
    <row r="9" spans="1:14" ht="18" x14ac:dyDescent="0.35">
      <c r="A9" s="30"/>
      <c r="B9" s="30"/>
      <c r="C9" s="30"/>
      <c r="D9" s="30"/>
      <c r="E9" s="30"/>
      <c r="F9" s="30"/>
      <c r="G9" s="30"/>
    </row>
    <row r="10" spans="1:14" ht="15" customHeight="1" x14ac:dyDescent="0.35">
      <c r="A10" s="128" t="s">
        <v>58</v>
      </c>
      <c r="B10" s="128"/>
      <c r="C10" s="128"/>
      <c r="D10" s="128"/>
      <c r="E10" s="128"/>
      <c r="F10" s="128"/>
      <c r="G10" s="30"/>
    </row>
    <row r="11" spans="1:14" ht="18" x14ac:dyDescent="0.35">
      <c r="A11" s="30"/>
      <c r="B11" s="30"/>
      <c r="C11" s="92"/>
      <c r="D11" s="30"/>
      <c r="E11" s="30"/>
      <c r="F11" s="30"/>
      <c r="G11" s="30"/>
    </row>
    <row r="12" spans="1:14" ht="18" x14ac:dyDescent="0.35">
      <c r="A12" s="30"/>
      <c r="B12" s="30"/>
      <c r="C12" s="30"/>
      <c r="D12" s="67" t="s">
        <v>6</v>
      </c>
      <c r="E12" s="67" t="s">
        <v>7</v>
      </c>
      <c r="F12" s="30"/>
      <c r="G12" s="30"/>
    </row>
    <row r="13" spans="1:14" ht="18" x14ac:dyDescent="0.35">
      <c r="A13" s="67" t="s">
        <v>8</v>
      </c>
      <c r="B13" s="93" t="s">
        <v>9</v>
      </c>
      <c r="C13" s="93" t="s">
        <v>10</v>
      </c>
      <c r="D13" s="94">
        <v>50</v>
      </c>
      <c r="E13" s="94">
        <v>-30</v>
      </c>
      <c r="F13" s="93" t="s">
        <v>107</v>
      </c>
      <c r="G13" s="30"/>
      <c r="J13" s="5" t="s">
        <v>6</v>
      </c>
      <c r="K13" s="5" t="s">
        <v>7</v>
      </c>
    </row>
    <row r="14" spans="1:14" ht="18" x14ac:dyDescent="0.35">
      <c r="A14" s="103" t="s">
        <v>145</v>
      </c>
      <c r="B14" s="95">
        <f>I14</f>
        <v>1</v>
      </c>
      <c r="C14" s="95"/>
      <c r="D14" s="95">
        <f>J14+D$13</f>
        <v>2400</v>
      </c>
      <c r="E14" s="95">
        <f>K14+E$13</f>
        <v>500</v>
      </c>
      <c r="F14" s="95" t="str">
        <f>C35</f>
        <v>CUB C/R R8</v>
      </c>
      <c r="G14" s="30"/>
      <c r="I14" s="3">
        <f>'4637'!B21</f>
        <v>1</v>
      </c>
      <c r="J14" s="4">
        <f t="shared" ref="J14:K14" si="0">D35</f>
        <v>2350</v>
      </c>
      <c r="K14" s="4">
        <f t="shared" si="0"/>
        <v>530</v>
      </c>
    </row>
    <row r="15" spans="1:14" ht="18" x14ac:dyDescent="0.35">
      <c r="A15" s="103"/>
      <c r="B15" s="95">
        <f t="shared" ref="B15:B18" si="1">I15</f>
        <v>1</v>
      </c>
      <c r="C15" s="95"/>
      <c r="D15" s="95">
        <f t="shared" ref="D15:D18" si="2">J15+D$13</f>
        <v>2160</v>
      </c>
      <c r="E15" s="95">
        <f t="shared" ref="E15:E18" si="3">K15+E$13</f>
        <v>500</v>
      </c>
      <c r="F15" s="95" t="str">
        <f>C36</f>
        <v>CUB C/R R8</v>
      </c>
      <c r="G15" s="30"/>
      <c r="I15" s="3">
        <f>'4637'!B22</f>
        <v>1</v>
      </c>
      <c r="J15" s="4">
        <f>D36</f>
        <v>2110</v>
      </c>
      <c r="K15" s="4">
        <f>E36</f>
        <v>530</v>
      </c>
    </row>
    <row r="16" spans="1:14" ht="18" x14ac:dyDescent="0.35">
      <c r="A16" s="103"/>
      <c r="B16" s="95">
        <f t="shared" si="1"/>
        <v>1</v>
      </c>
      <c r="C16" s="95"/>
      <c r="D16" s="95">
        <f t="shared" si="2"/>
        <v>2160</v>
      </c>
      <c r="E16" s="95">
        <f t="shared" si="3"/>
        <v>550</v>
      </c>
      <c r="F16" s="95" t="str">
        <f>C37</f>
        <v>CUB C/R R8</v>
      </c>
      <c r="G16" s="30"/>
      <c r="I16" s="3">
        <f>'4637'!B23</f>
        <v>1</v>
      </c>
      <c r="J16" s="4">
        <f>D37</f>
        <v>2110</v>
      </c>
      <c r="K16" s="4">
        <f>E37</f>
        <v>580</v>
      </c>
    </row>
    <row r="17" spans="1:12" ht="18" x14ac:dyDescent="0.35">
      <c r="A17" s="103"/>
      <c r="B17" s="95">
        <f t="shared" si="1"/>
        <v>1</v>
      </c>
      <c r="C17" s="95"/>
      <c r="D17" s="95">
        <f t="shared" si="2"/>
        <v>1300</v>
      </c>
      <c r="E17" s="95">
        <f t="shared" si="3"/>
        <v>400</v>
      </c>
      <c r="F17" s="95" t="str">
        <f>C38</f>
        <v>CUB C/R R8</v>
      </c>
      <c r="G17" s="30"/>
      <c r="I17" s="3">
        <f>'4637'!B24</f>
        <v>1</v>
      </c>
      <c r="J17" s="4">
        <f>D38</f>
        <v>1250</v>
      </c>
      <c r="K17" s="4">
        <f>E38</f>
        <v>430</v>
      </c>
    </row>
    <row r="18" spans="1:12" ht="18" x14ac:dyDescent="0.35">
      <c r="A18" s="103"/>
      <c r="B18" s="95">
        <f t="shared" si="1"/>
        <v>1</v>
      </c>
      <c r="C18" s="95"/>
      <c r="D18" s="95">
        <f>J18</f>
        <v>1000</v>
      </c>
      <c r="E18" s="95">
        <f>K18</f>
        <v>650</v>
      </c>
      <c r="F18" s="95" t="str">
        <f>C39</f>
        <v>CUB MESA R8 4 LADOS</v>
      </c>
      <c r="G18" s="30"/>
      <c r="I18" s="3">
        <f>'4637'!B25</f>
        <v>1</v>
      </c>
      <c r="J18" s="4">
        <f>D39</f>
        <v>1000</v>
      </c>
      <c r="K18" s="4">
        <f>E39</f>
        <v>650</v>
      </c>
    </row>
    <row r="19" spans="1:12" ht="18" x14ac:dyDescent="0.35">
      <c r="A19" s="84"/>
      <c r="B19" s="74"/>
      <c r="C19" s="74"/>
      <c r="D19" s="74"/>
      <c r="E19" s="74"/>
      <c r="F19" s="74"/>
      <c r="G19" s="30"/>
      <c r="I19" s="23"/>
      <c r="J19" s="2"/>
      <c r="K19" s="2"/>
    </row>
    <row r="20" spans="1:12" ht="6.75" customHeight="1" x14ac:dyDescent="0.35">
      <c r="A20" s="30"/>
      <c r="B20" s="30"/>
      <c r="C20" s="30"/>
      <c r="D20" s="30"/>
      <c r="E20" s="30"/>
      <c r="F20" s="30"/>
      <c r="G20" s="30"/>
    </row>
    <row r="21" spans="1:12" ht="18" x14ac:dyDescent="0.35">
      <c r="A21" s="128" t="s">
        <v>13</v>
      </c>
      <c r="B21" s="128"/>
      <c r="C21" s="128"/>
      <c r="D21" s="128"/>
      <c r="E21" s="128"/>
      <c r="F21" s="128"/>
      <c r="G21" s="30"/>
    </row>
    <row r="22" spans="1:12" ht="10.5" customHeight="1" x14ac:dyDescent="0.35">
      <c r="A22" s="30"/>
      <c r="B22" s="30"/>
      <c r="C22" s="92"/>
      <c r="D22" s="30"/>
      <c r="E22" s="30"/>
      <c r="F22" s="30"/>
      <c r="G22" s="30"/>
    </row>
    <row r="23" spans="1:12" ht="18" x14ac:dyDescent="0.35">
      <c r="A23" s="30"/>
      <c r="B23" s="30"/>
      <c r="C23" s="30"/>
      <c r="D23" s="67" t="s">
        <v>6</v>
      </c>
      <c r="E23" s="67" t="s">
        <v>7</v>
      </c>
      <c r="F23" s="30"/>
      <c r="G23" s="30"/>
    </row>
    <row r="24" spans="1:12" ht="18" x14ac:dyDescent="0.35">
      <c r="A24" s="67" t="s">
        <v>8</v>
      </c>
      <c r="B24" s="83" t="s">
        <v>9</v>
      </c>
      <c r="C24" s="83" t="s">
        <v>10</v>
      </c>
      <c r="D24" s="96">
        <v>40</v>
      </c>
      <c r="E24" s="96">
        <v>130</v>
      </c>
      <c r="F24" s="83" t="s">
        <v>107</v>
      </c>
      <c r="G24" s="30"/>
      <c r="J24" s="5" t="s">
        <v>6</v>
      </c>
      <c r="K24" s="5" t="s">
        <v>7</v>
      </c>
    </row>
    <row r="25" spans="1:12" ht="18" x14ac:dyDescent="0.35">
      <c r="A25" s="103"/>
      <c r="B25" s="97">
        <f t="shared" ref="B25" si="4">I25</f>
        <v>1</v>
      </c>
      <c r="C25" s="97"/>
      <c r="D25" s="97">
        <f>J25+D$24</f>
        <v>2390</v>
      </c>
      <c r="E25" s="97">
        <f>K25+E$24</f>
        <v>660</v>
      </c>
      <c r="F25" s="97" t="str">
        <f>C35</f>
        <v>CUB C/R R8</v>
      </c>
      <c r="G25" s="30"/>
      <c r="I25" s="3">
        <f>B35</f>
        <v>1</v>
      </c>
      <c r="J25" s="111">
        <f>D35</f>
        <v>2350</v>
      </c>
      <c r="K25" s="111">
        <f>E35</f>
        <v>530</v>
      </c>
    </row>
    <row r="26" spans="1:12" ht="18" x14ac:dyDescent="0.35">
      <c r="A26" s="103"/>
      <c r="B26" s="97">
        <f t="shared" ref="B26:B29" si="5">I26</f>
        <v>1</v>
      </c>
      <c r="C26" s="97"/>
      <c r="D26" s="97">
        <f>J26+D$24</f>
        <v>2150</v>
      </c>
      <c r="E26" s="97">
        <f>K26+E$24</f>
        <v>660</v>
      </c>
      <c r="F26" s="97" t="str">
        <f>C36</f>
        <v>CUB C/R R8</v>
      </c>
      <c r="G26" s="30"/>
      <c r="I26" s="3">
        <f>B36</f>
        <v>1</v>
      </c>
      <c r="J26" s="108">
        <f t="shared" ref="J26:K26" si="6">D36</f>
        <v>2110</v>
      </c>
      <c r="K26" s="108">
        <f t="shared" si="6"/>
        <v>530</v>
      </c>
    </row>
    <row r="27" spans="1:12" ht="18" x14ac:dyDescent="0.35">
      <c r="A27" s="103"/>
      <c r="B27" s="97">
        <f t="shared" si="5"/>
        <v>1</v>
      </c>
      <c r="C27" s="97"/>
      <c r="D27" s="97">
        <f>J27+D$24</f>
        <v>2150</v>
      </c>
      <c r="E27" s="97">
        <f>K27+E$24</f>
        <v>710</v>
      </c>
      <c r="F27" s="97" t="str">
        <f>C37</f>
        <v>CUB C/R R8</v>
      </c>
      <c r="G27" s="30"/>
      <c r="I27" s="3">
        <f>B37</f>
        <v>1</v>
      </c>
      <c r="J27" s="110">
        <f t="shared" ref="J27:K27" si="7">D37</f>
        <v>2110</v>
      </c>
      <c r="K27" s="110">
        <f t="shared" si="7"/>
        <v>580</v>
      </c>
    </row>
    <row r="28" spans="1:12" ht="18" x14ac:dyDescent="0.35">
      <c r="A28" s="103"/>
      <c r="B28" s="97">
        <f t="shared" si="5"/>
        <v>1</v>
      </c>
      <c r="C28" s="97"/>
      <c r="D28" s="97">
        <f>J28+D$24</f>
        <v>1290</v>
      </c>
      <c r="E28" s="97">
        <f>K28+E$24</f>
        <v>560</v>
      </c>
      <c r="F28" s="97" t="str">
        <f>C38</f>
        <v>CUB C/R R8</v>
      </c>
      <c r="G28" s="30"/>
      <c r="I28" s="3">
        <f>B38</f>
        <v>1</v>
      </c>
      <c r="J28" s="108">
        <f t="shared" ref="J28:K28" si="8">D38</f>
        <v>1250</v>
      </c>
      <c r="K28" s="108">
        <f t="shared" si="8"/>
        <v>430</v>
      </c>
      <c r="L28" s="109">
        <v>2</v>
      </c>
    </row>
    <row r="29" spans="1:12" ht="18" x14ac:dyDescent="0.35">
      <c r="A29" s="103"/>
      <c r="B29" s="97">
        <f t="shared" si="5"/>
        <v>1</v>
      </c>
      <c r="C29" s="97"/>
      <c r="D29" s="97">
        <v>1100</v>
      </c>
      <c r="E29" s="97">
        <v>770</v>
      </c>
      <c r="F29" s="97" t="str">
        <f>C39</f>
        <v>CUB MESA R8 4 LADOS</v>
      </c>
      <c r="G29" s="30"/>
      <c r="I29" s="3">
        <f>B39</f>
        <v>1</v>
      </c>
      <c r="J29" s="111">
        <f t="shared" ref="J29:K29" si="9">D39</f>
        <v>1000</v>
      </c>
      <c r="K29" s="111">
        <f t="shared" si="9"/>
        <v>650</v>
      </c>
    </row>
    <row r="30" spans="1:12" x14ac:dyDescent="0.3">
      <c r="A30" s="103"/>
    </row>
    <row r="31" spans="1:12" ht="18.600000000000001" thickBot="1" x14ac:dyDescent="0.4">
      <c r="A31" s="84"/>
      <c r="B31" s="74"/>
      <c r="C31" s="74"/>
      <c r="D31" s="74"/>
      <c r="E31" s="74"/>
      <c r="F31" s="74"/>
      <c r="G31" s="30"/>
      <c r="H31" s="116"/>
      <c r="I31" s="117"/>
      <c r="J31" s="117"/>
      <c r="K31" s="117"/>
    </row>
    <row r="32" spans="1:12" ht="18.600000000000001" thickBot="1" x14ac:dyDescent="0.4">
      <c r="A32" s="67"/>
      <c r="B32" s="98" t="s">
        <v>104</v>
      </c>
      <c r="C32" s="33"/>
      <c r="D32" s="33"/>
      <c r="E32" s="33"/>
      <c r="F32" s="99"/>
      <c r="G32" s="30"/>
      <c r="I32" s="2"/>
      <c r="J32" s="2"/>
      <c r="K32" s="2"/>
    </row>
    <row r="33" spans="1:9" ht="10.5" customHeight="1" x14ac:dyDescent="0.35">
      <c r="A33" s="30"/>
      <c r="B33" s="30"/>
      <c r="C33" s="30"/>
      <c r="D33" s="30"/>
      <c r="E33" s="30"/>
      <c r="F33" s="30"/>
      <c r="G33" s="30"/>
    </row>
    <row r="34" spans="1:9" ht="18" x14ac:dyDescent="0.35">
      <c r="A34" s="67" t="s">
        <v>8</v>
      </c>
      <c r="B34" s="100" t="s">
        <v>9</v>
      </c>
      <c r="C34" s="100" t="s">
        <v>107</v>
      </c>
      <c r="D34" s="100" t="s">
        <v>6</v>
      </c>
      <c r="E34" s="100" t="s">
        <v>7</v>
      </c>
      <c r="F34" s="100" t="s">
        <v>21</v>
      </c>
      <c r="G34" s="30"/>
    </row>
    <row r="35" spans="1:9" ht="18" x14ac:dyDescent="0.35">
      <c r="A35" s="103" t="s">
        <v>144</v>
      </c>
      <c r="B35" s="95">
        <f>'4637'!B21</f>
        <v>1</v>
      </c>
      <c r="C35" s="95" t="str">
        <f>'4637'!C21</f>
        <v>CUB C/R R8</v>
      </c>
      <c r="D35" s="95">
        <f>'4637'!D21</f>
        <v>2350</v>
      </c>
      <c r="E35" s="95">
        <f>'4637'!E21</f>
        <v>530</v>
      </c>
      <c r="F35" s="95" t="str">
        <f>'4637'!F21</f>
        <v xml:space="preserve">WHITE MARBLE BR </v>
      </c>
      <c r="G35" s="30"/>
      <c r="H35" s="28">
        <f>D35*E35/1000000</f>
        <v>1.2455000000000001</v>
      </c>
      <c r="I35" s="28">
        <f>H35*B35</f>
        <v>1.2455000000000001</v>
      </c>
    </row>
    <row r="36" spans="1:9" ht="18" x14ac:dyDescent="0.35">
      <c r="A36" s="103"/>
      <c r="B36" s="95">
        <f>'4637'!B22</f>
        <v>1</v>
      </c>
      <c r="C36" s="95" t="str">
        <f>'4637'!C22</f>
        <v>CUB C/R R8</v>
      </c>
      <c r="D36" s="95">
        <f>'4637'!D22</f>
        <v>2110</v>
      </c>
      <c r="E36" s="95">
        <f>'4637'!E22</f>
        <v>530</v>
      </c>
      <c r="F36" s="95" t="str">
        <f>'4637'!F22</f>
        <v xml:space="preserve">WHITE MARBLE BR </v>
      </c>
      <c r="G36" s="30"/>
      <c r="H36" s="28"/>
      <c r="I36" s="28"/>
    </row>
    <row r="37" spans="1:9" ht="18" x14ac:dyDescent="0.35">
      <c r="A37" s="103"/>
      <c r="B37" s="95">
        <f>'4637'!B23</f>
        <v>1</v>
      </c>
      <c r="C37" s="95" t="str">
        <f>'4637'!C23</f>
        <v>CUB C/R R8</v>
      </c>
      <c r="D37" s="95">
        <f>'4637'!D23</f>
        <v>2110</v>
      </c>
      <c r="E37" s="95">
        <f>'4637'!E23</f>
        <v>580</v>
      </c>
      <c r="F37" s="95" t="str">
        <f>'4637'!F23</f>
        <v xml:space="preserve">WHITE MARBLE BR </v>
      </c>
      <c r="G37" s="30"/>
      <c r="H37" s="28"/>
      <c r="I37" s="28"/>
    </row>
    <row r="38" spans="1:9" ht="18" x14ac:dyDescent="0.35">
      <c r="A38" s="103"/>
      <c r="B38" s="95">
        <f>'4637'!B24</f>
        <v>1</v>
      </c>
      <c r="C38" s="95" t="str">
        <f>'4637'!C24</f>
        <v>CUB C/R R8</v>
      </c>
      <c r="D38" s="95">
        <f>'4637'!D24</f>
        <v>1250</v>
      </c>
      <c r="E38" s="95">
        <f>'4637'!E24</f>
        <v>430</v>
      </c>
      <c r="F38" s="95" t="str">
        <f>'4637'!F24</f>
        <v xml:space="preserve">WHITE MARBLE BR </v>
      </c>
      <c r="G38" s="30"/>
      <c r="H38" s="28"/>
      <c r="I38" s="28"/>
    </row>
    <row r="39" spans="1:9" ht="18" x14ac:dyDescent="0.35">
      <c r="A39" s="103"/>
      <c r="B39" s="95">
        <f>'4637'!B25</f>
        <v>1</v>
      </c>
      <c r="C39" s="95" t="str">
        <f>'4637'!C25</f>
        <v>CUB MESA R8 4 LADOS</v>
      </c>
      <c r="D39" s="95">
        <f>'4637'!D25</f>
        <v>1000</v>
      </c>
      <c r="E39" s="95">
        <f>'4637'!E25</f>
        <v>650</v>
      </c>
      <c r="F39" s="95" t="str">
        <f>'4637'!F25</f>
        <v xml:space="preserve">WHITE MARBLE BR </v>
      </c>
      <c r="G39" s="30"/>
      <c r="H39" s="28"/>
      <c r="I39" s="28"/>
    </row>
    <row r="40" spans="1:9" ht="18" x14ac:dyDescent="0.35">
      <c r="A40" s="103"/>
      <c r="B40" s="95">
        <f>'4637'!B26</f>
        <v>4</v>
      </c>
      <c r="C40" s="95" t="str">
        <f>'4637'!C26</f>
        <v>CORTES 45°</v>
      </c>
      <c r="D40" s="95">
        <f>'4637'!D26</f>
        <v>0</v>
      </c>
      <c r="E40" s="95">
        <f>'4637'!E26</f>
        <v>0</v>
      </c>
      <c r="F40" s="95">
        <f>'4637'!F26</f>
        <v>0</v>
      </c>
      <c r="G40" s="30"/>
      <c r="H40" s="28"/>
      <c r="I40" s="28"/>
    </row>
    <row r="41" spans="1:9" ht="18" x14ac:dyDescent="0.35">
      <c r="A41" s="84"/>
      <c r="B41" s="74"/>
      <c r="C41" s="74"/>
      <c r="D41" s="74"/>
      <c r="E41" s="74"/>
      <c r="F41" s="74"/>
      <c r="G41" s="30"/>
      <c r="H41" s="28"/>
      <c r="I41" s="28"/>
    </row>
    <row r="42" spans="1:9" ht="18" x14ac:dyDescent="0.35">
      <c r="A42" s="30"/>
      <c r="B42" s="74"/>
      <c r="C42" s="74"/>
      <c r="D42" s="74"/>
      <c r="E42" s="74"/>
      <c r="F42" s="74"/>
      <c r="G42" s="30"/>
    </row>
    <row r="43" spans="1:9" ht="18" x14ac:dyDescent="0.35">
      <c r="A43" s="30"/>
      <c r="B43" s="74"/>
      <c r="C43" s="74"/>
      <c r="D43" s="74"/>
      <c r="E43" s="74"/>
      <c r="F43" s="74"/>
      <c r="G43" s="30"/>
      <c r="I43" s="28">
        <f>SUM(I35:I35)*2</f>
        <v>2.4910000000000001</v>
      </c>
    </row>
    <row r="44" spans="1:9" ht="18" x14ac:dyDescent="0.35">
      <c r="A44" s="30"/>
      <c r="B44" s="74"/>
      <c r="C44" s="74"/>
      <c r="D44" s="74"/>
      <c r="E44" s="74"/>
      <c r="F44" s="74"/>
      <c r="G44" s="30"/>
    </row>
    <row r="45" spans="1:9" ht="18" x14ac:dyDescent="0.35">
      <c r="A45" s="30"/>
      <c r="B45" s="74"/>
      <c r="C45" s="74"/>
      <c r="D45" s="74"/>
      <c r="E45" s="74"/>
      <c r="F45" s="74"/>
      <c r="G45" s="30"/>
    </row>
    <row r="46" spans="1:9" ht="18" x14ac:dyDescent="0.35">
      <c r="A46" s="30"/>
      <c r="B46" s="74"/>
      <c r="C46" s="74"/>
      <c r="D46" s="74"/>
      <c r="E46" s="74"/>
      <c r="F46" s="74"/>
      <c r="G46" s="30"/>
    </row>
    <row r="47" spans="1:9" ht="18" x14ac:dyDescent="0.35">
      <c r="A47" s="30"/>
      <c r="B47" s="74"/>
      <c r="C47" s="74"/>
      <c r="D47" s="74"/>
      <c r="E47" s="74"/>
      <c r="F47" s="74"/>
      <c r="G47" s="30"/>
    </row>
    <row r="48" spans="1:9" ht="18" x14ac:dyDescent="0.35">
      <c r="A48" s="30"/>
      <c r="B48" s="74"/>
      <c r="C48" s="74"/>
      <c r="D48" s="74"/>
      <c r="E48" s="74"/>
      <c r="F48" s="74"/>
      <c r="G48" s="30"/>
    </row>
    <row r="49" spans="1:12" ht="18" x14ac:dyDescent="0.35">
      <c r="A49" s="30"/>
      <c r="B49" s="74"/>
      <c r="C49" s="74"/>
      <c r="D49" s="74"/>
      <c r="E49" s="74"/>
      <c r="F49" s="74"/>
      <c r="G49" s="30"/>
    </row>
    <row r="50" spans="1:12" ht="18" x14ac:dyDescent="0.35">
      <c r="A50" s="30"/>
      <c r="B50" s="74"/>
      <c r="C50" s="74"/>
      <c r="D50" s="74"/>
      <c r="E50" s="74"/>
      <c r="F50" s="74"/>
      <c r="G50" s="30"/>
    </row>
    <row r="51" spans="1:12" ht="18" x14ac:dyDescent="0.35">
      <c r="A51" s="30"/>
      <c r="B51" s="30"/>
      <c r="C51" s="30"/>
      <c r="D51" s="30"/>
      <c r="E51" s="30"/>
      <c r="F51" s="30"/>
      <c r="G51" s="30"/>
    </row>
    <row r="52" spans="1:12" ht="18" x14ac:dyDescent="0.35">
      <c r="A52" s="30"/>
      <c r="B52" s="30"/>
      <c r="C52" s="75" t="s">
        <v>25</v>
      </c>
      <c r="D52" s="76">
        <f>'4637'!G8</f>
        <v>4096</v>
      </c>
      <c r="E52" s="30"/>
      <c r="F52" s="30"/>
      <c r="G52" s="30"/>
    </row>
    <row r="53" spans="1:12" ht="17.25" customHeight="1" x14ac:dyDescent="0.35">
      <c r="A53" s="30"/>
      <c r="B53" s="30"/>
      <c r="C53" s="77" t="s">
        <v>64</v>
      </c>
      <c r="D53" s="78" t="str">
        <f>'4637'!C10</f>
        <v>CESAR QUIROZ</v>
      </c>
      <c r="E53" s="48"/>
      <c r="F53" s="48"/>
      <c r="G53" s="30"/>
    </row>
    <row r="54" spans="1:12" ht="4.5" customHeight="1" x14ac:dyDescent="0.35">
      <c r="A54" s="30"/>
      <c r="B54" s="30"/>
      <c r="C54" s="79"/>
      <c r="D54" s="80"/>
      <c r="E54" s="30"/>
      <c r="F54" s="30"/>
      <c r="G54" s="30"/>
    </row>
    <row r="55" spans="1:12" ht="18" x14ac:dyDescent="0.35">
      <c r="A55" s="30"/>
      <c r="B55" s="30"/>
      <c r="C55" s="81" t="str">
        <f>'4637'!F11</f>
        <v>FECHA LIMITE :</v>
      </c>
      <c r="D55" s="82">
        <f>'4637'!G11</f>
        <v>45495</v>
      </c>
      <c r="E55" s="30"/>
      <c r="F55" s="30"/>
      <c r="G55" s="30"/>
    </row>
    <row r="56" spans="1:12" ht="18" x14ac:dyDescent="0.35">
      <c r="A56" s="30"/>
      <c r="B56" s="30"/>
      <c r="C56" s="30"/>
      <c r="D56" s="30"/>
      <c r="E56" s="30"/>
      <c r="F56" s="30" t="s">
        <v>135</v>
      </c>
      <c r="G56" s="30"/>
    </row>
    <row r="57" spans="1:12" ht="18" x14ac:dyDescent="0.35">
      <c r="A57" s="30"/>
      <c r="B57" s="30"/>
      <c r="C57" s="30"/>
      <c r="D57" s="30"/>
      <c r="E57" s="30"/>
      <c r="F57" s="30"/>
      <c r="G57" s="30"/>
    </row>
    <row r="58" spans="1:12" ht="18" x14ac:dyDescent="0.35">
      <c r="A58" s="129" t="s">
        <v>65</v>
      </c>
      <c r="B58" s="129"/>
      <c r="C58" s="129"/>
      <c r="D58" s="129"/>
      <c r="E58" s="129"/>
      <c r="F58" s="129"/>
      <c r="G58" s="30"/>
    </row>
    <row r="59" spans="1:12" ht="18" x14ac:dyDescent="0.35">
      <c r="A59" s="30"/>
      <c r="B59" s="30"/>
      <c r="C59" s="30"/>
      <c r="D59" s="30"/>
      <c r="E59" s="30"/>
      <c r="F59" s="30"/>
      <c r="G59" s="30"/>
    </row>
    <row r="60" spans="1:12" ht="20.100000000000001" customHeight="1" x14ac:dyDescent="0.35">
      <c r="A60" s="30"/>
      <c r="B60" s="130" t="s">
        <v>66</v>
      </c>
      <c r="C60" s="131"/>
      <c r="D60" s="132"/>
      <c r="E60" s="132"/>
      <c r="F60" s="133"/>
      <c r="G60" s="30"/>
      <c r="H60" s="25" t="s">
        <v>130</v>
      </c>
    </row>
    <row r="61" spans="1:12" s="10" customFormat="1" ht="20.100000000000001" customHeight="1" x14ac:dyDescent="0.35">
      <c r="A61" s="30"/>
      <c r="B61" s="85" t="s">
        <v>9</v>
      </c>
      <c r="C61" s="86" t="s">
        <v>10</v>
      </c>
      <c r="D61" s="89" t="s">
        <v>6</v>
      </c>
      <c r="E61" s="89" t="s">
        <v>7</v>
      </c>
      <c r="F61" s="87" t="s">
        <v>11</v>
      </c>
      <c r="G61" s="30"/>
      <c r="J61" s="10">
        <v>15000</v>
      </c>
    </row>
    <row r="62" spans="1:12" s="10" customFormat="1" ht="20.100000000000001" customHeight="1" x14ac:dyDescent="0.35">
      <c r="A62" s="102" t="s">
        <v>144</v>
      </c>
      <c r="B62" s="97">
        <f>'4637'!B21</f>
        <v>1</v>
      </c>
      <c r="C62" s="97" t="str">
        <f>'4637'!C21</f>
        <v>CUB C/R R8</v>
      </c>
      <c r="D62" s="101">
        <f>'4637'!D21</f>
        <v>2350</v>
      </c>
      <c r="E62" s="101">
        <f>'4637'!E21</f>
        <v>530</v>
      </c>
      <c r="F62" s="97" t="str">
        <f>'4637'!F21</f>
        <v xml:space="preserve">WHITE MARBLE BR </v>
      </c>
      <c r="G62" s="30"/>
      <c r="H62" s="10">
        <f>D62*E62/1000000</f>
        <v>1.2455000000000001</v>
      </c>
      <c r="I62" s="10">
        <f>H62*B62</f>
        <v>1.2455000000000001</v>
      </c>
      <c r="J62" s="26">
        <f>I62*J$61</f>
        <v>18682.5</v>
      </c>
      <c r="L62" s="24">
        <v>12096</v>
      </c>
    </row>
    <row r="63" spans="1:12" s="10" customFormat="1" ht="20.100000000000001" customHeight="1" x14ac:dyDescent="0.35">
      <c r="A63" s="102"/>
      <c r="B63" s="97">
        <f>'4637'!B22</f>
        <v>1</v>
      </c>
      <c r="C63" s="97" t="str">
        <f>'4637'!C22</f>
        <v>CUB C/R R8</v>
      </c>
      <c r="D63" s="101">
        <f>'4637'!D22</f>
        <v>2110</v>
      </c>
      <c r="E63" s="101">
        <f>'4637'!E22</f>
        <v>530</v>
      </c>
      <c r="F63" s="97" t="str">
        <f>'4637'!F22</f>
        <v xml:space="preserve">WHITE MARBLE BR </v>
      </c>
      <c r="G63" s="30"/>
      <c r="J63" s="26"/>
      <c r="L63" s="29"/>
    </row>
    <row r="64" spans="1:12" s="10" customFormat="1" ht="20.100000000000001" customHeight="1" x14ac:dyDescent="0.35">
      <c r="A64" s="102"/>
      <c r="B64" s="97">
        <f>'4637'!B23</f>
        <v>1</v>
      </c>
      <c r="C64" s="97" t="str">
        <f>'4637'!C23</f>
        <v>CUB C/R R8</v>
      </c>
      <c r="D64" s="101">
        <f>'4637'!D23</f>
        <v>2110</v>
      </c>
      <c r="E64" s="101">
        <f>'4637'!E23</f>
        <v>580</v>
      </c>
      <c r="F64" s="97" t="str">
        <f>'4637'!F23</f>
        <v xml:space="preserve">WHITE MARBLE BR </v>
      </c>
      <c r="G64" s="30"/>
      <c r="J64" s="26"/>
      <c r="L64" s="29"/>
    </row>
    <row r="65" spans="1:12" s="10" customFormat="1" ht="20.100000000000001" customHeight="1" x14ac:dyDescent="0.35">
      <c r="A65" s="102"/>
      <c r="B65" s="97">
        <f>'4637'!B24</f>
        <v>1</v>
      </c>
      <c r="C65" s="97" t="str">
        <f>'4637'!C24</f>
        <v>CUB C/R R8</v>
      </c>
      <c r="D65" s="101">
        <f>'4637'!D24</f>
        <v>1250</v>
      </c>
      <c r="E65" s="101">
        <f>'4637'!E24</f>
        <v>430</v>
      </c>
      <c r="F65" s="97" t="str">
        <f>'4637'!F24</f>
        <v xml:space="preserve">WHITE MARBLE BR </v>
      </c>
      <c r="G65" s="30"/>
      <c r="J65" s="26"/>
      <c r="L65" s="29"/>
    </row>
    <row r="66" spans="1:12" s="10" customFormat="1" ht="20.100000000000001" customHeight="1" x14ac:dyDescent="0.35">
      <c r="A66" s="102"/>
      <c r="B66" s="97">
        <f>'4637'!B25</f>
        <v>1</v>
      </c>
      <c r="C66" s="97" t="str">
        <f>'4637'!C25</f>
        <v>CUB MESA R8 4 LADOS</v>
      </c>
      <c r="D66" s="101">
        <f>'4637'!D25</f>
        <v>1000</v>
      </c>
      <c r="E66" s="101">
        <f>'4637'!E25</f>
        <v>650</v>
      </c>
      <c r="F66" s="97" t="str">
        <f>'4637'!F25</f>
        <v xml:space="preserve">WHITE MARBLE BR </v>
      </c>
      <c r="G66" s="30"/>
      <c r="J66" s="26"/>
      <c r="L66" s="29"/>
    </row>
    <row r="67" spans="1:12" s="10" customFormat="1" ht="20.100000000000001" customHeight="1" x14ac:dyDescent="0.35">
      <c r="A67" s="102"/>
      <c r="B67" s="97">
        <f>'4637'!B26</f>
        <v>4</v>
      </c>
      <c r="C67" s="97" t="str">
        <f>'4637'!C26</f>
        <v>CORTES 45°</v>
      </c>
      <c r="D67" s="101">
        <f>'4637'!D26</f>
        <v>0</v>
      </c>
      <c r="E67" s="101">
        <f>'4637'!E26</f>
        <v>0</v>
      </c>
      <c r="F67" s="97">
        <f>'4637'!F26</f>
        <v>0</v>
      </c>
      <c r="G67" s="30"/>
      <c r="J67" s="26"/>
      <c r="L67" s="29"/>
    </row>
    <row r="68" spans="1:12" s="10" customFormat="1" ht="15" customHeight="1" x14ac:dyDescent="0.35">
      <c r="A68" s="84"/>
      <c r="B68" s="67"/>
      <c r="C68" s="67"/>
      <c r="D68" s="67"/>
      <c r="E68" s="67"/>
      <c r="F68" s="67"/>
      <c r="G68" s="30"/>
      <c r="J68" s="26"/>
      <c r="L68" s="29"/>
    </row>
    <row r="69" spans="1:12" s="10" customFormat="1" ht="15" customHeight="1" x14ac:dyDescent="0.35">
      <c r="A69" s="84"/>
      <c r="B69" s="67"/>
      <c r="C69" s="67"/>
      <c r="D69" s="67"/>
      <c r="E69" s="67"/>
      <c r="F69" s="67"/>
      <c r="G69" s="30"/>
    </row>
    <row r="70" spans="1:12" ht="18" x14ac:dyDescent="0.35">
      <c r="A70" s="74"/>
      <c r="B70" s="74"/>
      <c r="C70" s="30"/>
      <c r="D70" s="74"/>
      <c r="E70" s="74"/>
      <c r="F70" s="79"/>
      <c r="G70" s="30"/>
    </row>
    <row r="71" spans="1:12" ht="18" x14ac:dyDescent="0.35">
      <c r="A71" s="74"/>
      <c r="B71" s="74"/>
      <c r="C71" s="30"/>
      <c r="D71" s="74"/>
      <c r="E71" s="74"/>
      <c r="F71" s="74"/>
      <c r="G71" s="30"/>
      <c r="I71" s="10">
        <f>SUM(I62:I62)</f>
        <v>1.2455000000000001</v>
      </c>
      <c r="J71" s="27">
        <f>SUM(J62:J62)</f>
        <v>18682.5</v>
      </c>
    </row>
    <row r="72" spans="1:12" ht="18" x14ac:dyDescent="0.35">
      <c r="A72" s="30"/>
      <c r="B72" s="30"/>
      <c r="C72" s="30"/>
      <c r="D72" s="30"/>
      <c r="E72" s="30"/>
      <c r="F72" s="30"/>
      <c r="G72" s="30"/>
    </row>
    <row r="73" spans="1:12" ht="18" x14ac:dyDescent="0.35">
      <c r="A73" s="30"/>
      <c r="B73" s="30"/>
      <c r="C73" s="30"/>
      <c r="D73" s="30"/>
      <c r="E73" s="30"/>
      <c r="F73" s="30"/>
      <c r="G73" s="30"/>
    </row>
    <row r="74" spans="1:12" ht="18" x14ac:dyDescent="0.35">
      <c r="A74" s="30"/>
      <c r="B74" s="30"/>
      <c r="C74" s="30"/>
      <c r="D74" s="30"/>
      <c r="E74" s="30"/>
      <c r="F74" s="30"/>
      <c r="G74" s="30"/>
    </row>
    <row r="75" spans="1:12" ht="15" customHeight="1" x14ac:dyDescent="0.35">
      <c r="A75" s="30"/>
      <c r="B75" s="30"/>
      <c r="C75" s="30"/>
      <c r="D75" s="30"/>
      <c r="E75" s="30"/>
      <c r="F75" s="30"/>
      <c r="G75" s="30"/>
    </row>
    <row r="76" spans="1:12" ht="18" x14ac:dyDescent="0.35">
      <c r="A76" s="30"/>
      <c r="B76" s="30"/>
      <c r="C76" s="30"/>
      <c r="D76" s="30"/>
      <c r="E76" s="30"/>
      <c r="F76" s="30"/>
      <c r="G76" s="30"/>
    </row>
    <row r="77" spans="1:12" ht="18" x14ac:dyDescent="0.35">
      <c r="A77" s="74"/>
      <c r="B77" s="88"/>
      <c r="C77" s="30"/>
      <c r="D77" s="30"/>
      <c r="E77" s="30"/>
      <c r="F77" s="30"/>
      <c r="G77" s="30"/>
    </row>
    <row r="78" spans="1:12" ht="18" x14ac:dyDescent="0.35">
      <c r="A78" s="30"/>
      <c r="B78" s="30"/>
      <c r="C78" s="30"/>
      <c r="D78" s="30"/>
      <c r="E78" s="30"/>
      <c r="F78" s="30"/>
      <c r="G78" s="30"/>
    </row>
    <row r="79" spans="1:12" x14ac:dyDescent="0.3">
      <c r="B79" s="14"/>
      <c r="C79" s="14"/>
      <c r="E79" s="14"/>
      <c r="F79" s="14"/>
    </row>
    <row r="80" spans="1:12" x14ac:dyDescent="0.3">
      <c r="B80" s="14"/>
      <c r="C80" s="14"/>
      <c r="E80" s="14"/>
      <c r="F80" s="14"/>
    </row>
  </sheetData>
  <mergeCells count="6">
    <mergeCell ref="M3:N3"/>
    <mergeCell ref="A21:F21"/>
    <mergeCell ref="A10:F10"/>
    <mergeCell ref="A58:F58"/>
    <mergeCell ref="B60:F60"/>
    <mergeCell ref="K3:L3"/>
  </mergeCells>
  <phoneticPr fontId="8" type="noConversion"/>
  <pageMargins left="0.70866141732283472" right="0.70866141732283472" top="0.74803149606299213" bottom="0.74803149606299213" header="0.31496062992125984" footer="0.31496062992125984"/>
  <pageSetup scale="6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2024-07-17T21:21:36Z</cp:lastPrinted>
  <dcterms:created xsi:type="dcterms:W3CDTF">2013-03-19T12:54:14Z</dcterms:created>
  <dcterms:modified xsi:type="dcterms:W3CDTF">2024-07-17T21:24:01Z</dcterms:modified>
</cp:coreProperties>
</file>