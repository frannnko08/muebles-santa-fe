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7 JULIO 2024\"/>
    </mc:Choice>
  </mc:AlternateContent>
  <xr:revisionPtr revIDLastSave="0" documentId="13_ncr:1_{3676FF6E-DCB6-437A-A168-85EC5050700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'4637'!$B$1:$H$47</definedName>
    <definedName name="_xlnm.Print_Area" localSheetId="2">CUBIERTA!$A$1:$F$54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3" l="1"/>
  <c r="B15" i="3" s="1"/>
  <c r="I16" i="3"/>
  <c r="B16" i="3" s="1"/>
  <c r="J16" i="3"/>
  <c r="D16" i="3" s="1"/>
  <c r="I17" i="3"/>
  <c r="B17" i="3" s="1"/>
  <c r="J17" i="3"/>
  <c r="D17" i="3" s="1"/>
  <c r="I18" i="3"/>
  <c r="B18" i="3" s="1"/>
  <c r="J18" i="3"/>
  <c r="D18" i="3" s="1"/>
  <c r="F19" i="3"/>
  <c r="I19" i="3"/>
  <c r="B19" i="3" s="1"/>
  <c r="I20" i="3"/>
  <c r="B20" i="3" s="1"/>
  <c r="I21" i="3"/>
  <c r="B21" i="3" s="1"/>
  <c r="B45" i="3"/>
  <c r="I32" i="3" s="1"/>
  <c r="B32" i="3" s="1"/>
  <c r="C45" i="3"/>
  <c r="F32" i="3" s="1"/>
  <c r="D45" i="3"/>
  <c r="J32" i="3" s="1"/>
  <c r="D32" i="3" s="1"/>
  <c r="E45" i="3"/>
  <c r="K32" i="3" s="1"/>
  <c r="E32" i="3" s="1"/>
  <c r="F45" i="3"/>
  <c r="B46" i="3"/>
  <c r="I33" i="3" s="1"/>
  <c r="B33" i="3" s="1"/>
  <c r="C46" i="3"/>
  <c r="F33" i="3" s="1"/>
  <c r="D46" i="3"/>
  <c r="J33" i="3" s="1"/>
  <c r="D33" i="3" s="1"/>
  <c r="E46" i="3"/>
  <c r="K33" i="3" s="1"/>
  <c r="E33" i="3" s="1"/>
  <c r="F46" i="3"/>
  <c r="B47" i="3"/>
  <c r="I34" i="3" s="1"/>
  <c r="B34" i="3" s="1"/>
  <c r="C47" i="3"/>
  <c r="F34" i="3" s="1"/>
  <c r="D47" i="3"/>
  <c r="J34" i="3" s="1"/>
  <c r="D34" i="3" s="1"/>
  <c r="E47" i="3"/>
  <c r="K34" i="3" s="1"/>
  <c r="E34" i="3" s="1"/>
  <c r="F47" i="3"/>
  <c r="B48" i="3"/>
  <c r="I35" i="3" s="1"/>
  <c r="B35" i="3" s="1"/>
  <c r="C48" i="3"/>
  <c r="F35" i="3" s="1"/>
  <c r="D48" i="3"/>
  <c r="J35" i="3" s="1"/>
  <c r="D35" i="3" s="1"/>
  <c r="E48" i="3"/>
  <c r="K35" i="3" s="1"/>
  <c r="E35" i="3" s="1"/>
  <c r="F48" i="3"/>
  <c r="B73" i="3"/>
  <c r="C73" i="3"/>
  <c r="D73" i="3"/>
  <c r="E73" i="3"/>
  <c r="F73" i="3"/>
  <c r="B74" i="3"/>
  <c r="C74" i="3"/>
  <c r="D74" i="3"/>
  <c r="E74" i="3"/>
  <c r="F74" i="3"/>
  <c r="B75" i="3"/>
  <c r="C75" i="3"/>
  <c r="D75" i="3"/>
  <c r="E75" i="3"/>
  <c r="F75" i="3"/>
  <c r="B76" i="3"/>
  <c r="C76" i="3"/>
  <c r="D76" i="3"/>
  <c r="E76" i="3"/>
  <c r="F76" i="3"/>
  <c r="B44" i="3"/>
  <c r="I31" i="3" s="1"/>
  <c r="B31" i="3" s="1"/>
  <c r="C44" i="3"/>
  <c r="F31" i="3" s="1"/>
  <c r="D44" i="3"/>
  <c r="J31" i="3" s="1"/>
  <c r="D31" i="3" s="1"/>
  <c r="E44" i="3"/>
  <c r="K31" i="3" s="1"/>
  <c r="E31" i="3" s="1"/>
  <c r="F44" i="3"/>
  <c r="B72" i="3"/>
  <c r="C72" i="3"/>
  <c r="D72" i="3"/>
  <c r="E72" i="3"/>
  <c r="F72" i="3"/>
  <c r="B43" i="3"/>
  <c r="I30" i="3" s="1"/>
  <c r="B30" i="3" s="1"/>
  <c r="C43" i="3"/>
  <c r="F30" i="3" s="1"/>
  <c r="D43" i="3"/>
  <c r="J30" i="3" s="1"/>
  <c r="D30" i="3" s="1"/>
  <c r="E43" i="3"/>
  <c r="K30" i="3" s="1"/>
  <c r="E30" i="3" s="1"/>
  <c r="F43" i="3"/>
  <c r="B71" i="3"/>
  <c r="C71" i="3"/>
  <c r="D71" i="3"/>
  <c r="E71" i="3"/>
  <c r="F71" i="3"/>
  <c r="F20" i="3" l="1"/>
  <c r="F21" i="3"/>
  <c r="K21" i="3"/>
  <c r="K20" i="3"/>
  <c r="K19" i="3"/>
  <c r="F18" i="3"/>
  <c r="F17" i="3"/>
  <c r="F16" i="3"/>
  <c r="J21" i="3"/>
  <c r="D21" i="3" s="1"/>
  <c r="J20" i="3"/>
  <c r="D20" i="3" s="1"/>
  <c r="J19" i="3"/>
  <c r="D19" i="3" s="1"/>
  <c r="K18" i="3"/>
  <c r="K17" i="3"/>
  <c r="K16" i="3"/>
  <c r="E16" i="3" s="1"/>
  <c r="B42" i="3"/>
  <c r="I29" i="3" s="1"/>
  <c r="B29" i="3" s="1"/>
  <c r="C42" i="3"/>
  <c r="D42" i="3"/>
  <c r="E42" i="3"/>
  <c r="F42" i="3"/>
  <c r="B70" i="3"/>
  <c r="C70" i="3"/>
  <c r="D70" i="3"/>
  <c r="E70" i="3"/>
  <c r="F70" i="3"/>
  <c r="I14" i="3"/>
  <c r="B14" i="3" s="1"/>
  <c r="J29" i="3" l="1"/>
  <c r="D29" i="3" s="1"/>
  <c r="J15" i="3"/>
  <c r="D15" i="3" s="1"/>
  <c r="F29" i="3"/>
  <c r="F15" i="3"/>
  <c r="K29" i="3"/>
  <c r="E29" i="3" s="1"/>
  <c r="K15" i="3"/>
  <c r="E15" i="3" s="1"/>
  <c r="C69" i="3"/>
  <c r="L21" i="4" l="1"/>
  <c r="K21" i="4"/>
  <c r="M21" i="4" l="1"/>
  <c r="N21" i="4" s="1"/>
  <c r="B41" i="3" l="1"/>
  <c r="I28" i="3" s="1"/>
  <c r="B28" i="3" s="1"/>
  <c r="C41" i="3"/>
  <c r="F28" i="3" s="1"/>
  <c r="D41" i="3"/>
  <c r="E41" i="3"/>
  <c r="K28" i="3" s="1"/>
  <c r="E28" i="3" s="1"/>
  <c r="F41" i="3"/>
  <c r="B69" i="3"/>
  <c r="D69" i="3"/>
  <c r="E69" i="3"/>
  <c r="F69" i="3"/>
  <c r="H41" i="3" l="1"/>
  <c r="I41" i="3" s="1"/>
  <c r="J28" i="3"/>
  <c r="D28" i="3" s="1"/>
  <c r="H69" i="3"/>
  <c r="I69" i="3" s="1"/>
  <c r="J14" i="3"/>
  <c r="D14" i="3" s="1"/>
  <c r="F14" i="3"/>
  <c r="K14" i="3"/>
  <c r="E14" i="3" s="1"/>
  <c r="I50" i="3" l="1"/>
  <c r="J69" i="3"/>
  <c r="I80" i="3"/>
  <c r="H34" i="4"/>
  <c r="N5" i="3"/>
  <c r="J80" i="3" l="1"/>
  <c r="M5" i="3"/>
  <c r="L5" i="3"/>
  <c r="K5" i="3"/>
  <c r="C62" i="3" l="1"/>
  <c r="C7" i="3"/>
  <c r="D60" i="3"/>
  <c r="D5" i="3"/>
  <c r="D62" i="3"/>
  <c r="D7" i="3"/>
  <c r="D59" i="3"/>
  <c r="D4" i="3"/>
</calcChain>
</file>

<file path=xl/sharedStrings.xml><?xml version="1.0" encoding="utf-8"?>
<sst xmlns="http://schemas.openxmlformats.org/spreadsheetml/2006/main" count="261" uniqueCount="143">
  <si>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</si>
  <si>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</si>
  <si>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</si>
  <si>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</si>
  <si>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</si>
  <si>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</si>
  <si>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</si>
  <si>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</si>
  <si>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</si>
  <si>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</si>
  <si>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</si>
  <si>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</si>
  <si>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</si>
  <si>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</si>
  <si>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</si>
  <si>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</si>
  <si>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</si>
  <si>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</si>
  <si>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</si>
  <si>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</si>
  <si>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</si>
  <si>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</si>
  <si>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</si>
  <si>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</si>
  <si>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</si>
  <si>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</si>
  <si>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</si>
  <si>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</si>
  <si>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</si>
  <si>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</si>
  <si>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</si>
  <si>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</si>
  <si>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</si>
  <si>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</si>
  <si>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</si>
  <si>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</si>
  <si>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</si>
  <si>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</si>
  <si>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</si>
  <si>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</si>
  <si>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</si>
  <si>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</si>
  <si>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</si>
  <si>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</si>
  <si>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</si>
  <si>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</si>
  <si>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</si>
  <si>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</si>
  <si>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</si>
  <si>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</si>
  <si>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</si>
  <si>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</si>
  <si>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</si>
  <si>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</si>
  <si>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</si>
  <si>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</si>
  <si>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</si>
  <si>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</si>
  <si>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</si>
  <si>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</si>
  <si>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</si>
  <si>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</si>
  <si>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</si>
  <si>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</si>
  <si>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</si>
  <si>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</si>
  <si>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</si>
  <si>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</si>
  <si>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</si>
  <si>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</si>
  <si>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</si>
  <si>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</si>
  <si>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</si>
  <si>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</si>
  <si>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</si>
  <si>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</si>
  <si>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</si>
  <si>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</si>
  <si>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</si>
  <si>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</si>
  <si>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</si>
  <si>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</si>
  <si>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</si>
  <si>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</si>
  <si>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</si>
  <si>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</si>
  <si>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</si>
  <si>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</si>
  <si>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</si>
  <si>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</si>
  <si>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</si>
  <si>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</si>
  <si>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</si>
  <si>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</si>
  <si>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</si>
  <si>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</si>
  <si>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</si>
  <si>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</si>
  <si>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</si>
  <si>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</si>
  <si>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</si>
  <si>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</si>
  <si>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</si>
  <si>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</si>
  <si>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</si>
  <si>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</si>
  <si>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</si>
  <si>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</si>
  <si>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</si>
  <si>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</si>
  <si>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</si>
  <si>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</si>
  <si>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</si>
  <si>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</si>
  <si>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</si>
  <si>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</si>
  <si>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</si>
  <si>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</si>
  <si>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</si>
  <si>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</si>
  <si>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</si>
  <si>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</si>
  <si>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</si>
  <si>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</si>
  <si>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</si>
  <si>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</si>
  <si>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</si>
  <si>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</si>
  <si>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</si>
  <si>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</si>
  <si>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</si>
  <si>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</si>
  <si>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</si>
  <si>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SANTIAGO</t>
  </si>
  <si>
    <t xml:space="preserve">CUENTA CORRIENTE BANCO SANTANDER N° 87316181 A NOMBRE DE </t>
  </si>
  <si>
    <t>FD</t>
  </si>
  <si>
    <t>HECHO POR: FD</t>
  </si>
  <si>
    <t>ABONO</t>
  </si>
  <si>
    <t>ISABEL FARIAS</t>
  </si>
  <si>
    <t>NATURAL ELM 1499 MT</t>
  </si>
  <si>
    <t>PR6 1 LADO</t>
  </si>
  <si>
    <t>MELAMI L 18MM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</si>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</sst>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8" fillId="0" borderId="0" xfId="2" applyFont="1" applyFill="1" applyBorder="1" applyAlignment="1">
      <alignment horizontal="left" vertical="center" indent="1"/>
    </xf>
    <xf numFmtId="0" fontId="19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10" fillId="0" borderId="2" xfId="1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66" fontId="2" fillId="0" borderId="32" xfId="1" applyNumberFormat="1" applyFont="1" applyFill="1" applyBorder="1" applyAlignment="1">
      <alignment horizontal="center" vertical="center"/>
    </xf>
    <xf numFmtId="166" fontId="2" fillId="0" borderId="33" xfId="1" applyNumberFormat="1" applyFont="1" applyFill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  <xf numFmtId="0" fontId="20" fillId="0" borderId="0" xfId="2" quotePrefix="1" applyFont="1" applyFill="1" applyBorder="1" applyAlignment="1">
      <alignment horizontal="left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0" xfId="0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  <xf numFmtId="166" fontId="2" fillId="0" borderId="34" xfId="1" applyNumberFormat="1" applyFont="1" applyFill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29</xdr:row>
      <xdr:rowOff>213827</xdr:rowOff>
    </xdr:from>
    <xdr:to>
      <xdr:col>5</xdr:col>
      <xdr:colOff>1555102</xdr:colOff>
      <xdr:row>33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$ 120.000.-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42</xdr:row>
      <xdr:rowOff>0</xdr:rowOff>
    </xdr:from>
    <xdr:to>
      <xdr:col>4</xdr:col>
      <xdr:colOff>369336</xdr:colOff>
      <xdr:row>42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44</xdr:row>
      <xdr:rowOff>1</xdr:rowOff>
    </xdr:from>
    <xdr:to>
      <xdr:col>4</xdr:col>
      <xdr:colOff>349897</xdr:colOff>
      <xdr:row>44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66674</xdr:rowOff>
    </xdr:from>
    <xdr:to>
      <xdr:col>5</xdr:col>
      <xdr:colOff>2914649</xdr:colOff>
      <xdr:row>24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63</xdr:row>
      <xdr:rowOff>190500</xdr:rowOff>
    </xdr:from>
    <xdr:to>
      <xdr:col>6</xdr:col>
      <xdr:colOff>9524</xdr:colOff>
      <xdr:row>65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60</xdr:row>
      <xdr:rowOff>30479</xdr:rowOff>
    </xdr:from>
    <xdr:to>
      <xdr:col>5</xdr:col>
      <xdr:colOff>2912745</xdr:colOff>
      <xdr:row>61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58</xdr:row>
      <xdr:rowOff>209549</xdr:rowOff>
    </xdr:from>
    <xdr:to>
      <xdr:col>6</xdr:col>
      <xdr:colOff>0</xdr:colOff>
      <xdr:row>60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57</xdr:row>
      <xdr:rowOff>171450</xdr:rowOff>
    </xdr:from>
    <xdr:to>
      <xdr:col>6</xdr:col>
      <xdr:colOff>19050</xdr:colOff>
      <xdr:row>58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78</xdr:row>
      <xdr:rowOff>0</xdr:rowOff>
    </xdr:from>
    <xdr:to>
      <xdr:col>2</xdr:col>
      <xdr:colOff>38100</xdr:colOff>
      <xdr:row>79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78</xdr:row>
      <xdr:rowOff>0</xdr:rowOff>
    </xdr:from>
    <xdr:to>
      <xdr:col>2</xdr:col>
      <xdr:colOff>1019175</xdr:colOff>
      <xdr:row>79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78</xdr:row>
      <xdr:rowOff>0</xdr:rowOff>
    </xdr:from>
    <xdr:to>
      <xdr:col>3</xdr:col>
      <xdr:colOff>352425</xdr:colOff>
      <xdr:row>79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78</xdr:row>
      <xdr:rowOff>0</xdr:rowOff>
    </xdr:from>
    <xdr:to>
      <xdr:col>4</xdr:col>
      <xdr:colOff>257175</xdr:colOff>
      <xdr:row>79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78</xdr:row>
      <xdr:rowOff>0</xdr:rowOff>
    </xdr:from>
    <xdr:to>
      <xdr:col>5</xdr:col>
      <xdr:colOff>447675</xdr:colOff>
      <xdr:row>79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78</xdr:row>
      <xdr:rowOff>0</xdr:rowOff>
    </xdr:from>
    <xdr:to>
      <xdr:col>6</xdr:col>
      <xdr:colOff>0</xdr:colOff>
      <xdr:row>79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79</xdr:row>
      <xdr:rowOff>0</xdr:rowOff>
    </xdr:from>
    <xdr:to>
      <xdr:col>2</xdr:col>
      <xdr:colOff>304800</xdr:colOff>
      <xdr:row>80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79</xdr:row>
      <xdr:rowOff>0</xdr:rowOff>
    </xdr:from>
    <xdr:to>
      <xdr:col>2</xdr:col>
      <xdr:colOff>1276350</xdr:colOff>
      <xdr:row>80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79</xdr:row>
      <xdr:rowOff>0</xdr:rowOff>
    </xdr:from>
    <xdr:to>
      <xdr:col>3</xdr:col>
      <xdr:colOff>619125</xdr:colOff>
      <xdr:row>80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79</xdr:row>
      <xdr:rowOff>0</xdr:rowOff>
    </xdr:from>
    <xdr:to>
      <xdr:col>4</xdr:col>
      <xdr:colOff>523875</xdr:colOff>
      <xdr:row>80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79</xdr:row>
      <xdr:rowOff>0</xdr:rowOff>
    </xdr:from>
    <xdr:to>
      <xdr:col>5</xdr:col>
      <xdr:colOff>723900</xdr:colOff>
      <xdr:row>80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79</xdr:row>
      <xdr:rowOff>0</xdr:rowOff>
    </xdr:from>
    <xdr:to>
      <xdr:col>6</xdr:col>
      <xdr:colOff>0</xdr:colOff>
      <xdr:row>80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49</xdr:row>
      <xdr:rowOff>15239</xdr:rowOff>
    </xdr:from>
    <xdr:to>
      <xdr:col>6</xdr:col>
      <xdr:colOff>0</xdr:colOff>
      <xdr:row>53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CORTADAS A LA MEDIDA CON ENCHAPE, SON PARA INSTALAR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37</xdr:row>
      <xdr:rowOff>1</xdr:rowOff>
    </xdr:from>
    <xdr:to>
      <xdr:col>6</xdr:col>
      <xdr:colOff>19048</xdr:colOff>
      <xdr:row>38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81</xdr:row>
      <xdr:rowOff>32385</xdr:rowOff>
    </xdr:from>
    <xdr:to>
      <xdr:col>6</xdr:col>
      <xdr:colOff>0</xdr:colOff>
      <xdr:row>85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CORTADAS A LA MEDIDA SON PARA INSTALAR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57</xdr:row>
      <xdr:rowOff>146685</xdr:rowOff>
    </xdr:from>
    <xdr:to>
      <xdr:col>1</xdr:col>
      <xdr:colOff>786523</xdr:colOff>
      <xdr:row>63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304800</xdr:colOff>
      <xdr:row>88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8"/>
  <sheetViews>
    <sheetView topLeftCell="A10" zoomScale="98" zoomScaleNormal="98" workbookViewId="0">
      <selection activeCell="C24" sqref="C24:C2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11024</v>
      </c>
      <c r="E8" s="30"/>
      <c r="F8" s="35" t="s">
        <v>25</v>
      </c>
      <c r="G8" s="36">
        <v>4089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138</v>
      </c>
      <c r="D10" s="39"/>
      <c r="E10" s="39"/>
      <c r="F10" s="40" t="s">
        <v>26</v>
      </c>
      <c r="G10" s="41">
        <v>45451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45485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135</v>
      </c>
      <c r="H13" s="50"/>
      <c r="I13" s="30"/>
    </row>
    <row r="14" spans="1:17" ht="18" x14ac:dyDescent="0.35">
      <c r="A14" s="30"/>
      <c r="B14" s="43" t="s">
        <v>16</v>
      </c>
      <c r="C14" s="115">
        <v>56996723363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133</v>
      </c>
      <c r="D16" s="56"/>
      <c r="E16" s="57"/>
      <c r="F16" s="116" t="s">
        <v>17</v>
      </c>
      <c r="G16" s="116"/>
      <c r="H16" s="117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8" t="s">
        <v>18</v>
      </c>
      <c r="C19" s="119"/>
      <c r="D19" s="119"/>
      <c r="E19" s="119"/>
      <c r="F19" s="119"/>
      <c r="G19" s="119"/>
      <c r="H19" s="120"/>
      <c r="I19" s="30"/>
    </row>
    <row r="20" spans="1:16" ht="20.100000000000001" customHeight="1" x14ac:dyDescent="0.35">
      <c r="A20" s="30"/>
      <c r="B20" s="58" t="s">
        <v>128</v>
      </c>
      <c r="C20" s="59" t="s">
        <v>19</v>
      </c>
      <c r="D20" s="59" t="s">
        <v>20</v>
      </c>
      <c r="E20" s="59" t="s">
        <v>7</v>
      </c>
      <c r="F20" s="60" t="s">
        <v>21</v>
      </c>
      <c r="G20" s="58" t="s">
        <v>22</v>
      </c>
      <c r="H20" s="60" t="s">
        <v>4</v>
      </c>
      <c r="I20" s="30"/>
      <c r="N20">
        <v>65000</v>
      </c>
    </row>
    <row r="21" spans="1:16" ht="20.100000000000001" customHeight="1" x14ac:dyDescent="0.35">
      <c r="A21" s="30"/>
      <c r="B21" s="110">
        <v>4</v>
      </c>
      <c r="C21" s="111" t="s">
        <v>60</v>
      </c>
      <c r="D21" s="114">
        <v>570</v>
      </c>
      <c r="E21" s="114">
        <v>335</v>
      </c>
      <c r="F21" s="111" t="s">
        <v>139</v>
      </c>
      <c r="G21" s="112"/>
      <c r="H21" s="113"/>
      <c r="I21" s="30"/>
      <c r="K21" s="11">
        <f>D21/1000</f>
        <v>0.56999999999999995</v>
      </c>
      <c r="L21" s="15">
        <f>E21/1000</f>
        <v>0.33500000000000002</v>
      </c>
      <c r="M21" s="11">
        <f>K21*L21</f>
        <v>0.19095000000000001</v>
      </c>
      <c r="N21" s="11">
        <f>M21*N$20</f>
        <v>12411.75</v>
      </c>
      <c r="O21" s="15"/>
      <c r="P21" s="21"/>
    </row>
    <row r="22" spans="1:16" ht="20.100000000000001" customHeight="1" x14ac:dyDescent="0.35">
      <c r="A22" s="30"/>
      <c r="B22" s="110">
        <v>1</v>
      </c>
      <c r="C22" s="111" t="s">
        <v>60</v>
      </c>
      <c r="D22" s="114">
        <v>320</v>
      </c>
      <c r="E22" s="114">
        <v>323</v>
      </c>
      <c r="F22" s="111" t="s">
        <v>139</v>
      </c>
      <c r="G22" s="112"/>
      <c r="H22" s="113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10">
        <v>1</v>
      </c>
      <c r="C23" s="111" t="s">
        <v>60</v>
      </c>
      <c r="D23" s="114">
        <v>320</v>
      </c>
      <c r="E23" s="114">
        <v>338</v>
      </c>
      <c r="F23" s="111" t="s">
        <v>139</v>
      </c>
      <c r="G23" s="112"/>
      <c r="H23" s="113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10">
        <v>12</v>
      </c>
      <c r="C24" s="111" t="s">
        <v>140</v>
      </c>
      <c r="D24" s="114">
        <v>570</v>
      </c>
      <c r="E24" s="114">
        <v>80</v>
      </c>
      <c r="F24" s="111" t="s">
        <v>139</v>
      </c>
      <c r="G24" s="112"/>
      <c r="H24" s="113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10">
        <v>1</v>
      </c>
      <c r="C25" s="111" t="s">
        <v>140</v>
      </c>
      <c r="D25" s="114">
        <v>1335</v>
      </c>
      <c r="E25" s="114">
        <v>70</v>
      </c>
      <c r="F25" s="111" t="s">
        <v>139</v>
      </c>
      <c r="G25" s="112"/>
      <c r="H25" s="113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10">
        <v>2</v>
      </c>
      <c r="C26" s="111" t="s">
        <v>140</v>
      </c>
      <c r="D26" s="114">
        <v>295</v>
      </c>
      <c r="E26" s="114">
        <v>70</v>
      </c>
      <c r="F26" s="111" t="s">
        <v>139</v>
      </c>
      <c r="G26" s="112"/>
      <c r="H26" s="113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10">
        <v>1</v>
      </c>
      <c r="C27" s="111" t="s">
        <v>140</v>
      </c>
      <c r="D27" s="114">
        <v>620</v>
      </c>
      <c r="E27" s="114">
        <v>70</v>
      </c>
      <c r="F27" s="111" t="s">
        <v>139</v>
      </c>
      <c r="G27" s="112"/>
      <c r="H27" s="113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10">
        <v>1</v>
      </c>
      <c r="C28" s="111" t="s">
        <v>140</v>
      </c>
      <c r="D28" s="114">
        <v>1745</v>
      </c>
      <c r="E28" s="114">
        <v>70</v>
      </c>
      <c r="F28" s="111" t="s">
        <v>139</v>
      </c>
      <c r="G28" s="112"/>
      <c r="H28" s="113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30"/>
      <c r="C29" s="130"/>
      <c r="D29" s="131"/>
      <c r="E29" s="131"/>
      <c r="F29" s="130"/>
      <c r="G29" s="112"/>
      <c r="H29" s="132"/>
      <c r="I29" s="30"/>
      <c r="K29" s="11"/>
      <c r="L29" s="15"/>
      <c r="M29" s="11"/>
      <c r="N29" s="11"/>
      <c r="O29" s="15"/>
      <c r="P29" s="21"/>
    </row>
    <row r="30" spans="1:16" ht="18" customHeight="1" x14ac:dyDescent="0.35">
      <c r="A30" s="30"/>
      <c r="B30" s="61"/>
      <c r="C30" s="61"/>
      <c r="D30" s="62"/>
      <c r="E30" s="62"/>
      <c r="F30" s="61"/>
      <c r="G30" s="108"/>
      <c r="H30" s="109"/>
      <c r="I30" s="30"/>
      <c r="K30" s="11"/>
      <c r="L30" s="15"/>
      <c r="M30" s="11"/>
      <c r="N30" s="11"/>
      <c r="O30" s="15"/>
      <c r="P30" s="21"/>
    </row>
    <row r="31" spans="1:16" ht="13.2" customHeight="1" thickBot="1" x14ac:dyDescent="0.4">
      <c r="A31" s="30"/>
      <c r="B31" s="64"/>
      <c r="C31" s="64"/>
      <c r="D31" s="64"/>
      <c r="E31" s="64"/>
      <c r="F31" s="64"/>
      <c r="G31" s="63"/>
      <c r="H31" s="63"/>
      <c r="I31" s="30"/>
    </row>
    <row r="32" spans="1:16" ht="20.100000000000001" customHeight="1" x14ac:dyDescent="0.35">
      <c r="A32" s="30"/>
      <c r="B32" s="30"/>
      <c r="C32" s="30"/>
      <c r="D32" s="30"/>
      <c r="E32" s="30"/>
      <c r="F32" s="30"/>
      <c r="G32" s="65" t="s">
        <v>5</v>
      </c>
      <c r="H32" s="66">
        <v>230000</v>
      </c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G33" s="67" t="s">
        <v>137</v>
      </c>
      <c r="H33" s="68"/>
      <c r="I33" s="30"/>
    </row>
    <row r="34" spans="1:9" ht="20.100000000000001" customHeight="1" thickBot="1" x14ac:dyDescent="0.4">
      <c r="A34" s="30"/>
      <c r="B34" s="30"/>
      <c r="C34" s="30"/>
      <c r="D34" s="30"/>
      <c r="E34" s="30"/>
      <c r="F34" s="30"/>
      <c r="G34" s="69" t="s">
        <v>4</v>
      </c>
      <c r="H34" s="70">
        <f>H32+H33</f>
        <v>230000</v>
      </c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G35" s="71"/>
      <c r="H35" s="72"/>
      <c r="I35" s="30"/>
    </row>
    <row r="36" spans="1:9" ht="18" x14ac:dyDescent="0.35">
      <c r="A36" s="30"/>
      <c r="B36" s="30"/>
      <c r="C36" s="30"/>
      <c r="D36" s="30"/>
      <c r="E36" s="30"/>
      <c r="F36" s="30"/>
      <c r="G36" s="30"/>
      <c r="H36" s="30"/>
      <c r="I36" s="30"/>
    </row>
    <row r="37" spans="1:9" ht="18" x14ac:dyDescent="0.35">
      <c r="A37" s="30"/>
      <c r="B37" s="73" t="s">
        <v>134</v>
      </c>
      <c r="C37" s="74"/>
      <c r="D37" s="75"/>
      <c r="E37" s="75"/>
      <c r="F37" s="64"/>
      <c r="G37" s="30"/>
      <c r="H37" s="30"/>
      <c r="I37" s="30"/>
    </row>
    <row r="38" spans="1:9" ht="18" x14ac:dyDescent="0.35">
      <c r="A38" s="30"/>
      <c r="B38" s="73" t="s">
        <v>119</v>
      </c>
      <c r="C38" s="74"/>
      <c r="D38" s="75"/>
      <c r="E38" s="75"/>
      <c r="F38" s="64"/>
      <c r="G38" s="30"/>
      <c r="H38" s="30"/>
      <c r="I38" s="30"/>
    </row>
    <row r="39" spans="1:9" ht="18" x14ac:dyDescent="0.35">
      <c r="A39" s="30"/>
      <c r="B39" s="30" t="s">
        <v>23</v>
      </c>
      <c r="C39" s="30"/>
      <c r="D39" s="30"/>
      <c r="E39" s="30"/>
      <c r="F39" s="30"/>
      <c r="G39" s="30"/>
      <c r="H39" s="30"/>
      <c r="I39" s="30"/>
    </row>
    <row r="40" spans="1:9" ht="18" x14ac:dyDescent="0.35">
      <c r="A40" s="30"/>
      <c r="B40" s="76" t="s">
        <v>24</v>
      </c>
      <c r="C40" s="76"/>
      <c r="D40" s="30"/>
      <c r="E40" s="30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76"/>
      <c r="F41" s="30"/>
      <c r="G41" s="30"/>
      <c r="H41" s="30"/>
      <c r="I41" s="30"/>
    </row>
    <row r="42" spans="1:9" ht="18" x14ac:dyDescent="0.35">
      <c r="A42" s="30"/>
      <c r="B42" s="31" t="s">
        <v>131</v>
      </c>
      <c r="C42" s="31"/>
      <c r="D42" s="31"/>
      <c r="E42" s="77"/>
      <c r="F42" s="30"/>
      <c r="G42" s="30"/>
      <c r="H42" s="30"/>
      <c r="I42" s="30"/>
    </row>
    <row r="43" spans="1:9" ht="18" x14ac:dyDescent="0.35">
      <c r="A43" s="30"/>
      <c r="B43" s="31"/>
      <c r="C43" s="31"/>
      <c r="D43" s="31"/>
      <c r="E43" s="77"/>
      <c r="F43" s="30"/>
      <c r="G43" s="30"/>
      <c r="H43" s="30"/>
      <c r="I43" s="30"/>
    </row>
    <row r="44" spans="1:9" ht="18" x14ac:dyDescent="0.35">
      <c r="A44" s="30"/>
      <c r="B44" s="31" t="s">
        <v>132</v>
      </c>
      <c r="C44" s="30"/>
      <c r="D44" s="30"/>
      <c r="E44" s="76"/>
      <c r="F44" s="30"/>
      <c r="G44" s="30"/>
      <c r="H44" s="30"/>
      <c r="I44" s="30"/>
    </row>
    <row r="45" spans="1:9" ht="18" x14ac:dyDescent="0.35">
      <c r="A45" s="30"/>
      <c r="B45" s="30"/>
      <c r="C45" s="30"/>
      <c r="D45" s="30"/>
      <c r="E45" s="76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30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5.6" x14ac:dyDescent="0.3">
      <c r="C48" s="1"/>
    </row>
  </sheetData>
  <sortState xmlns:xlrd2="http://schemas.microsoft.com/office/spreadsheetml/2017/richdata2" ref="B49">
    <sortCondition sortBy="fontColor" ref="B49" dxfId="0"/>
  </sortState>
  <mergeCells count="2">
    <mergeCell ref="F16:H16"/>
    <mergeCell ref="B19:H19"/>
  </mergeCells>
  <phoneticPr fontId="8" type="noConversion"/>
  <hyperlinks>
    <hyperlink ref="B4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28</v>
      </c>
      <c r="C2" s="121"/>
      <c r="D2" s="121"/>
      <c r="E2" s="12"/>
      <c r="G2" s="121" t="s">
        <v>67</v>
      </c>
      <c r="H2" s="121"/>
      <c r="I2" s="121"/>
      <c r="P2" s="122" t="s">
        <v>55</v>
      </c>
      <c r="Q2" s="122"/>
      <c r="R2" s="122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2" t="s">
        <v>55</v>
      </c>
      <c r="M8" s="122"/>
      <c r="N8" s="122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9"/>
  <sheetViews>
    <sheetView tabSelected="1" zoomScaleNormal="100" workbookViewId="0">
      <selection sqref="A1:F54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23" t="s">
        <v>58</v>
      </c>
      <c r="L3" s="123"/>
      <c r="M3" s="123" t="s">
        <v>13</v>
      </c>
      <c r="N3" s="123"/>
    </row>
    <row r="4" spans="1:14" ht="15.75" customHeight="1" x14ac:dyDescent="0.35">
      <c r="A4" s="30"/>
      <c r="B4" s="30"/>
      <c r="C4" s="79" t="s">
        <v>25</v>
      </c>
      <c r="D4" s="80">
        <f>'4637'!G8</f>
        <v>4089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81" t="s">
        <v>64</v>
      </c>
      <c r="D5" s="82" t="str">
        <f>'4637'!C10</f>
        <v>ISABEL FARIAS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83"/>
      <c r="D6" s="84"/>
      <c r="E6" s="30"/>
      <c r="F6" s="30"/>
      <c r="G6" s="30"/>
    </row>
    <row r="7" spans="1:14" ht="18" x14ac:dyDescent="0.35">
      <c r="A7" s="30"/>
      <c r="B7" s="30"/>
      <c r="C7" s="94" t="str">
        <f>'4637'!F11</f>
        <v>FECHA LIMITE :</v>
      </c>
      <c r="D7" s="86">
        <f>'4637'!G11</f>
        <v>45485</v>
      </c>
      <c r="E7" s="30"/>
      <c r="F7" s="30" t="s">
        <v>136</v>
      </c>
      <c r="G7" s="30"/>
    </row>
    <row r="8" spans="1:14" ht="18" x14ac:dyDescent="0.35">
      <c r="A8" s="30"/>
      <c r="B8" s="30"/>
      <c r="C8" s="95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4" t="s">
        <v>58</v>
      </c>
      <c r="B10" s="124"/>
      <c r="C10" s="124"/>
      <c r="D10" s="124"/>
      <c r="E10" s="124"/>
      <c r="F10" s="124"/>
      <c r="G10" s="30"/>
    </row>
    <row r="11" spans="1:14" ht="18" x14ac:dyDescent="0.35">
      <c r="A11" s="30"/>
      <c r="B11" s="30"/>
      <c r="C11" s="96"/>
      <c r="D11" s="30"/>
      <c r="E11" s="30"/>
      <c r="F11" s="30"/>
      <c r="G11" s="30"/>
    </row>
    <row r="12" spans="1:14" ht="18" x14ac:dyDescent="0.35">
      <c r="A12" s="30"/>
      <c r="B12" s="30"/>
      <c r="C12" s="30"/>
      <c r="D12" s="71" t="s">
        <v>6</v>
      </c>
      <c r="E12" s="71" t="s">
        <v>7</v>
      </c>
      <c r="F12" s="30"/>
      <c r="G12" s="30"/>
    </row>
    <row r="13" spans="1:14" ht="18" x14ac:dyDescent="0.35">
      <c r="A13" s="71" t="s">
        <v>8</v>
      </c>
      <c r="B13" s="97" t="s">
        <v>9</v>
      </c>
      <c r="C13" s="97" t="s">
        <v>10</v>
      </c>
      <c r="D13" s="98">
        <v>50</v>
      </c>
      <c r="E13" s="98">
        <v>-2</v>
      </c>
      <c r="F13" s="97" t="s">
        <v>107</v>
      </c>
      <c r="G13" s="30"/>
      <c r="J13" s="5" t="s">
        <v>6</v>
      </c>
      <c r="K13" s="5" t="s">
        <v>7</v>
      </c>
    </row>
    <row r="14" spans="1:14" ht="18" x14ac:dyDescent="0.35">
      <c r="A14" s="107" t="s">
        <v>142</v>
      </c>
      <c r="B14" s="99">
        <f>I14</f>
        <v>4</v>
      </c>
      <c r="C14" s="99"/>
      <c r="D14" s="99">
        <f>J14+D$13</f>
        <v>620</v>
      </c>
      <c r="E14" s="99">
        <f>K14+E$13</f>
        <v>333</v>
      </c>
      <c r="F14" s="99" t="str">
        <f>C41</f>
        <v>PR6</v>
      </c>
      <c r="G14" s="30"/>
      <c r="I14" s="3">
        <f>'4637'!B21</f>
        <v>4</v>
      </c>
      <c r="J14" s="4">
        <f t="shared" ref="J14:K14" si="0">D41</f>
        <v>570</v>
      </c>
      <c r="K14" s="4">
        <f t="shared" si="0"/>
        <v>335</v>
      </c>
    </row>
    <row r="15" spans="1:14" ht="18" x14ac:dyDescent="0.35">
      <c r="A15" s="107"/>
      <c r="B15" s="99">
        <f t="shared" ref="B15:B21" si="1">I15</f>
        <v>1</v>
      </c>
      <c r="C15" s="99"/>
      <c r="D15" s="99">
        <f t="shared" ref="D15:D21" si="2">J15+D$13</f>
        <v>370</v>
      </c>
      <c r="E15" s="99">
        <f t="shared" ref="E15:E21" si="3">K15+E$13</f>
        <v>321</v>
      </c>
      <c r="F15" s="99" t="str">
        <f>C42</f>
        <v>PR6</v>
      </c>
      <c r="G15" s="30"/>
      <c r="I15" s="3">
        <f>'4637'!B22</f>
        <v>1</v>
      </c>
      <c r="J15" s="4">
        <f>D42</f>
        <v>320</v>
      </c>
      <c r="K15" s="4">
        <f>E42</f>
        <v>323</v>
      </c>
    </row>
    <row r="16" spans="1:14" ht="18" x14ac:dyDescent="0.35">
      <c r="A16" s="107"/>
      <c r="B16" s="99">
        <f t="shared" si="1"/>
        <v>1</v>
      </c>
      <c r="C16" s="99"/>
      <c r="D16" s="99">
        <f t="shared" si="2"/>
        <v>370</v>
      </c>
      <c r="E16" s="99">
        <f t="shared" si="3"/>
        <v>336</v>
      </c>
      <c r="F16" s="99" t="str">
        <f>C43</f>
        <v>PR6</v>
      </c>
      <c r="G16" s="30"/>
      <c r="I16" s="3">
        <f>'4637'!B23</f>
        <v>1</v>
      </c>
      <c r="J16" s="4">
        <f>D43</f>
        <v>320</v>
      </c>
      <c r="K16" s="4">
        <f>E43</f>
        <v>338</v>
      </c>
    </row>
    <row r="17" spans="1:11" ht="18" x14ac:dyDescent="0.35">
      <c r="A17" s="107"/>
      <c r="B17" s="99">
        <f t="shared" si="1"/>
        <v>12</v>
      </c>
      <c r="C17" s="99"/>
      <c r="D17" s="99">
        <f t="shared" si="2"/>
        <v>620</v>
      </c>
      <c r="E17" s="99">
        <v>100</v>
      </c>
      <c r="F17" s="99" t="str">
        <f>C44</f>
        <v>PR6 1 LADO</v>
      </c>
      <c r="G17" s="30"/>
      <c r="I17" s="3">
        <f>'4637'!B24</f>
        <v>12</v>
      </c>
      <c r="J17" s="4">
        <f>D44</f>
        <v>570</v>
      </c>
      <c r="K17" s="4">
        <f>E44</f>
        <v>80</v>
      </c>
    </row>
    <row r="18" spans="1:11" ht="18" x14ac:dyDescent="0.35">
      <c r="A18" s="107"/>
      <c r="B18" s="99">
        <f t="shared" si="1"/>
        <v>1</v>
      </c>
      <c r="C18" s="99"/>
      <c r="D18" s="99">
        <f t="shared" si="2"/>
        <v>1385</v>
      </c>
      <c r="E18" s="99">
        <v>100</v>
      </c>
      <c r="F18" s="99" t="str">
        <f>C45</f>
        <v>PR6 1 LADO</v>
      </c>
      <c r="G18" s="30"/>
      <c r="I18" s="3">
        <f>'4637'!B25</f>
        <v>1</v>
      </c>
      <c r="J18" s="4">
        <f>D45</f>
        <v>1335</v>
      </c>
      <c r="K18" s="4">
        <f>E45</f>
        <v>70</v>
      </c>
    </row>
    <row r="19" spans="1:11" ht="18" x14ac:dyDescent="0.35">
      <c r="A19" s="107"/>
      <c r="B19" s="99">
        <f t="shared" si="1"/>
        <v>2</v>
      </c>
      <c r="C19" s="99"/>
      <c r="D19" s="99">
        <f t="shared" si="2"/>
        <v>345</v>
      </c>
      <c r="E19" s="99">
        <v>100</v>
      </c>
      <c r="F19" s="99" t="str">
        <f>C46</f>
        <v>PR6 1 LADO</v>
      </c>
      <c r="G19" s="30"/>
      <c r="I19" s="3">
        <f>'4637'!B26</f>
        <v>2</v>
      </c>
      <c r="J19" s="4">
        <f>D46</f>
        <v>295</v>
      </c>
      <c r="K19" s="4">
        <f>E46</f>
        <v>70</v>
      </c>
    </row>
    <row r="20" spans="1:11" ht="18" x14ac:dyDescent="0.35">
      <c r="A20" s="107"/>
      <c r="B20" s="99">
        <f t="shared" si="1"/>
        <v>1</v>
      </c>
      <c r="C20" s="99"/>
      <c r="D20" s="99">
        <f t="shared" si="2"/>
        <v>670</v>
      </c>
      <c r="E20" s="99">
        <v>100</v>
      </c>
      <c r="F20" s="99" t="str">
        <f>C47</f>
        <v>PR6 1 LADO</v>
      </c>
      <c r="G20" s="30"/>
      <c r="I20" s="3">
        <f>'4637'!B27</f>
        <v>1</v>
      </c>
      <c r="J20" s="4">
        <f>D47</f>
        <v>620</v>
      </c>
      <c r="K20" s="4">
        <f>E47</f>
        <v>70</v>
      </c>
    </row>
    <row r="21" spans="1:11" ht="18" x14ac:dyDescent="0.35">
      <c r="A21" s="107"/>
      <c r="B21" s="99">
        <f t="shared" si="1"/>
        <v>1</v>
      </c>
      <c r="C21" s="99"/>
      <c r="D21" s="99">
        <f t="shared" si="2"/>
        <v>1795</v>
      </c>
      <c r="E21" s="99">
        <v>100</v>
      </c>
      <c r="F21" s="99" t="str">
        <f>C48</f>
        <v>PR6 1 LADO</v>
      </c>
      <c r="G21" s="30"/>
      <c r="I21" s="3">
        <f>'4637'!B28</f>
        <v>1</v>
      </c>
      <c r="J21" s="4">
        <f>D48</f>
        <v>1745</v>
      </c>
      <c r="K21" s="4">
        <f>E48</f>
        <v>70</v>
      </c>
    </row>
    <row r="22" spans="1:11" ht="18" x14ac:dyDescent="0.35">
      <c r="A22" s="88"/>
      <c r="B22" s="78"/>
      <c r="C22" s="78"/>
      <c r="D22" s="78"/>
      <c r="E22" s="78"/>
      <c r="F22" s="78"/>
      <c r="G22" s="30"/>
      <c r="I22" s="23"/>
      <c r="J22" s="2"/>
      <c r="K22" s="2"/>
    </row>
    <row r="23" spans="1:11" ht="6.75" customHeight="1" x14ac:dyDescent="0.35">
      <c r="A23" s="30"/>
      <c r="B23" s="30"/>
      <c r="C23" s="30"/>
      <c r="D23" s="30"/>
      <c r="E23" s="30"/>
      <c r="F23" s="30"/>
      <c r="G23" s="30"/>
    </row>
    <row r="24" spans="1:11" ht="18" x14ac:dyDescent="0.35">
      <c r="A24" s="124" t="s">
        <v>13</v>
      </c>
      <c r="B24" s="124"/>
      <c r="C24" s="124"/>
      <c r="D24" s="124"/>
      <c r="E24" s="124"/>
      <c r="F24" s="124"/>
      <c r="G24" s="30"/>
    </row>
    <row r="25" spans="1:11" ht="10.5" customHeight="1" x14ac:dyDescent="0.35">
      <c r="A25" s="30"/>
      <c r="B25" s="30"/>
      <c r="C25" s="96"/>
      <c r="D25" s="30"/>
      <c r="E25" s="30"/>
      <c r="F25" s="30"/>
      <c r="G25" s="30"/>
    </row>
    <row r="26" spans="1:11" ht="18" x14ac:dyDescent="0.35">
      <c r="A26" s="30"/>
      <c r="B26" s="30"/>
      <c r="C26" s="30"/>
      <c r="D26" s="71" t="s">
        <v>6</v>
      </c>
      <c r="E26" s="71" t="s">
        <v>7</v>
      </c>
      <c r="F26" s="30"/>
      <c r="G26" s="30"/>
    </row>
    <row r="27" spans="1:11" ht="18" x14ac:dyDescent="0.35">
      <c r="A27" s="71" t="s">
        <v>8</v>
      </c>
      <c r="B27" s="87" t="s">
        <v>9</v>
      </c>
      <c r="C27" s="87" t="s">
        <v>10</v>
      </c>
      <c r="D27" s="100">
        <v>40</v>
      </c>
      <c r="E27" s="100">
        <v>130</v>
      </c>
      <c r="F27" s="87" t="s">
        <v>107</v>
      </c>
      <c r="G27" s="30"/>
      <c r="J27" s="5" t="s">
        <v>6</v>
      </c>
      <c r="K27" s="5" t="s">
        <v>7</v>
      </c>
    </row>
    <row r="28" spans="1:11" ht="18" x14ac:dyDescent="0.35">
      <c r="A28" s="107" t="s">
        <v>142</v>
      </c>
      <c r="B28" s="101">
        <f t="shared" ref="B28" si="4">I28</f>
        <v>4</v>
      </c>
      <c r="C28" s="101"/>
      <c r="D28" s="101">
        <f>J28+D$27</f>
        <v>610</v>
      </c>
      <c r="E28" s="101">
        <f>K28+E$27</f>
        <v>465</v>
      </c>
      <c r="F28" s="101" t="str">
        <f>C41</f>
        <v>PR6</v>
      </c>
      <c r="G28" s="30"/>
      <c r="I28" s="3">
        <f>B41</f>
        <v>4</v>
      </c>
      <c r="J28" s="4">
        <f>D41</f>
        <v>570</v>
      </c>
      <c r="K28" s="4">
        <f>E41</f>
        <v>335</v>
      </c>
    </row>
    <row r="29" spans="1:11" ht="18" x14ac:dyDescent="0.35">
      <c r="A29" s="107"/>
      <c r="B29" s="101">
        <f t="shared" ref="B29:B35" si="5">I29</f>
        <v>1</v>
      </c>
      <c r="C29" s="101"/>
      <c r="D29" s="101">
        <f t="shared" ref="D29:D35" si="6">J29+D$27</f>
        <v>360</v>
      </c>
      <c r="E29" s="101">
        <f t="shared" ref="E29:E35" si="7">K29+E$27</f>
        <v>453</v>
      </c>
      <c r="F29" s="101" t="str">
        <f t="shared" ref="F29:F35" si="8">C42</f>
        <v>PR6</v>
      </c>
      <c r="G29" s="30"/>
      <c r="I29" s="3">
        <f t="shared" ref="I29:I35" si="9">B42</f>
        <v>1</v>
      </c>
      <c r="J29" s="4">
        <f t="shared" ref="J29:K29" si="10">D42</f>
        <v>320</v>
      </c>
      <c r="K29" s="4">
        <f t="shared" si="10"/>
        <v>323</v>
      </c>
    </row>
    <row r="30" spans="1:11" ht="18" x14ac:dyDescent="0.35">
      <c r="A30" s="107"/>
      <c r="B30" s="101">
        <f t="shared" si="5"/>
        <v>1</v>
      </c>
      <c r="C30" s="101"/>
      <c r="D30" s="101">
        <f t="shared" si="6"/>
        <v>360</v>
      </c>
      <c r="E30" s="101">
        <f t="shared" si="7"/>
        <v>468</v>
      </c>
      <c r="F30" s="101" t="str">
        <f t="shared" si="8"/>
        <v>PR6</v>
      </c>
      <c r="G30" s="30"/>
      <c r="I30" s="3">
        <f t="shared" si="9"/>
        <v>1</v>
      </c>
      <c r="J30" s="4">
        <f t="shared" ref="J30:K30" si="11">D43</f>
        <v>320</v>
      </c>
      <c r="K30" s="4">
        <f t="shared" si="11"/>
        <v>338</v>
      </c>
    </row>
    <row r="31" spans="1:11" ht="18" x14ac:dyDescent="0.35">
      <c r="A31" s="107"/>
      <c r="B31" s="101">
        <f t="shared" si="5"/>
        <v>12</v>
      </c>
      <c r="C31" s="101"/>
      <c r="D31" s="101">
        <f t="shared" si="6"/>
        <v>610</v>
      </c>
      <c r="E31" s="101">
        <f t="shared" si="7"/>
        <v>210</v>
      </c>
      <c r="F31" s="101" t="str">
        <f t="shared" si="8"/>
        <v>PR6 1 LADO</v>
      </c>
      <c r="G31" s="30"/>
      <c r="I31" s="3">
        <f t="shared" si="9"/>
        <v>12</v>
      </c>
      <c r="J31" s="4">
        <f t="shared" ref="J31:K31" si="12">D44</f>
        <v>570</v>
      </c>
      <c r="K31" s="4">
        <f t="shared" si="12"/>
        <v>80</v>
      </c>
    </row>
    <row r="32" spans="1:11" ht="18" x14ac:dyDescent="0.35">
      <c r="A32" s="107"/>
      <c r="B32" s="101">
        <f t="shared" si="5"/>
        <v>1</v>
      </c>
      <c r="C32" s="101"/>
      <c r="D32" s="101">
        <f t="shared" si="6"/>
        <v>1375</v>
      </c>
      <c r="E32" s="101">
        <f t="shared" si="7"/>
        <v>200</v>
      </c>
      <c r="F32" s="101" t="str">
        <f t="shared" si="8"/>
        <v>PR6 1 LADO</v>
      </c>
      <c r="G32" s="30"/>
      <c r="I32" s="3">
        <f t="shared" si="9"/>
        <v>1</v>
      </c>
      <c r="J32" s="4">
        <f t="shared" ref="J32:K32" si="13">D45</f>
        <v>1335</v>
      </c>
      <c r="K32" s="4">
        <f t="shared" si="13"/>
        <v>70</v>
      </c>
    </row>
    <row r="33" spans="1:11" ht="18" x14ac:dyDescent="0.35">
      <c r="A33" s="107"/>
      <c r="B33" s="101">
        <f t="shared" si="5"/>
        <v>2</v>
      </c>
      <c r="C33" s="101"/>
      <c r="D33" s="101">
        <f t="shared" si="6"/>
        <v>335</v>
      </c>
      <c r="E33" s="101">
        <f t="shared" si="7"/>
        <v>200</v>
      </c>
      <c r="F33" s="101" t="str">
        <f t="shared" si="8"/>
        <v>PR6 1 LADO</v>
      </c>
      <c r="G33" s="30"/>
      <c r="I33" s="3">
        <f t="shared" si="9"/>
        <v>2</v>
      </c>
      <c r="J33" s="4">
        <f t="shared" ref="J33:K33" si="14">D46</f>
        <v>295</v>
      </c>
      <c r="K33" s="4">
        <f t="shared" si="14"/>
        <v>70</v>
      </c>
    </row>
    <row r="34" spans="1:11" ht="18" x14ac:dyDescent="0.35">
      <c r="A34" s="107"/>
      <c r="B34" s="101">
        <f t="shared" si="5"/>
        <v>1</v>
      </c>
      <c r="C34" s="101"/>
      <c r="D34" s="101">
        <f t="shared" si="6"/>
        <v>660</v>
      </c>
      <c r="E34" s="101">
        <f t="shared" si="7"/>
        <v>200</v>
      </c>
      <c r="F34" s="101" t="str">
        <f t="shared" si="8"/>
        <v>PR6 1 LADO</v>
      </c>
      <c r="G34" s="30"/>
      <c r="I34" s="3">
        <f t="shared" si="9"/>
        <v>1</v>
      </c>
      <c r="J34" s="4">
        <f t="shared" ref="J34:K34" si="15">D47</f>
        <v>620</v>
      </c>
      <c r="K34" s="4">
        <f t="shared" si="15"/>
        <v>70</v>
      </c>
    </row>
    <row r="35" spans="1:11" ht="18" x14ac:dyDescent="0.35">
      <c r="A35" s="107"/>
      <c r="B35" s="101">
        <f t="shared" si="5"/>
        <v>1</v>
      </c>
      <c r="C35" s="101"/>
      <c r="D35" s="101">
        <f t="shared" si="6"/>
        <v>1785</v>
      </c>
      <c r="E35" s="101">
        <f t="shared" si="7"/>
        <v>200</v>
      </c>
      <c r="F35" s="101" t="str">
        <f t="shared" si="8"/>
        <v>PR6 1 LADO</v>
      </c>
      <c r="G35" s="30"/>
      <c r="I35" s="3">
        <f t="shared" si="9"/>
        <v>1</v>
      </c>
      <c r="J35" s="4">
        <f t="shared" ref="J35:K35" si="16">D48</f>
        <v>1745</v>
      </c>
      <c r="K35" s="4">
        <f t="shared" si="16"/>
        <v>70</v>
      </c>
    </row>
    <row r="36" spans="1:11" ht="18" x14ac:dyDescent="0.35">
      <c r="A36" s="107"/>
      <c r="B36" s="78"/>
      <c r="C36" s="78"/>
      <c r="D36" s="78"/>
      <c r="E36" s="78"/>
      <c r="F36" s="78"/>
      <c r="G36" s="30"/>
      <c r="I36" s="23"/>
      <c r="J36" s="2"/>
      <c r="K36" s="2"/>
    </row>
    <row r="37" spans="1:11" ht="18.600000000000001" thickBot="1" x14ac:dyDescent="0.4">
      <c r="A37" s="88"/>
      <c r="B37" s="78"/>
      <c r="C37" s="78"/>
      <c r="D37" s="78"/>
      <c r="E37" s="78"/>
      <c r="F37" s="78"/>
      <c r="G37" s="30"/>
      <c r="I37" s="23"/>
      <c r="J37" s="2"/>
      <c r="K37" s="2"/>
    </row>
    <row r="38" spans="1:11" ht="18.600000000000001" thickBot="1" x14ac:dyDescent="0.4">
      <c r="A38" s="71"/>
      <c r="B38" s="102" t="s">
        <v>104</v>
      </c>
      <c r="C38" s="33"/>
      <c r="D38" s="33"/>
      <c r="E38" s="33"/>
      <c r="F38" s="103"/>
      <c r="G38" s="30"/>
      <c r="I38" s="2"/>
      <c r="J38" s="2"/>
      <c r="K38" s="2"/>
    </row>
    <row r="39" spans="1:11" ht="10.5" customHeight="1" x14ac:dyDescent="0.35">
      <c r="A39" s="30"/>
      <c r="B39" s="30"/>
      <c r="C39" s="30"/>
      <c r="D39" s="30"/>
      <c r="E39" s="30"/>
      <c r="F39" s="30"/>
      <c r="G39" s="30"/>
    </row>
    <row r="40" spans="1:11" ht="18" x14ac:dyDescent="0.35">
      <c r="A40" s="71" t="s">
        <v>8</v>
      </c>
      <c r="B40" s="104" t="s">
        <v>9</v>
      </c>
      <c r="C40" s="104" t="s">
        <v>107</v>
      </c>
      <c r="D40" s="104" t="s">
        <v>6</v>
      </c>
      <c r="E40" s="104" t="s">
        <v>7</v>
      </c>
      <c r="F40" s="104" t="s">
        <v>21</v>
      </c>
      <c r="G40" s="30"/>
    </row>
    <row r="41" spans="1:11" ht="18" x14ac:dyDescent="0.35">
      <c r="A41" s="107" t="s">
        <v>142</v>
      </c>
      <c r="B41" s="99">
        <f>'4637'!B21</f>
        <v>4</v>
      </c>
      <c r="C41" s="99" t="str">
        <f>'4637'!C21</f>
        <v>PR6</v>
      </c>
      <c r="D41" s="99">
        <f>'4637'!D21</f>
        <v>570</v>
      </c>
      <c r="E41" s="99">
        <f>'4637'!E21</f>
        <v>335</v>
      </c>
      <c r="F41" s="99" t="str">
        <f>'4637'!F21</f>
        <v>NATURAL ELM 1499 MT</v>
      </c>
      <c r="G41" s="30"/>
      <c r="H41" s="28">
        <f>D41*E41/1000000</f>
        <v>0.19095000000000001</v>
      </c>
      <c r="I41" s="28">
        <f>H41*B41</f>
        <v>0.76380000000000003</v>
      </c>
    </row>
    <row r="42" spans="1:11" ht="18" x14ac:dyDescent="0.35">
      <c r="A42" s="107"/>
      <c r="B42" s="99">
        <f>'4637'!B22</f>
        <v>1</v>
      </c>
      <c r="C42" s="99" t="str">
        <f>'4637'!C22</f>
        <v>PR6</v>
      </c>
      <c r="D42" s="99">
        <f>'4637'!D22</f>
        <v>320</v>
      </c>
      <c r="E42" s="99">
        <f>'4637'!E22</f>
        <v>323</v>
      </c>
      <c r="F42" s="99" t="str">
        <f>'4637'!F22</f>
        <v>NATURAL ELM 1499 MT</v>
      </c>
      <c r="G42" s="30"/>
      <c r="H42" s="28"/>
      <c r="I42" s="28"/>
    </row>
    <row r="43" spans="1:11" ht="18" x14ac:dyDescent="0.35">
      <c r="A43" s="107"/>
      <c r="B43" s="99">
        <f>'4637'!B23</f>
        <v>1</v>
      </c>
      <c r="C43" s="99" t="str">
        <f>'4637'!C23</f>
        <v>PR6</v>
      </c>
      <c r="D43" s="99">
        <f>'4637'!D23</f>
        <v>320</v>
      </c>
      <c r="E43" s="99">
        <f>'4637'!E23</f>
        <v>338</v>
      </c>
      <c r="F43" s="99" t="str">
        <f>'4637'!F23</f>
        <v>NATURAL ELM 1499 MT</v>
      </c>
      <c r="G43" s="30"/>
      <c r="H43" s="28"/>
      <c r="I43" s="28"/>
    </row>
    <row r="44" spans="1:11" ht="18" x14ac:dyDescent="0.35">
      <c r="A44" s="107"/>
      <c r="B44" s="99">
        <f>'4637'!B24</f>
        <v>12</v>
      </c>
      <c r="C44" s="99" t="str">
        <f>'4637'!C24</f>
        <v>PR6 1 LADO</v>
      </c>
      <c r="D44" s="99">
        <f>'4637'!D24</f>
        <v>570</v>
      </c>
      <c r="E44" s="99">
        <f>'4637'!E24</f>
        <v>80</v>
      </c>
      <c r="F44" s="99" t="str">
        <f>'4637'!F24</f>
        <v>NATURAL ELM 1499 MT</v>
      </c>
      <c r="G44" s="30"/>
      <c r="H44" s="28"/>
      <c r="I44" s="28"/>
    </row>
    <row r="45" spans="1:11" ht="18" x14ac:dyDescent="0.35">
      <c r="A45" s="107"/>
      <c r="B45" s="99">
        <f>'4637'!B25</f>
        <v>1</v>
      </c>
      <c r="C45" s="99" t="str">
        <f>'4637'!C25</f>
        <v>PR6 1 LADO</v>
      </c>
      <c r="D45" s="99">
        <f>'4637'!D25</f>
        <v>1335</v>
      </c>
      <c r="E45" s="99">
        <f>'4637'!E25</f>
        <v>70</v>
      </c>
      <c r="F45" s="99" t="str">
        <f>'4637'!F25</f>
        <v>NATURAL ELM 1499 MT</v>
      </c>
      <c r="G45" s="30"/>
      <c r="H45" s="28"/>
      <c r="I45" s="28"/>
    </row>
    <row r="46" spans="1:11" ht="18" x14ac:dyDescent="0.35">
      <c r="A46" s="107"/>
      <c r="B46" s="99">
        <f>'4637'!B26</f>
        <v>2</v>
      </c>
      <c r="C46" s="99" t="str">
        <f>'4637'!C26</f>
        <v>PR6 1 LADO</v>
      </c>
      <c r="D46" s="99">
        <f>'4637'!D26</f>
        <v>295</v>
      </c>
      <c r="E46" s="99">
        <f>'4637'!E26</f>
        <v>70</v>
      </c>
      <c r="F46" s="99" t="str">
        <f>'4637'!F26</f>
        <v>NATURAL ELM 1499 MT</v>
      </c>
      <c r="G46" s="30"/>
      <c r="H46" s="28"/>
      <c r="I46" s="28"/>
    </row>
    <row r="47" spans="1:11" ht="18" x14ac:dyDescent="0.35">
      <c r="A47" s="107"/>
      <c r="B47" s="99">
        <f>'4637'!B27</f>
        <v>1</v>
      </c>
      <c r="C47" s="99" t="str">
        <f>'4637'!C27</f>
        <v>PR6 1 LADO</v>
      </c>
      <c r="D47" s="99">
        <f>'4637'!D27</f>
        <v>620</v>
      </c>
      <c r="E47" s="99">
        <f>'4637'!E27</f>
        <v>70</v>
      </c>
      <c r="F47" s="99" t="str">
        <f>'4637'!F27</f>
        <v>NATURAL ELM 1499 MT</v>
      </c>
      <c r="G47" s="30"/>
      <c r="H47" s="28"/>
      <c r="I47" s="28"/>
    </row>
    <row r="48" spans="1:11" ht="18" x14ac:dyDescent="0.35">
      <c r="A48" s="107"/>
      <c r="B48" s="99">
        <f>'4637'!B28</f>
        <v>1</v>
      </c>
      <c r="C48" s="99" t="str">
        <f>'4637'!C28</f>
        <v>PR6 1 LADO</v>
      </c>
      <c r="D48" s="99">
        <f>'4637'!D28</f>
        <v>1745</v>
      </c>
      <c r="E48" s="99">
        <f>'4637'!E28</f>
        <v>70</v>
      </c>
      <c r="F48" s="99" t="str">
        <f>'4637'!F28</f>
        <v>NATURAL ELM 1499 MT</v>
      </c>
      <c r="G48" s="30"/>
      <c r="H48" s="28"/>
      <c r="I48" s="28"/>
    </row>
    <row r="49" spans="1:9" ht="18" x14ac:dyDescent="0.35">
      <c r="A49" s="30"/>
      <c r="B49" s="78"/>
      <c r="C49" s="78"/>
      <c r="D49" s="78"/>
      <c r="E49" s="78"/>
      <c r="F49" s="78"/>
      <c r="G49" s="30"/>
    </row>
    <row r="50" spans="1:9" ht="18" x14ac:dyDescent="0.35">
      <c r="A50" s="30"/>
      <c r="B50" s="78"/>
      <c r="C50" s="78"/>
      <c r="D50" s="78"/>
      <c r="E50" s="78"/>
      <c r="F50" s="78"/>
      <c r="G50" s="30"/>
      <c r="I50" s="28">
        <f>SUM(I41:I41)*2</f>
        <v>1.5276000000000001</v>
      </c>
    </row>
    <row r="51" spans="1:9" ht="18" x14ac:dyDescent="0.35">
      <c r="A51" s="30"/>
      <c r="B51" s="78"/>
      <c r="C51" s="78"/>
      <c r="D51" s="78"/>
      <c r="E51" s="78"/>
      <c r="F51" s="78"/>
      <c r="G51" s="30"/>
    </row>
    <row r="52" spans="1:9" ht="18" x14ac:dyDescent="0.35">
      <c r="A52" s="30"/>
      <c r="B52" s="78"/>
      <c r="C52" s="78"/>
      <c r="D52" s="78"/>
      <c r="E52" s="78"/>
      <c r="F52" s="78"/>
      <c r="G52" s="30"/>
    </row>
    <row r="53" spans="1:9" ht="18" x14ac:dyDescent="0.35">
      <c r="A53" s="30"/>
      <c r="B53" s="78"/>
      <c r="C53" s="78"/>
      <c r="D53" s="78"/>
      <c r="E53" s="78"/>
      <c r="F53" s="78"/>
      <c r="G53" s="30"/>
    </row>
    <row r="54" spans="1:9" ht="18" x14ac:dyDescent="0.35">
      <c r="A54" s="30"/>
      <c r="B54" s="78"/>
      <c r="C54" s="78"/>
      <c r="D54" s="78"/>
      <c r="E54" s="78"/>
      <c r="F54" s="78"/>
      <c r="G54" s="30"/>
    </row>
    <row r="55" spans="1:9" ht="18" x14ac:dyDescent="0.35">
      <c r="A55" s="30"/>
      <c r="B55" s="78"/>
      <c r="C55" s="78"/>
      <c r="D55" s="78"/>
      <c r="E55" s="78"/>
      <c r="F55" s="78"/>
      <c r="G55" s="30"/>
    </row>
    <row r="56" spans="1:9" ht="18" x14ac:dyDescent="0.35">
      <c r="A56" s="30"/>
      <c r="B56" s="78"/>
      <c r="C56" s="78"/>
      <c r="D56" s="78"/>
      <c r="E56" s="78"/>
      <c r="F56" s="78"/>
      <c r="G56" s="30"/>
    </row>
    <row r="57" spans="1:9" ht="18" x14ac:dyDescent="0.35">
      <c r="A57" s="30"/>
      <c r="B57" s="78"/>
      <c r="C57" s="78"/>
      <c r="D57" s="78"/>
      <c r="E57" s="78"/>
      <c r="F57" s="78"/>
      <c r="G57" s="30"/>
    </row>
    <row r="58" spans="1:9" ht="18" x14ac:dyDescent="0.35">
      <c r="A58" s="30"/>
      <c r="B58" s="30"/>
      <c r="C58" s="30"/>
      <c r="D58" s="30"/>
      <c r="E58" s="30"/>
      <c r="F58" s="30"/>
      <c r="G58" s="30"/>
    </row>
    <row r="59" spans="1:9" ht="18" x14ac:dyDescent="0.35">
      <c r="A59" s="30"/>
      <c r="B59" s="30"/>
      <c r="C59" s="79" t="s">
        <v>25</v>
      </c>
      <c r="D59" s="80">
        <f>'4637'!G8</f>
        <v>4089</v>
      </c>
      <c r="E59" s="30"/>
      <c r="F59" s="30"/>
      <c r="G59" s="30"/>
    </row>
    <row r="60" spans="1:9" ht="17.25" customHeight="1" x14ac:dyDescent="0.35">
      <c r="A60" s="30"/>
      <c r="B60" s="30"/>
      <c r="C60" s="81" t="s">
        <v>64</v>
      </c>
      <c r="D60" s="82" t="str">
        <f>'4637'!C10</f>
        <v>ISABEL FARIAS</v>
      </c>
      <c r="E60" s="48"/>
      <c r="F60" s="48"/>
      <c r="G60" s="30"/>
    </row>
    <row r="61" spans="1:9" ht="4.5" customHeight="1" x14ac:dyDescent="0.35">
      <c r="A61" s="30"/>
      <c r="B61" s="30"/>
      <c r="C61" s="83"/>
      <c r="D61" s="84"/>
      <c r="E61" s="30"/>
      <c r="F61" s="30"/>
      <c r="G61" s="30"/>
    </row>
    <row r="62" spans="1:9" ht="18" x14ac:dyDescent="0.35">
      <c r="A62" s="30"/>
      <c r="B62" s="30"/>
      <c r="C62" s="85" t="str">
        <f>'4637'!F11</f>
        <v>FECHA LIMITE :</v>
      </c>
      <c r="D62" s="86">
        <f>'4637'!G11</f>
        <v>45485</v>
      </c>
      <c r="E62" s="30"/>
      <c r="F62" s="30"/>
      <c r="G62" s="30"/>
    </row>
    <row r="63" spans="1:9" ht="18" x14ac:dyDescent="0.35">
      <c r="A63" s="30"/>
      <c r="B63" s="30"/>
      <c r="C63" s="30"/>
      <c r="D63" s="30"/>
      <c r="E63" s="30"/>
      <c r="F63" s="30" t="s">
        <v>136</v>
      </c>
      <c r="G63" s="30"/>
    </row>
    <row r="64" spans="1:9" ht="18" x14ac:dyDescent="0.35">
      <c r="A64" s="30"/>
      <c r="B64" s="30"/>
      <c r="C64" s="30"/>
      <c r="D64" s="30"/>
      <c r="E64" s="30"/>
      <c r="F64" s="30"/>
      <c r="G64" s="30"/>
    </row>
    <row r="65" spans="1:12" ht="18" x14ac:dyDescent="0.35">
      <c r="A65" s="125" t="s">
        <v>65</v>
      </c>
      <c r="B65" s="125"/>
      <c r="C65" s="125"/>
      <c r="D65" s="125"/>
      <c r="E65" s="125"/>
      <c r="F65" s="125"/>
      <c r="G65" s="30"/>
    </row>
    <row r="66" spans="1:12" ht="18" x14ac:dyDescent="0.35">
      <c r="A66" s="30"/>
      <c r="B66" s="30"/>
      <c r="C66" s="30"/>
      <c r="D66" s="30"/>
      <c r="E66" s="30"/>
      <c r="F66" s="30"/>
      <c r="G66" s="30"/>
    </row>
    <row r="67" spans="1:12" ht="20.100000000000001" customHeight="1" x14ac:dyDescent="0.35">
      <c r="A67" s="30"/>
      <c r="B67" s="126" t="s">
        <v>66</v>
      </c>
      <c r="C67" s="127"/>
      <c r="D67" s="128"/>
      <c r="E67" s="128"/>
      <c r="F67" s="129"/>
      <c r="G67" s="30"/>
      <c r="H67" s="25" t="s">
        <v>130</v>
      </c>
    </row>
    <row r="68" spans="1:12" s="10" customFormat="1" ht="20.100000000000001" customHeight="1" x14ac:dyDescent="0.35">
      <c r="A68" s="30"/>
      <c r="B68" s="89" t="s">
        <v>9</v>
      </c>
      <c r="C68" s="90" t="s">
        <v>10</v>
      </c>
      <c r="D68" s="93" t="s">
        <v>6</v>
      </c>
      <c r="E68" s="93" t="s">
        <v>7</v>
      </c>
      <c r="F68" s="91" t="s">
        <v>11</v>
      </c>
      <c r="G68" s="30"/>
      <c r="J68" s="10">
        <v>15000</v>
      </c>
    </row>
    <row r="69" spans="1:12" s="10" customFormat="1" ht="20.100000000000001" customHeight="1" x14ac:dyDescent="0.35">
      <c r="A69" s="106" t="s">
        <v>141</v>
      </c>
      <c r="B69" s="101">
        <f>'4637'!B21</f>
        <v>4</v>
      </c>
      <c r="C69" s="101" t="str">
        <f>'4637'!C21</f>
        <v>PR6</v>
      </c>
      <c r="D69" s="105">
        <f>'4637'!D21</f>
        <v>570</v>
      </c>
      <c r="E69" s="105">
        <f>'4637'!E21</f>
        <v>335</v>
      </c>
      <c r="F69" s="101" t="str">
        <f>'4637'!F21</f>
        <v>NATURAL ELM 1499 MT</v>
      </c>
      <c r="G69" s="30"/>
      <c r="H69" s="10">
        <f>D69*E69/1000000</f>
        <v>0.19095000000000001</v>
      </c>
      <c r="I69" s="10">
        <f>H69*B69</f>
        <v>0.76380000000000003</v>
      </c>
      <c r="J69" s="26">
        <f>I69*J$68</f>
        <v>11457</v>
      </c>
      <c r="L69" s="24">
        <v>12096</v>
      </c>
    </row>
    <row r="70" spans="1:12" s="10" customFormat="1" ht="20.100000000000001" customHeight="1" x14ac:dyDescent="0.35">
      <c r="A70" s="106"/>
      <c r="B70" s="101">
        <f>'4637'!B22</f>
        <v>1</v>
      </c>
      <c r="C70" s="101" t="str">
        <f>'4637'!C22</f>
        <v>PR6</v>
      </c>
      <c r="D70" s="105">
        <f>'4637'!D22</f>
        <v>320</v>
      </c>
      <c r="E70" s="105">
        <f>'4637'!E22</f>
        <v>323</v>
      </c>
      <c r="F70" s="101" t="str">
        <f>'4637'!F22</f>
        <v>NATURAL ELM 1499 MT</v>
      </c>
      <c r="G70" s="30"/>
      <c r="J70" s="26"/>
      <c r="L70" s="29"/>
    </row>
    <row r="71" spans="1:12" s="10" customFormat="1" ht="20.100000000000001" customHeight="1" x14ac:dyDescent="0.35">
      <c r="A71" s="106"/>
      <c r="B71" s="101">
        <f>'4637'!B23</f>
        <v>1</v>
      </c>
      <c r="C71" s="101" t="str">
        <f>'4637'!C23</f>
        <v>PR6</v>
      </c>
      <c r="D71" s="105">
        <f>'4637'!D23</f>
        <v>320</v>
      </c>
      <c r="E71" s="105">
        <f>'4637'!E23</f>
        <v>338</v>
      </c>
      <c r="F71" s="101" t="str">
        <f>'4637'!F23</f>
        <v>NATURAL ELM 1499 MT</v>
      </c>
      <c r="G71" s="30"/>
      <c r="J71" s="26"/>
      <c r="L71" s="29"/>
    </row>
    <row r="72" spans="1:12" s="10" customFormat="1" ht="20.100000000000001" customHeight="1" x14ac:dyDescent="0.35">
      <c r="A72" s="106"/>
      <c r="B72" s="101">
        <f>'4637'!B24</f>
        <v>12</v>
      </c>
      <c r="C72" s="101" t="str">
        <f>'4637'!C24</f>
        <v>PR6 1 LADO</v>
      </c>
      <c r="D72" s="105">
        <f>'4637'!D24</f>
        <v>570</v>
      </c>
      <c r="E72" s="105">
        <f>'4637'!E24</f>
        <v>80</v>
      </c>
      <c r="F72" s="101" t="str">
        <f>'4637'!F24</f>
        <v>NATURAL ELM 1499 MT</v>
      </c>
      <c r="G72" s="30"/>
      <c r="J72" s="26"/>
      <c r="L72" s="29"/>
    </row>
    <row r="73" spans="1:12" s="10" customFormat="1" ht="20.100000000000001" customHeight="1" x14ac:dyDescent="0.35">
      <c r="A73" s="106"/>
      <c r="B73" s="101">
        <f>'4637'!B25</f>
        <v>1</v>
      </c>
      <c r="C73" s="101" t="str">
        <f>'4637'!C25</f>
        <v>PR6 1 LADO</v>
      </c>
      <c r="D73" s="105">
        <f>'4637'!D25</f>
        <v>1335</v>
      </c>
      <c r="E73" s="105">
        <f>'4637'!E25</f>
        <v>70</v>
      </c>
      <c r="F73" s="101" t="str">
        <f>'4637'!F25</f>
        <v>NATURAL ELM 1499 MT</v>
      </c>
      <c r="G73" s="30"/>
      <c r="J73" s="26"/>
      <c r="L73" s="29"/>
    </row>
    <row r="74" spans="1:12" s="10" customFormat="1" ht="20.100000000000001" customHeight="1" x14ac:dyDescent="0.35">
      <c r="A74" s="106"/>
      <c r="B74" s="101">
        <f>'4637'!B26</f>
        <v>2</v>
      </c>
      <c r="C74" s="101" t="str">
        <f>'4637'!C26</f>
        <v>PR6 1 LADO</v>
      </c>
      <c r="D74" s="105">
        <f>'4637'!D26</f>
        <v>295</v>
      </c>
      <c r="E74" s="105">
        <f>'4637'!E26</f>
        <v>70</v>
      </c>
      <c r="F74" s="101" t="str">
        <f>'4637'!F26</f>
        <v>NATURAL ELM 1499 MT</v>
      </c>
      <c r="G74" s="30"/>
      <c r="J74" s="26"/>
      <c r="L74" s="29"/>
    </row>
    <row r="75" spans="1:12" s="10" customFormat="1" ht="20.100000000000001" customHeight="1" x14ac:dyDescent="0.35">
      <c r="A75" s="106"/>
      <c r="B75" s="101">
        <f>'4637'!B27</f>
        <v>1</v>
      </c>
      <c r="C75" s="101" t="str">
        <f>'4637'!C27</f>
        <v>PR6 1 LADO</v>
      </c>
      <c r="D75" s="105">
        <f>'4637'!D27</f>
        <v>620</v>
      </c>
      <c r="E75" s="105">
        <f>'4637'!E27</f>
        <v>70</v>
      </c>
      <c r="F75" s="101" t="str">
        <f>'4637'!F27</f>
        <v>NATURAL ELM 1499 MT</v>
      </c>
      <c r="G75" s="30"/>
      <c r="J75" s="26"/>
      <c r="L75" s="29"/>
    </row>
    <row r="76" spans="1:12" s="10" customFormat="1" ht="20.100000000000001" customHeight="1" x14ac:dyDescent="0.35">
      <c r="A76" s="106"/>
      <c r="B76" s="101">
        <f>'4637'!B28</f>
        <v>1</v>
      </c>
      <c r="C76" s="101" t="str">
        <f>'4637'!C28</f>
        <v>PR6 1 LADO</v>
      </c>
      <c r="D76" s="105">
        <f>'4637'!D28</f>
        <v>1745</v>
      </c>
      <c r="E76" s="105">
        <f>'4637'!E28</f>
        <v>70</v>
      </c>
      <c r="F76" s="101" t="str">
        <f>'4637'!F28</f>
        <v>NATURAL ELM 1499 MT</v>
      </c>
      <c r="G76" s="30"/>
      <c r="J76" s="26"/>
      <c r="L76" s="29"/>
    </row>
    <row r="77" spans="1:12" s="10" customFormat="1" ht="15" customHeight="1" x14ac:dyDescent="0.35">
      <c r="A77" s="88"/>
      <c r="B77" s="71"/>
      <c r="C77" s="71"/>
      <c r="D77" s="71"/>
      <c r="E77" s="71"/>
      <c r="F77" s="71"/>
      <c r="G77" s="30"/>
      <c r="J77" s="26"/>
      <c r="L77" s="29"/>
    </row>
    <row r="78" spans="1:12" s="10" customFormat="1" ht="15" customHeight="1" x14ac:dyDescent="0.35">
      <c r="A78" s="88"/>
      <c r="B78" s="71"/>
      <c r="C78" s="71"/>
      <c r="D78" s="71"/>
      <c r="E78" s="71"/>
      <c r="F78" s="71"/>
      <c r="G78" s="30"/>
    </row>
    <row r="79" spans="1:12" ht="18" x14ac:dyDescent="0.35">
      <c r="A79" s="78"/>
      <c r="B79" s="78"/>
      <c r="C79" s="30"/>
      <c r="D79" s="78"/>
      <c r="E79" s="78"/>
      <c r="F79" s="83"/>
      <c r="G79" s="30"/>
    </row>
    <row r="80" spans="1:12" ht="18" x14ac:dyDescent="0.35">
      <c r="A80" s="78"/>
      <c r="B80" s="78"/>
      <c r="C80" s="30"/>
      <c r="D80" s="78"/>
      <c r="E80" s="78"/>
      <c r="F80" s="78"/>
      <c r="G80" s="30"/>
      <c r="I80" s="10">
        <f>SUM(I69:I69)</f>
        <v>0.76380000000000003</v>
      </c>
      <c r="J80" s="27">
        <f>SUM(J69:J69)</f>
        <v>11457</v>
      </c>
    </row>
    <row r="81" spans="1:7" ht="18" x14ac:dyDescent="0.35">
      <c r="A81" s="30"/>
      <c r="B81" s="30"/>
      <c r="C81" s="30"/>
      <c r="D81" s="30"/>
      <c r="E81" s="30"/>
      <c r="F81" s="30"/>
      <c r="G81" s="30"/>
    </row>
    <row r="82" spans="1:7" ht="18" x14ac:dyDescent="0.35">
      <c r="A82" s="30"/>
      <c r="B82" s="30"/>
      <c r="C82" s="30"/>
      <c r="D82" s="30"/>
      <c r="E82" s="30"/>
      <c r="F82" s="30"/>
      <c r="G82" s="30"/>
    </row>
    <row r="83" spans="1:7" ht="18" x14ac:dyDescent="0.35">
      <c r="A83" s="30"/>
      <c r="B83" s="30"/>
      <c r="C83" s="30"/>
      <c r="D83" s="30"/>
      <c r="E83" s="30"/>
      <c r="F83" s="30"/>
      <c r="G83" s="30"/>
    </row>
    <row r="84" spans="1:7" ht="15" customHeight="1" x14ac:dyDescent="0.35">
      <c r="A84" s="30"/>
      <c r="B84" s="30"/>
      <c r="C84" s="30"/>
      <c r="D84" s="30"/>
      <c r="E84" s="30"/>
      <c r="F84" s="30"/>
      <c r="G84" s="30"/>
    </row>
    <row r="85" spans="1:7" ht="18" x14ac:dyDescent="0.35">
      <c r="A85" s="30"/>
      <c r="B85" s="30"/>
      <c r="C85" s="30"/>
      <c r="D85" s="30"/>
      <c r="E85" s="30"/>
      <c r="F85" s="30"/>
      <c r="G85" s="30"/>
    </row>
    <row r="86" spans="1:7" ht="18" x14ac:dyDescent="0.35">
      <c r="A86" s="78"/>
      <c r="B86" s="92"/>
      <c r="C86" s="30"/>
      <c r="D86" s="30"/>
      <c r="E86" s="30"/>
      <c r="F86" s="30"/>
      <c r="G86" s="30"/>
    </row>
    <row r="87" spans="1:7" ht="18" x14ac:dyDescent="0.35">
      <c r="A87" s="30"/>
      <c r="B87" s="30"/>
      <c r="C87" s="30"/>
      <c r="D87" s="30"/>
      <c r="E87" s="30"/>
      <c r="F87" s="30"/>
      <c r="G87" s="30"/>
    </row>
    <row r="88" spans="1:7" x14ac:dyDescent="0.3">
      <c r="B88" s="14"/>
      <c r="C88" s="14"/>
      <c r="E88" s="14"/>
      <c r="F88" s="14"/>
    </row>
    <row r="89" spans="1:7" x14ac:dyDescent="0.3">
      <c r="B89" s="14"/>
      <c r="C89" s="14"/>
      <c r="E89" s="14"/>
      <c r="F89" s="14"/>
    </row>
  </sheetData>
  <mergeCells count="6">
    <mergeCell ref="M3:N3"/>
    <mergeCell ref="A24:F24"/>
    <mergeCell ref="A10:F10"/>
    <mergeCell ref="A65:F65"/>
    <mergeCell ref="B67:F67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2024-07-09T14:02:20Z</cp:lastPrinted>
  <dcterms:created xsi:type="dcterms:W3CDTF">2013-03-19T12:54:14Z</dcterms:created>
  <dcterms:modified xsi:type="dcterms:W3CDTF">2024-07-09T14:02:33Z</dcterms:modified>
</cp:coreProperties>
</file>