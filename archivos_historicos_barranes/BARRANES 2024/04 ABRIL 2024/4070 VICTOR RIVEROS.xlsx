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if\Dropbox\PC\Desktop\POSTFORMADO 2020\BARRANES\BARRANES\12 DICIEMBRE 2023\"/>
    </mc:Choice>
  </mc:AlternateContent>
  <xr:revisionPtr revIDLastSave="0" documentId="13_ncr:1_{B245AC54-AFF4-4D13-823C-79853DC386B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'4637'!$B$1:$H$41</definedName>
    <definedName name="_xlnm.Print_Area" localSheetId="2">CUBIERTA!$A$42:$F$73</definedName>
  </definedNames>
  <calcPr calcId="191029"/>
</workbook>
</file>

<file path=xl/calcChain.xml><?xml version="1.0" encoding="utf-8"?>
<calcChain xmlns="http://schemas.openxmlformats.org/spreadsheetml/2006/main">
  <c r="B33" i="3" l="1"/>
  <c r="C33" i="3"/>
  <c r="D33" i="3"/>
  <c r="E33" i="3"/>
  <c r="F33" i="3"/>
  <c r="B34" i="3"/>
  <c r="C34" i="3"/>
  <c r="D34" i="3"/>
  <c r="E34" i="3"/>
  <c r="F34" i="3"/>
  <c r="B35" i="3"/>
  <c r="C35" i="3"/>
  <c r="D35" i="3"/>
  <c r="E35" i="3"/>
  <c r="F35" i="3"/>
  <c r="B57" i="3"/>
  <c r="C57" i="3"/>
  <c r="D57" i="3"/>
  <c r="E57" i="3"/>
  <c r="F57" i="3"/>
  <c r="B58" i="3"/>
  <c r="C58" i="3"/>
  <c r="D58" i="3"/>
  <c r="E58" i="3"/>
  <c r="F58" i="3"/>
  <c r="B59" i="3"/>
  <c r="C59" i="3"/>
  <c r="D59" i="3"/>
  <c r="E59" i="3"/>
  <c r="F59" i="3"/>
  <c r="K26" i="3" l="1"/>
  <c r="E26" i="3" s="1"/>
  <c r="K17" i="3"/>
  <c r="E17" i="3" s="1"/>
  <c r="J26" i="3"/>
  <c r="D26" i="3" s="1"/>
  <c r="J17" i="3"/>
  <c r="D17" i="3" s="1"/>
  <c r="F26" i="3"/>
  <c r="F17" i="3"/>
  <c r="I26" i="3"/>
  <c r="B26" i="3" s="1"/>
  <c r="I17" i="3"/>
  <c r="B17" i="3" s="1"/>
  <c r="K25" i="3"/>
  <c r="E25" i="3" s="1"/>
  <c r="K16" i="3"/>
  <c r="E16" i="3" s="1"/>
  <c r="J25" i="3"/>
  <c r="D25" i="3" s="1"/>
  <c r="J16" i="3"/>
  <c r="D16" i="3" s="1"/>
  <c r="F25" i="3"/>
  <c r="F16" i="3"/>
  <c r="I25" i="3"/>
  <c r="B25" i="3" s="1"/>
  <c r="I16" i="3"/>
  <c r="B16" i="3" s="1"/>
  <c r="K24" i="3"/>
  <c r="E24" i="3" s="1"/>
  <c r="K15" i="3"/>
  <c r="E15" i="3" s="1"/>
  <c r="J24" i="3"/>
  <c r="D24" i="3" s="1"/>
  <c r="J15" i="3"/>
  <c r="D15" i="3" s="1"/>
  <c r="F24" i="3"/>
  <c r="F15" i="3"/>
  <c r="I24" i="3"/>
  <c r="B24" i="3" s="1"/>
  <c r="I15" i="3"/>
  <c r="B15" i="3" s="1"/>
  <c r="H22" i="4"/>
  <c r="H23" i="4"/>
  <c r="H21" i="4" l="1"/>
  <c r="H27" i="4" s="1"/>
  <c r="I28" i="3" l="1"/>
  <c r="J28" i="3"/>
  <c r="K28" i="3"/>
  <c r="E50" i="3" a="1"/>
  <c r="E50" i="3" s="1"/>
  <c r="L21" i="4" l="1"/>
  <c r="K21" i="4"/>
  <c r="H29" i="4" l="1"/>
  <c r="M21" i="4"/>
  <c r="N21" i="4" s="1"/>
  <c r="B32" i="3" l="1"/>
  <c r="I23" i="3" s="1"/>
  <c r="B23" i="3" s="1"/>
  <c r="C32" i="3"/>
  <c r="F23" i="3" s="1"/>
  <c r="D32" i="3"/>
  <c r="E32" i="3"/>
  <c r="K23" i="3" s="1"/>
  <c r="E23" i="3" s="1"/>
  <c r="F32" i="3"/>
  <c r="B56" i="3"/>
  <c r="C56" i="3"/>
  <c r="D56" i="3"/>
  <c r="E56" i="3"/>
  <c r="F56" i="3"/>
  <c r="H32" i="3" l="1"/>
  <c r="I32" i="3" s="1"/>
  <c r="J23" i="3"/>
  <c r="D23" i="3" s="1"/>
  <c r="H56" i="3"/>
  <c r="I56" i="3" s="1"/>
  <c r="J14" i="3"/>
  <c r="D14" i="3" s="1"/>
  <c r="I14" i="3"/>
  <c r="B14" i="3" s="1"/>
  <c r="F14" i="3"/>
  <c r="K14" i="3"/>
  <c r="E14" i="3" s="1"/>
  <c r="I62" i="3" l="1"/>
  <c r="I37" i="3"/>
  <c r="J56" i="3"/>
  <c r="N5" i="3"/>
  <c r="J62" i="3" l="1"/>
  <c r="M5" i="3"/>
  <c r="L5" i="3"/>
  <c r="K5" i="3"/>
  <c r="C48" i="3" l="1"/>
  <c r="C7" i="3"/>
  <c r="D46" i="3"/>
  <c r="D5" i="3"/>
  <c r="D45" i="3"/>
  <c r="D4" i="3"/>
  <c r="F50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<sst xmlns="http://schemas.openxmlformats.org/spreadsheetml/2006/main" count="256" uniqueCount="145">
  <si>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</si>
  <si>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</si>
  <si>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</si>
  <si>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</si>
  <si>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</si>
  <si>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</si>
  <si>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</si>
  <si>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</si>
  <si>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</si>
  <si>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</si>
  <si>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</si>
  <si>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</si>
  <si>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</si>
  <si>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</si>
  <si>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</si>
  <si>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</si>
  <si>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</si>
  <si>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</si>
  <si>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</si>
  <si>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</si>
  <si>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</si>
  <si>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</si>
  <si>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</si>
  <si>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</si>
  <si>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</si>
  <si>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</si>
  <si>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</si>
  <si>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</si>
  <si>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</si>
  <si>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</si>
  <si>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</si>
  <si>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</si>
  <si>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</si>
  <si>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</si>
  <si>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</si>
  <si>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</si>
  <si>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</si>
  <si>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</si>
  <si>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</si>
  <si>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</si>
  <si>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</si>
  <si>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</si>
  <si>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</si>
  <si>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</si>
  <si>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</si>
  <si>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</si>
  <si>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</si>
  <si>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</si>
  <si>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</si>
  <si>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</si>
  <si>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</si>
  <si>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</si>
  <si>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</si>
  <si>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</si>
  <si>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</si>
  <si>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</si>
  <si>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</si>
  <si>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</si>
  <si>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</si>
  <si>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</si>
  <si>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</si>
  <si>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</si>
  <si>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</si>
  <si>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</si>
  <si>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</si>
  <si>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</si>
  <si>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</si>
  <si>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</si>
  <si>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</si>
  <si>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</si>
  <si>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</si>
  <si>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</si>
  <si>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</si>
  <si>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</si>
  <si>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</si>
  <si>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</si>
  <si>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</si>
  <si>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</si>
  <si>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</si>
  <si>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</si>
  <si>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</si>
  <si>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</si>
  <si>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</si>
  <si>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</si>
  <si>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</si>
  <si>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</si>
  <si>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</si>
  <si>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</si>
  <si>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</si>
  <si>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</si>
  <si>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</si>
  <si>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</si>
  <si>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</si>
  <si>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</si>
  <si>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</si>
  <si>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</si>
  <si>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</si>
  <si>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</si>
  <si>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</si>
  <si>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</si>
  <si>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</si>
  <si>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</si>
  <si>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</si>
  <si>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</si>
  <si>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</si>
  <si>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</si>
  <si>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</si>
  <si>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</si>
  <si>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</si>
  <si>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</si>
  <si>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</si>
  <si>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</si>
  <si>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</si>
  <si>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</si>
  <si>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</si>
  <si>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</si>
  <si>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</si>
  <si>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</si>
  <si>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</si>
  <si>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</si>
  <si>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</si>
  <si>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</si>
  <si>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</si>
  <si>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</si>
  <si>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</si>
  <si>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</si>
  <si>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</si>
  <si>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</si>
  <si>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</si>
  <si>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</si>
  <si>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</si>
  <si>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</si>
  <si>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</si>
  <si>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</si>
  <si>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</si>
  <si>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HECHO POR: MJ </t>
  </si>
  <si>
    <t xml:space="preserve">OBRA: </t>
  </si>
  <si>
    <t>MJ</t>
  </si>
  <si>
    <t xml:space="preserve">MDF 18 MM </t>
  </si>
  <si>
    <t xml:space="preserve">SANTIAGO </t>
  </si>
  <si>
    <t>N°10487</t>
  </si>
  <si>
    <t>VICTOR RIVERO</t>
  </si>
  <si>
    <t>+56958788293</t>
  </si>
  <si>
    <t>FRENTE CAJON R2</t>
  </si>
  <si>
    <t>CHUMBO PP-185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</si>
</sst>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5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6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20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3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2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21" fillId="9" borderId="0" xfId="0" applyFont="1" applyFill="1"/>
    <xf numFmtId="0" fontId="22" fillId="9" borderId="0" xfId="0" applyFont="1" applyFill="1"/>
    <xf numFmtId="0" fontId="23" fillId="9" borderId="0" xfId="0" applyFont="1" applyFill="1"/>
    <xf numFmtId="0" fontId="24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5" fillId="0" borderId="0" xfId="0" applyFont="1"/>
    <xf numFmtId="0" fontId="26" fillId="0" borderId="0" xfId="0" applyFont="1" applyAlignment="1">
      <alignment horizontal="left" indent="1"/>
    </xf>
    <xf numFmtId="0" fontId="27" fillId="0" borderId="0" xfId="0" applyFont="1" applyAlignment="1">
      <alignment horizontal="left"/>
    </xf>
    <xf numFmtId="0" fontId="26" fillId="3" borderId="0" xfId="0" applyFont="1" applyFill="1" applyAlignment="1">
      <alignment horizontal="left" indent="1"/>
    </xf>
    <xf numFmtId="0" fontId="28" fillId="3" borderId="0" xfId="0" applyFont="1" applyFill="1" applyAlignment="1">
      <alignment horizontal="left"/>
    </xf>
    <xf numFmtId="0" fontId="25" fillId="3" borderId="0" xfId="0" applyFont="1" applyFill="1"/>
    <xf numFmtId="0" fontId="25" fillId="0" borderId="0" xfId="0" applyFont="1" applyAlignment="1">
      <alignment horizontal="left" indent="1"/>
    </xf>
    <xf numFmtId="14" fontId="25" fillId="0" borderId="0" xfId="0" applyNumberFormat="1" applyFont="1" applyAlignment="1">
      <alignment horizontal="right" vertical="top"/>
    </xf>
    <xf numFmtId="14" fontId="26" fillId="0" borderId="0" xfId="0" applyNumberFormat="1" applyFont="1" applyAlignment="1">
      <alignment horizontal="left" indent="1"/>
    </xf>
    <xf numFmtId="14" fontId="27" fillId="0" borderId="0" xfId="0" applyNumberFormat="1" applyFont="1" applyAlignment="1">
      <alignment horizontal="left" wrapText="1" shrinkToFit="1"/>
    </xf>
    <xf numFmtId="0" fontId="27" fillId="0" borderId="0" xfId="0" applyFont="1" applyAlignment="1">
      <alignment horizontal="center"/>
    </xf>
    <xf numFmtId="0" fontId="27" fillId="0" borderId="18" xfId="0" applyFont="1" applyBorder="1" applyAlignment="1">
      <alignment horizontal="center"/>
    </xf>
    <xf numFmtId="0" fontId="27" fillId="0" borderId="19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5" fillId="0" borderId="0" xfId="0" applyFont="1" applyAlignment="1">
      <alignment horizontal="right"/>
    </xf>
    <xf numFmtId="0" fontId="27" fillId="0" borderId="2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7" fillId="3" borderId="0" xfId="0" applyFont="1" applyFill="1" applyAlignment="1">
      <alignment horizontal="left"/>
    </xf>
    <xf numFmtId="14" fontId="26" fillId="0" borderId="0" xfId="0" applyNumberFormat="1" applyFont="1" applyAlignment="1">
      <alignment horizontal="left" vertical="top" indent="1"/>
    </xf>
    <xf numFmtId="0" fontId="25" fillId="0" borderId="0" xfId="0" applyFont="1" applyAlignment="1">
      <alignment horizontal="left"/>
    </xf>
    <xf numFmtId="0" fontId="28" fillId="0" borderId="0" xfId="0" applyFont="1"/>
    <xf numFmtId="0" fontId="27" fillId="0" borderId="11" xfId="0" applyFont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5" fillId="6" borderId="24" xfId="0" applyFont="1" applyFill="1" applyBorder="1" applyAlignment="1">
      <alignment horizontal="center"/>
    </xf>
    <xf numFmtId="0" fontId="27" fillId="0" borderId="12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7" fillId="0" borderId="11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5" fillId="9" borderId="0" xfId="2" quotePrefix="1" applyFill="1"/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11" xfId="0" applyFont="1" applyFill="1" applyBorder="1" applyAlignment="1">
      <alignment horizontal="center" vertical="center"/>
    </xf>
    <xf numFmtId="0" fontId="13" fillId="3" borderId="24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9" borderId="0" xfId="0" quotePrefix="1" applyFont="1" applyFill="1" applyAlignment="1">
      <alignment horizontal="left"/>
    </xf>
    <xf numFmtId="0" fontId="0" fillId="9" borderId="0" xfId="0" applyFill="1"/>
    <xf numFmtId="0" fontId="19" fillId="0" borderId="2" xfId="0" applyFont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/>
    </xf>
    <xf numFmtId="166" fontId="20" fillId="0" borderId="2" xfId="1" applyNumberFormat="1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166" fontId="20" fillId="0" borderId="23" xfId="1" applyNumberFormat="1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1" fontId="19" fillId="0" borderId="25" xfId="0" applyNumberFormat="1" applyFont="1" applyBorder="1" applyAlignment="1">
      <alignment horizontal="center" vertical="center"/>
    </xf>
    <xf numFmtId="166" fontId="20" fillId="0" borderId="25" xfId="1" applyNumberFormat="1" applyFont="1" applyFill="1" applyBorder="1" applyAlignment="1">
      <alignment horizontal="center" vertical="center"/>
    </xf>
    <xf numFmtId="166" fontId="20" fillId="0" borderId="22" xfId="1" applyNumberFormat="1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1" fontId="19" fillId="0" borderId="27" xfId="0" applyNumberFormat="1" applyFont="1" applyBorder="1" applyAlignment="1">
      <alignment horizontal="center" vertical="center"/>
    </xf>
    <xf numFmtId="166" fontId="20" fillId="0" borderId="27" xfId="1" applyNumberFormat="1" applyFont="1" applyFill="1" applyBorder="1" applyAlignment="1">
      <alignment horizontal="center" vertical="center"/>
    </xf>
    <xf numFmtId="166" fontId="20" fillId="0" borderId="28" xfId="1" applyNumberFormat="1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0" fontId="13" fillId="7" borderId="25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42" fontId="10" fillId="0" borderId="0" xfId="3" applyFont="1" applyBorder="1" applyAlignment="1">
      <alignment horizontal="center" vertical="center"/>
    </xf>
    <xf numFmtId="0" fontId="25" fillId="0" borderId="0" xfId="0" applyFont="1" applyBorder="1" applyAlignment="1">
      <alignment horizontal="center"/>
    </xf>
    <xf numFmtId="0" fontId="29" fillId="0" borderId="0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0" fontId="29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5" fillId="6" borderId="30" xfId="0" applyFont="1" applyFill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7" fillId="3" borderId="32" xfId="0" applyFont="1" applyFill="1" applyBorder="1" applyAlignment="1">
      <alignment horizontal="left" vertical="top" indent="28"/>
    </xf>
    <xf numFmtId="0" fontId="27" fillId="3" borderId="33" xfId="0" applyFont="1" applyFill="1" applyBorder="1" applyAlignment="1">
      <alignment horizontal="left" vertical="top" indent="28"/>
    </xf>
    <xf numFmtId="0" fontId="27" fillId="3" borderId="4" xfId="0" applyFont="1" applyFill="1" applyBorder="1" applyAlignment="1">
      <alignment horizontal="left" vertical="top" indent="28"/>
    </xf>
    <xf numFmtId="0" fontId="27" fillId="3" borderId="34" xfId="0" applyFont="1" applyFill="1" applyBorder="1" applyAlignment="1">
      <alignment horizontal="left" vertical="top" indent="28"/>
    </xf>
    <xf numFmtId="0" fontId="27" fillId="0" borderId="35" xfId="0" applyFont="1" applyBorder="1" applyAlignment="1">
      <alignment horizontal="center"/>
    </xf>
    <xf numFmtId="0" fontId="27" fillId="0" borderId="36" xfId="0" applyFont="1" applyBorder="1" applyAlignment="1">
      <alignment horizontal="center"/>
    </xf>
    <xf numFmtId="0" fontId="27" fillId="0" borderId="37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27" fillId="0" borderId="40" xfId="0" applyFont="1" applyBorder="1" applyAlignment="1">
      <alignment horizontal="center"/>
    </xf>
    <xf numFmtId="0" fontId="27" fillId="0" borderId="41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33049</xdr:colOff>
      <xdr:row>25</xdr:row>
      <xdr:rowOff>107</xdr:rowOff>
    </xdr:from>
    <xdr:to>
      <xdr:col>5</xdr:col>
      <xdr:colOff>1414409</xdr:colOff>
      <xdr:row>29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5689" y="5276315"/>
          <a:ext cx="6497035" cy="9607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</a:t>
          </a:r>
          <a:r>
            <a:rPr lang="es-CL" sz="1600" b="1" i="0" baseline="0"/>
            <a:t> ABONO. 70.000 BCO FL</a:t>
          </a:r>
          <a:endParaRPr lang="es-CL" sz="14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36</xdr:row>
      <xdr:rowOff>0</xdr:rowOff>
    </xdr:from>
    <xdr:to>
      <xdr:col>4</xdr:col>
      <xdr:colOff>369336</xdr:colOff>
      <xdr:row>36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38</xdr:row>
      <xdr:rowOff>1</xdr:rowOff>
    </xdr:from>
    <xdr:to>
      <xdr:col>4</xdr:col>
      <xdr:colOff>349897</xdr:colOff>
      <xdr:row>38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18</xdr:row>
      <xdr:rowOff>76200</xdr:rowOff>
    </xdr:from>
    <xdr:to>
      <xdr:col>6</xdr:col>
      <xdr:colOff>19049</xdr:colOff>
      <xdr:row>19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6</xdr:col>
      <xdr:colOff>0</xdr:colOff>
      <xdr:row>52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44</xdr:row>
      <xdr:rowOff>228601</xdr:rowOff>
    </xdr:from>
    <xdr:to>
      <xdr:col>6</xdr:col>
      <xdr:colOff>0</xdr:colOff>
      <xdr:row>46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2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60</xdr:row>
      <xdr:rowOff>0</xdr:rowOff>
    </xdr:from>
    <xdr:to>
      <xdr:col>2</xdr:col>
      <xdr:colOff>1019175</xdr:colOff>
      <xdr:row>61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60</xdr:row>
      <xdr:rowOff>0</xdr:rowOff>
    </xdr:from>
    <xdr:to>
      <xdr:col>3</xdr:col>
      <xdr:colOff>323850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60</xdr:row>
      <xdr:rowOff>0</xdr:rowOff>
    </xdr:from>
    <xdr:to>
      <xdr:col>4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60</xdr:row>
      <xdr:rowOff>0</xdr:rowOff>
    </xdr:from>
    <xdr:to>
      <xdr:col>5</xdr:col>
      <xdr:colOff>447675</xdr:colOff>
      <xdr:row>61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60</xdr:row>
      <xdr:rowOff>0</xdr:rowOff>
    </xdr:from>
    <xdr:to>
      <xdr:col>6</xdr:col>
      <xdr:colOff>0</xdr:colOff>
      <xdr:row>61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61</xdr:row>
      <xdr:rowOff>0</xdr:rowOff>
    </xdr:from>
    <xdr:to>
      <xdr:col>2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0</xdr:rowOff>
    </xdr:from>
    <xdr:to>
      <xdr:col>3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0</xdr:rowOff>
    </xdr:from>
    <xdr:to>
      <xdr:col>4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0</xdr:rowOff>
    </xdr:from>
    <xdr:to>
      <xdr:col>5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0</xdr:rowOff>
    </xdr:from>
    <xdr:to>
      <xdr:col>6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36</xdr:row>
      <xdr:rowOff>5714</xdr:rowOff>
    </xdr:from>
    <xdr:to>
      <xdr:col>6</xdr:col>
      <xdr:colOff>0</xdr:colOff>
      <xdr:row>38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ENCHAPADAS CON TAPACANTO PVC 0,4 MM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27</xdr:row>
      <xdr:rowOff>152400</xdr:rowOff>
    </xdr:from>
    <xdr:to>
      <xdr:col>6</xdr:col>
      <xdr:colOff>9524</xdr:colOff>
      <xdr:row>28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1175385</xdr:colOff>
      <xdr:row>63</xdr:row>
      <xdr:rowOff>20955</xdr:rowOff>
    </xdr:from>
    <xdr:to>
      <xdr:col>5</xdr:col>
      <xdr:colOff>2364105</xdr:colOff>
      <xdr:row>66</xdr:row>
      <xdr:rowOff>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75385" y="15784830"/>
          <a:ext cx="8189595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CORTADAS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ENCHAPADAS CON TAPACANTO PVC 0,4 MM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560070</xdr:colOff>
      <xdr:row>43</xdr:row>
      <xdr:rowOff>41910</xdr:rowOff>
    </xdr:from>
    <xdr:to>
      <xdr:col>2</xdr:col>
      <xdr:colOff>14998</xdr:colOff>
      <xdr:row>48</xdr:row>
      <xdr:rowOff>139065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" y="848106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89535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304800</xdr:colOff>
      <xdr:row>70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2"/>
  <sheetViews>
    <sheetView topLeftCell="A16" zoomScale="89" zoomScaleNormal="89" workbookViewId="0">
      <selection activeCell="K16" sqref="K16"/>
    </sheetView>
  </sheetViews>
  <sheetFormatPr baseColWidth="10" defaultRowHeight="15" x14ac:dyDescent="0.25"/>
  <cols>
    <col min="1" max="1" width="2.85546875" customWidth="1"/>
    <col min="2" max="2" width="14.5703125" customWidth="1"/>
    <col min="3" max="3" width="38.140625" customWidth="1"/>
    <col min="4" max="4" width="12.28515625" customWidth="1"/>
    <col min="5" max="5" width="11.5703125" customWidth="1"/>
    <col min="6" max="6" width="28.5703125" customWidth="1"/>
    <col min="7" max="7" width="14.7109375" customWidth="1"/>
    <col min="8" max="8" width="16.140625" customWidth="1"/>
    <col min="11" max="11" width="22.85546875" customWidth="1"/>
  </cols>
  <sheetData>
    <row r="1" spans="1:17" ht="18.75" x14ac:dyDescent="0.3">
      <c r="A1" s="28"/>
      <c r="B1" s="28"/>
      <c r="C1" s="28"/>
      <c r="D1" s="28"/>
      <c r="E1" s="28"/>
      <c r="F1" s="28"/>
      <c r="G1" s="28"/>
      <c r="H1" s="28"/>
      <c r="I1" s="1"/>
    </row>
    <row r="2" spans="1:17" ht="18.75" x14ac:dyDescent="0.3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.75" x14ac:dyDescent="0.3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.75" x14ac:dyDescent="0.3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.75" x14ac:dyDescent="0.3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.75" x14ac:dyDescent="0.3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9.5" thickBot="1" x14ac:dyDescent="0.35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9.5" thickBot="1" x14ac:dyDescent="0.35">
      <c r="A8" s="28"/>
      <c r="B8" s="31" t="s">
        <v>16</v>
      </c>
      <c r="C8" s="32"/>
      <c r="D8" s="33" t="s">
        <v>140</v>
      </c>
      <c r="E8" s="28"/>
      <c r="F8" s="34" t="s">
        <v>26</v>
      </c>
      <c r="G8" s="35">
        <v>4043</v>
      </c>
      <c r="H8" s="28"/>
      <c r="I8" s="1"/>
    </row>
    <row r="9" spans="1:17" ht="19.5" thickBot="1" x14ac:dyDescent="0.35">
      <c r="A9" s="28"/>
      <c r="B9" s="28"/>
      <c r="C9" s="28"/>
      <c r="D9" s="28"/>
      <c r="E9" s="28"/>
      <c r="F9" s="28"/>
      <c r="G9" s="36"/>
      <c r="H9" s="28"/>
      <c r="I9" s="1"/>
    </row>
    <row r="10" spans="1:17" ht="18.75" x14ac:dyDescent="0.3">
      <c r="A10" s="28"/>
      <c r="B10" s="55" t="s">
        <v>132</v>
      </c>
      <c r="C10" s="68" t="s">
        <v>141</v>
      </c>
      <c r="D10" s="56"/>
      <c r="E10" s="56"/>
      <c r="F10" s="57" t="s">
        <v>27</v>
      </c>
      <c r="G10" s="58">
        <v>45267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25" x14ac:dyDescent="0.35">
      <c r="A11" s="28"/>
      <c r="B11" s="60" t="s">
        <v>2</v>
      </c>
      <c r="C11" s="69"/>
      <c r="D11" s="61"/>
      <c r="E11" s="61"/>
      <c r="F11" s="61" t="s">
        <v>120</v>
      </c>
      <c r="G11" s="62"/>
      <c r="H11" s="63"/>
      <c r="I11" s="1"/>
    </row>
    <row r="12" spans="1:17" ht="20.25" x14ac:dyDescent="0.3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.75" x14ac:dyDescent="0.3">
      <c r="A13" s="28"/>
      <c r="B13" s="60" t="s">
        <v>125</v>
      </c>
      <c r="C13" s="121"/>
      <c r="D13" s="61"/>
      <c r="E13" s="61"/>
      <c r="F13" s="61" t="s">
        <v>124</v>
      </c>
      <c r="G13" s="64" t="s">
        <v>137</v>
      </c>
      <c r="H13" s="63"/>
      <c r="I13" s="1"/>
    </row>
    <row r="14" spans="1:17" ht="18.75" x14ac:dyDescent="0.3">
      <c r="A14" s="28"/>
      <c r="B14" s="60" t="s">
        <v>133</v>
      </c>
      <c r="C14" s="107"/>
      <c r="D14" s="61"/>
      <c r="E14" s="61"/>
      <c r="F14" s="61" t="s">
        <v>136</v>
      </c>
      <c r="G14" s="61"/>
      <c r="H14" s="63"/>
      <c r="I14" s="1"/>
    </row>
    <row r="15" spans="1:17" ht="20.25" x14ac:dyDescent="0.35">
      <c r="A15" s="28"/>
      <c r="B15" s="60" t="s">
        <v>17</v>
      </c>
      <c r="C15" s="120" t="s">
        <v>142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.75" x14ac:dyDescent="0.3">
      <c r="A16" s="28"/>
      <c r="B16" s="60" t="s">
        <v>1</v>
      </c>
      <c r="C16" s="121"/>
      <c r="D16" s="61"/>
      <c r="E16" s="61"/>
      <c r="F16" s="108" t="s">
        <v>18</v>
      </c>
      <c r="G16" s="108"/>
      <c r="H16" s="109"/>
      <c r="I16" s="1"/>
    </row>
    <row r="17" spans="1:16" ht="19.5" thickBot="1" x14ac:dyDescent="0.35">
      <c r="A17" s="28"/>
      <c r="B17" s="66" t="s">
        <v>3</v>
      </c>
      <c r="C17" s="72" t="s">
        <v>139</v>
      </c>
      <c r="D17" s="73"/>
      <c r="E17" s="67"/>
      <c r="F17" s="113"/>
      <c r="G17" s="113"/>
      <c r="H17" s="114"/>
      <c r="I17" s="1"/>
    </row>
    <row r="18" spans="1:16" ht="19.5" thickBot="1" x14ac:dyDescent="0.35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20.100000000000001" customHeight="1" x14ac:dyDescent="0.3">
      <c r="A19" s="28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20.100000000000001" customHeight="1" thickBot="1" x14ac:dyDescent="0.35">
      <c r="A20" s="28"/>
      <c r="B20" s="137" t="s">
        <v>127</v>
      </c>
      <c r="C20" s="138" t="s">
        <v>20</v>
      </c>
      <c r="D20" s="138" t="s">
        <v>21</v>
      </c>
      <c r="E20" s="138" t="s">
        <v>8</v>
      </c>
      <c r="F20" s="138" t="s">
        <v>22</v>
      </c>
      <c r="G20" s="138" t="s">
        <v>23</v>
      </c>
      <c r="H20" s="139" t="s">
        <v>4</v>
      </c>
      <c r="I20" s="1"/>
      <c r="N20">
        <v>14000</v>
      </c>
    </row>
    <row r="21" spans="1:16" ht="20.100000000000001" customHeight="1" x14ac:dyDescent="0.3">
      <c r="A21" s="28"/>
      <c r="B21" s="132">
        <v>2</v>
      </c>
      <c r="C21" s="133" t="s">
        <v>60</v>
      </c>
      <c r="D21" s="134">
        <v>720</v>
      </c>
      <c r="E21" s="134">
        <v>343</v>
      </c>
      <c r="F21" s="133" t="s">
        <v>144</v>
      </c>
      <c r="G21" s="135">
        <v>27188</v>
      </c>
      <c r="H21" s="136">
        <f>G21*B21</f>
        <v>54376</v>
      </c>
      <c r="I21" s="1"/>
      <c r="K21" s="11">
        <f t="shared" ref="K21:L21" si="0">D21/1000</f>
        <v>0.72</v>
      </c>
      <c r="L21" s="14">
        <f t="shared" si="0"/>
        <v>0.34300000000000003</v>
      </c>
      <c r="M21" s="11">
        <f>K21*L21</f>
        <v>0.24696000000000001</v>
      </c>
      <c r="N21" s="11">
        <f>M21*N$20</f>
        <v>3457.44</v>
      </c>
      <c r="O21" s="14"/>
      <c r="P21" s="20"/>
    </row>
    <row r="22" spans="1:16" ht="20.100000000000001" customHeight="1" x14ac:dyDescent="0.3">
      <c r="A22" s="28"/>
      <c r="B22" s="125">
        <v>2</v>
      </c>
      <c r="C22" s="122" t="s">
        <v>60</v>
      </c>
      <c r="D22" s="123">
        <v>720</v>
      </c>
      <c r="E22" s="123">
        <v>356</v>
      </c>
      <c r="F22" s="122" t="s">
        <v>144</v>
      </c>
      <c r="G22" s="124">
        <v>28104</v>
      </c>
      <c r="H22" s="126">
        <f t="shared" ref="H22:H23" si="1">G22*B22</f>
        <v>56208</v>
      </c>
      <c r="I22" s="1"/>
      <c r="K22" s="11"/>
      <c r="L22" s="14"/>
      <c r="M22" s="11"/>
      <c r="N22" s="11"/>
      <c r="O22" s="14"/>
      <c r="P22" s="20"/>
    </row>
    <row r="23" spans="1:16" ht="20.100000000000001" customHeight="1" x14ac:dyDescent="0.3">
      <c r="A23" s="28"/>
      <c r="B23" s="125">
        <v>1</v>
      </c>
      <c r="C23" s="122" t="s">
        <v>60</v>
      </c>
      <c r="D23" s="123">
        <v>720</v>
      </c>
      <c r="E23" s="123">
        <v>347</v>
      </c>
      <c r="F23" s="122" t="s">
        <v>144</v>
      </c>
      <c r="G23" s="124">
        <v>27470</v>
      </c>
      <c r="H23" s="126">
        <f t="shared" si="1"/>
        <v>27470</v>
      </c>
      <c r="I23" s="1"/>
      <c r="K23" s="11"/>
      <c r="L23" s="14"/>
      <c r="M23" s="11"/>
      <c r="N23" s="11"/>
      <c r="O23" s="14"/>
      <c r="P23" s="20"/>
    </row>
    <row r="24" spans="1:16" ht="20.100000000000001" customHeight="1" thickBot="1" x14ac:dyDescent="0.35">
      <c r="A24" s="28"/>
      <c r="B24" s="127">
        <v>4</v>
      </c>
      <c r="C24" s="128" t="s">
        <v>143</v>
      </c>
      <c r="D24" s="129">
        <v>162</v>
      </c>
      <c r="E24" s="129">
        <v>643</v>
      </c>
      <c r="F24" s="128" t="s">
        <v>144</v>
      </c>
      <c r="G24" s="130">
        <v>0</v>
      </c>
      <c r="H24" s="131"/>
      <c r="I24" s="1"/>
      <c r="K24" s="11"/>
      <c r="L24" s="14"/>
      <c r="M24" s="11"/>
      <c r="N24" s="11"/>
      <c r="O24" s="14"/>
      <c r="P24" s="20"/>
    </row>
    <row r="25" spans="1:16" ht="18" customHeight="1" x14ac:dyDescent="0.3">
      <c r="A25" s="28"/>
      <c r="B25" s="37"/>
      <c r="C25" s="37"/>
      <c r="D25" s="38"/>
      <c r="E25" s="38"/>
      <c r="F25" s="37"/>
      <c r="G25" s="39"/>
      <c r="H25" s="39"/>
      <c r="I25" s="1"/>
      <c r="K25" s="11"/>
      <c r="L25" s="14"/>
      <c r="M25" s="11"/>
      <c r="N25" s="11"/>
      <c r="O25" s="14"/>
      <c r="P25" s="20"/>
    </row>
    <row r="26" spans="1:16" ht="8.25" customHeight="1" thickBot="1" x14ac:dyDescent="0.35">
      <c r="A26" s="28"/>
      <c r="B26" s="40"/>
      <c r="C26" s="40"/>
      <c r="D26" s="40"/>
      <c r="E26" s="40"/>
      <c r="F26" s="40"/>
      <c r="G26" s="41"/>
      <c r="H26" s="41"/>
      <c r="I26" s="1"/>
    </row>
    <row r="27" spans="1:16" ht="18.75" x14ac:dyDescent="0.3">
      <c r="A27" s="28"/>
      <c r="B27" s="28"/>
      <c r="C27" s="28"/>
      <c r="D27" s="28"/>
      <c r="E27" s="28"/>
      <c r="F27" s="28"/>
      <c r="G27" s="42" t="s">
        <v>5</v>
      </c>
      <c r="H27" s="43">
        <f>SUM(H21:H26)</f>
        <v>138054</v>
      </c>
      <c r="I27" s="1"/>
    </row>
    <row r="28" spans="1:16" ht="18.75" x14ac:dyDescent="0.3">
      <c r="A28" s="28"/>
      <c r="B28" s="28"/>
      <c r="C28" s="28"/>
      <c r="D28" s="28"/>
      <c r="E28" s="28"/>
      <c r="F28" s="28"/>
      <c r="G28" s="44" t="s">
        <v>6</v>
      </c>
      <c r="H28" s="45"/>
      <c r="I28" s="1"/>
    </row>
    <row r="29" spans="1:16" ht="19.5" thickBot="1" x14ac:dyDescent="0.35">
      <c r="A29" s="28"/>
      <c r="B29" s="28"/>
      <c r="C29" s="28"/>
      <c r="D29" s="28"/>
      <c r="E29" s="28"/>
      <c r="F29" s="28"/>
      <c r="G29" s="46" t="s">
        <v>4</v>
      </c>
      <c r="H29" s="47">
        <f>H27+H28</f>
        <v>138054</v>
      </c>
      <c r="I29" s="1"/>
    </row>
    <row r="30" spans="1:16" ht="18.75" x14ac:dyDescent="0.3">
      <c r="A30" s="28"/>
      <c r="B30" s="28"/>
      <c r="C30" s="28"/>
      <c r="D30" s="28"/>
      <c r="E30" s="28"/>
      <c r="F30" s="28"/>
      <c r="G30" s="29"/>
      <c r="H30" s="48"/>
      <c r="I30" s="1"/>
    </row>
    <row r="31" spans="1:16" ht="18.75" x14ac:dyDescent="0.3">
      <c r="A31" s="28"/>
      <c r="B31" s="28"/>
      <c r="C31" s="28"/>
      <c r="D31" s="28"/>
      <c r="E31" s="28"/>
      <c r="F31" s="28"/>
      <c r="G31" s="28"/>
      <c r="H31" s="28"/>
      <c r="I31" s="1"/>
    </row>
    <row r="32" spans="1:16" ht="18.75" x14ac:dyDescent="0.3">
      <c r="A32" s="28"/>
      <c r="B32" s="49" t="s">
        <v>134</v>
      </c>
      <c r="C32" s="50"/>
      <c r="D32" s="51"/>
      <c r="E32" s="51"/>
      <c r="F32" s="40"/>
      <c r="G32" s="28"/>
      <c r="H32" s="28"/>
      <c r="I32" s="1"/>
    </row>
    <row r="33" spans="1:9" ht="18.75" x14ac:dyDescent="0.3">
      <c r="A33" s="28"/>
      <c r="B33" s="49" t="s">
        <v>119</v>
      </c>
      <c r="C33" s="50"/>
      <c r="D33" s="51"/>
      <c r="E33" s="51"/>
      <c r="F33" s="40"/>
      <c r="G33" s="28"/>
      <c r="H33" s="28"/>
      <c r="I33" s="1"/>
    </row>
    <row r="34" spans="1:9" ht="18.75" x14ac:dyDescent="0.3">
      <c r="A34" s="28"/>
      <c r="B34" s="28" t="s">
        <v>24</v>
      </c>
      <c r="C34" s="28"/>
      <c r="D34" s="28"/>
      <c r="E34" s="52" t="s">
        <v>25</v>
      </c>
      <c r="F34" s="28"/>
      <c r="G34" s="28"/>
      <c r="H34" s="28"/>
      <c r="I34" s="1"/>
    </row>
    <row r="35" spans="1:9" ht="18.75" x14ac:dyDescent="0.3">
      <c r="A35" s="28"/>
      <c r="B35" s="28"/>
      <c r="C35" s="28"/>
      <c r="D35" s="28"/>
      <c r="E35" s="52"/>
      <c r="F35" s="28"/>
      <c r="G35" s="28"/>
      <c r="H35" s="28"/>
      <c r="I35" s="1"/>
    </row>
    <row r="36" spans="1:9" ht="18.75" x14ac:dyDescent="0.3">
      <c r="A36" s="28"/>
      <c r="B36" s="30" t="s">
        <v>130</v>
      </c>
      <c r="C36" s="30"/>
      <c r="D36" s="30"/>
      <c r="E36" s="53"/>
      <c r="F36" s="28"/>
      <c r="G36" s="28"/>
      <c r="H36" s="28"/>
      <c r="I36" s="1"/>
    </row>
    <row r="37" spans="1:9" ht="18.75" x14ac:dyDescent="0.3">
      <c r="A37" s="28"/>
      <c r="B37" s="30"/>
      <c r="C37" s="30"/>
      <c r="D37" s="30"/>
      <c r="E37" s="53"/>
      <c r="F37" s="28"/>
      <c r="G37" s="28"/>
      <c r="H37" s="28"/>
      <c r="I37" s="1"/>
    </row>
    <row r="38" spans="1:9" ht="18.75" x14ac:dyDescent="0.3">
      <c r="A38" s="28"/>
      <c r="B38" s="30" t="s">
        <v>131</v>
      </c>
      <c r="C38" s="28"/>
      <c r="D38" s="28"/>
      <c r="E38" s="52"/>
      <c r="F38" s="28"/>
      <c r="G38" s="28"/>
      <c r="H38" s="28"/>
      <c r="I38" s="1"/>
    </row>
    <row r="39" spans="1:9" ht="15.75" x14ac:dyDescent="0.25">
      <c r="A39" s="1"/>
      <c r="B39" s="1"/>
      <c r="C39" s="1"/>
      <c r="D39" s="1"/>
      <c r="E39" s="22"/>
      <c r="F39" s="1"/>
      <c r="G39" s="1"/>
      <c r="H39" s="1"/>
      <c r="I39" s="1"/>
    </row>
    <row r="40" spans="1:9" ht="15.75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9" ht="15.75" x14ac:dyDescent="0.25">
      <c r="A41" s="1"/>
      <c r="B41" s="1"/>
      <c r="C41" s="1"/>
      <c r="D41" s="1"/>
      <c r="E41" s="1"/>
      <c r="F41" s="1"/>
      <c r="G41" s="1"/>
      <c r="H41" s="1"/>
      <c r="I41" s="1"/>
    </row>
    <row r="42" spans="1:9" ht="15.75" x14ac:dyDescent="0.25">
      <c r="C42" s="1"/>
    </row>
  </sheetData>
  <sortState xmlns:xlrd2="http://schemas.microsoft.com/office/spreadsheetml/2017/richdata2" ref="B43">
    <sortCondition sortBy="fontColor" ref="B43" dxfId="1"/>
  </sortState>
  <mergeCells count="3">
    <mergeCell ref="F16:H16"/>
    <mergeCell ref="B19:H19"/>
    <mergeCell ref="F17:H17"/>
  </mergeCells>
  <phoneticPr fontId="8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5" x14ac:dyDescent="0.25"/>
  <cols>
    <col min="4" max="4" width="33.85546875" bestFit="1" customWidth="1"/>
    <col min="5" max="5" width="6.140625" customWidth="1"/>
    <col min="9" max="9" width="33.85546875" bestFit="1" customWidth="1"/>
  </cols>
  <sheetData>
    <row r="2" spans="2:18" x14ac:dyDescent="0.25">
      <c r="B2" s="115" t="s">
        <v>29</v>
      </c>
      <c r="C2" s="115"/>
      <c r="D2" s="115"/>
      <c r="E2" s="12"/>
      <c r="G2" s="115" t="s">
        <v>68</v>
      </c>
      <c r="H2" s="115"/>
      <c r="I2" s="115"/>
      <c r="P2" s="116" t="s">
        <v>56</v>
      </c>
      <c r="Q2" s="116"/>
      <c r="R2" s="116"/>
    </row>
    <row r="3" spans="2:18" x14ac:dyDescent="0.25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25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25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25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25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25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16" t="s">
        <v>56</v>
      </c>
      <c r="M8" s="116"/>
      <c r="N8" s="116"/>
      <c r="P8">
        <v>50</v>
      </c>
      <c r="Q8">
        <v>-30</v>
      </c>
      <c r="R8" t="s">
        <v>48</v>
      </c>
    </row>
    <row r="9" spans="2:18" x14ac:dyDescent="0.25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25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25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25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25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25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25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25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25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25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25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25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25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25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25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25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25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25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25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25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25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25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25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25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25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25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25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25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25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25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1"/>
  <sheetViews>
    <sheetView tabSelected="1" topLeftCell="B31" zoomScaleNormal="100" workbookViewId="0">
      <selection activeCell="K41" sqref="K41"/>
    </sheetView>
  </sheetViews>
  <sheetFormatPr baseColWidth="10" defaultRowHeight="15" x14ac:dyDescent="0.25"/>
  <cols>
    <col min="1" max="1" width="17.7109375" customWidth="1"/>
    <col min="2" max="2" width="13.7109375" customWidth="1"/>
    <col min="3" max="3" width="44.85546875" customWidth="1"/>
    <col min="4" max="4" width="16" customWidth="1"/>
    <col min="5" max="5" width="12.7109375" bestFit="1" customWidth="1"/>
    <col min="6" max="6" width="35.5703125" customWidth="1"/>
    <col min="9" max="9" width="10" customWidth="1"/>
    <col min="10" max="10" width="9.28515625" customWidth="1"/>
    <col min="11" max="11" width="8.7109375" customWidth="1"/>
  </cols>
  <sheetData>
    <row r="1" spans="1:14" ht="21" x14ac:dyDescent="0.35">
      <c r="A1" s="74"/>
      <c r="B1" s="74"/>
      <c r="C1" s="74"/>
      <c r="D1" s="74"/>
      <c r="E1" s="74"/>
      <c r="F1" s="74"/>
      <c r="G1" s="28"/>
    </row>
    <row r="2" spans="1:14" ht="16.5" customHeight="1" x14ac:dyDescent="0.35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35">
      <c r="A3" s="74"/>
      <c r="B3" s="74"/>
      <c r="C3" s="74"/>
      <c r="D3" s="74"/>
      <c r="E3" s="74"/>
      <c r="F3" s="74"/>
      <c r="G3" s="28"/>
      <c r="K3" s="117" t="s">
        <v>59</v>
      </c>
      <c r="L3" s="117"/>
      <c r="M3" s="117" t="s">
        <v>14</v>
      </c>
      <c r="N3" s="117"/>
    </row>
    <row r="4" spans="1:14" ht="15.75" customHeight="1" x14ac:dyDescent="0.35">
      <c r="A4" s="74"/>
      <c r="B4" s="74"/>
      <c r="C4" s="75" t="s">
        <v>26</v>
      </c>
      <c r="D4" s="76">
        <f>'4637'!G8</f>
        <v>4043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5">
      <c r="A5" s="74"/>
      <c r="B5" s="74"/>
      <c r="C5" s="77" t="s">
        <v>65</v>
      </c>
      <c r="D5" s="92" t="str">
        <f>'4637'!C10</f>
        <v>VICTOR RIVERO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5">
      <c r="A6" s="74"/>
      <c r="B6" s="74"/>
      <c r="C6" s="80"/>
      <c r="D6" s="81"/>
      <c r="E6" s="74"/>
      <c r="F6" s="74"/>
      <c r="G6" s="28"/>
    </row>
    <row r="7" spans="1:14" ht="21" x14ac:dyDescent="0.35">
      <c r="A7" s="74"/>
      <c r="B7" s="74"/>
      <c r="C7" s="93" t="str">
        <f>'4637'!F11</f>
        <v>FECHA LIMITE :</v>
      </c>
      <c r="D7" s="83"/>
      <c r="E7" s="74"/>
      <c r="F7" s="74" t="s">
        <v>135</v>
      </c>
      <c r="G7" s="28"/>
    </row>
    <row r="8" spans="1:14" ht="21" x14ac:dyDescent="0.35">
      <c r="A8" s="74"/>
      <c r="B8" s="74"/>
      <c r="C8" s="94" t="s">
        <v>121</v>
      </c>
      <c r="D8" s="74"/>
      <c r="E8" s="74"/>
      <c r="F8" s="74"/>
      <c r="G8" s="28"/>
    </row>
    <row r="9" spans="1:14" ht="21" x14ac:dyDescent="0.35">
      <c r="A9" s="74"/>
      <c r="B9" s="74"/>
      <c r="C9" s="74"/>
      <c r="D9" s="74"/>
      <c r="E9" s="74"/>
      <c r="F9" s="74"/>
      <c r="G9" s="28"/>
    </row>
    <row r="10" spans="1:14" ht="15" customHeight="1" x14ac:dyDescent="0.35">
      <c r="A10" s="118" t="s">
        <v>59</v>
      </c>
      <c r="B10" s="118"/>
      <c r="C10" s="118"/>
      <c r="D10" s="118"/>
      <c r="E10" s="118"/>
      <c r="F10" s="118"/>
      <c r="G10" s="28"/>
    </row>
    <row r="11" spans="1:14" ht="21" x14ac:dyDescent="0.35">
      <c r="A11" s="74"/>
      <c r="B11" s="74"/>
      <c r="C11" s="95"/>
      <c r="D11" s="74"/>
      <c r="E11" s="74"/>
      <c r="F11" s="74"/>
      <c r="G11" s="28"/>
    </row>
    <row r="12" spans="1:14" ht="21.75" thickBot="1" x14ac:dyDescent="0.4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35">
      <c r="A13" s="84" t="s">
        <v>9</v>
      </c>
      <c r="B13" s="96" t="s">
        <v>10</v>
      </c>
      <c r="C13" s="97" t="s">
        <v>11</v>
      </c>
      <c r="D13" s="98">
        <v>50</v>
      </c>
      <c r="E13" s="98">
        <v>-2</v>
      </c>
      <c r="F13" s="99" t="s">
        <v>107</v>
      </c>
      <c r="G13" s="28"/>
      <c r="J13" s="5" t="s">
        <v>7</v>
      </c>
      <c r="K13" s="5" t="s">
        <v>8</v>
      </c>
    </row>
    <row r="14" spans="1:14" ht="21" x14ac:dyDescent="0.35">
      <c r="A14" s="88" t="s">
        <v>138</v>
      </c>
      <c r="B14" s="100">
        <f t="shared" ref="B14" si="0">I14</f>
        <v>2</v>
      </c>
      <c r="C14" s="101"/>
      <c r="D14" s="102">
        <f>J14+D$13</f>
        <v>770</v>
      </c>
      <c r="E14" s="102">
        <f>K14+E$13</f>
        <v>341</v>
      </c>
      <c r="F14" s="103" t="str">
        <f t="shared" ref="F14" si="1">C32</f>
        <v>PR2</v>
      </c>
      <c r="G14" s="28"/>
      <c r="I14" s="3">
        <f>B32</f>
        <v>2</v>
      </c>
      <c r="J14" s="4">
        <f>D32</f>
        <v>720</v>
      </c>
      <c r="K14" s="4">
        <f>E32</f>
        <v>343</v>
      </c>
    </row>
    <row r="15" spans="1:14" ht="21" x14ac:dyDescent="0.35">
      <c r="A15" s="88"/>
      <c r="B15" s="100">
        <f t="shared" ref="B15:B17" si="2">I15</f>
        <v>2</v>
      </c>
      <c r="C15" s="101"/>
      <c r="D15" s="102">
        <f t="shared" ref="D15:D17" si="3">J15+D$13</f>
        <v>770</v>
      </c>
      <c r="E15" s="102">
        <f t="shared" ref="E15:E17" si="4">K15+E$13</f>
        <v>354</v>
      </c>
      <c r="F15" s="103" t="str">
        <f t="shared" ref="F15:F17" si="5">C33</f>
        <v>PR2</v>
      </c>
      <c r="G15" s="28"/>
      <c r="I15" s="3">
        <f t="shared" ref="I15:I17" si="6">B33</f>
        <v>2</v>
      </c>
      <c r="J15" s="4">
        <f t="shared" ref="J15:K15" si="7">D33</f>
        <v>720</v>
      </c>
      <c r="K15" s="4">
        <f t="shared" si="7"/>
        <v>356</v>
      </c>
    </row>
    <row r="16" spans="1:14" ht="21" x14ac:dyDescent="0.35">
      <c r="A16" s="88"/>
      <c r="B16" s="100">
        <f t="shared" si="2"/>
        <v>1</v>
      </c>
      <c r="C16" s="101"/>
      <c r="D16" s="102">
        <f t="shared" si="3"/>
        <v>770</v>
      </c>
      <c r="E16" s="102">
        <f t="shared" si="4"/>
        <v>345</v>
      </c>
      <c r="F16" s="103" t="str">
        <f t="shared" si="5"/>
        <v>PR2</v>
      </c>
      <c r="G16" s="28"/>
      <c r="I16" s="3">
        <f t="shared" si="6"/>
        <v>1</v>
      </c>
      <c r="J16" s="4">
        <f t="shared" ref="J16:K16" si="8">D34</f>
        <v>720</v>
      </c>
      <c r="K16" s="4">
        <f t="shared" si="8"/>
        <v>347</v>
      </c>
    </row>
    <row r="17" spans="1:11" ht="21.75" thickBot="1" x14ac:dyDescent="0.4">
      <c r="A17" s="88"/>
      <c r="B17" s="143">
        <f t="shared" si="2"/>
        <v>4</v>
      </c>
      <c r="C17" s="144"/>
      <c r="D17" s="145">
        <f t="shared" si="3"/>
        <v>212</v>
      </c>
      <c r="E17" s="145">
        <f t="shared" si="4"/>
        <v>641</v>
      </c>
      <c r="F17" s="146" t="str">
        <f t="shared" si="5"/>
        <v>FRENTE CAJON R2</v>
      </c>
      <c r="G17" s="28"/>
      <c r="I17" s="3">
        <f t="shared" si="6"/>
        <v>4</v>
      </c>
      <c r="J17" s="4">
        <f t="shared" ref="J17:K17" si="9">D35</f>
        <v>162</v>
      </c>
      <c r="K17" s="4">
        <f t="shared" si="9"/>
        <v>643</v>
      </c>
    </row>
    <row r="18" spans="1:11" ht="6.75" customHeight="1" x14ac:dyDescent="0.35">
      <c r="A18" s="74"/>
      <c r="B18" s="74"/>
      <c r="C18" s="74"/>
      <c r="D18" s="74"/>
      <c r="E18" s="74"/>
      <c r="F18" s="74"/>
      <c r="G18" s="28"/>
    </row>
    <row r="19" spans="1:11" ht="21" x14ac:dyDescent="0.35">
      <c r="A19" s="118" t="s">
        <v>14</v>
      </c>
      <c r="B19" s="118"/>
      <c r="C19" s="118"/>
      <c r="D19" s="118"/>
      <c r="E19" s="118"/>
      <c r="F19" s="118"/>
      <c r="G19" s="28"/>
    </row>
    <row r="20" spans="1:11" ht="10.5" customHeight="1" x14ac:dyDescent="0.35">
      <c r="A20" s="74"/>
      <c r="B20" s="74"/>
      <c r="C20" s="95"/>
      <c r="D20" s="74"/>
      <c r="E20" s="74"/>
      <c r="F20" s="74"/>
      <c r="G20" s="28"/>
    </row>
    <row r="21" spans="1:11" ht="21.75" thickBot="1" x14ac:dyDescent="0.4">
      <c r="A21" s="74"/>
      <c r="B21" s="74"/>
      <c r="C21" s="74"/>
      <c r="D21" s="84" t="s">
        <v>7</v>
      </c>
      <c r="E21" s="84" t="s">
        <v>8</v>
      </c>
      <c r="F21" s="74"/>
      <c r="G21" s="28"/>
    </row>
    <row r="22" spans="1:11" ht="21" x14ac:dyDescent="0.35">
      <c r="A22" s="84" t="s">
        <v>9</v>
      </c>
      <c r="B22" s="147" t="s">
        <v>10</v>
      </c>
      <c r="C22" s="148" t="s">
        <v>11</v>
      </c>
      <c r="D22" s="149">
        <v>40</v>
      </c>
      <c r="E22" s="149">
        <v>90</v>
      </c>
      <c r="F22" s="150" t="s">
        <v>107</v>
      </c>
      <c r="G22" s="28"/>
      <c r="J22" s="5" t="s">
        <v>7</v>
      </c>
      <c r="K22" s="5" t="s">
        <v>8</v>
      </c>
    </row>
    <row r="23" spans="1:11" ht="18.75" customHeight="1" x14ac:dyDescent="0.35">
      <c r="A23" s="88" t="s">
        <v>138</v>
      </c>
      <c r="B23" s="100">
        <f t="shared" ref="B23" si="10">I23</f>
        <v>2</v>
      </c>
      <c r="C23" s="101"/>
      <c r="D23" s="102">
        <f>J23+D$22</f>
        <v>760</v>
      </c>
      <c r="E23" s="102">
        <f t="shared" ref="E23" si="11">K23+E$22</f>
        <v>433</v>
      </c>
      <c r="F23" s="103" t="str">
        <f t="shared" ref="F23" si="12">C32</f>
        <v>PR2</v>
      </c>
      <c r="G23" s="28"/>
      <c r="I23" s="3">
        <f t="shared" ref="I23" si="13">B32</f>
        <v>2</v>
      </c>
      <c r="J23" s="4">
        <f>D32</f>
        <v>720</v>
      </c>
      <c r="K23" s="4">
        <f>E32</f>
        <v>343</v>
      </c>
    </row>
    <row r="24" spans="1:11" ht="18.75" customHeight="1" x14ac:dyDescent="0.35">
      <c r="A24" s="88"/>
      <c r="B24" s="100">
        <f t="shared" ref="B24:B26" si="14">I24</f>
        <v>2</v>
      </c>
      <c r="C24" s="101"/>
      <c r="D24" s="102">
        <f>J24+D$22</f>
        <v>760</v>
      </c>
      <c r="E24" s="102">
        <f>K24+E$22</f>
        <v>446</v>
      </c>
      <c r="F24" s="103" t="str">
        <f>C33</f>
        <v>PR2</v>
      </c>
      <c r="G24" s="28"/>
      <c r="I24" s="3">
        <f t="shared" ref="I24:I26" si="15">B33</f>
        <v>2</v>
      </c>
      <c r="J24" s="4">
        <f t="shared" ref="J24:K24" si="16">D33</f>
        <v>720</v>
      </c>
      <c r="K24" s="4">
        <f t="shared" si="16"/>
        <v>356</v>
      </c>
    </row>
    <row r="25" spans="1:11" ht="18.75" customHeight="1" x14ac:dyDescent="0.35">
      <c r="A25" s="88"/>
      <c r="B25" s="100">
        <f t="shared" si="14"/>
        <v>1</v>
      </c>
      <c r="C25" s="101"/>
      <c r="D25" s="102">
        <f>J25+D$22</f>
        <v>760</v>
      </c>
      <c r="E25" s="102">
        <f>K25+E$22</f>
        <v>437</v>
      </c>
      <c r="F25" s="103" t="str">
        <f>C34</f>
        <v>PR2</v>
      </c>
      <c r="G25" s="28"/>
      <c r="I25" s="3">
        <f t="shared" si="15"/>
        <v>1</v>
      </c>
      <c r="J25" s="4">
        <f t="shared" ref="J25:K25" si="17">D34</f>
        <v>720</v>
      </c>
      <c r="K25" s="4">
        <f t="shared" si="17"/>
        <v>347</v>
      </c>
    </row>
    <row r="26" spans="1:11" ht="18.75" customHeight="1" thickBot="1" x14ac:dyDescent="0.4">
      <c r="A26" s="88"/>
      <c r="B26" s="143">
        <f t="shared" si="14"/>
        <v>4</v>
      </c>
      <c r="C26" s="144"/>
      <c r="D26" s="145">
        <f>J26+D$22</f>
        <v>202</v>
      </c>
      <c r="E26" s="145">
        <f>K26+E$22</f>
        <v>733</v>
      </c>
      <c r="F26" s="146" t="str">
        <f>C35</f>
        <v>FRENTE CAJON R2</v>
      </c>
      <c r="G26" s="28"/>
      <c r="I26" s="3">
        <f t="shared" si="15"/>
        <v>4</v>
      </c>
      <c r="J26" s="4">
        <f t="shared" ref="J26:K26" si="18">D35</f>
        <v>162</v>
      </c>
      <c r="K26" s="4">
        <f t="shared" si="18"/>
        <v>643</v>
      </c>
    </row>
    <row r="27" spans="1:11" ht="18.75" customHeight="1" x14ac:dyDescent="0.35">
      <c r="A27" s="88"/>
      <c r="B27" s="141"/>
      <c r="C27" s="142"/>
      <c r="D27" s="141"/>
      <c r="E27" s="141"/>
      <c r="F27" s="141"/>
      <c r="G27" s="28"/>
      <c r="I27" s="3"/>
      <c r="J27" s="4"/>
      <c r="K27" s="4"/>
    </row>
    <row r="28" spans="1:11" ht="21" x14ac:dyDescent="0.35">
      <c r="A28" s="88"/>
      <c r="B28" s="90"/>
      <c r="C28" s="90"/>
      <c r="D28" s="90"/>
      <c r="E28" s="90"/>
      <c r="F28" s="90"/>
      <c r="G28" s="28"/>
      <c r="I28" s="3" t="e">
        <f>#REF!</f>
        <v>#REF!</v>
      </c>
      <c r="J28" s="4" t="e">
        <f>#REF!</f>
        <v>#REF!</v>
      </c>
      <c r="K28" s="4" t="e">
        <f>#REF!</f>
        <v>#REF!</v>
      </c>
    </row>
    <row r="29" spans="1:11" ht="21" x14ac:dyDescent="0.35">
      <c r="A29" s="84"/>
      <c r="B29" s="95"/>
      <c r="C29" s="95"/>
      <c r="D29" s="95"/>
      <c r="E29" s="95"/>
      <c r="F29" s="95"/>
      <c r="G29" s="28"/>
      <c r="I29" s="2"/>
      <c r="J29" s="2"/>
      <c r="K29" s="2"/>
    </row>
    <row r="30" spans="1:11" ht="10.5" customHeight="1" thickBot="1" x14ac:dyDescent="0.4">
      <c r="A30" s="74"/>
      <c r="B30" s="74"/>
      <c r="C30" s="74"/>
      <c r="D30" s="74"/>
      <c r="E30" s="74"/>
      <c r="F30" s="74"/>
      <c r="G30" s="28"/>
    </row>
    <row r="31" spans="1:11" ht="21" x14ac:dyDescent="0.35">
      <c r="A31" s="84" t="s">
        <v>9</v>
      </c>
      <c r="B31" s="104" t="s">
        <v>10</v>
      </c>
      <c r="C31" s="105" t="s">
        <v>107</v>
      </c>
      <c r="D31" s="105" t="s">
        <v>7</v>
      </c>
      <c r="E31" s="105" t="s">
        <v>8</v>
      </c>
      <c r="F31" s="106" t="s">
        <v>22</v>
      </c>
      <c r="G31" s="28"/>
    </row>
    <row r="32" spans="1:11" ht="21" x14ac:dyDescent="0.35">
      <c r="A32" s="88" t="s">
        <v>138</v>
      </c>
      <c r="B32" s="100">
        <f>'4637'!B21</f>
        <v>2</v>
      </c>
      <c r="C32" s="102" t="str">
        <f>'4637'!C21</f>
        <v>PR2</v>
      </c>
      <c r="D32" s="102">
        <f>'4637'!D21</f>
        <v>720</v>
      </c>
      <c r="E32" s="102">
        <f>'4637'!E21</f>
        <v>343</v>
      </c>
      <c r="F32" s="103" t="str">
        <f>'4637'!F21</f>
        <v>CHUMBO PP-185</v>
      </c>
      <c r="G32" s="28"/>
      <c r="H32" s="27">
        <f>D32*E32/1000000</f>
        <v>0.24696000000000001</v>
      </c>
      <c r="I32" s="27">
        <f>H32*B32</f>
        <v>0.49392000000000003</v>
      </c>
    </row>
    <row r="33" spans="1:9" ht="21" x14ac:dyDescent="0.35">
      <c r="A33" s="88"/>
      <c r="B33" s="100">
        <f>'4637'!B22</f>
        <v>2</v>
      </c>
      <c r="C33" s="102" t="str">
        <f>'4637'!C22</f>
        <v>PR2</v>
      </c>
      <c r="D33" s="102">
        <f>'4637'!D22</f>
        <v>720</v>
      </c>
      <c r="E33" s="102">
        <f>'4637'!E22</f>
        <v>356</v>
      </c>
      <c r="F33" s="103" t="str">
        <f>'4637'!F22</f>
        <v>CHUMBO PP-185</v>
      </c>
      <c r="G33" s="28"/>
      <c r="H33" s="27"/>
      <c r="I33" s="27"/>
    </row>
    <row r="34" spans="1:9" ht="21" x14ac:dyDescent="0.35">
      <c r="A34" s="88"/>
      <c r="B34" s="100">
        <f>'4637'!B23</f>
        <v>1</v>
      </c>
      <c r="C34" s="102" t="str">
        <f>'4637'!C23</f>
        <v>PR2</v>
      </c>
      <c r="D34" s="102">
        <f>'4637'!D23</f>
        <v>720</v>
      </c>
      <c r="E34" s="102">
        <f>'4637'!E23</f>
        <v>347</v>
      </c>
      <c r="F34" s="103" t="str">
        <f>'4637'!F23</f>
        <v>CHUMBO PP-185</v>
      </c>
      <c r="G34" s="28"/>
      <c r="H34" s="27"/>
      <c r="I34" s="27"/>
    </row>
    <row r="35" spans="1:9" ht="21.75" thickBot="1" x14ac:dyDescent="0.4">
      <c r="A35" s="88"/>
      <c r="B35" s="143">
        <f>'4637'!B24</f>
        <v>4</v>
      </c>
      <c r="C35" s="145" t="str">
        <f>'4637'!C24</f>
        <v>FRENTE CAJON R2</v>
      </c>
      <c r="D35" s="145">
        <f>'4637'!D24</f>
        <v>162</v>
      </c>
      <c r="E35" s="145">
        <f>'4637'!E24</f>
        <v>643</v>
      </c>
      <c r="F35" s="146" t="str">
        <f>'4637'!F24</f>
        <v>CHUMBO PP-185</v>
      </c>
      <c r="G35" s="28"/>
      <c r="H35" s="27"/>
      <c r="I35" s="27"/>
    </row>
    <row r="36" spans="1:9" ht="21" x14ac:dyDescent="0.35">
      <c r="A36" s="88"/>
      <c r="B36" s="90"/>
      <c r="C36" s="90"/>
      <c r="D36" s="90"/>
      <c r="E36" s="90"/>
      <c r="F36" s="90"/>
      <c r="G36" s="28"/>
      <c r="H36" s="27"/>
      <c r="I36" s="27"/>
    </row>
    <row r="37" spans="1:9" ht="21" x14ac:dyDescent="0.35">
      <c r="A37" s="74"/>
      <c r="B37" s="90"/>
      <c r="C37" s="90"/>
      <c r="D37" s="90"/>
      <c r="E37" s="90"/>
      <c r="F37" s="90"/>
      <c r="G37" s="28"/>
      <c r="I37" s="27">
        <f>SUM(I32:I32)*2</f>
        <v>0.98784000000000005</v>
      </c>
    </row>
    <row r="38" spans="1:9" ht="21" x14ac:dyDescent="0.35">
      <c r="A38" s="74"/>
      <c r="B38" s="90"/>
      <c r="C38" s="90"/>
      <c r="D38" s="90"/>
      <c r="E38" s="90"/>
      <c r="F38" s="90"/>
      <c r="G38" s="28"/>
    </row>
    <row r="39" spans="1:9" ht="21" x14ac:dyDescent="0.35">
      <c r="A39" s="74"/>
      <c r="B39" s="90"/>
      <c r="C39" s="90"/>
      <c r="D39" s="90"/>
      <c r="E39" s="90"/>
      <c r="F39" s="90"/>
      <c r="G39" s="28"/>
    </row>
    <row r="40" spans="1:9" ht="21" x14ac:dyDescent="0.35">
      <c r="A40" s="74"/>
      <c r="B40" s="90"/>
      <c r="C40" s="90"/>
      <c r="D40" s="90"/>
      <c r="E40" s="90"/>
      <c r="F40" s="90"/>
      <c r="G40" s="28"/>
    </row>
    <row r="41" spans="1:9" ht="18.75" x14ac:dyDescent="0.3">
      <c r="A41" s="28"/>
      <c r="B41" s="54"/>
      <c r="C41" s="54"/>
      <c r="D41" s="54"/>
      <c r="E41" s="54"/>
      <c r="F41" s="54"/>
      <c r="G41" s="28"/>
    </row>
    <row r="42" spans="1:9" ht="18.75" x14ac:dyDescent="0.3">
      <c r="A42" s="28"/>
      <c r="B42" s="54"/>
      <c r="C42" s="54"/>
      <c r="D42" s="54"/>
      <c r="E42" s="54"/>
      <c r="F42" s="54"/>
      <c r="G42" s="28"/>
    </row>
    <row r="43" spans="1:9" ht="18.75" x14ac:dyDescent="0.3">
      <c r="A43" s="28"/>
      <c r="B43" s="54"/>
      <c r="C43" s="54"/>
      <c r="D43" s="54"/>
      <c r="E43" s="54"/>
      <c r="F43" s="54"/>
      <c r="G43" s="28"/>
    </row>
    <row r="44" spans="1:9" ht="21" x14ac:dyDescent="0.35">
      <c r="A44" s="74"/>
      <c r="B44" s="74"/>
      <c r="C44" s="74"/>
      <c r="D44" s="74"/>
      <c r="E44" s="74"/>
      <c r="F44" s="74"/>
      <c r="G44" s="28"/>
    </row>
    <row r="45" spans="1:9" ht="21" x14ac:dyDescent="0.35">
      <c r="A45" s="74"/>
      <c r="B45" s="74"/>
      <c r="C45" s="75" t="s">
        <v>26</v>
      </c>
      <c r="D45" s="76">
        <f>'4637'!G8</f>
        <v>4043</v>
      </c>
      <c r="E45" s="74"/>
      <c r="F45" s="74"/>
      <c r="G45" s="28"/>
    </row>
    <row r="46" spans="1:9" ht="17.25" customHeight="1" x14ac:dyDescent="0.35">
      <c r="A46" s="74"/>
      <c r="B46" s="74"/>
      <c r="C46" s="77" t="s">
        <v>65</v>
      </c>
      <c r="D46" s="78" t="str">
        <f>'4637'!C10</f>
        <v>VICTOR RIVERO</v>
      </c>
      <c r="E46" s="79"/>
      <c r="F46" s="79"/>
      <c r="G46" s="28"/>
    </row>
    <row r="47" spans="1:9" ht="4.5" customHeight="1" x14ac:dyDescent="0.35">
      <c r="A47" s="74"/>
      <c r="B47" s="74"/>
      <c r="C47" s="80"/>
      <c r="D47" s="81"/>
      <c r="E47" s="74"/>
      <c r="F47" s="74"/>
      <c r="G47" s="28"/>
    </row>
    <row r="48" spans="1:9" ht="21" x14ac:dyDescent="0.35">
      <c r="A48" s="74"/>
      <c r="B48" s="74"/>
      <c r="C48" s="82" t="str">
        <f>'4637'!F11</f>
        <v>FECHA LIMITE :</v>
      </c>
      <c r="D48" s="83"/>
      <c r="E48" s="74"/>
      <c r="F48" s="74"/>
      <c r="G48" s="28"/>
    </row>
    <row r="49" spans="1:12" ht="21" x14ac:dyDescent="0.35">
      <c r="A49" s="74"/>
      <c r="B49" s="74"/>
      <c r="C49" s="74"/>
      <c r="D49" s="74"/>
      <c r="E49" s="74"/>
      <c r="F49" s="74" t="s">
        <v>137</v>
      </c>
      <c r="G49" s="28"/>
    </row>
    <row r="50" spans="1:12" ht="21" x14ac:dyDescent="0.35">
      <c r="A50" s="74"/>
      <c r="B50" s="74"/>
      <c r="C50" s="74"/>
      <c r="D50" s="74"/>
      <c r="E50" s="74" t="str" cm="1">
        <f t="array" ref="E50:F50">'4637'!B17:C17</f>
        <v>CIUDAD:</v>
      </c>
      <c r="F50" s="74" t="str">
        <v xml:space="preserve">SANTIAGO </v>
      </c>
      <c r="G50" s="28"/>
    </row>
    <row r="51" spans="1:12" ht="21" x14ac:dyDescent="0.35">
      <c r="A51" s="74"/>
      <c r="B51" s="74"/>
      <c r="C51" s="74"/>
      <c r="D51" s="74"/>
      <c r="E51" s="74"/>
      <c r="F51" s="74"/>
      <c r="G51" s="28"/>
    </row>
    <row r="52" spans="1:12" ht="21" x14ac:dyDescent="0.35">
      <c r="A52" s="119" t="s">
        <v>66</v>
      </c>
      <c r="B52" s="118"/>
      <c r="C52" s="118"/>
      <c r="D52" s="118"/>
      <c r="E52" s="118"/>
      <c r="F52" s="118"/>
      <c r="G52" s="28"/>
    </row>
    <row r="53" spans="1:12" ht="21.75" thickBot="1" x14ac:dyDescent="0.4">
      <c r="A53" s="74"/>
      <c r="B53" s="74"/>
      <c r="C53" s="74"/>
      <c r="D53" s="74"/>
      <c r="E53" s="74"/>
      <c r="F53" s="74"/>
      <c r="G53" s="28"/>
    </row>
    <row r="54" spans="1:12" ht="15.75" customHeight="1" x14ac:dyDescent="0.35">
      <c r="A54" s="74"/>
      <c r="B54" s="151" t="s">
        <v>67</v>
      </c>
      <c r="C54" s="152"/>
      <c r="D54" s="153"/>
      <c r="E54" s="153"/>
      <c r="F54" s="154"/>
      <c r="G54" s="28"/>
      <c r="H54" s="24" t="s">
        <v>129</v>
      </c>
    </row>
    <row r="55" spans="1:12" s="10" customFormat="1" ht="16.5" customHeight="1" x14ac:dyDescent="0.35">
      <c r="A55" s="74"/>
      <c r="B55" s="155" t="s">
        <v>10</v>
      </c>
      <c r="C55" s="86" t="s">
        <v>11</v>
      </c>
      <c r="D55" s="87" t="s">
        <v>7</v>
      </c>
      <c r="E55" s="87" t="s">
        <v>8</v>
      </c>
      <c r="F55" s="156" t="s">
        <v>12</v>
      </c>
      <c r="G55" s="28"/>
      <c r="J55" s="10">
        <v>14000</v>
      </c>
    </row>
    <row r="56" spans="1:12" s="10" customFormat="1" ht="21" customHeight="1" x14ac:dyDescent="0.35">
      <c r="A56" s="88" t="s">
        <v>138</v>
      </c>
      <c r="B56" s="155">
        <f>'4637'!B21</f>
        <v>2</v>
      </c>
      <c r="C56" s="85" t="str">
        <f>'4637'!C21</f>
        <v>PR2</v>
      </c>
      <c r="D56" s="89">
        <f>'4637'!D21</f>
        <v>720</v>
      </c>
      <c r="E56" s="89">
        <f>'4637'!E21</f>
        <v>343</v>
      </c>
      <c r="F56" s="157" t="str">
        <f>'4637'!F21</f>
        <v>CHUMBO PP-185</v>
      </c>
      <c r="G56" s="28"/>
      <c r="H56" s="10">
        <f>D56*E56/1000000</f>
        <v>0.24696000000000001</v>
      </c>
      <c r="I56" s="10">
        <f>H56*B56</f>
        <v>0.49392000000000003</v>
      </c>
      <c r="J56" s="25">
        <f t="shared" ref="J56" si="19">I56*J$55</f>
        <v>6914.88</v>
      </c>
      <c r="L56" s="23">
        <v>12096</v>
      </c>
    </row>
    <row r="57" spans="1:12" s="10" customFormat="1" ht="21" customHeight="1" x14ac:dyDescent="0.35">
      <c r="A57" s="88"/>
      <c r="B57" s="155">
        <f>'4637'!B22</f>
        <v>2</v>
      </c>
      <c r="C57" s="85" t="str">
        <f>'4637'!C22</f>
        <v>PR2</v>
      </c>
      <c r="D57" s="89">
        <f>'4637'!D22</f>
        <v>720</v>
      </c>
      <c r="E57" s="89">
        <f>'4637'!E22</f>
        <v>356</v>
      </c>
      <c r="F57" s="157" t="str">
        <f>'4637'!F22</f>
        <v>CHUMBO PP-185</v>
      </c>
      <c r="G57" s="28"/>
      <c r="J57" s="25"/>
      <c r="L57" s="140"/>
    </row>
    <row r="58" spans="1:12" s="10" customFormat="1" ht="21" customHeight="1" x14ac:dyDescent="0.35">
      <c r="A58" s="88"/>
      <c r="B58" s="155">
        <f>'4637'!B23</f>
        <v>1</v>
      </c>
      <c r="C58" s="85" t="str">
        <f>'4637'!C23</f>
        <v>PR2</v>
      </c>
      <c r="D58" s="89">
        <f>'4637'!D23</f>
        <v>720</v>
      </c>
      <c r="E58" s="89">
        <f>'4637'!E23</f>
        <v>347</v>
      </c>
      <c r="F58" s="157" t="str">
        <f>'4637'!F23</f>
        <v>CHUMBO PP-185</v>
      </c>
      <c r="G58" s="28"/>
      <c r="J58" s="25"/>
      <c r="L58" s="140"/>
    </row>
    <row r="59" spans="1:12" s="10" customFormat="1" ht="21" customHeight="1" thickBot="1" x14ac:dyDescent="0.4">
      <c r="A59" s="88"/>
      <c r="B59" s="158">
        <f>'4637'!B24</f>
        <v>4</v>
      </c>
      <c r="C59" s="159" t="str">
        <f>'4637'!C24</f>
        <v>FRENTE CAJON R2</v>
      </c>
      <c r="D59" s="160">
        <f>'4637'!D24</f>
        <v>162</v>
      </c>
      <c r="E59" s="160">
        <f>'4637'!E24</f>
        <v>643</v>
      </c>
      <c r="F59" s="161" t="str">
        <f>'4637'!F24</f>
        <v>CHUMBO PP-185</v>
      </c>
      <c r="G59" s="28"/>
      <c r="J59" s="25"/>
      <c r="L59" s="140"/>
    </row>
    <row r="60" spans="1:12" s="10" customFormat="1" ht="15" customHeight="1" x14ac:dyDescent="0.35">
      <c r="A60" s="88"/>
      <c r="B60" s="84"/>
      <c r="C60" s="84"/>
      <c r="D60" s="84"/>
      <c r="E60" s="84"/>
      <c r="F60" s="84"/>
      <c r="G60" s="28"/>
    </row>
    <row r="61" spans="1:12" ht="21" x14ac:dyDescent="0.35">
      <c r="A61" s="90"/>
      <c r="B61" s="90"/>
      <c r="C61" s="74"/>
      <c r="D61" s="90"/>
      <c r="E61" s="90"/>
      <c r="F61" s="80"/>
      <c r="G61" s="28"/>
    </row>
    <row r="62" spans="1:12" ht="21" x14ac:dyDescent="0.35">
      <c r="A62" s="90"/>
      <c r="B62" s="90"/>
      <c r="C62" s="74"/>
      <c r="D62" s="90"/>
      <c r="E62" s="90"/>
      <c r="F62" s="90"/>
      <c r="G62" s="28"/>
      <c r="I62" s="10">
        <f>SUM(I56:I56)</f>
        <v>0.49392000000000003</v>
      </c>
      <c r="J62" s="26">
        <f>SUM(J56:J56)</f>
        <v>6914.88</v>
      </c>
    </row>
    <row r="63" spans="1:12" ht="21" x14ac:dyDescent="0.35">
      <c r="A63" s="74"/>
      <c r="B63" s="74"/>
      <c r="C63" s="74"/>
      <c r="D63" s="74"/>
      <c r="E63" s="74"/>
      <c r="F63" s="74"/>
      <c r="G63" s="28"/>
    </row>
    <row r="64" spans="1:12" ht="21" x14ac:dyDescent="0.35">
      <c r="A64" s="74"/>
      <c r="B64" s="74"/>
      <c r="C64" s="74"/>
      <c r="D64" s="74"/>
      <c r="E64" s="74"/>
      <c r="F64" s="74"/>
      <c r="G64" s="28"/>
    </row>
    <row r="65" spans="1:7" ht="21" x14ac:dyDescent="0.35">
      <c r="A65" s="74"/>
      <c r="B65" s="74"/>
      <c r="C65" s="74"/>
      <c r="D65" s="74"/>
      <c r="E65" s="74"/>
      <c r="F65" s="74"/>
      <c r="G65" s="28"/>
    </row>
    <row r="66" spans="1:7" ht="15" customHeight="1" x14ac:dyDescent="0.35">
      <c r="A66" s="74"/>
      <c r="B66" s="74"/>
      <c r="C66" s="74"/>
      <c r="D66" s="74"/>
      <c r="E66" s="74"/>
      <c r="F66" s="74"/>
      <c r="G66" s="28"/>
    </row>
    <row r="67" spans="1:7" ht="21" x14ac:dyDescent="0.35">
      <c r="A67" s="74"/>
      <c r="B67" s="74"/>
      <c r="C67" s="74"/>
      <c r="D67" s="74"/>
      <c r="E67" s="74"/>
      <c r="F67" s="74"/>
      <c r="G67" s="28"/>
    </row>
    <row r="68" spans="1:7" ht="21" x14ac:dyDescent="0.35">
      <c r="A68" s="90"/>
      <c r="B68" s="91"/>
      <c r="C68" s="74"/>
      <c r="D68" s="74"/>
      <c r="E68" s="74"/>
      <c r="F68" s="74"/>
      <c r="G68" s="28"/>
    </row>
    <row r="69" spans="1:7" ht="18.75" x14ac:dyDescent="0.3">
      <c r="A69" s="28"/>
      <c r="B69" s="28"/>
      <c r="C69" s="28"/>
      <c r="D69" s="28"/>
      <c r="E69" s="28"/>
      <c r="F69" s="28"/>
      <c r="G69" s="28"/>
    </row>
    <row r="70" spans="1:7" ht="18.75" x14ac:dyDescent="0.3">
      <c r="A70" s="28"/>
      <c r="B70" s="28"/>
      <c r="C70" s="28"/>
      <c r="D70" s="28"/>
      <c r="E70" s="28"/>
      <c r="F70" s="28"/>
      <c r="G70" s="28"/>
    </row>
    <row r="71" spans="1:7" ht="18.75" x14ac:dyDescent="0.3">
      <c r="A71" s="28"/>
      <c r="B71" s="28"/>
      <c r="C71" s="28"/>
      <c r="D71" s="28"/>
      <c r="E71" s="28"/>
      <c r="F71" s="28"/>
      <c r="G71" s="28"/>
    </row>
  </sheetData>
  <mergeCells count="6">
    <mergeCell ref="M3:N3"/>
    <mergeCell ref="A19:F19"/>
    <mergeCell ref="A10:F10"/>
    <mergeCell ref="A52:F52"/>
    <mergeCell ref="B54:F54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Camila Palma</cp:lastModifiedBy>
  <cp:lastPrinted>2023-12-07T15:04:52Z</cp:lastPrinted>
  <dcterms:created xsi:type="dcterms:W3CDTF">2013-03-19T12:54:14Z</dcterms:created>
  <dcterms:modified xsi:type="dcterms:W3CDTF">2023-12-07T15:40:19Z</dcterms:modified>
</cp:coreProperties>
</file>