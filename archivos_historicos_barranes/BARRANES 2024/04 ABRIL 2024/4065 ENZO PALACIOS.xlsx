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4 ABRIL 2024\"/>
    </mc:Choice>
  </mc:AlternateContent>
  <xr:revisionPtr revIDLastSave="0" documentId="13_ncr:1_{8AD72055-B676-4560-B1B3-0F65D09170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'4637'!$B$1:$H$41</definedName>
    <definedName name="_xlnm.Print_Area" localSheetId="2">CUBIERTA!$A$45:$F$69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3" l="1"/>
  <c r="J17" i="3"/>
  <c r="K17" i="3"/>
  <c r="F27" i="3"/>
  <c r="I27" i="3"/>
  <c r="J27" i="3"/>
  <c r="K27" i="3"/>
  <c r="B61" i="3"/>
  <c r="C61" i="3"/>
  <c r="D61" i="3"/>
  <c r="E61" i="3"/>
  <c r="F61" i="3"/>
  <c r="B36" i="3"/>
  <c r="C36" i="3"/>
  <c r="D36" i="3"/>
  <c r="E36" i="3"/>
  <c r="F36" i="3"/>
  <c r="B27" i="3"/>
  <c r="D27" i="3"/>
  <c r="E27" i="3"/>
  <c r="F17" i="3"/>
  <c r="B17" i="3"/>
  <c r="D17" i="3"/>
  <c r="E17" i="3"/>
  <c r="B34" i="3"/>
  <c r="I25" i="3" s="1"/>
  <c r="B25" i="3" s="1"/>
  <c r="C34" i="3"/>
  <c r="F25" i="3" s="1"/>
  <c r="D34" i="3"/>
  <c r="J25" i="3" s="1"/>
  <c r="D25" i="3" s="1"/>
  <c r="E34" i="3"/>
  <c r="K25" i="3" s="1"/>
  <c r="E25" i="3" s="1"/>
  <c r="F34" i="3"/>
  <c r="B35" i="3"/>
  <c r="I26" i="3" s="1"/>
  <c r="B26" i="3" s="1"/>
  <c r="C35" i="3"/>
  <c r="F26" i="3" s="1"/>
  <c r="D35" i="3"/>
  <c r="J26" i="3" s="1"/>
  <c r="D26" i="3" s="1"/>
  <c r="E35" i="3"/>
  <c r="K26" i="3" s="1"/>
  <c r="E26" i="3" s="1"/>
  <c r="F35" i="3"/>
  <c r="B59" i="3"/>
  <c r="C59" i="3"/>
  <c r="D59" i="3"/>
  <c r="E59" i="3"/>
  <c r="F59" i="3"/>
  <c r="B60" i="3"/>
  <c r="C60" i="3"/>
  <c r="D60" i="3"/>
  <c r="E60" i="3"/>
  <c r="F60" i="3"/>
  <c r="K16" i="3" l="1"/>
  <c r="E16" i="3" s="1"/>
  <c r="J15" i="3"/>
  <c r="D15" i="3" s="1"/>
  <c r="I16" i="3"/>
  <c r="B16" i="3" s="1"/>
  <c r="I15" i="3"/>
  <c r="B15" i="3" s="1"/>
  <c r="K15" i="3"/>
  <c r="E15" i="3" s="1"/>
  <c r="J16" i="3"/>
  <c r="D16" i="3" s="1"/>
  <c r="F16" i="3"/>
  <c r="F15" i="3"/>
  <c r="E52" i="3" l="1" a="1"/>
  <c r="E52" i="3" s="1"/>
  <c r="L21" i="4" l="1"/>
  <c r="K21" i="4"/>
  <c r="H29" i="4" l="1"/>
  <c r="M21" i="4"/>
  <c r="N21" i="4" s="1"/>
  <c r="B33" i="3" l="1"/>
  <c r="I24" i="3" s="1"/>
  <c r="B24" i="3" s="1"/>
  <c r="C33" i="3"/>
  <c r="F24" i="3" s="1"/>
  <c r="D33" i="3"/>
  <c r="E33" i="3"/>
  <c r="K24" i="3" s="1"/>
  <c r="E24" i="3" s="1"/>
  <c r="F33" i="3"/>
  <c r="B58" i="3"/>
  <c r="C58" i="3"/>
  <c r="D58" i="3"/>
  <c r="E58" i="3"/>
  <c r="F58" i="3"/>
  <c r="H33" i="3" l="1"/>
  <c r="I33" i="3" s="1"/>
  <c r="J24" i="3"/>
  <c r="D24" i="3" s="1"/>
  <c r="H58" i="3"/>
  <c r="I58" i="3" s="1"/>
  <c r="J14" i="3"/>
  <c r="D14" i="3" s="1"/>
  <c r="I14" i="3"/>
  <c r="B14" i="3" s="1"/>
  <c r="F14" i="3"/>
  <c r="K14" i="3"/>
  <c r="E14" i="3" s="1"/>
  <c r="I64" i="3" l="1"/>
  <c r="I38" i="3"/>
  <c r="J58" i="3"/>
  <c r="N5" i="3"/>
  <c r="J64" i="3" l="1"/>
  <c r="M5" i="3"/>
  <c r="L5" i="3"/>
  <c r="K5" i="3"/>
  <c r="C50" i="3" l="1"/>
  <c r="C7" i="3"/>
  <c r="D48" i="3"/>
  <c r="D5" i="3"/>
  <c r="D47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<sst xmlns="http://schemas.openxmlformats.org/spreadsheetml/2006/main" count="257" uniqueCount="147">
  <si>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</si>
  <si>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</si>
  <si>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</si>
  <si>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</si>
  <si>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</si>
  <si>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</si>
  <si>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</si>
  <si>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</si>
  <si>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</si>
  <si>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</si>
  <si>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</si>
  <si>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</si>
  <si>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</si>
  <si>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</si>
  <si>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</si>
  <si>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</si>
  <si>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</si>
  <si>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</si>
  <si>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</si>
  <si>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</si>
  <si>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</si>
  <si>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</si>
  <si>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</si>
  <si>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</si>
  <si>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</si>
  <si>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</si>
  <si>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</si>
  <si>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</si>
  <si>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</si>
  <si>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</si>
  <si>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</si>
  <si>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</si>
  <si>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</si>
  <si>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</si>
  <si>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</si>
  <si>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</si>
  <si>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</si>
  <si>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</si>
  <si>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</si>
  <si>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</si>
  <si>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</si>
  <si>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</si>
  <si>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</si>
  <si>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</si>
  <si>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</si>
  <si>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</si>
  <si>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</si>
  <si>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</si>
  <si>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</si>
  <si>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</si>
  <si>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</si>
  <si>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</si>
  <si>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</si>
  <si>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</si>
  <si>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</si>
  <si>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</si>
  <si>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</si>
  <si>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</si>
  <si>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</si>
  <si>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</si>
  <si>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</si>
  <si>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</si>
  <si>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</si>
  <si>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</si>
  <si>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</si>
  <si>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</si>
  <si>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</si>
  <si>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</si>
  <si>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</si>
  <si>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</si>
  <si>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</si>
  <si>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</si>
  <si>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</si>
  <si>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</si>
  <si>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</si>
  <si>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</si>
  <si>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</si>
  <si>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</si>
  <si>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</si>
  <si>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</si>
  <si>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</si>
  <si>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</si>
  <si>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</si>
  <si>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</si>
  <si>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</si>
  <si>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</si>
  <si>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</si>
  <si>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</si>
  <si>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</si>
  <si>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</si>
  <si>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</si>
  <si>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</si>
  <si>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</si>
  <si>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</si>
  <si>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</si>
  <si>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</si>
  <si>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</si>
  <si>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</si>
  <si>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</si>
  <si>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</si>
  <si>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</si>
  <si>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</si>
  <si>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</si>
  <si>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</si>
  <si>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</si>
  <si>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</si>
  <si>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</si>
  <si>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</si>
  <si>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</si>
  <si>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</si>
  <si>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</si>
  <si>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</si>
  <si>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</si>
  <si>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</si>
  <si>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</si>
  <si>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</si>
  <si>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</si>
  <si>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</si>
  <si>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</si>
  <si>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</si>
  <si>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</si>
  <si>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</si>
  <si>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</si>
  <si>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</si>
  <si>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</si>
  <si>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</si>
  <si>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</si>
  <si>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</si>
  <si>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</si>
  <si>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</si>
  <si>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</si>
  <si>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</si>
  <si>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</si>
  <si>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</si>
  <si>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</si>
  <si>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OBRA: </t>
  </si>
  <si>
    <t>FD</t>
  </si>
  <si>
    <t>HECHO:</t>
  </si>
  <si>
    <t>F.D.</t>
  </si>
  <si>
    <t>HECHO POR: FD</t>
  </si>
  <si>
    <t>SANTIAGO</t>
  </si>
  <si>
    <t>MDF 18MM</t>
  </si>
  <si>
    <t>ENZO PALACIOS</t>
  </si>
  <si>
    <t>569 8190 8079</t>
  </si>
  <si>
    <t>CUB C/R 90° R2</t>
  </si>
  <si>
    <t>BELLA NOCE 10491 MT</t>
  </si>
  <si>
    <t>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</si>
</sst>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sz val="14"/>
      <color rgb="FF5133AB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u/>
      <sz val="11"/>
      <color theme="8" tint="-0.499984740745262"/>
      <name val="ADLaM Display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4" fillId="0" borderId="0" xfId="0" applyFon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7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6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3" fillId="9" borderId="4" xfId="0" applyFont="1" applyFill="1" applyBorder="1"/>
    <xf numFmtId="0" fontId="19" fillId="9" borderId="0" xfId="0" applyFont="1" applyFill="1"/>
    <xf numFmtId="0" fontId="20" fillId="9" borderId="0" xfId="0" applyFont="1" applyFill="1"/>
    <xf numFmtId="0" fontId="21" fillId="9" borderId="0" xfId="0" applyFont="1" applyFill="1"/>
    <xf numFmtId="0" fontId="22" fillId="9" borderId="9" xfId="2" applyFont="1" applyFill="1" applyBorder="1" applyAlignment="1">
      <alignment horizontal="left"/>
    </xf>
    <xf numFmtId="0" fontId="11" fillId="9" borderId="9" xfId="2" applyFont="1" applyFill="1" applyBorder="1" applyAlignment="1">
      <alignment horizontal="left"/>
    </xf>
    <xf numFmtId="0" fontId="23" fillId="0" borderId="0" xfId="0" applyFont="1"/>
    <xf numFmtId="0" fontId="24" fillId="0" borderId="0" xfId="0" applyFont="1" applyAlignment="1">
      <alignment horizontal="left" indent="1"/>
    </xf>
    <xf numFmtId="0" fontId="25" fillId="0" borderId="0" xfId="0" applyFont="1" applyAlignment="1">
      <alignment horizontal="left"/>
    </xf>
    <xf numFmtId="0" fontId="24" fillId="3" borderId="0" xfId="0" applyFont="1" applyFill="1" applyAlignment="1">
      <alignment horizontal="left" indent="1"/>
    </xf>
    <xf numFmtId="0" fontId="26" fillId="3" borderId="0" xfId="0" applyFont="1" applyFill="1" applyAlignment="1">
      <alignment horizontal="left"/>
    </xf>
    <xf numFmtId="0" fontId="23" fillId="3" borderId="0" xfId="0" applyFont="1" applyFill="1"/>
    <xf numFmtId="0" fontId="23" fillId="0" borderId="0" xfId="0" applyFont="1" applyAlignment="1">
      <alignment horizontal="left" indent="1"/>
    </xf>
    <xf numFmtId="14" fontId="23" fillId="0" borderId="0" xfId="0" applyNumberFormat="1" applyFont="1" applyAlignment="1">
      <alignment horizontal="right" vertical="top"/>
    </xf>
    <xf numFmtId="14" fontId="24" fillId="0" borderId="0" xfId="0" applyNumberFormat="1" applyFont="1" applyAlignment="1">
      <alignment horizontal="left" indent="1"/>
    </xf>
    <xf numFmtId="14" fontId="25" fillId="0" borderId="0" xfId="0" applyNumberFormat="1" applyFont="1" applyAlignment="1">
      <alignment horizontal="left" wrapText="1" shrinkToFit="1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0" xfId="0" applyFont="1" applyAlignment="1">
      <alignment horizontal="right"/>
    </xf>
    <xf numFmtId="0" fontId="25" fillId="0" borderId="2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5" fillId="3" borderId="0" xfId="0" applyFont="1" applyFill="1" applyAlignment="1">
      <alignment horizontal="left"/>
    </xf>
    <xf numFmtId="14" fontId="24" fillId="0" borderId="0" xfId="0" applyNumberFormat="1" applyFont="1" applyAlignment="1">
      <alignment horizontal="left" vertical="top" indent="1"/>
    </xf>
    <xf numFmtId="0" fontId="23" fillId="0" borderId="0" xfId="0" applyFont="1" applyAlignment="1">
      <alignment horizontal="left"/>
    </xf>
    <xf numFmtId="0" fontId="26" fillId="0" borderId="0" xfId="0" applyFont="1"/>
    <xf numFmtId="0" fontId="25" fillId="0" borderId="11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5" fillId="9" borderId="0" xfId="2" quotePrefix="1" applyFill="1"/>
    <xf numFmtId="0" fontId="27" fillId="0" borderId="0" xfId="0" applyFont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4" fillId="0" borderId="1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166" fontId="2" fillId="0" borderId="33" xfId="1" applyNumberFormat="1" applyFont="1" applyFill="1" applyBorder="1" applyAlignment="1">
      <alignment horizontal="center" vertical="center"/>
    </xf>
    <xf numFmtId="166" fontId="2" fillId="0" borderId="34" xfId="1" applyNumberFormat="1" applyFont="1" applyFill="1" applyBorder="1" applyAlignment="1">
      <alignment horizontal="center" vertical="center"/>
    </xf>
    <xf numFmtId="1" fontId="10" fillId="0" borderId="33" xfId="0" applyNumberFormat="1" applyFont="1" applyBorder="1" applyAlignment="1">
      <alignment horizontal="center" vertical="center"/>
    </xf>
    <xf numFmtId="42" fontId="10" fillId="0" borderId="0" xfId="3" applyFont="1" applyBorder="1" applyAlignment="1">
      <alignment horizontal="center" vertical="center"/>
    </xf>
    <xf numFmtId="0" fontId="28" fillId="0" borderId="0" xfId="2" quotePrefix="1" applyFont="1" applyFill="1" applyBorder="1" applyAlignment="1">
      <alignment horizontal="left"/>
    </xf>
    <xf numFmtId="0" fontId="13" fillId="7" borderId="28" xfId="0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30" xfId="0" applyFont="1" applyFill="1" applyBorder="1" applyAlignment="1">
      <alignment horizontal="center" vertical="center"/>
    </xf>
    <xf numFmtId="0" fontId="13" fillId="3" borderId="31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3" borderId="20" xfId="0" applyFont="1" applyFill="1" applyBorder="1" applyAlignment="1">
      <alignment horizontal="left" vertical="top" indent="28"/>
    </xf>
    <xf numFmtId="0" fontId="25" fillId="3" borderId="21" xfId="0" applyFont="1" applyFill="1" applyBorder="1" applyAlignment="1">
      <alignment horizontal="left" vertical="top" indent="28"/>
    </xf>
    <xf numFmtId="0" fontId="25" fillId="3" borderId="25" xfId="0" applyFont="1" applyFill="1" applyBorder="1" applyAlignment="1">
      <alignment horizontal="left" vertical="top" indent="28"/>
    </xf>
    <xf numFmtId="0" fontId="25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41611</xdr:colOff>
      <xdr:row>25</xdr:row>
      <xdr:rowOff>107</xdr:rowOff>
    </xdr:from>
    <xdr:to>
      <xdr:col>5</xdr:col>
      <xdr:colOff>1422971</xdr:colOff>
      <xdr:row>29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8532" y="6626938"/>
          <a:ext cx="6955091" cy="9414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 ABONO $ 88.000.-</a:t>
          </a:r>
        </a:p>
        <a:p>
          <a:pPr algn="l"/>
          <a:endParaRPr lang="es-CL" sz="1600" b="1" i="0" baseline="0"/>
        </a:p>
        <a:p>
          <a:pPr algn="l"/>
          <a:r>
            <a:rPr lang="es-CL" sz="1600" b="1" i="0" baseline="0"/>
            <a:t> saldo $ 88.000.- 22/04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36</xdr:row>
      <xdr:rowOff>0</xdr:rowOff>
    </xdr:from>
    <xdr:to>
      <xdr:col>4</xdr:col>
      <xdr:colOff>369336</xdr:colOff>
      <xdr:row>36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38</xdr:row>
      <xdr:rowOff>1</xdr:rowOff>
    </xdr:from>
    <xdr:to>
      <xdr:col>4</xdr:col>
      <xdr:colOff>349897</xdr:colOff>
      <xdr:row>38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6</xdr:row>
      <xdr:rowOff>9525</xdr:rowOff>
    </xdr:from>
    <xdr:to>
      <xdr:col>5</xdr:col>
      <xdr:colOff>3600449</xdr:colOff>
      <xdr:row>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4</xdr:row>
      <xdr:rowOff>28574</xdr:rowOff>
    </xdr:from>
    <xdr:to>
      <xdr:col>6</xdr:col>
      <xdr:colOff>0</xdr:colOff>
      <xdr:row>5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2</xdr:row>
      <xdr:rowOff>180974</xdr:rowOff>
    </xdr:from>
    <xdr:to>
      <xdr:col>6</xdr:col>
      <xdr:colOff>1</xdr:colOff>
      <xdr:row>4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28574</xdr:colOff>
      <xdr:row>19</xdr:row>
      <xdr:rowOff>76200</xdr:rowOff>
    </xdr:from>
    <xdr:to>
      <xdr:col>6</xdr:col>
      <xdr:colOff>19049</xdr:colOff>
      <xdr:row>20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09674" y="4524375"/>
          <a:ext cx="8181975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6</xdr:col>
      <xdr:colOff>0</xdr:colOff>
      <xdr:row>10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6</xdr:col>
      <xdr:colOff>0</xdr:colOff>
      <xdr:row>54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46</xdr:row>
      <xdr:rowOff>228601</xdr:rowOff>
    </xdr:from>
    <xdr:to>
      <xdr:col>6</xdr:col>
      <xdr:colOff>0</xdr:colOff>
      <xdr:row>48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62</xdr:row>
      <xdr:rowOff>0</xdr:rowOff>
    </xdr:from>
    <xdr:to>
      <xdr:col>2</xdr:col>
      <xdr:colOff>38100</xdr:colOff>
      <xdr:row>63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62</xdr:row>
      <xdr:rowOff>0</xdr:rowOff>
    </xdr:from>
    <xdr:to>
      <xdr:col>2</xdr:col>
      <xdr:colOff>1019175</xdr:colOff>
      <xdr:row>63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62</xdr:row>
      <xdr:rowOff>0</xdr:rowOff>
    </xdr:from>
    <xdr:to>
      <xdr:col>3</xdr:col>
      <xdr:colOff>323850</xdr:colOff>
      <xdr:row>63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62</xdr:row>
      <xdr:rowOff>0</xdr:rowOff>
    </xdr:from>
    <xdr:to>
      <xdr:col>4</xdr:col>
      <xdr:colOff>257175</xdr:colOff>
      <xdr:row>63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62</xdr:row>
      <xdr:rowOff>0</xdr:rowOff>
    </xdr:from>
    <xdr:to>
      <xdr:col>5</xdr:col>
      <xdr:colOff>447675</xdr:colOff>
      <xdr:row>63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62</xdr:row>
      <xdr:rowOff>0</xdr:rowOff>
    </xdr:from>
    <xdr:to>
      <xdr:col>6</xdr:col>
      <xdr:colOff>0</xdr:colOff>
      <xdr:row>63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63</xdr:row>
      <xdr:rowOff>0</xdr:rowOff>
    </xdr:from>
    <xdr:to>
      <xdr:col>2</xdr:col>
      <xdr:colOff>304800</xdr:colOff>
      <xdr:row>64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63</xdr:row>
      <xdr:rowOff>0</xdr:rowOff>
    </xdr:from>
    <xdr:to>
      <xdr:col>2</xdr:col>
      <xdr:colOff>1276350</xdr:colOff>
      <xdr:row>64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63</xdr:row>
      <xdr:rowOff>0</xdr:rowOff>
    </xdr:from>
    <xdr:to>
      <xdr:col>3</xdr:col>
      <xdr:colOff>619125</xdr:colOff>
      <xdr:row>64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63</xdr:row>
      <xdr:rowOff>0</xdr:rowOff>
    </xdr:from>
    <xdr:to>
      <xdr:col>4</xdr:col>
      <xdr:colOff>523875</xdr:colOff>
      <xdr:row>64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63</xdr:row>
      <xdr:rowOff>0</xdr:rowOff>
    </xdr:from>
    <xdr:to>
      <xdr:col>5</xdr:col>
      <xdr:colOff>723900</xdr:colOff>
      <xdr:row>64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63</xdr:row>
      <xdr:rowOff>0</xdr:rowOff>
    </xdr:from>
    <xdr:to>
      <xdr:col>6</xdr:col>
      <xdr:colOff>0</xdr:colOff>
      <xdr:row>64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37</xdr:row>
      <xdr:rowOff>5714</xdr:rowOff>
    </xdr:from>
    <xdr:to>
      <xdr:col>6</xdr:col>
      <xdr:colOff>0</xdr:colOff>
      <xdr:row>39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28</xdr:row>
      <xdr:rowOff>152400</xdr:rowOff>
    </xdr:from>
    <xdr:to>
      <xdr:col>6</xdr:col>
      <xdr:colOff>9524</xdr:colOff>
      <xdr:row>29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1198245</xdr:colOff>
      <xdr:row>65</xdr:row>
      <xdr:rowOff>28575</xdr:rowOff>
    </xdr:from>
    <xdr:to>
      <xdr:col>5</xdr:col>
      <xdr:colOff>2386965</xdr:colOff>
      <xdr:row>68</xdr:row>
      <xdr:rowOff>7620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98245" y="17287875"/>
          <a:ext cx="8382000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302895</xdr:colOff>
      <xdr:row>46</xdr:row>
      <xdr:rowOff>22860</xdr:rowOff>
    </xdr:from>
    <xdr:to>
      <xdr:col>1</xdr:col>
      <xdr:colOff>672223</xdr:colOff>
      <xdr:row>51</xdr:row>
      <xdr:rowOff>120015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" y="99002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</xdr:row>
      <xdr:rowOff>202713</xdr:rowOff>
    </xdr:from>
    <xdr:to>
      <xdr:col>1</xdr:col>
      <xdr:colOff>661035</xdr:colOff>
      <xdr:row>8</xdr:row>
      <xdr:rowOff>28575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71</xdr:row>
      <xdr:rowOff>0</xdr:rowOff>
    </xdr:from>
    <xdr:to>
      <xdr:col>3</xdr:col>
      <xdr:colOff>304800</xdr:colOff>
      <xdr:row>72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2"/>
  <sheetViews>
    <sheetView tabSelected="1" topLeftCell="A9" zoomScale="89" zoomScaleNormal="89" workbookViewId="0">
      <selection activeCell="J27" sqref="J27"/>
    </sheetView>
  </sheetViews>
  <sheetFormatPr baseColWidth="10" defaultRowHeight="14.4" x14ac:dyDescent="0.3"/>
  <cols>
    <col min="1" max="1" width="2.88671875" customWidth="1"/>
    <col min="2" max="2" width="14.5546875" customWidth="1"/>
    <col min="3" max="3" width="42.6640625" customWidth="1"/>
    <col min="4" max="4" width="12.33203125" customWidth="1"/>
    <col min="5" max="5" width="11.5546875" customWidth="1"/>
    <col min="6" max="6" width="34.5546875" customWidth="1"/>
    <col min="7" max="7" width="14.6640625" customWidth="1"/>
    <col min="8" max="8" width="16.109375" customWidth="1"/>
    <col min="11" max="11" width="22.88671875" customWidth="1"/>
  </cols>
  <sheetData>
    <row r="1" spans="1:17" ht="18" x14ac:dyDescent="0.35">
      <c r="A1" s="28"/>
      <c r="B1" s="28"/>
      <c r="C1" s="28"/>
      <c r="D1" s="28"/>
      <c r="E1" s="28"/>
      <c r="F1" s="28"/>
      <c r="G1" s="28"/>
      <c r="H1" s="28"/>
      <c r="I1" s="1"/>
    </row>
    <row r="2" spans="1:17" ht="18" x14ac:dyDescent="0.35">
      <c r="A2" s="28"/>
      <c r="B2" s="28"/>
      <c r="C2" s="28"/>
      <c r="D2" s="28"/>
      <c r="E2" s="28"/>
      <c r="F2" s="30" t="s">
        <v>116</v>
      </c>
      <c r="G2" s="28"/>
      <c r="H2" s="28"/>
      <c r="I2" s="1"/>
    </row>
    <row r="3" spans="1:17" ht="18" x14ac:dyDescent="0.35">
      <c r="A3" s="28"/>
      <c r="B3" s="28"/>
      <c r="C3" s="28"/>
      <c r="D3" s="28"/>
      <c r="E3" s="28"/>
      <c r="F3" s="28" t="s">
        <v>117</v>
      </c>
      <c r="G3" s="28"/>
      <c r="H3" s="28"/>
      <c r="I3" s="1"/>
    </row>
    <row r="4" spans="1:17" ht="18" x14ac:dyDescent="0.35">
      <c r="A4" s="28"/>
      <c r="B4" s="28"/>
      <c r="C4" s="28"/>
      <c r="D4" s="28"/>
      <c r="E4" s="28"/>
      <c r="F4" s="28" t="s">
        <v>118</v>
      </c>
      <c r="G4" s="28"/>
      <c r="H4" s="28"/>
      <c r="I4" s="1"/>
    </row>
    <row r="5" spans="1:17" ht="18" x14ac:dyDescent="0.35">
      <c r="A5" s="28"/>
      <c r="B5" s="28"/>
      <c r="C5" s="28"/>
      <c r="D5" s="28"/>
      <c r="E5" s="28"/>
      <c r="F5" s="28" t="s">
        <v>0</v>
      </c>
      <c r="G5" s="28"/>
      <c r="H5" s="28"/>
      <c r="I5" s="1"/>
    </row>
    <row r="6" spans="1:17" ht="18" x14ac:dyDescent="0.35">
      <c r="A6" s="28"/>
      <c r="B6" s="28"/>
      <c r="C6" s="28"/>
      <c r="D6" s="28"/>
      <c r="E6" s="28"/>
      <c r="F6" s="28" t="s">
        <v>15</v>
      </c>
      <c r="G6" s="28"/>
      <c r="H6" s="28"/>
      <c r="I6" s="1"/>
    </row>
    <row r="7" spans="1:17" ht="18.600000000000001" thickBot="1" x14ac:dyDescent="0.4">
      <c r="A7" s="28"/>
      <c r="B7" s="28"/>
      <c r="C7" s="28"/>
      <c r="D7" s="28"/>
      <c r="E7" s="28"/>
      <c r="F7" s="28" t="s">
        <v>13</v>
      </c>
      <c r="G7" s="28"/>
      <c r="H7" s="28"/>
      <c r="I7" s="1"/>
    </row>
    <row r="8" spans="1:17" ht="18.600000000000001" thickBot="1" x14ac:dyDescent="0.4">
      <c r="A8" s="28"/>
      <c r="B8" s="31" t="s">
        <v>16</v>
      </c>
      <c r="C8" s="32"/>
      <c r="D8" s="33" t="s">
        <v>146</v>
      </c>
      <c r="E8" s="28"/>
      <c r="F8" s="34" t="s">
        <v>26</v>
      </c>
      <c r="G8" s="35">
        <v>4065</v>
      </c>
      <c r="H8" s="28"/>
      <c r="I8" s="1"/>
    </row>
    <row r="9" spans="1:17" ht="18.600000000000001" thickBot="1" x14ac:dyDescent="0.4">
      <c r="A9" s="28"/>
      <c r="B9" s="28"/>
      <c r="C9" s="28"/>
      <c r="D9" s="28"/>
      <c r="E9" s="28"/>
      <c r="F9" s="28"/>
      <c r="G9" s="36"/>
      <c r="H9" s="28"/>
      <c r="I9" s="1"/>
    </row>
    <row r="10" spans="1:17" ht="18" x14ac:dyDescent="0.35">
      <c r="A10" s="28"/>
      <c r="B10" s="55" t="s">
        <v>132</v>
      </c>
      <c r="C10" s="68" t="s">
        <v>142</v>
      </c>
      <c r="D10" s="56"/>
      <c r="E10" s="56"/>
      <c r="F10" s="57" t="s">
        <v>27</v>
      </c>
      <c r="G10" s="58">
        <v>45398</v>
      </c>
      <c r="H10" s="59"/>
      <c r="I10" s="1"/>
      <c r="J10" s="1"/>
      <c r="K10" s="1"/>
      <c r="L10" s="1"/>
      <c r="M10" s="1"/>
      <c r="N10" s="1"/>
      <c r="O10" s="1"/>
      <c r="P10" s="1"/>
      <c r="Q10" s="1"/>
    </row>
    <row r="11" spans="1:17" ht="20.399999999999999" x14ac:dyDescent="0.45">
      <c r="A11" s="28"/>
      <c r="B11" s="60" t="s">
        <v>2</v>
      </c>
      <c r="C11" s="69"/>
      <c r="D11" s="61"/>
      <c r="E11" s="61"/>
      <c r="F11" s="61" t="s">
        <v>120</v>
      </c>
      <c r="G11" s="62">
        <v>45401</v>
      </c>
      <c r="H11" s="63"/>
      <c r="I11" s="1"/>
    </row>
    <row r="12" spans="1:17" ht="20.399999999999999" x14ac:dyDescent="0.45">
      <c r="A12" s="28"/>
      <c r="B12" s="60" t="s">
        <v>126</v>
      </c>
      <c r="C12" s="70"/>
      <c r="D12" s="61"/>
      <c r="E12" s="61"/>
      <c r="F12" s="61" t="s">
        <v>28</v>
      </c>
      <c r="G12" s="64"/>
      <c r="H12" s="63"/>
      <c r="I12" s="1"/>
    </row>
    <row r="13" spans="1:17" ht="18" x14ac:dyDescent="0.35">
      <c r="A13" s="28"/>
      <c r="B13" s="60" t="s">
        <v>125</v>
      </c>
      <c r="D13" s="61"/>
      <c r="E13" s="61"/>
      <c r="F13" s="61" t="s">
        <v>124</v>
      </c>
      <c r="G13" s="64" t="s">
        <v>136</v>
      </c>
      <c r="H13" s="63"/>
      <c r="I13" s="1"/>
    </row>
    <row r="14" spans="1:17" ht="18" x14ac:dyDescent="0.35">
      <c r="A14" s="28"/>
      <c r="B14" s="60" t="s">
        <v>133</v>
      </c>
      <c r="C14" s="109"/>
      <c r="D14" s="61"/>
      <c r="E14" s="61"/>
      <c r="F14" s="61" t="s">
        <v>135</v>
      </c>
      <c r="G14" s="61"/>
      <c r="H14" s="63"/>
      <c r="I14" s="1"/>
    </row>
    <row r="15" spans="1:17" ht="18" x14ac:dyDescent="0.35">
      <c r="A15" s="28"/>
      <c r="B15" s="60" t="s">
        <v>17</v>
      </c>
      <c r="C15" s="124" t="s">
        <v>143</v>
      </c>
      <c r="D15" s="71"/>
      <c r="E15" s="61"/>
      <c r="F15" s="65" t="s">
        <v>73</v>
      </c>
      <c r="G15" s="65" t="s">
        <v>128</v>
      </c>
      <c r="H15" s="63"/>
      <c r="I15" s="1"/>
    </row>
    <row r="16" spans="1:17" ht="18" x14ac:dyDescent="0.35">
      <c r="A16" s="28"/>
      <c r="B16" s="60" t="s">
        <v>1</v>
      </c>
      <c r="D16" s="61"/>
      <c r="E16" s="61"/>
      <c r="F16" s="127" t="s">
        <v>18</v>
      </c>
      <c r="G16" s="127"/>
      <c r="H16" s="128"/>
      <c r="I16" s="1"/>
    </row>
    <row r="17" spans="1:16" ht="18.600000000000001" thickBot="1" x14ac:dyDescent="0.4">
      <c r="A17" s="28"/>
      <c r="B17" s="66" t="s">
        <v>3</v>
      </c>
      <c r="C17" s="72" t="s">
        <v>140</v>
      </c>
      <c r="D17" s="73"/>
      <c r="E17" s="67"/>
      <c r="F17" s="132"/>
      <c r="G17" s="132"/>
      <c r="H17" s="133"/>
      <c r="I17" s="1"/>
    </row>
    <row r="18" spans="1:16" ht="18.600000000000001" thickBot="1" x14ac:dyDescent="0.4">
      <c r="A18" s="28"/>
      <c r="B18" s="28"/>
      <c r="C18" s="28"/>
      <c r="D18" s="28"/>
      <c r="E18" s="28"/>
      <c r="F18" s="28"/>
      <c r="G18" s="28"/>
      <c r="H18" s="28"/>
      <c r="I18" s="1"/>
    </row>
    <row r="19" spans="1:16" ht="18" customHeight="1" thickBot="1" x14ac:dyDescent="0.4">
      <c r="A19" s="28"/>
      <c r="B19" s="129" t="s">
        <v>19</v>
      </c>
      <c r="C19" s="130"/>
      <c r="D19" s="130"/>
      <c r="E19" s="130"/>
      <c r="F19" s="130"/>
      <c r="G19" s="130"/>
      <c r="H19" s="131"/>
      <c r="I19" s="1"/>
    </row>
    <row r="20" spans="1:16" ht="18" customHeight="1" x14ac:dyDescent="0.35">
      <c r="A20" s="28"/>
      <c r="B20" s="111" t="s">
        <v>127</v>
      </c>
      <c r="C20" s="125" t="s">
        <v>20</v>
      </c>
      <c r="D20" s="125" t="s">
        <v>21</v>
      </c>
      <c r="E20" s="125" t="s">
        <v>8</v>
      </c>
      <c r="F20" s="125" t="s">
        <v>22</v>
      </c>
      <c r="G20" s="125" t="s">
        <v>23</v>
      </c>
      <c r="H20" s="126" t="s">
        <v>4</v>
      </c>
      <c r="I20" s="1"/>
      <c r="N20">
        <v>14000</v>
      </c>
    </row>
    <row r="21" spans="1:16" ht="19.5" customHeight="1" x14ac:dyDescent="0.35">
      <c r="A21" s="28"/>
      <c r="B21" s="118">
        <v>1</v>
      </c>
      <c r="C21" s="119" t="s">
        <v>144</v>
      </c>
      <c r="D21" s="122">
        <v>910</v>
      </c>
      <c r="E21" s="122">
        <v>430</v>
      </c>
      <c r="F21" s="119" t="s">
        <v>145</v>
      </c>
      <c r="G21" s="120"/>
      <c r="H21" s="121"/>
      <c r="I21" s="1"/>
      <c r="K21" s="11">
        <f t="shared" ref="K21:L21" si="0">D21/1000</f>
        <v>0.91</v>
      </c>
      <c r="L21" s="14">
        <f t="shared" si="0"/>
        <v>0.43</v>
      </c>
      <c r="M21" s="11">
        <f>K21*L21</f>
        <v>0.39129999999999998</v>
      </c>
      <c r="N21" s="11">
        <f>M21*N$20</f>
        <v>5478.2</v>
      </c>
      <c r="O21" s="14"/>
      <c r="P21" s="20"/>
    </row>
    <row r="22" spans="1:16" ht="19.5" customHeight="1" x14ac:dyDescent="0.35">
      <c r="A22" s="28"/>
      <c r="B22" s="118">
        <v>1</v>
      </c>
      <c r="C22" s="119" t="s">
        <v>144</v>
      </c>
      <c r="D22" s="122">
        <v>1410</v>
      </c>
      <c r="E22" s="122">
        <v>430</v>
      </c>
      <c r="F22" s="119" t="s">
        <v>145</v>
      </c>
      <c r="G22" s="120"/>
      <c r="H22" s="121"/>
      <c r="I22" s="1"/>
      <c r="K22" s="11"/>
      <c r="L22" s="14"/>
      <c r="M22" s="11"/>
      <c r="N22" s="11"/>
      <c r="O22" s="14"/>
      <c r="P22" s="20"/>
    </row>
    <row r="23" spans="1:16" ht="19.5" customHeight="1" x14ac:dyDescent="0.35">
      <c r="A23" s="28"/>
      <c r="B23" s="118">
        <v>1</v>
      </c>
      <c r="C23" s="119" t="s">
        <v>144</v>
      </c>
      <c r="D23" s="122">
        <v>730</v>
      </c>
      <c r="E23" s="122">
        <v>530</v>
      </c>
      <c r="F23" s="119" t="s">
        <v>145</v>
      </c>
      <c r="G23" s="120"/>
      <c r="H23" s="121"/>
      <c r="I23" s="1"/>
      <c r="K23" s="11"/>
      <c r="L23" s="14"/>
      <c r="M23" s="11"/>
      <c r="N23" s="11"/>
      <c r="O23" s="14"/>
      <c r="P23" s="20"/>
    </row>
    <row r="24" spans="1:16" ht="19.5" customHeight="1" x14ac:dyDescent="0.35">
      <c r="A24" s="28"/>
      <c r="B24" s="118">
        <v>1</v>
      </c>
      <c r="C24" s="119" t="s">
        <v>144</v>
      </c>
      <c r="D24" s="122">
        <v>1350</v>
      </c>
      <c r="E24" s="122">
        <v>530</v>
      </c>
      <c r="F24" s="119" t="s">
        <v>145</v>
      </c>
      <c r="G24" s="120"/>
      <c r="H24" s="121"/>
      <c r="I24" s="1"/>
      <c r="K24" s="11"/>
      <c r="L24" s="14"/>
      <c r="M24" s="11"/>
      <c r="N24" s="11"/>
      <c r="O24" s="14"/>
      <c r="P24" s="20"/>
    </row>
    <row r="25" spans="1:16" ht="18" customHeight="1" x14ac:dyDescent="0.35">
      <c r="A25" s="28"/>
      <c r="B25" s="37"/>
      <c r="C25" s="37"/>
      <c r="D25" s="38"/>
      <c r="E25" s="38"/>
      <c r="F25" s="37"/>
      <c r="G25" s="39"/>
      <c r="H25" s="39"/>
      <c r="I25" s="1"/>
      <c r="K25" s="11"/>
      <c r="L25" s="14"/>
      <c r="M25" s="11"/>
      <c r="N25" s="11"/>
      <c r="O25" s="14"/>
      <c r="P25" s="20"/>
    </row>
    <row r="26" spans="1:16" ht="8.25" customHeight="1" thickBot="1" x14ac:dyDescent="0.4">
      <c r="A26" s="28"/>
      <c r="B26" s="40"/>
      <c r="C26" s="40"/>
      <c r="D26" s="40"/>
      <c r="E26" s="40"/>
      <c r="F26" s="40"/>
      <c r="G26" s="41"/>
      <c r="H26" s="41"/>
      <c r="I26" s="1"/>
    </row>
    <row r="27" spans="1:16" ht="18" x14ac:dyDescent="0.35">
      <c r="A27" s="28"/>
      <c r="B27" s="28"/>
      <c r="C27" s="28"/>
      <c r="D27" s="28"/>
      <c r="E27" s="28"/>
      <c r="F27" s="28"/>
      <c r="G27" s="42" t="s">
        <v>5</v>
      </c>
      <c r="H27" s="43">
        <v>176000</v>
      </c>
      <c r="I27" s="1"/>
    </row>
    <row r="28" spans="1:16" ht="18" x14ac:dyDescent="0.35">
      <c r="A28" s="28"/>
      <c r="B28" s="28"/>
      <c r="C28" s="28"/>
      <c r="D28" s="28"/>
      <c r="E28" s="28"/>
      <c r="F28" s="28"/>
      <c r="G28" s="44" t="s">
        <v>6</v>
      </c>
      <c r="H28" s="45"/>
      <c r="I28" s="1"/>
    </row>
    <row r="29" spans="1:16" ht="18.600000000000001" thickBot="1" x14ac:dyDescent="0.4">
      <c r="A29" s="28"/>
      <c r="B29" s="28"/>
      <c r="C29" s="28"/>
      <c r="D29" s="28"/>
      <c r="E29" s="28"/>
      <c r="F29" s="28"/>
      <c r="G29" s="46" t="s">
        <v>4</v>
      </c>
      <c r="H29" s="47">
        <f>H27+H28</f>
        <v>176000</v>
      </c>
      <c r="I29" s="1"/>
    </row>
    <row r="30" spans="1:16" ht="18" x14ac:dyDescent="0.35">
      <c r="A30" s="28"/>
      <c r="B30" s="28"/>
      <c r="C30" s="28"/>
      <c r="D30" s="28"/>
      <c r="E30" s="28"/>
      <c r="F30" s="28"/>
      <c r="G30" s="29"/>
      <c r="H30" s="48"/>
      <c r="I30" s="1"/>
    </row>
    <row r="31" spans="1:16" ht="18" x14ac:dyDescent="0.35">
      <c r="A31" s="28"/>
      <c r="B31" s="28"/>
      <c r="C31" s="28"/>
      <c r="D31" s="28"/>
      <c r="E31" s="28"/>
      <c r="F31" s="28"/>
      <c r="G31" s="28"/>
      <c r="H31" s="28"/>
      <c r="I31" s="1"/>
    </row>
    <row r="32" spans="1:16" ht="18" x14ac:dyDescent="0.35">
      <c r="A32" s="28"/>
      <c r="B32" s="49" t="s">
        <v>134</v>
      </c>
      <c r="C32" s="50"/>
      <c r="D32" s="51"/>
      <c r="E32" s="51"/>
      <c r="F32" s="40"/>
      <c r="G32" s="28"/>
      <c r="H32" s="28"/>
      <c r="I32" s="1"/>
    </row>
    <row r="33" spans="1:9" ht="18" x14ac:dyDescent="0.35">
      <c r="A33" s="28"/>
      <c r="B33" s="49" t="s">
        <v>119</v>
      </c>
      <c r="C33" s="50"/>
      <c r="D33" s="51"/>
      <c r="E33" s="51"/>
      <c r="F33" s="40"/>
      <c r="G33" s="28"/>
      <c r="H33" s="28"/>
      <c r="I33" s="1"/>
    </row>
    <row r="34" spans="1:9" ht="18" x14ac:dyDescent="0.35">
      <c r="A34" s="28"/>
      <c r="B34" s="28" t="s">
        <v>24</v>
      </c>
      <c r="C34" s="28"/>
      <c r="D34" s="28"/>
      <c r="E34" s="52" t="s">
        <v>25</v>
      </c>
      <c r="F34" s="28"/>
      <c r="G34" s="28"/>
      <c r="H34" s="28"/>
      <c r="I34" s="1"/>
    </row>
    <row r="35" spans="1:9" ht="18" x14ac:dyDescent="0.35">
      <c r="A35" s="28"/>
      <c r="B35" s="28"/>
      <c r="C35" s="28"/>
      <c r="D35" s="28"/>
      <c r="E35" s="52"/>
      <c r="F35" s="28"/>
      <c r="G35" s="28"/>
      <c r="H35" s="28"/>
      <c r="I35" s="1"/>
    </row>
    <row r="36" spans="1:9" ht="18" x14ac:dyDescent="0.35">
      <c r="A36" s="28"/>
      <c r="B36" s="30" t="s">
        <v>130</v>
      </c>
      <c r="C36" s="30"/>
      <c r="D36" s="30"/>
      <c r="E36" s="53"/>
      <c r="F36" s="28"/>
      <c r="G36" s="28"/>
      <c r="H36" s="28"/>
      <c r="I36" s="1"/>
    </row>
    <row r="37" spans="1:9" ht="18" x14ac:dyDescent="0.35">
      <c r="A37" s="28"/>
      <c r="B37" s="30"/>
      <c r="C37" s="30"/>
      <c r="D37" s="30"/>
      <c r="E37" s="53"/>
      <c r="F37" s="28"/>
      <c r="G37" s="28"/>
      <c r="H37" s="28"/>
      <c r="I37" s="1"/>
    </row>
    <row r="38" spans="1:9" ht="18" x14ac:dyDescent="0.35">
      <c r="A38" s="28"/>
      <c r="B38" s="30" t="s">
        <v>131</v>
      </c>
      <c r="C38" s="28"/>
      <c r="D38" s="28"/>
      <c r="E38" s="52"/>
      <c r="F38" s="28"/>
      <c r="G38" s="28"/>
      <c r="H38" s="28"/>
      <c r="I38" s="1"/>
    </row>
    <row r="39" spans="1:9" ht="15.6" x14ac:dyDescent="0.3">
      <c r="A39" s="1"/>
      <c r="B39" s="1"/>
      <c r="C39" s="1"/>
      <c r="D39" s="1"/>
      <c r="E39" s="22"/>
      <c r="F39" s="1"/>
      <c r="G39" s="1"/>
      <c r="H39" s="1"/>
      <c r="I39" s="1"/>
    </row>
    <row r="40" spans="1:9" ht="15.6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ht="15.6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ht="15.6" x14ac:dyDescent="0.3">
      <c r="C42" s="1"/>
    </row>
  </sheetData>
  <sortState xmlns:xlrd2="http://schemas.microsoft.com/office/spreadsheetml/2017/richdata2" ref="B43">
    <sortCondition sortBy="fontColor" ref="B43" dxfId="0"/>
  </sortState>
  <mergeCells count="3">
    <mergeCell ref="F16:H16"/>
    <mergeCell ref="B19:H19"/>
    <mergeCell ref="F17:H17"/>
  </mergeCells>
  <phoneticPr fontId="8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4" t="s">
        <v>29</v>
      </c>
      <c r="C2" s="134"/>
      <c r="D2" s="134"/>
      <c r="E2" s="12"/>
      <c r="G2" s="134" t="s">
        <v>68</v>
      </c>
      <c r="H2" s="134"/>
      <c r="I2" s="134"/>
      <c r="P2" s="135" t="s">
        <v>56</v>
      </c>
      <c r="Q2" s="135"/>
      <c r="R2" s="135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35" t="s">
        <v>56</v>
      </c>
      <c r="M8" s="135"/>
      <c r="N8" s="135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3"/>
  <sheetViews>
    <sheetView topLeftCell="A36" zoomScaleNormal="100" workbookViewId="0">
      <selection activeCell="A45" sqref="A45:F69"/>
    </sheetView>
  </sheetViews>
  <sheetFormatPr baseColWidth="10" defaultRowHeight="14.4" x14ac:dyDescent="0.3"/>
  <cols>
    <col min="1" max="1" width="17.6640625" customWidth="1"/>
    <col min="2" max="2" width="13.6640625" customWidth="1"/>
    <col min="3" max="3" width="44.88671875" customWidth="1"/>
    <col min="4" max="4" width="16" customWidth="1"/>
    <col min="5" max="5" width="12.6640625" bestFit="1" customWidth="1"/>
    <col min="6" max="6" width="35.5546875" customWidth="1"/>
    <col min="9" max="9" width="10" customWidth="1"/>
    <col min="10" max="10" width="9.33203125" customWidth="1"/>
    <col min="11" max="11" width="8.6640625" customWidth="1"/>
  </cols>
  <sheetData>
    <row r="1" spans="1:14" ht="21" x14ac:dyDescent="0.4">
      <c r="A1" s="74"/>
      <c r="B1" s="74"/>
      <c r="C1" s="74"/>
      <c r="D1" s="74"/>
      <c r="E1" s="74"/>
      <c r="F1" s="74"/>
      <c r="G1" s="28"/>
    </row>
    <row r="2" spans="1:14" ht="16.5" customHeight="1" x14ac:dyDescent="0.4">
      <c r="A2" s="74"/>
      <c r="B2" s="74"/>
      <c r="C2" s="74"/>
      <c r="D2" s="74"/>
      <c r="E2" s="74"/>
      <c r="F2" s="74"/>
      <c r="G2" s="28"/>
      <c r="K2" s="21" t="s">
        <v>122</v>
      </c>
      <c r="L2" s="21"/>
      <c r="M2" s="21"/>
    </row>
    <row r="3" spans="1:14" ht="21" x14ac:dyDescent="0.4">
      <c r="A3" s="74"/>
      <c r="B3" s="74"/>
      <c r="C3" s="74"/>
      <c r="D3" s="74"/>
      <c r="E3" s="74"/>
      <c r="F3" s="74"/>
      <c r="G3" s="28"/>
      <c r="K3" s="136" t="s">
        <v>59</v>
      </c>
      <c r="L3" s="136"/>
      <c r="M3" s="136" t="s">
        <v>14</v>
      </c>
      <c r="N3" s="136"/>
    </row>
    <row r="4" spans="1:14" ht="15.75" customHeight="1" x14ac:dyDescent="0.4">
      <c r="A4" s="74"/>
      <c r="B4" s="74"/>
      <c r="C4" s="75" t="s">
        <v>26</v>
      </c>
      <c r="D4" s="76">
        <f>'4637'!G8</f>
        <v>4065</v>
      </c>
      <c r="E4" s="74"/>
      <c r="F4" s="74"/>
      <c r="G4" s="28"/>
      <c r="K4" t="s">
        <v>7</v>
      </c>
      <c r="L4" t="s">
        <v>8</v>
      </c>
      <c r="M4" t="s">
        <v>7</v>
      </c>
      <c r="N4" t="s">
        <v>8</v>
      </c>
    </row>
    <row r="5" spans="1:14" ht="22.8" customHeight="1" x14ac:dyDescent="0.4">
      <c r="A5" s="74"/>
      <c r="B5" s="74"/>
      <c r="C5" s="77" t="s">
        <v>65</v>
      </c>
      <c r="D5" s="93" t="str">
        <f>'4637'!C10</f>
        <v>ENZO PALACIOS</v>
      </c>
      <c r="E5" s="79"/>
      <c r="F5" s="79"/>
      <c r="G5" s="28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4">
      <c r="A6" s="74"/>
      <c r="B6" s="74"/>
      <c r="C6" s="80"/>
      <c r="D6" s="81"/>
      <c r="E6" s="74"/>
      <c r="F6" s="74"/>
      <c r="G6" s="28"/>
    </row>
    <row r="7" spans="1:14" ht="21" x14ac:dyDescent="0.4">
      <c r="A7" s="74"/>
      <c r="B7" s="74"/>
      <c r="C7" s="94" t="str">
        <f>'4637'!F11</f>
        <v>FECHA LIMITE :</v>
      </c>
      <c r="D7" s="83"/>
      <c r="E7" s="74"/>
      <c r="F7" s="74" t="s">
        <v>139</v>
      </c>
      <c r="G7" s="28"/>
    </row>
    <row r="8" spans="1:14" ht="21" x14ac:dyDescent="0.4">
      <c r="A8" s="74"/>
      <c r="B8" s="74"/>
      <c r="C8" s="95" t="s">
        <v>121</v>
      </c>
      <c r="D8" s="74"/>
      <c r="E8" s="74"/>
      <c r="F8" s="74"/>
      <c r="G8" s="28"/>
    </row>
    <row r="9" spans="1:14" ht="21" x14ac:dyDescent="0.4">
      <c r="A9" s="74"/>
      <c r="B9" s="74"/>
      <c r="C9" s="74"/>
      <c r="D9" s="74"/>
      <c r="E9" s="74"/>
      <c r="F9" s="74"/>
      <c r="G9" s="28"/>
    </row>
    <row r="10" spans="1:14" ht="15" customHeight="1" x14ac:dyDescent="0.4">
      <c r="A10" s="137" t="s">
        <v>59</v>
      </c>
      <c r="B10" s="137"/>
      <c r="C10" s="137"/>
      <c r="D10" s="137"/>
      <c r="E10" s="137"/>
      <c r="F10" s="137"/>
      <c r="G10" s="28"/>
    </row>
    <row r="11" spans="1:14" ht="21" x14ac:dyDescent="0.4">
      <c r="A11" s="74"/>
      <c r="B11" s="74"/>
      <c r="C11" s="96"/>
      <c r="D11" s="74"/>
      <c r="E11" s="74"/>
      <c r="F11" s="74"/>
      <c r="G11" s="28"/>
    </row>
    <row r="12" spans="1:14" ht="21.6" thickBot="1" x14ac:dyDescent="0.45">
      <c r="A12" s="74"/>
      <c r="B12" s="74"/>
      <c r="C12" s="74"/>
      <c r="D12" s="84" t="s">
        <v>7</v>
      </c>
      <c r="E12" s="84" t="s">
        <v>8</v>
      </c>
      <c r="F12" s="74"/>
      <c r="G12" s="28"/>
    </row>
    <row r="13" spans="1:14" ht="21" x14ac:dyDescent="0.4">
      <c r="A13" s="84" t="s">
        <v>9</v>
      </c>
      <c r="B13" s="97" t="s">
        <v>10</v>
      </c>
      <c r="C13" s="98" t="s">
        <v>11</v>
      </c>
      <c r="D13" s="99">
        <v>50</v>
      </c>
      <c r="E13" s="99">
        <v>-30</v>
      </c>
      <c r="F13" s="100" t="s">
        <v>107</v>
      </c>
      <c r="G13" s="28"/>
      <c r="J13" s="5" t="s">
        <v>7</v>
      </c>
      <c r="K13" s="5" t="s">
        <v>8</v>
      </c>
    </row>
    <row r="14" spans="1:14" ht="21" x14ac:dyDescent="0.4">
      <c r="A14" s="112" t="s">
        <v>141</v>
      </c>
      <c r="B14" s="101">
        <f t="shared" ref="B14" si="0">I14</f>
        <v>1</v>
      </c>
      <c r="C14" s="102"/>
      <c r="D14" s="103">
        <f>J14+D$13</f>
        <v>960</v>
      </c>
      <c r="E14" s="103">
        <f>K14+E$13</f>
        <v>400</v>
      </c>
      <c r="F14" s="116" t="str">
        <f t="shared" ref="F14" si="1">C33</f>
        <v>CUB C/R 90° R2</v>
      </c>
      <c r="G14" s="28"/>
      <c r="I14" s="3">
        <f>B33</f>
        <v>1</v>
      </c>
      <c r="J14" s="4">
        <f>D33</f>
        <v>910</v>
      </c>
      <c r="K14" s="4">
        <f>E33</f>
        <v>430</v>
      </c>
    </row>
    <row r="15" spans="1:14" ht="21" x14ac:dyDescent="0.4">
      <c r="A15" s="112"/>
      <c r="B15" s="101">
        <f t="shared" ref="B15:B16" si="2">I15</f>
        <v>1</v>
      </c>
      <c r="C15" s="102"/>
      <c r="D15" s="103">
        <f t="shared" ref="D15:D16" si="3">J15+D$13</f>
        <v>1460</v>
      </c>
      <c r="E15" s="103">
        <f t="shared" ref="E15:E16" si="4">K15+E$13</f>
        <v>400</v>
      </c>
      <c r="F15" s="116" t="str">
        <f t="shared" ref="F15:F16" si="5">C34</f>
        <v>CUB C/R 90° R2</v>
      </c>
      <c r="G15" s="28"/>
      <c r="I15" s="3">
        <f t="shared" ref="I15:I16" si="6">B34</f>
        <v>1</v>
      </c>
      <c r="J15" s="4">
        <f t="shared" ref="J15:K15" si="7">D34</f>
        <v>1410</v>
      </c>
      <c r="K15" s="4">
        <f t="shared" si="7"/>
        <v>430</v>
      </c>
    </row>
    <row r="16" spans="1:14" ht="21" x14ac:dyDescent="0.4">
      <c r="A16" s="112"/>
      <c r="B16" s="101">
        <f t="shared" si="2"/>
        <v>1</v>
      </c>
      <c r="C16" s="102"/>
      <c r="D16" s="103">
        <f t="shared" si="3"/>
        <v>780</v>
      </c>
      <c r="E16" s="103">
        <f t="shared" si="4"/>
        <v>500</v>
      </c>
      <c r="F16" s="116" t="str">
        <f t="shared" si="5"/>
        <v>CUB C/R 90° R2</v>
      </c>
      <c r="G16" s="28"/>
      <c r="I16" s="3">
        <f t="shared" si="6"/>
        <v>1</v>
      </c>
      <c r="J16" s="4">
        <f t="shared" ref="J16:K16" si="8">D35</f>
        <v>730</v>
      </c>
      <c r="K16" s="4">
        <f t="shared" si="8"/>
        <v>530</v>
      </c>
    </row>
    <row r="17" spans="1:11" ht="21" x14ac:dyDescent="0.4">
      <c r="A17" s="112"/>
      <c r="B17" s="101">
        <f t="shared" ref="B17" si="9">I17</f>
        <v>1</v>
      </c>
      <c r="C17" s="102"/>
      <c r="D17" s="103">
        <f t="shared" ref="D17" si="10">J17+D$13</f>
        <v>1400</v>
      </c>
      <c r="E17" s="103">
        <f t="shared" ref="E17" si="11">K17+E$13</f>
        <v>500</v>
      </c>
      <c r="F17" s="116">
        <f t="shared" ref="F17" si="12">C37</f>
        <v>0</v>
      </c>
      <c r="G17" s="28"/>
      <c r="I17" s="3">
        <f t="shared" ref="I17" si="13">B36</f>
        <v>1</v>
      </c>
      <c r="J17" s="4">
        <f t="shared" ref="J17" si="14">D36</f>
        <v>1350</v>
      </c>
      <c r="K17" s="4">
        <f t="shared" ref="K17" si="15">E36</f>
        <v>530</v>
      </c>
    </row>
    <row r="18" spans="1:11" ht="21" x14ac:dyDescent="0.4">
      <c r="A18" s="89"/>
      <c r="B18" s="91"/>
      <c r="C18" s="110"/>
      <c r="D18" s="91"/>
      <c r="E18" s="91"/>
      <c r="F18" s="91"/>
      <c r="G18" s="28"/>
      <c r="I18" s="2"/>
      <c r="J18" s="2"/>
      <c r="K18" s="2"/>
    </row>
    <row r="19" spans="1:11" ht="6.75" customHeight="1" x14ac:dyDescent="0.4">
      <c r="A19" s="74"/>
      <c r="B19" s="74"/>
      <c r="C19" s="74"/>
      <c r="D19" s="74"/>
      <c r="E19" s="74"/>
      <c r="F19" s="74"/>
      <c r="G19" s="28"/>
    </row>
    <row r="20" spans="1:11" ht="21" x14ac:dyDescent="0.4">
      <c r="A20" s="137" t="s">
        <v>14</v>
      </c>
      <c r="B20" s="137"/>
      <c r="C20" s="137"/>
      <c r="D20" s="137"/>
      <c r="E20" s="137"/>
      <c r="F20" s="137"/>
      <c r="G20" s="28"/>
    </row>
    <row r="21" spans="1:11" ht="10.5" customHeight="1" x14ac:dyDescent="0.4">
      <c r="A21" s="74"/>
      <c r="B21" s="74"/>
      <c r="C21" s="96"/>
      <c r="D21" s="74"/>
      <c r="E21" s="74"/>
      <c r="F21" s="74"/>
      <c r="G21" s="28"/>
    </row>
    <row r="22" spans="1:11" ht="21" x14ac:dyDescent="0.4">
      <c r="A22" s="74"/>
      <c r="B22" s="74"/>
      <c r="C22" s="74"/>
      <c r="D22" s="84" t="s">
        <v>7</v>
      </c>
      <c r="E22" s="84" t="s">
        <v>8</v>
      </c>
      <c r="F22" s="74"/>
      <c r="G22" s="28"/>
    </row>
    <row r="23" spans="1:11" ht="21" x14ac:dyDescent="0.4">
      <c r="A23" s="84" t="s">
        <v>9</v>
      </c>
      <c r="B23" s="104" t="s">
        <v>10</v>
      </c>
      <c r="C23" s="104" t="s">
        <v>11</v>
      </c>
      <c r="D23" s="105">
        <v>40</v>
      </c>
      <c r="E23" s="105">
        <v>130</v>
      </c>
      <c r="F23" s="104" t="s">
        <v>107</v>
      </c>
      <c r="G23" s="28"/>
      <c r="J23" s="5" t="s">
        <v>7</v>
      </c>
      <c r="K23" s="5" t="s">
        <v>8</v>
      </c>
    </row>
    <row r="24" spans="1:11" ht="18.75" customHeight="1" x14ac:dyDescent="0.4">
      <c r="A24" s="112" t="s">
        <v>141</v>
      </c>
      <c r="B24" s="103">
        <f t="shared" ref="B24" si="16">I24</f>
        <v>1</v>
      </c>
      <c r="C24" s="102"/>
      <c r="D24" s="103">
        <f>J24+D$23</f>
        <v>950</v>
      </c>
      <c r="E24" s="103">
        <f t="shared" ref="E24" si="17">K24+E$23</f>
        <v>560</v>
      </c>
      <c r="F24" s="115" t="str">
        <f t="shared" ref="F24" si="18">C33</f>
        <v>CUB C/R 90° R2</v>
      </c>
      <c r="G24" s="28"/>
      <c r="I24" s="3">
        <f t="shared" ref="I24" si="19">B33</f>
        <v>1</v>
      </c>
      <c r="J24" s="4">
        <f>D33</f>
        <v>910</v>
      </c>
      <c r="K24" s="4">
        <f>E33</f>
        <v>430</v>
      </c>
    </row>
    <row r="25" spans="1:11" ht="18.75" customHeight="1" x14ac:dyDescent="0.4">
      <c r="A25" s="112"/>
      <c r="B25" s="103">
        <f t="shared" ref="B25:B26" si="20">I25</f>
        <v>1</v>
      </c>
      <c r="C25" s="102"/>
      <c r="D25" s="103">
        <f t="shared" ref="D25:D26" si="21">J25+D$23</f>
        <v>1450</v>
      </c>
      <c r="E25" s="103">
        <f t="shared" ref="E25:E26" si="22">K25+E$23</f>
        <v>560</v>
      </c>
      <c r="F25" s="115" t="str">
        <f t="shared" ref="F25:F27" si="23">C34</f>
        <v>CUB C/R 90° R2</v>
      </c>
      <c r="G25" s="28"/>
      <c r="I25" s="3">
        <f t="shared" ref="I25:I26" si="24">B34</f>
        <v>1</v>
      </c>
      <c r="J25" s="4">
        <f t="shared" ref="J25:K25" si="25">D34</f>
        <v>1410</v>
      </c>
      <c r="K25" s="4">
        <f t="shared" si="25"/>
        <v>430</v>
      </c>
    </row>
    <row r="26" spans="1:11" ht="18.75" customHeight="1" x14ac:dyDescent="0.4">
      <c r="A26" s="112"/>
      <c r="B26" s="103">
        <f t="shared" si="20"/>
        <v>1</v>
      </c>
      <c r="C26" s="102"/>
      <c r="D26" s="103">
        <f t="shared" si="21"/>
        <v>770</v>
      </c>
      <c r="E26" s="103">
        <f t="shared" si="22"/>
        <v>660</v>
      </c>
      <c r="F26" s="115" t="str">
        <f t="shared" si="23"/>
        <v>CUB C/R 90° R2</v>
      </c>
      <c r="G26" s="28"/>
      <c r="I26" s="3">
        <f t="shared" si="24"/>
        <v>1</v>
      </c>
      <c r="J26" s="4">
        <f t="shared" ref="J26:K26" si="26">D35</f>
        <v>730</v>
      </c>
      <c r="K26" s="4">
        <f t="shared" si="26"/>
        <v>530</v>
      </c>
    </row>
    <row r="27" spans="1:11" ht="18.75" customHeight="1" x14ac:dyDescent="0.4">
      <c r="A27" s="112"/>
      <c r="B27" s="103">
        <f t="shared" ref="B27" si="27">I27</f>
        <v>1</v>
      </c>
      <c r="C27" s="102"/>
      <c r="D27" s="103">
        <f t="shared" ref="D27" si="28">J27+D$23</f>
        <v>1390</v>
      </c>
      <c r="E27" s="103">
        <f t="shared" ref="E27" si="29">K27+E$23</f>
        <v>660</v>
      </c>
      <c r="F27" s="115" t="str">
        <f t="shared" si="23"/>
        <v>CUB C/R 90° R2</v>
      </c>
      <c r="G27" s="28"/>
      <c r="I27" s="3">
        <f t="shared" ref="I27" si="30">B36</f>
        <v>1</v>
      </c>
      <c r="J27" s="4">
        <f t="shared" ref="J27" si="31">D36</f>
        <v>1350</v>
      </c>
      <c r="K27" s="4">
        <f t="shared" ref="K27" si="32">E36</f>
        <v>530</v>
      </c>
    </row>
    <row r="28" spans="1:11" ht="18.75" customHeight="1" x14ac:dyDescent="0.4">
      <c r="A28" s="112"/>
      <c r="B28" s="91"/>
      <c r="C28" s="110"/>
      <c r="D28" s="91"/>
      <c r="E28" s="91"/>
      <c r="F28" s="91"/>
      <c r="G28" s="28"/>
      <c r="I28" s="113"/>
      <c r="J28" s="2"/>
      <c r="K28" s="2"/>
    </row>
    <row r="29" spans="1:11" ht="21" x14ac:dyDescent="0.4">
      <c r="A29" s="89"/>
      <c r="B29" s="91"/>
      <c r="C29" s="91"/>
      <c r="D29" s="91"/>
      <c r="E29" s="91"/>
      <c r="F29" s="91"/>
      <c r="G29" s="28"/>
      <c r="I29" s="2"/>
      <c r="J29" s="2"/>
      <c r="K29" s="2"/>
    </row>
    <row r="30" spans="1:11" ht="21" x14ac:dyDescent="0.4">
      <c r="A30" s="84"/>
      <c r="B30" s="96"/>
      <c r="C30" s="96"/>
      <c r="D30" s="96"/>
      <c r="E30" s="96"/>
      <c r="F30" s="96"/>
      <c r="G30" s="28"/>
      <c r="I30" s="2"/>
      <c r="J30" s="2"/>
      <c r="K30" s="2"/>
    </row>
    <row r="31" spans="1:11" ht="10.5" customHeight="1" thickBot="1" x14ac:dyDescent="0.45">
      <c r="A31" s="74"/>
      <c r="B31" s="74"/>
      <c r="C31" s="74"/>
      <c r="D31" s="74"/>
      <c r="E31" s="74"/>
      <c r="F31" s="74"/>
      <c r="G31" s="28"/>
    </row>
    <row r="32" spans="1:11" ht="21" x14ac:dyDescent="0.4">
      <c r="A32" s="84" t="s">
        <v>9</v>
      </c>
      <c r="B32" s="106" t="s">
        <v>10</v>
      </c>
      <c r="C32" s="107" t="s">
        <v>107</v>
      </c>
      <c r="D32" s="107" t="s">
        <v>7</v>
      </c>
      <c r="E32" s="107" t="s">
        <v>8</v>
      </c>
      <c r="F32" s="108" t="s">
        <v>22</v>
      </c>
      <c r="G32" s="28"/>
    </row>
    <row r="33" spans="1:9" ht="21" x14ac:dyDescent="0.4">
      <c r="A33" s="112" t="s">
        <v>141</v>
      </c>
      <c r="B33" s="101">
        <f>'4637'!B21</f>
        <v>1</v>
      </c>
      <c r="C33" s="4" t="str">
        <f>'4637'!C21</f>
        <v>CUB C/R 90° R2</v>
      </c>
      <c r="D33" s="103">
        <f>'4637'!D21</f>
        <v>910</v>
      </c>
      <c r="E33" s="103">
        <f>'4637'!E21</f>
        <v>430</v>
      </c>
      <c r="F33" s="117" t="str">
        <f>'4637'!F21</f>
        <v>BELLA NOCE 10491 MT</v>
      </c>
      <c r="G33" s="28"/>
      <c r="H33" s="27">
        <f>D33*E33/1000000</f>
        <v>0.39129999999999998</v>
      </c>
      <c r="I33" s="27">
        <f>H33*B33</f>
        <v>0.39129999999999998</v>
      </c>
    </row>
    <row r="34" spans="1:9" ht="21" x14ac:dyDescent="0.4">
      <c r="A34" s="112"/>
      <c r="B34" s="101">
        <f>'4637'!B22</f>
        <v>1</v>
      </c>
      <c r="C34" s="4" t="str">
        <f>'4637'!C22</f>
        <v>CUB C/R 90° R2</v>
      </c>
      <c r="D34" s="103">
        <f>'4637'!D22</f>
        <v>1410</v>
      </c>
      <c r="E34" s="103">
        <f>'4637'!E22</f>
        <v>430</v>
      </c>
      <c r="F34" s="117" t="str">
        <f>'4637'!F22</f>
        <v>BELLA NOCE 10491 MT</v>
      </c>
      <c r="G34" s="28"/>
      <c r="H34" s="27"/>
      <c r="I34" s="27"/>
    </row>
    <row r="35" spans="1:9" ht="21" x14ac:dyDescent="0.4">
      <c r="A35" s="112"/>
      <c r="B35" s="101">
        <f>'4637'!B23</f>
        <v>1</v>
      </c>
      <c r="C35" s="4" t="str">
        <f>'4637'!C23</f>
        <v>CUB C/R 90° R2</v>
      </c>
      <c r="D35" s="103">
        <f>'4637'!D23</f>
        <v>730</v>
      </c>
      <c r="E35" s="103">
        <f>'4637'!E23</f>
        <v>530</v>
      </c>
      <c r="F35" s="117" t="str">
        <f>'4637'!F23</f>
        <v>BELLA NOCE 10491 MT</v>
      </c>
      <c r="G35" s="28"/>
      <c r="H35" s="27"/>
      <c r="I35" s="27"/>
    </row>
    <row r="36" spans="1:9" ht="21" x14ac:dyDescent="0.4">
      <c r="A36" s="112"/>
      <c r="B36" s="101">
        <f>'4637'!B24</f>
        <v>1</v>
      </c>
      <c r="C36" s="4" t="str">
        <f>'4637'!C24</f>
        <v>CUB C/R 90° R2</v>
      </c>
      <c r="D36" s="103">
        <f>'4637'!D24</f>
        <v>1350</v>
      </c>
      <c r="E36" s="103">
        <f>'4637'!E24</f>
        <v>530</v>
      </c>
      <c r="F36" s="117" t="str">
        <f>'4637'!F24</f>
        <v>BELLA NOCE 10491 MT</v>
      </c>
      <c r="G36" s="28"/>
      <c r="H36" s="27"/>
      <c r="I36" s="27"/>
    </row>
    <row r="37" spans="1:9" ht="21" x14ac:dyDescent="0.4">
      <c r="A37" s="89"/>
      <c r="B37" s="91"/>
      <c r="C37" s="91"/>
      <c r="D37" s="91"/>
      <c r="E37" s="91"/>
      <c r="F37" s="91"/>
      <c r="G37" s="28"/>
      <c r="H37" s="27"/>
      <c r="I37" s="27"/>
    </row>
    <row r="38" spans="1:9" ht="21" x14ac:dyDescent="0.4">
      <c r="A38" s="74"/>
      <c r="B38" s="91"/>
      <c r="C38" s="91"/>
      <c r="D38" s="91"/>
      <c r="E38" s="91"/>
      <c r="F38" s="91"/>
      <c r="G38" s="28"/>
      <c r="I38" s="27">
        <f>SUM(I33:I33)*2</f>
        <v>0.78259999999999996</v>
      </c>
    </row>
    <row r="39" spans="1:9" ht="21" x14ac:dyDescent="0.4">
      <c r="A39" s="74"/>
      <c r="B39" s="91"/>
      <c r="C39" s="91"/>
      <c r="D39" s="91"/>
      <c r="E39" s="91"/>
      <c r="F39" s="91"/>
      <c r="G39" s="28"/>
    </row>
    <row r="40" spans="1:9" ht="21" x14ac:dyDescent="0.4">
      <c r="A40" s="74"/>
      <c r="B40" s="91"/>
      <c r="C40" s="91"/>
      <c r="D40" s="91"/>
      <c r="E40" s="91"/>
      <c r="F40" s="91"/>
      <c r="G40" s="28"/>
    </row>
    <row r="41" spans="1:9" ht="21" x14ac:dyDescent="0.4">
      <c r="A41" s="74"/>
      <c r="B41" s="91"/>
      <c r="C41" s="91"/>
      <c r="D41" s="91"/>
      <c r="E41" s="91"/>
      <c r="F41" s="91"/>
      <c r="G41" s="28"/>
    </row>
    <row r="42" spans="1:9" ht="21" x14ac:dyDescent="0.4">
      <c r="A42" s="74"/>
      <c r="B42" s="91"/>
      <c r="C42" s="91"/>
      <c r="D42" s="91"/>
      <c r="E42" s="91"/>
      <c r="F42" s="91"/>
      <c r="G42" s="28"/>
    </row>
    <row r="43" spans="1:9" ht="18" x14ac:dyDescent="0.35">
      <c r="A43" s="28"/>
      <c r="B43" s="54"/>
      <c r="C43" s="54"/>
      <c r="D43" s="54"/>
      <c r="E43" s="54"/>
      <c r="F43" s="54"/>
      <c r="G43" s="28"/>
    </row>
    <row r="44" spans="1:9" ht="18" x14ac:dyDescent="0.35">
      <c r="A44" s="28"/>
      <c r="B44" s="54"/>
      <c r="C44" s="54"/>
      <c r="D44" s="54"/>
      <c r="E44" s="54"/>
      <c r="F44" s="54"/>
      <c r="G44" s="28"/>
    </row>
    <row r="45" spans="1:9" ht="18" x14ac:dyDescent="0.35">
      <c r="A45" s="28"/>
      <c r="B45" s="54"/>
      <c r="C45" s="54"/>
      <c r="D45" s="54"/>
      <c r="E45" s="54"/>
      <c r="F45" s="54"/>
      <c r="G45" s="28"/>
    </row>
    <row r="46" spans="1:9" ht="21" x14ac:dyDescent="0.4">
      <c r="A46" s="74"/>
      <c r="B46" s="74"/>
      <c r="C46" s="74"/>
      <c r="D46" s="74"/>
      <c r="E46" s="74"/>
      <c r="F46" s="74"/>
      <c r="G46" s="28"/>
    </row>
    <row r="47" spans="1:9" ht="21" x14ac:dyDescent="0.4">
      <c r="A47" s="74"/>
      <c r="B47" s="74"/>
      <c r="C47" s="75" t="s">
        <v>26</v>
      </c>
      <c r="D47" s="76">
        <f>'4637'!G8</f>
        <v>4065</v>
      </c>
      <c r="E47" s="74"/>
      <c r="F47" s="74"/>
      <c r="G47" s="28"/>
    </row>
    <row r="48" spans="1:9" ht="17.25" customHeight="1" x14ac:dyDescent="0.4">
      <c r="A48" s="74"/>
      <c r="B48" s="74"/>
      <c r="C48" s="77" t="s">
        <v>65</v>
      </c>
      <c r="D48" s="78" t="str">
        <f>'4637'!C10</f>
        <v>ENZO PALACIOS</v>
      </c>
      <c r="E48" s="79"/>
      <c r="F48" s="79"/>
      <c r="G48" s="28"/>
    </row>
    <row r="49" spans="1:12" ht="4.5" customHeight="1" x14ac:dyDescent="0.4">
      <c r="A49" s="74"/>
      <c r="B49" s="74"/>
      <c r="C49" s="80"/>
      <c r="D49" s="81"/>
      <c r="E49" s="74"/>
      <c r="F49" s="74"/>
      <c r="G49" s="28"/>
    </row>
    <row r="50" spans="1:12" ht="21" x14ac:dyDescent="0.4">
      <c r="A50" s="74"/>
      <c r="B50" s="74"/>
      <c r="C50" s="82" t="str">
        <f>'4637'!F11</f>
        <v>FECHA LIMITE :</v>
      </c>
      <c r="D50" s="83"/>
      <c r="E50" s="74"/>
      <c r="F50" s="74"/>
      <c r="G50" s="28"/>
    </row>
    <row r="51" spans="1:12" ht="21" x14ac:dyDescent="0.4">
      <c r="A51" s="74"/>
      <c r="B51" s="74"/>
      <c r="C51" s="74"/>
      <c r="D51" s="74"/>
      <c r="E51" s="74" t="s">
        <v>137</v>
      </c>
      <c r="F51" s="74" t="s">
        <v>138</v>
      </c>
      <c r="G51" s="28"/>
    </row>
    <row r="52" spans="1:12" ht="21" x14ac:dyDescent="0.4">
      <c r="A52" s="74"/>
      <c r="B52" s="74"/>
      <c r="C52" s="74"/>
      <c r="D52" s="74"/>
      <c r="E52" s="74" t="str" cm="1">
        <f t="array" ref="E52:F52">'4637'!B17:C17</f>
        <v>CIUDAD:</v>
      </c>
      <c r="F52" s="74" t="str">
        <v>SANTIAGO</v>
      </c>
      <c r="G52" s="28"/>
    </row>
    <row r="53" spans="1:12" ht="21" x14ac:dyDescent="0.4">
      <c r="A53" s="74"/>
      <c r="B53" s="74"/>
      <c r="C53" s="74"/>
      <c r="D53" s="74"/>
      <c r="E53" s="74"/>
      <c r="F53" s="74"/>
      <c r="G53" s="28"/>
    </row>
    <row r="54" spans="1:12" ht="21" x14ac:dyDescent="0.4">
      <c r="A54" s="138" t="s">
        <v>66</v>
      </c>
      <c r="B54" s="137"/>
      <c r="C54" s="137"/>
      <c r="D54" s="137"/>
      <c r="E54" s="137"/>
      <c r="F54" s="137"/>
      <c r="G54" s="28"/>
    </row>
    <row r="55" spans="1:12" ht="21" x14ac:dyDescent="0.4">
      <c r="A55" s="74"/>
      <c r="B55" s="74"/>
      <c r="C55" s="74"/>
      <c r="D55" s="74"/>
      <c r="E55" s="74"/>
      <c r="F55" s="74"/>
      <c r="G55" s="28"/>
    </row>
    <row r="56" spans="1:12" ht="18.600000000000001" customHeight="1" x14ac:dyDescent="0.4">
      <c r="A56" s="74"/>
      <c r="B56" s="139" t="s">
        <v>67</v>
      </c>
      <c r="C56" s="140"/>
      <c r="D56" s="141"/>
      <c r="E56" s="141"/>
      <c r="F56" s="142"/>
      <c r="G56" s="28"/>
      <c r="H56" s="24" t="s">
        <v>129</v>
      </c>
    </row>
    <row r="57" spans="1:12" s="10" customFormat="1" ht="16.5" customHeight="1" x14ac:dyDescent="0.4">
      <c r="A57" s="74"/>
      <c r="B57" s="85" t="s">
        <v>10</v>
      </c>
      <c r="C57" s="86" t="s">
        <v>11</v>
      </c>
      <c r="D57" s="87" t="s">
        <v>7</v>
      </c>
      <c r="E57" s="87" t="s">
        <v>8</v>
      </c>
      <c r="F57" s="88" t="s">
        <v>12</v>
      </c>
      <c r="G57" s="28"/>
      <c r="J57" s="10">
        <v>14000</v>
      </c>
    </row>
    <row r="58" spans="1:12" s="10" customFormat="1" ht="21" customHeight="1" x14ac:dyDescent="0.4">
      <c r="A58" s="112" t="s">
        <v>141</v>
      </c>
      <c r="B58" s="85">
        <f>'4637'!B21</f>
        <v>1</v>
      </c>
      <c r="C58" s="114" t="str">
        <f>'4637'!C21</f>
        <v>CUB C/R 90° R2</v>
      </c>
      <c r="D58" s="90">
        <f>'4637'!D21</f>
        <v>910</v>
      </c>
      <c r="E58" s="90">
        <f>'4637'!E21</f>
        <v>430</v>
      </c>
      <c r="F58" s="114" t="str">
        <f>'4637'!F21</f>
        <v>BELLA NOCE 10491 MT</v>
      </c>
      <c r="G58" s="28"/>
      <c r="H58" s="10">
        <f>D58*E58/1000000</f>
        <v>0.39129999999999998</v>
      </c>
      <c r="I58" s="10">
        <f>H58*B58</f>
        <v>0.39129999999999998</v>
      </c>
      <c r="J58" s="25">
        <f t="shared" ref="J58" si="33">I58*J$57</f>
        <v>5478.2</v>
      </c>
      <c r="L58" s="23">
        <v>12096</v>
      </c>
    </row>
    <row r="59" spans="1:12" s="10" customFormat="1" ht="21" customHeight="1" x14ac:dyDescent="0.4">
      <c r="A59" s="112"/>
      <c r="B59" s="85">
        <f>'4637'!B22</f>
        <v>1</v>
      </c>
      <c r="C59" s="114" t="str">
        <f>'4637'!C22</f>
        <v>CUB C/R 90° R2</v>
      </c>
      <c r="D59" s="90">
        <f>'4637'!D22</f>
        <v>1410</v>
      </c>
      <c r="E59" s="90">
        <f>'4637'!E22</f>
        <v>430</v>
      </c>
      <c r="F59" s="114" t="str">
        <f>'4637'!F22</f>
        <v>BELLA NOCE 10491 MT</v>
      </c>
      <c r="G59" s="28"/>
      <c r="J59" s="25"/>
      <c r="L59" s="123"/>
    </row>
    <row r="60" spans="1:12" s="10" customFormat="1" ht="21" customHeight="1" x14ac:dyDescent="0.4">
      <c r="A60" s="112"/>
      <c r="B60" s="85">
        <f>'4637'!B23</f>
        <v>1</v>
      </c>
      <c r="C60" s="114" t="str">
        <f>'4637'!C23</f>
        <v>CUB C/R 90° R2</v>
      </c>
      <c r="D60" s="90">
        <f>'4637'!D23</f>
        <v>730</v>
      </c>
      <c r="E60" s="90">
        <f>'4637'!E23</f>
        <v>530</v>
      </c>
      <c r="F60" s="114" t="str">
        <f>'4637'!F23</f>
        <v>BELLA NOCE 10491 MT</v>
      </c>
      <c r="G60" s="28"/>
      <c r="J60" s="25"/>
      <c r="L60" s="123"/>
    </row>
    <row r="61" spans="1:12" s="10" customFormat="1" ht="21" customHeight="1" x14ac:dyDescent="0.4">
      <c r="A61" s="112"/>
      <c r="B61" s="85">
        <f>'4637'!B24</f>
        <v>1</v>
      </c>
      <c r="C61" s="114" t="str">
        <f>'4637'!C24</f>
        <v>CUB C/R 90° R2</v>
      </c>
      <c r="D61" s="90">
        <f>'4637'!D24</f>
        <v>1350</v>
      </c>
      <c r="E61" s="90">
        <f>'4637'!E24</f>
        <v>530</v>
      </c>
      <c r="F61" s="114" t="str">
        <f>'4637'!F24</f>
        <v>BELLA NOCE 10491 MT</v>
      </c>
      <c r="G61" s="28"/>
      <c r="J61" s="25"/>
      <c r="L61" s="123"/>
    </row>
    <row r="62" spans="1:12" s="10" customFormat="1" ht="15" customHeight="1" x14ac:dyDescent="0.4">
      <c r="A62" s="89"/>
      <c r="B62" s="84"/>
      <c r="C62" s="84"/>
      <c r="D62" s="84"/>
      <c r="E62" s="84"/>
      <c r="F62" s="84"/>
      <c r="G62" s="28"/>
    </row>
    <row r="63" spans="1:12" ht="21" x14ac:dyDescent="0.4">
      <c r="A63" s="91"/>
      <c r="B63" s="91"/>
      <c r="C63" s="74"/>
      <c r="D63" s="91"/>
      <c r="E63" s="91"/>
      <c r="F63" s="80"/>
      <c r="G63" s="28"/>
    </row>
    <row r="64" spans="1:12" ht="21" x14ac:dyDescent="0.4">
      <c r="A64" s="91"/>
      <c r="B64" s="91"/>
      <c r="C64" s="74"/>
      <c r="D64" s="91"/>
      <c r="E64" s="91"/>
      <c r="F64" s="91"/>
      <c r="G64" s="28"/>
      <c r="I64" s="10">
        <f>SUM(I58:I58)</f>
        <v>0.39129999999999998</v>
      </c>
      <c r="J64" s="26">
        <f>SUM(J58:J58)</f>
        <v>5478.2</v>
      </c>
    </row>
    <row r="65" spans="1:7" ht="21" x14ac:dyDescent="0.4">
      <c r="A65" s="74"/>
      <c r="B65" s="74"/>
      <c r="C65" s="74"/>
      <c r="D65" s="74"/>
      <c r="E65" s="74"/>
      <c r="F65" s="74"/>
      <c r="G65" s="28"/>
    </row>
    <row r="66" spans="1:7" ht="21" x14ac:dyDescent="0.4">
      <c r="A66" s="74"/>
      <c r="B66" s="74"/>
      <c r="C66" s="74"/>
      <c r="D66" s="74"/>
      <c r="E66" s="74"/>
      <c r="F66" s="74"/>
      <c r="G66" s="28"/>
    </row>
    <row r="67" spans="1:7" ht="21" x14ac:dyDescent="0.4">
      <c r="A67" s="74"/>
      <c r="B67" s="74"/>
      <c r="C67" s="74"/>
      <c r="D67" s="74"/>
      <c r="E67" s="74"/>
      <c r="F67" s="74"/>
      <c r="G67" s="28"/>
    </row>
    <row r="68" spans="1:7" ht="15" customHeight="1" x14ac:dyDescent="0.4">
      <c r="A68" s="74"/>
      <c r="B68" s="74"/>
      <c r="C68" s="74"/>
      <c r="D68" s="74"/>
      <c r="E68" s="74"/>
      <c r="F68" s="74"/>
      <c r="G68" s="28"/>
    </row>
    <row r="69" spans="1:7" ht="21" x14ac:dyDescent="0.4">
      <c r="A69" s="74"/>
      <c r="B69" s="74"/>
      <c r="C69" s="74"/>
      <c r="D69" s="74"/>
      <c r="E69" s="74"/>
      <c r="F69" s="74"/>
      <c r="G69" s="28"/>
    </row>
    <row r="70" spans="1:7" ht="21" x14ac:dyDescent="0.4">
      <c r="A70" s="91"/>
      <c r="B70" s="92"/>
      <c r="C70" s="74"/>
      <c r="D70" s="74"/>
      <c r="E70" s="74"/>
      <c r="F70" s="74"/>
      <c r="G70" s="28"/>
    </row>
    <row r="71" spans="1:7" ht="18" x14ac:dyDescent="0.35">
      <c r="A71" s="28"/>
      <c r="B71" s="28"/>
      <c r="C71" s="28"/>
      <c r="D71" s="28"/>
      <c r="E71" s="28"/>
      <c r="F71" s="28"/>
      <c r="G71" s="28"/>
    </row>
    <row r="72" spans="1:7" ht="18" x14ac:dyDescent="0.35">
      <c r="A72" s="28"/>
      <c r="B72" s="28"/>
      <c r="C72" s="28"/>
      <c r="D72" s="28"/>
      <c r="E72" s="28"/>
      <c r="F72" s="28"/>
      <c r="G72" s="28"/>
    </row>
    <row r="73" spans="1:7" ht="18" x14ac:dyDescent="0.35">
      <c r="A73" s="28"/>
      <c r="B73" s="28"/>
      <c r="C73" s="28"/>
      <c r="D73" s="28"/>
      <c r="E73" s="28"/>
      <c r="F73" s="28"/>
      <c r="G73" s="28"/>
    </row>
  </sheetData>
  <mergeCells count="6">
    <mergeCell ref="M3:N3"/>
    <mergeCell ref="A20:F20"/>
    <mergeCell ref="A10:F10"/>
    <mergeCell ref="A54:F54"/>
    <mergeCell ref="B56:F56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2024-04-16T19:47:43Z</cp:lastPrinted>
  <dcterms:created xsi:type="dcterms:W3CDTF">2013-03-19T12:54:14Z</dcterms:created>
  <dcterms:modified xsi:type="dcterms:W3CDTF">2024-04-22T20:25:07Z</dcterms:modified>
</cp:coreProperties>
</file>