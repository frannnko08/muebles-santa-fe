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3 MARZO 2024\"/>
    </mc:Choice>
  </mc:AlternateContent>
  <xr:revisionPtr revIDLastSave="0" documentId="13_ncr:1_{01336F23-E47C-4F94-B6C1-51FC89CC36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CUBIERTA!$A$70:$F$105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6" i="3"/>
  <c r="D17" i="3"/>
  <c r="B15" i="3"/>
  <c r="B16" i="3"/>
  <c r="B17" i="3"/>
  <c r="I19" i="3"/>
  <c r="B19" i="3" s="1"/>
  <c r="I20" i="3"/>
  <c r="B20" i="3" s="1"/>
  <c r="I21" i="3"/>
  <c r="B21" i="3" s="1"/>
  <c r="I22" i="3"/>
  <c r="B22" i="3" s="1"/>
  <c r="I23" i="3"/>
  <c r="B23" i="3" s="1"/>
  <c r="I24" i="3"/>
  <c r="B24" i="3" s="1"/>
  <c r="I25" i="3"/>
  <c r="B25" i="3" s="1"/>
  <c r="I26" i="3"/>
  <c r="B26" i="3" s="1"/>
  <c r="B51" i="3"/>
  <c r="I35" i="3" s="1"/>
  <c r="B35" i="3" s="1"/>
  <c r="C51" i="3"/>
  <c r="F35" i="3" s="1"/>
  <c r="D51" i="3"/>
  <c r="J35" i="3" s="1"/>
  <c r="D35" i="3" s="1"/>
  <c r="E51" i="3"/>
  <c r="K35" i="3" s="1"/>
  <c r="E35" i="3" s="1"/>
  <c r="F51" i="3"/>
  <c r="B52" i="3"/>
  <c r="I36" i="3" s="1"/>
  <c r="B36" i="3" s="1"/>
  <c r="C52" i="3"/>
  <c r="F36" i="3" s="1"/>
  <c r="D52" i="3"/>
  <c r="J36" i="3" s="1"/>
  <c r="D36" i="3" s="1"/>
  <c r="E52" i="3"/>
  <c r="K36" i="3" s="1"/>
  <c r="E36" i="3" s="1"/>
  <c r="F52" i="3"/>
  <c r="B53" i="3"/>
  <c r="I37" i="3" s="1"/>
  <c r="B37" i="3" s="1"/>
  <c r="C53" i="3"/>
  <c r="F37" i="3" s="1"/>
  <c r="D53" i="3"/>
  <c r="J37" i="3" s="1"/>
  <c r="E53" i="3"/>
  <c r="K37" i="3" s="1"/>
  <c r="F53" i="3"/>
  <c r="B54" i="3"/>
  <c r="I38" i="3" s="1"/>
  <c r="B38" i="3" s="1"/>
  <c r="C54" i="3"/>
  <c r="F38" i="3" s="1"/>
  <c r="D54" i="3"/>
  <c r="J38" i="3" s="1"/>
  <c r="E54" i="3"/>
  <c r="K38" i="3" s="1"/>
  <c r="F54" i="3"/>
  <c r="B55" i="3"/>
  <c r="I39" i="3" s="1"/>
  <c r="B39" i="3" s="1"/>
  <c r="C55" i="3"/>
  <c r="F39" i="3" s="1"/>
  <c r="D55" i="3"/>
  <c r="J39" i="3" s="1"/>
  <c r="D39" i="3" s="1"/>
  <c r="E55" i="3"/>
  <c r="K39" i="3" s="1"/>
  <c r="F55" i="3"/>
  <c r="B56" i="3"/>
  <c r="I40" i="3" s="1"/>
  <c r="B40" i="3" s="1"/>
  <c r="C56" i="3"/>
  <c r="F40" i="3" s="1"/>
  <c r="D56" i="3"/>
  <c r="J40" i="3" s="1"/>
  <c r="D40" i="3" s="1"/>
  <c r="E56" i="3"/>
  <c r="K40" i="3" s="1"/>
  <c r="E40" i="3" s="1"/>
  <c r="F56" i="3"/>
  <c r="B57" i="3"/>
  <c r="I41" i="3" s="1"/>
  <c r="B41" i="3" s="1"/>
  <c r="C57" i="3"/>
  <c r="F41" i="3" s="1"/>
  <c r="D57" i="3"/>
  <c r="J41" i="3" s="1"/>
  <c r="D41" i="3" s="1"/>
  <c r="E57" i="3"/>
  <c r="K41" i="3" s="1"/>
  <c r="E41" i="3" s="1"/>
  <c r="F57" i="3"/>
  <c r="B58" i="3"/>
  <c r="I42" i="3" s="1"/>
  <c r="B42" i="3" s="1"/>
  <c r="C58" i="3"/>
  <c r="F42" i="3" s="1"/>
  <c r="D58" i="3"/>
  <c r="J42" i="3" s="1"/>
  <c r="D42" i="3" s="1"/>
  <c r="E58" i="3"/>
  <c r="K42" i="3" s="1"/>
  <c r="E42" i="3" s="1"/>
  <c r="F58" i="3"/>
  <c r="B59" i="3"/>
  <c r="I43" i="3" s="1"/>
  <c r="B43" i="3" s="1"/>
  <c r="C59" i="3"/>
  <c r="F43" i="3" s="1"/>
  <c r="D59" i="3"/>
  <c r="J43" i="3" s="1"/>
  <c r="D43" i="3" s="1"/>
  <c r="E59" i="3"/>
  <c r="K43" i="3" s="1"/>
  <c r="E43" i="3" s="1"/>
  <c r="F59" i="3"/>
  <c r="B60" i="3"/>
  <c r="I44" i="3" s="1"/>
  <c r="B44" i="3" s="1"/>
  <c r="C60" i="3"/>
  <c r="F44" i="3" s="1"/>
  <c r="D60" i="3"/>
  <c r="J44" i="3" s="1"/>
  <c r="D44" i="3" s="1"/>
  <c r="E60" i="3"/>
  <c r="K44" i="3" s="1"/>
  <c r="E44" i="3" s="1"/>
  <c r="F60" i="3"/>
  <c r="B61" i="3"/>
  <c r="I45" i="3" s="1"/>
  <c r="B45" i="3" s="1"/>
  <c r="C61" i="3"/>
  <c r="F45" i="3" s="1"/>
  <c r="D61" i="3"/>
  <c r="J45" i="3" s="1"/>
  <c r="D45" i="3" s="1"/>
  <c r="E61" i="3"/>
  <c r="K45" i="3" s="1"/>
  <c r="E45" i="3" s="1"/>
  <c r="F61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B94" i="3"/>
  <c r="C94" i="3"/>
  <c r="D94" i="3"/>
  <c r="E94" i="3"/>
  <c r="F94" i="3"/>
  <c r="H36" i="4"/>
  <c r="H23" i="4"/>
  <c r="H32" i="4"/>
  <c r="H31" i="4"/>
  <c r="H30" i="4"/>
  <c r="H29" i="4"/>
  <c r="H28" i="4"/>
  <c r="H27" i="4"/>
  <c r="H26" i="4"/>
  <c r="H25" i="4"/>
  <c r="H24" i="4"/>
  <c r="H22" i="4"/>
  <c r="H21" i="4"/>
  <c r="I14" i="3"/>
  <c r="B14" i="3" s="1"/>
  <c r="K22" i="3" l="1"/>
  <c r="E22" i="3" s="1"/>
  <c r="J22" i="3"/>
  <c r="D22" i="3" s="1"/>
  <c r="K20" i="3"/>
  <c r="E20" i="3" s="1"/>
  <c r="K26" i="3"/>
  <c r="E26" i="3" s="1"/>
  <c r="J26" i="3"/>
  <c r="D26" i="3" s="1"/>
  <c r="K21" i="3"/>
  <c r="E21" i="3" s="1"/>
  <c r="K23" i="3"/>
  <c r="E23" i="3" s="1"/>
  <c r="K25" i="3"/>
  <c r="E25" i="3" s="1"/>
  <c r="J23" i="3"/>
  <c r="D23" i="3" s="1"/>
  <c r="J24" i="3"/>
  <c r="D24" i="3" s="1"/>
  <c r="J19" i="3"/>
  <c r="D19" i="3" s="1"/>
  <c r="K24" i="3"/>
  <c r="E24" i="3" s="1"/>
  <c r="K19" i="3"/>
  <c r="E19" i="3" s="1"/>
  <c r="J25" i="3"/>
  <c r="D25" i="3" s="1"/>
  <c r="J21" i="3"/>
  <c r="D21" i="3" s="1"/>
  <c r="J20" i="3"/>
  <c r="D20" i="3" s="1"/>
  <c r="F26" i="3"/>
  <c r="F25" i="3"/>
  <c r="F24" i="3"/>
  <c r="F23" i="3"/>
  <c r="F22" i="3"/>
  <c r="F21" i="3"/>
  <c r="F17" i="3"/>
  <c r="F16" i="3"/>
  <c r="F15" i="3"/>
  <c r="F20" i="3"/>
  <c r="F19" i="3"/>
  <c r="C83" i="3"/>
  <c r="L21" i="4" l="1"/>
  <c r="K21" i="4"/>
  <c r="M21" i="4" l="1"/>
  <c r="N21" i="4" s="1"/>
  <c r="B50" i="3" l="1"/>
  <c r="I34" i="3" s="1"/>
  <c r="B34" i="3" s="1"/>
  <c r="C50" i="3"/>
  <c r="F34" i="3" s="1"/>
  <c r="D50" i="3"/>
  <c r="E50" i="3"/>
  <c r="K34" i="3" s="1"/>
  <c r="F50" i="3"/>
  <c r="B83" i="3"/>
  <c r="D83" i="3"/>
  <c r="E83" i="3"/>
  <c r="F83" i="3"/>
  <c r="H50" i="3" l="1"/>
  <c r="I50" i="3" s="1"/>
  <c r="J34" i="3"/>
  <c r="D34" i="3" s="1"/>
  <c r="H83" i="3"/>
  <c r="I83" i="3" s="1"/>
  <c r="J14" i="3"/>
  <c r="D14" i="3" s="1"/>
  <c r="F14" i="3"/>
  <c r="K14" i="3"/>
  <c r="I64" i="3" l="1"/>
  <c r="J83" i="3"/>
  <c r="I98" i="3"/>
  <c r="H38" i="4"/>
  <c r="N5" i="3"/>
  <c r="J98" i="3" l="1"/>
  <c r="M5" i="3"/>
  <c r="L5" i="3"/>
  <c r="K5" i="3"/>
  <c r="C76" i="3" l="1"/>
  <c r="C7" i="3"/>
  <c r="D74" i="3"/>
  <c r="D5" i="3"/>
  <c r="D76" i="3"/>
  <c r="D7" i="3"/>
  <c r="D73" i="3"/>
  <c r="D4" i="3"/>
</calcChain>
</file>

<file path=xl/sharedStrings.xml><?xml version="1.0" encoding="utf-8"?>
<sst xmlns="http://schemas.openxmlformats.org/spreadsheetml/2006/main" count="280" uniqueCount="155">
  <si>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</si>
  <si>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</si>
  <si>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</si>
  <si>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</si>
  <si>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</si>
  <si>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</si>
  <si>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</si>
  <si>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</si>
  <si>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</si>
  <si>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</si>
  <si>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</si>
  <si>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</si>
  <si>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</si>
  <si>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</si>
  <si>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</si>
  <si>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</si>
  <si>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</si>
  <si>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</si>
  <si>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</si>
  <si>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</si>
  <si>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</si>
  <si>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</si>
  <si>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</si>
  <si>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</si>
  <si>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</si>
  <si>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</si>
  <si>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</si>
  <si>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</si>
  <si>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</si>
  <si>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</si>
  <si>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</si>
  <si>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</si>
  <si>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</si>
  <si>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</si>
  <si>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</si>
  <si>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</si>
  <si>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</si>
  <si>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</si>
  <si>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</si>
  <si>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</si>
  <si>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</si>
  <si>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</si>
  <si>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</si>
  <si>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</si>
  <si>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</si>
  <si>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</si>
  <si>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</si>
  <si>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</si>
  <si>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</si>
  <si>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</si>
  <si>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</si>
  <si>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</si>
  <si>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</si>
  <si>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</si>
  <si>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</si>
  <si>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</si>
  <si>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</si>
  <si>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</si>
  <si>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</si>
  <si>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</si>
  <si>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</si>
  <si>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</si>
  <si>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</si>
  <si>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</si>
  <si>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</si>
  <si>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</si>
  <si>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</si>
  <si>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</si>
  <si>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</si>
  <si>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</si>
  <si>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</si>
  <si>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</si>
  <si>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</si>
  <si>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</si>
  <si>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</si>
  <si>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</si>
  <si>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</si>
  <si>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</si>
  <si>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</si>
  <si>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</si>
  <si>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</si>
  <si>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</si>
  <si>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</si>
  <si>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</si>
  <si>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</si>
  <si>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</si>
  <si>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</si>
  <si>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</si>
  <si>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</si>
  <si>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</si>
  <si>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</si>
  <si>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</si>
  <si>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</si>
  <si>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</si>
  <si>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</si>
  <si>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</si>
  <si>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</si>
  <si>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</si>
  <si>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</si>
  <si>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</si>
  <si>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</si>
  <si>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</si>
  <si>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</si>
  <si>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</si>
  <si>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</si>
  <si>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</si>
  <si>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</si>
  <si>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</si>
  <si>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</si>
  <si>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</si>
  <si>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</si>
  <si>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</si>
  <si>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</si>
  <si>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</si>
  <si>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</si>
  <si>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</si>
  <si>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</si>
  <si>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</si>
  <si>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</si>
  <si>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</si>
  <si>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</si>
  <si>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</si>
  <si>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</si>
  <si>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</si>
  <si>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</si>
  <si>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</si>
  <si>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</si>
  <si>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</si>
  <si>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</si>
  <si>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</si>
  <si>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</si>
  <si>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</si>
  <si>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</si>
  <si>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</si>
  <si>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</si>
  <si>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</si>
  <si>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 xml:space="preserve">MIGUEL ESTAY </t>
  </si>
  <si>
    <t>+56992196008</t>
  </si>
  <si>
    <t>MELAMIL18 MM</t>
  </si>
  <si>
    <t>MELAMIL18MM</t>
  </si>
  <si>
    <t>FD</t>
  </si>
  <si>
    <t>HECHO POR: FD</t>
  </si>
  <si>
    <t xml:space="preserve">CUB C/R R8 </t>
  </si>
  <si>
    <t>MARMOL CARRARA BRILLO</t>
  </si>
  <si>
    <t>CENEFA 1V TRASCARA BLANCA</t>
  </si>
  <si>
    <t>CENEFA 1V MDF 18MM DESNUDO</t>
  </si>
  <si>
    <t>GRAFITO 2174 MT</t>
  </si>
  <si>
    <t>PR6 FRENTES 1 DE 348, 1 DE 198, 1 DE 145</t>
  </si>
  <si>
    <t>PR6 FRENTES 1 DE 294, 2 DE 198</t>
  </si>
  <si>
    <t>VAINILLA 2109 MT</t>
  </si>
  <si>
    <t>MDF 18MM</t>
  </si>
  <si>
    <t>MDF18MM</t>
  </si>
  <si>
    <t>MELAMIL 18MM</t>
  </si>
  <si>
    <t>CORTAR SON FRENTES</t>
  </si>
  <si>
    <t>ENCHAPAR CON LAMINA TRASCARA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</si>
</sst>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u/>
      <sz val="14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3" fillId="0" borderId="0" xfId="2" quotePrefix="1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9" fillId="0" borderId="0" xfId="2" applyFont="1" applyFill="1" applyBorder="1" applyAlignment="1">
      <alignment horizontal="left" vertical="center" indent="1"/>
    </xf>
    <xf numFmtId="0" fontId="20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4" fillId="3" borderId="0" xfId="0" applyFont="1" applyFill="1" applyAlignment="1">
      <alignment horizontal="left" indent="1"/>
    </xf>
    <xf numFmtId="0" fontId="15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4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5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4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5" fillId="0" borderId="0" xfId="0" applyFont="1"/>
    <xf numFmtId="0" fontId="15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4" fillId="4" borderId="9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left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6" fillId="0" borderId="0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42" fontId="10" fillId="0" borderId="0" xfId="3" applyFont="1" applyFill="1" applyBorder="1" applyAlignment="1">
      <alignment horizontal="center" vertical="center"/>
    </xf>
    <xf numFmtId="42" fontId="10" fillId="0" borderId="0" xfId="3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42" fontId="2" fillId="0" borderId="32" xfId="3" applyFont="1" applyFill="1" applyBorder="1" applyAlignment="1">
      <alignment horizontal="center" vertical="center"/>
    </xf>
    <xf numFmtId="42" fontId="2" fillId="0" borderId="12" xfId="3" applyFont="1" applyFill="1" applyBorder="1" applyAlignment="1">
      <alignment horizontal="center" vertical="center"/>
    </xf>
    <xf numFmtId="165" fontId="21" fillId="0" borderId="32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1" fontId="9" fillId="0" borderId="11" xfId="0" applyNumberFormat="1" applyFont="1" applyFill="1" applyBorder="1" applyAlignment="1">
      <alignment horizontal="center" vertical="center"/>
    </xf>
    <xf numFmtId="165" fontId="9" fillId="0" borderId="32" xfId="0" applyNumberFormat="1" applyFont="1" applyFill="1" applyBorder="1" applyAlignment="1">
      <alignment horizontal="center" vertical="center"/>
    </xf>
    <xf numFmtId="1" fontId="9" fillId="0" borderId="32" xfId="0" applyNumberFormat="1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18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0" fillId="0" borderId="2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33</xdr:row>
      <xdr:rowOff>213827</xdr:rowOff>
    </xdr:from>
    <xdr:to>
      <xdr:col>5</xdr:col>
      <xdr:colOff>1555102</xdr:colOff>
      <xdr:row>37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66674</xdr:rowOff>
    </xdr:from>
    <xdr:to>
      <xdr:col>5</xdr:col>
      <xdr:colOff>2914649</xdr:colOff>
      <xdr:row>30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77</xdr:row>
      <xdr:rowOff>190500</xdr:rowOff>
    </xdr:from>
    <xdr:to>
      <xdr:col>6</xdr:col>
      <xdr:colOff>9524</xdr:colOff>
      <xdr:row>79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74</xdr:row>
      <xdr:rowOff>30479</xdr:rowOff>
    </xdr:from>
    <xdr:to>
      <xdr:col>5</xdr:col>
      <xdr:colOff>2912745</xdr:colOff>
      <xdr:row>75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72</xdr:row>
      <xdr:rowOff>209549</xdr:rowOff>
    </xdr:from>
    <xdr:to>
      <xdr:col>6</xdr:col>
      <xdr:colOff>0</xdr:colOff>
      <xdr:row>74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71</xdr:row>
      <xdr:rowOff>171450</xdr:rowOff>
    </xdr:from>
    <xdr:to>
      <xdr:col>6</xdr:col>
      <xdr:colOff>19050</xdr:colOff>
      <xdr:row>72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96</xdr:row>
      <xdr:rowOff>0</xdr:rowOff>
    </xdr:from>
    <xdr:to>
      <xdr:col>2</xdr:col>
      <xdr:colOff>38100</xdr:colOff>
      <xdr:row>97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96</xdr:row>
      <xdr:rowOff>0</xdr:rowOff>
    </xdr:from>
    <xdr:to>
      <xdr:col>2</xdr:col>
      <xdr:colOff>1019175</xdr:colOff>
      <xdr:row>97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96</xdr:row>
      <xdr:rowOff>0</xdr:rowOff>
    </xdr:from>
    <xdr:to>
      <xdr:col>3</xdr:col>
      <xdr:colOff>352425</xdr:colOff>
      <xdr:row>97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96</xdr:row>
      <xdr:rowOff>0</xdr:rowOff>
    </xdr:from>
    <xdr:to>
      <xdr:col>4</xdr:col>
      <xdr:colOff>257175</xdr:colOff>
      <xdr:row>97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96</xdr:row>
      <xdr:rowOff>0</xdr:rowOff>
    </xdr:from>
    <xdr:to>
      <xdr:col>5</xdr:col>
      <xdr:colOff>447675</xdr:colOff>
      <xdr:row>97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96</xdr:row>
      <xdr:rowOff>0</xdr:rowOff>
    </xdr:from>
    <xdr:to>
      <xdr:col>6</xdr:col>
      <xdr:colOff>0</xdr:colOff>
      <xdr:row>97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97</xdr:row>
      <xdr:rowOff>0</xdr:rowOff>
    </xdr:from>
    <xdr:to>
      <xdr:col>2</xdr:col>
      <xdr:colOff>304800</xdr:colOff>
      <xdr:row>98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97</xdr:row>
      <xdr:rowOff>0</xdr:rowOff>
    </xdr:from>
    <xdr:to>
      <xdr:col>2</xdr:col>
      <xdr:colOff>1276350</xdr:colOff>
      <xdr:row>98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97</xdr:row>
      <xdr:rowOff>0</xdr:rowOff>
    </xdr:from>
    <xdr:to>
      <xdr:col>3</xdr:col>
      <xdr:colOff>619125</xdr:colOff>
      <xdr:row>98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97</xdr:row>
      <xdr:rowOff>0</xdr:rowOff>
    </xdr:from>
    <xdr:to>
      <xdr:col>4</xdr:col>
      <xdr:colOff>523875</xdr:colOff>
      <xdr:row>98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97</xdr:row>
      <xdr:rowOff>0</xdr:rowOff>
    </xdr:from>
    <xdr:to>
      <xdr:col>5</xdr:col>
      <xdr:colOff>723900</xdr:colOff>
      <xdr:row>98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97</xdr:row>
      <xdr:rowOff>0</xdr:rowOff>
    </xdr:from>
    <xdr:to>
      <xdr:col>6</xdr:col>
      <xdr:colOff>0</xdr:colOff>
      <xdr:row>98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63</xdr:row>
      <xdr:rowOff>15239</xdr:rowOff>
    </xdr:from>
    <xdr:to>
      <xdr:col>6</xdr:col>
      <xdr:colOff>0</xdr:colOff>
      <xdr:row>67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 ENCHAPADAS CON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TAPACANTO PVC 0,4 MM LO MÁS PARECIDO A LA LAMINA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, ENCHAPAR CON LAMINA BLANCA CENEFA DE 3000X60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46</xdr:row>
      <xdr:rowOff>1</xdr:rowOff>
    </xdr:from>
    <xdr:to>
      <xdr:col>6</xdr:col>
      <xdr:colOff>19048</xdr:colOff>
      <xdr:row>47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99</xdr:row>
      <xdr:rowOff>32385</xdr:rowOff>
    </xdr:from>
    <xdr:to>
      <xdr:col>6</xdr:col>
      <xdr:colOff>0</xdr:colOff>
      <xdr:row>103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 ENCHAPADAS CON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TAPACANTO PVC 0,4 MM LO MÁS PARECIDO A LA LAMINA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, ENCHAPAR TRASCARA CON LAMINA BLANCA CENEFA DE 3000X60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71</xdr:row>
      <xdr:rowOff>146685</xdr:rowOff>
    </xdr:from>
    <xdr:to>
      <xdr:col>1</xdr:col>
      <xdr:colOff>786523</xdr:colOff>
      <xdr:row>77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304800</xdr:colOff>
      <xdr:row>106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abSelected="1" topLeftCell="A19" zoomScale="98" zoomScaleNormal="98" workbookViewId="0">
      <selection activeCell="J34" sqref="J3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117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118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119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15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13</v>
      </c>
      <c r="G7" s="30"/>
      <c r="H7" s="30"/>
      <c r="I7" s="30"/>
    </row>
    <row r="8" spans="1:17" ht="18.600000000000001" thickBot="1" x14ac:dyDescent="0.4">
      <c r="A8" s="30"/>
      <c r="B8" s="32" t="s">
        <v>16</v>
      </c>
      <c r="C8" s="33"/>
      <c r="D8" s="34">
        <v>10657</v>
      </c>
      <c r="E8" s="30"/>
      <c r="F8" s="35" t="s">
        <v>26</v>
      </c>
      <c r="G8" s="36">
        <v>4060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126</v>
      </c>
      <c r="C10" s="38" t="s">
        <v>136</v>
      </c>
      <c r="D10" s="39"/>
      <c r="E10" s="39"/>
      <c r="F10" s="40" t="s">
        <v>27</v>
      </c>
      <c r="G10" s="41">
        <v>45379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121</v>
      </c>
      <c r="G11" s="45">
        <v>45386</v>
      </c>
      <c r="H11" s="46"/>
      <c r="I11" s="30"/>
    </row>
    <row r="12" spans="1:17" ht="18" x14ac:dyDescent="0.35">
      <c r="A12" s="30"/>
      <c r="B12" s="47" t="s">
        <v>127</v>
      </c>
      <c r="C12" s="30"/>
      <c r="D12" s="48"/>
      <c r="E12" s="48"/>
      <c r="F12" s="48" t="s">
        <v>28</v>
      </c>
      <c r="G12" s="49"/>
      <c r="H12" s="50"/>
      <c r="I12" s="30"/>
    </row>
    <row r="13" spans="1:17" ht="18" x14ac:dyDescent="0.35">
      <c r="A13" s="30"/>
      <c r="B13" s="47" t="s">
        <v>128</v>
      </c>
      <c r="C13" s="51"/>
      <c r="D13" s="48"/>
      <c r="E13" s="48"/>
      <c r="F13" s="48" t="s">
        <v>125</v>
      </c>
      <c r="G13" s="49" t="s">
        <v>140</v>
      </c>
      <c r="H13" s="50"/>
      <c r="I13" s="30"/>
    </row>
    <row r="14" spans="1:17" ht="18" x14ac:dyDescent="0.35">
      <c r="A14" s="30"/>
      <c r="B14" s="43" t="s">
        <v>17</v>
      </c>
      <c r="C14" s="52" t="s">
        <v>137</v>
      </c>
      <c r="D14" s="53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4" t="s">
        <v>73</v>
      </c>
      <c r="G15" s="54" t="s">
        <v>130</v>
      </c>
      <c r="H15" s="50"/>
      <c r="I15" s="30"/>
    </row>
    <row r="16" spans="1:17" ht="18.600000000000001" thickBot="1" x14ac:dyDescent="0.4">
      <c r="A16" s="30"/>
      <c r="B16" s="55" t="s">
        <v>3</v>
      </c>
      <c r="C16" s="56" t="s">
        <v>134</v>
      </c>
      <c r="D16" s="57"/>
      <c r="E16" s="58"/>
      <c r="F16" s="108" t="s">
        <v>18</v>
      </c>
      <c r="G16" s="108"/>
      <c r="H16" s="109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0" t="s">
        <v>19</v>
      </c>
      <c r="C19" s="111"/>
      <c r="D19" s="111"/>
      <c r="E19" s="111"/>
      <c r="F19" s="111"/>
      <c r="G19" s="111"/>
      <c r="H19" s="112"/>
      <c r="I19" s="30"/>
    </row>
    <row r="20" spans="1:16" ht="20.100000000000001" customHeight="1" thickBot="1" x14ac:dyDescent="0.4">
      <c r="A20" s="30"/>
      <c r="B20" s="59" t="s">
        <v>129</v>
      </c>
      <c r="C20" s="60" t="s">
        <v>20</v>
      </c>
      <c r="D20" s="60" t="s">
        <v>21</v>
      </c>
      <c r="E20" s="60" t="s">
        <v>8</v>
      </c>
      <c r="F20" s="61" t="s">
        <v>22</v>
      </c>
      <c r="G20" s="59" t="s">
        <v>23</v>
      </c>
      <c r="H20" s="61" t="s">
        <v>4</v>
      </c>
      <c r="I20" s="30"/>
      <c r="N20">
        <v>65000</v>
      </c>
    </row>
    <row r="21" spans="1:16" ht="20.100000000000001" customHeight="1" thickBot="1" x14ac:dyDescent="0.4">
      <c r="A21" s="30"/>
      <c r="B21" s="126">
        <v>1</v>
      </c>
      <c r="C21" s="127" t="s">
        <v>142</v>
      </c>
      <c r="D21" s="132">
        <v>2560</v>
      </c>
      <c r="E21" s="132">
        <v>600</v>
      </c>
      <c r="F21" s="128" t="s">
        <v>143</v>
      </c>
      <c r="G21" s="129">
        <v>143970</v>
      </c>
      <c r="H21" s="130">
        <f>G21*B21</f>
        <v>143970</v>
      </c>
      <c r="I21" s="30"/>
      <c r="K21" s="11">
        <f>D21/1000</f>
        <v>2.56</v>
      </c>
      <c r="L21" s="15">
        <f>E21/1000</f>
        <v>0.6</v>
      </c>
      <c r="M21" s="11">
        <f>K21*L21</f>
        <v>1.536</v>
      </c>
      <c r="N21" s="11">
        <f>M21*N$20</f>
        <v>99840</v>
      </c>
      <c r="O21" s="15"/>
      <c r="P21" s="21"/>
    </row>
    <row r="22" spans="1:16" ht="20.100000000000001" customHeight="1" thickBot="1" x14ac:dyDescent="0.4">
      <c r="A22" s="30"/>
      <c r="B22" s="126">
        <v>2</v>
      </c>
      <c r="C22" s="127" t="s">
        <v>61</v>
      </c>
      <c r="D22" s="132">
        <v>583</v>
      </c>
      <c r="E22" s="132">
        <v>348</v>
      </c>
      <c r="F22" s="128" t="s">
        <v>149</v>
      </c>
      <c r="G22" s="129">
        <v>18858</v>
      </c>
      <c r="H22" s="130">
        <f t="shared" ref="H22:H32" si="0">G22*B22</f>
        <v>37716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33">
        <v>6</v>
      </c>
      <c r="C23" s="134" t="s">
        <v>61</v>
      </c>
      <c r="D23" s="135">
        <v>798</v>
      </c>
      <c r="E23" s="135">
        <v>421</v>
      </c>
      <c r="F23" s="136" t="s">
        <v>149</v>
      </c>
      <c r="G23" s="129">
        <v>28700</v>
      </c>
      <c r="H23" s="130">
        <f t="shared" si="0"/>
        <v>172200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26">
        <v>1</v>
      </c>
      <c r="C24" s="127" t="s">
        <v>144</v>
      </c>
      <c r="D24" s="132">
        <v>3000</v>
      </c>
      <c r="E24" s="132">
        <v>60</v>
      </c>
      <c r="F24" s="128" t="s">
        <v>149</v>
      </c>
      <c r="G24" s="129">
        <v>20174</v>
      </c>
      <c r="H24" s="130">
        <f t="shared" si="0"/>
        <v>20174</v>
      </c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26">
        <v>1</v>
      </c>
      <c r="C25" s="127" t="s">
        <v>145</v>
      </c>
      <c r="D25" s="132">
        <v>3000</v>
      </c>
      <c r="E25" s="132">
        <v>100</v>
      </c>
      <c r="F25" s="128" t="s">
        <v>149</v>
      </c>
      <c r="G25" s="129">
        <v>24956</v>
      </c>
      <c r="H25" s="130">
        <f t="shared" si="0"/>
        <v>24956</v>
      </c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26">
        <v>1</v>
      </c>
      <c r="C26" s="127" t="s">
        <v>145</v>
      </c>
      <c r="D26" s="132">
        <v>1500</v>
      </c>
      <c r="E26" s="132">
        <v>100</v>
      </c>
      <c r="F26" s="128" t="s">
        <v>149</v>
      </c>
      <c r="G26" s="129">
        <v>14158</v>
      </c>
      <c r="H26" s="130">
        <f t="shared" si="0"/>
        <v>14158</v>
      </c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26">
        <v>2</v>
      </c>
      <c r="C27" s="127" t="s">
        <v>61</v>
      </c>
      <c r="D27" s="132">
        <v>633</v>
      </c>
      <c r="E27" s="132">
        <v>348</v>
      </c>
      <c r="F27" s="128" t="s">
        <v>146</v>
      </c>
      <c r="G27" s="129">
        <v>19891</v>
      </c>
      <c r="H27" s="130">
        <f t="shared" si="0"/>
        <v>39782</v>
      </c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26">
        <v>1</v>
      </c>
      <c r="C28" s="127" t="s">
        <v>61</v>
      </c>
      <c r="D28" s="132">
        <v>698</v>
      </c>
      <c r="E28" s="132">
        <v>398</v>
      </c>
      <c r="F28" s="128" t="s">
        <v>146</v>
      </c>
      <c r="G28" s="129">
        <v>24157</v>
      </c>
      <c r="H28" s="130">
        <f t="shared" si="0"/>
        <v>24157</v>
      </c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26">
        <v>1</v>
      </c>
      <c r="C29" s="131" t="s">
        <v>147</v>
      </c>
      <c r="D29" s="132">
        <v>698</v>
      </c>
      <c r="E29" s="132">
        <v>598</v>
      </c>
      <c r="F29" s="128" t="s">
        <v>146</v>
      </c>
      <c r="G29" s="129">
        <v>43788</v>
      </c>
      <c r="H29" s="130">
        <f t="shared" si="0"/>
        <v>43788</v>
      </c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26">
        <v>1</v>
      </c>
      <c r="C30" s="127" t="s">
        <v>148</v>
      </c>
      <c r="D30" s="132">
        <v>698</v>
      </c>
      <c r="E30" s="132">
        <v>418</v>
      </c>
      <c r="F30" s="128" t="s">
        <v>146</v>
      </c>
      <c r="G30" s="129">
        <v>31220</v>
      </c>
      <c r="H30" s="130">
        <f t="shared" si="0"/>
        <v>31220</v>
      </c>
      <c r="I30" s="30"/>
      <c r="K30" s="11"/>
      <c r="L30" s="15"/>
      <c r="M30" s="11"/>
      <c r="N30" s="11"/>
      <c r="O30" s="15"/>
      <c r="P30" s="21"/>
    </row>
    <row r="31" spans="1:16" ht="20.100000000000001" customHeight="1" thickBot="1" x14ac:dyDescent="0.4">
      <c r="A31" s="30"/>
      <c r="B31" s="126">
        <v>2</v>
      </c>
      <c r="C31" s="127" t="s">
        <v>61</v>
      </c>
      <c r="D31" s="132">
        <v>698</v>
      </c>
      <c r="E31" s="132">
        <v>368</v>
      </c>
      <c r="F31" s="128" t="s">
        <v>146</v>
      </c>
      <c r="G31" s="129">
        <v>22562</v>
      </c>
      <c r="H31" s="130">
        <f t="shared" si="0"/>
        <v>45124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26">
        <v>1</v>
      </c>
      <c r="C32" s="127" t="s">
        <v>61</v>
      </c>
      <c r="D32" s="132">
        <v>698</v>
      </c>
      <c r="E32" s="132">
        <v>378</v>
      </c>
      <c r="F32" s="128" t="s">
        <v>146</v>
      </c>
      <c r="G32" s="129">
        <v>23094</v>
      </c>
      <c r="H32" s="130">
        <f t="shared" si="0"/>
        <v>23094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22"/>
      <c r="C33" s="122"/>
      <c r="D33" s="123"/>
      <c r="E33" s="123"/>
      <c r="F33" s="122"/>
      <c r="G33" s="124"/>
      <c r="H33" s="125"/>
      <c r="I33" s="30"/>
      <c r="K33" s="11"/>
      <c r="L33" s="15"/>
      <c r="M33" s="11"/>
      <c r="N33" s="11"/>
      <c r="O33" s="15"/>
      <c r="P33" s="21"/>
    </row>
    <row r="34" spans="1:16" ht="18" customHeight="1" x14ac:dyDescent="0.35">
      <c r="A34" s="30"/>
      <c r="B34" s="62"/>
      <c r="C34" s="62"/>
      <c r="D34" s="63"/>
      <c r="E34" s="63"/>
      <c r="F34" s="62"/>
      <c r="G34" s="64"/>
      <c r="H34" s="65"/>
      <c r="I34" s="30"/>
      <c r="K34" s="11"/>
      <c r="L34" s="15"/>
      <c r="M34" s="11"/>
      <c r="N34" s="11"/>
      <c r="O34" s="15"/>
      <c r="P34" s="21"/>
    </row>
    <row r="35" spans="1:16" ht="13.2" customHeight="1" thickBot="1" x14ac:dyDescent="0.4">
      <c r="A35" s="30"/>
      <c r="B35" s="66"/>
      <c r="C35" s="66"/>
      <c r="D35" s="66"/>
      <c r="E35" s="66"/>
      <c r="F35" s="66"/>
      <c r="G35" s="64"/>
      <c r="H35" s="64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G36" s="67" t="s">
        <v>5</v>
      </c>
      <c r="H36" s="68">
        <f>SUM(H21:H35)</f>
        <v>620339</v>
      </c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G37" s="69" t="s">
        <v>6</v>
      </c>
      <c r="H37" s="70"/>
      <c r="I37" s="30"/>
    </row>
    <row r="38" spans="1:16" ht="20.100000000000001" customHeight="1" thickBot="1" x14ac:dyDescent="0.4">
      <c r="A38" s="30"/>
      <c r="B38" s="30"/>
      <c r="C38" s="30"/>
      <c r="D38" s="30"/>
      <c r="E38" s="30"/>
      <c r="F38" s="30"/>
      <c r="G38" s="71" t="s">
        <v>4</v>
      </c>
      <c r="H38" s="72">
        <f>H36+H37</f>
        <v>620339</v>
      </c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73"/>
      <c r="H39" s="74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75" t="s">
        <v>135</v>
      </c>
      <c r="C41" s="76"/>
      <c r="D41" s="77"/>
      <c r="E41" s="77"/>
      <c r="F41" s="66"/>
      <c r="G41" s="30"/>
      <c r="H41" s="30"/>
      <c r="I41" s="30"/>
    </row>
    <row r="42" spans="1:16" ht="18" x14ac:dyDescent="0.35">
      <c r="A42" s="30"/>
      <c r="B42" s="75" t="s">
        <v>120</v>
      </c>
      <c r="C42" s="76"/>
      <c r="D42" s="77"/>
      <c r="E42" s="77"/>
      <c r="F42" s="66"/>
      <c r="G42" s="30"/>
      <c r="H42" s="30"/>
      <c r="I42" s="30"/>
    </row>
    <row r="43" spans="1:16" ht="18" x14ac:dyDescent="0.35">
      <c r="A43" s="30"/>
      <c r="B43" s="30" t="s">
        <v>24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78" t="s">
        <v>25</v>
      </c>
      <c r="C44" s="78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78"/>
      <c r="F45" s="30"/>
      <c r="G45" s="30"/>
      <c r="H45" s="30"/>
      <c r="I45" s="30"/>
    </row>
    <row r="46" spans="1:16" ht="18" x14ac:dyDescent="0.35">
      <c r="A46" s="30"/>
      <c r="B46" s="31" t="s">
        <v>132</v>
      </c>
      <c r="C46" s="31"/>
      <c r="D46" s="31"/>
      <c r="E46" s="79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79"/>
      <c r="F47" s="30"/>
      <c r="G47" s="30"/>
      <c r="H47" s="30"/>
      <c r="I47" s="30"/>
    </row>
    <row r="48" spans="1:16" ht="18" x14ac:dyDescent="0.35">
      <c r="A48" s="30"/>
      <c r="B48" s="31" t="s">
        <v>133</v>
      </c>
      <c r="C48" s="30"/>
      <c r="D48" s="30"/>
      <c r="E48" s="78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78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29</v>
      </c>
      <c r="C2" s="113"/>
      <c r="D2" s="113"/>
      <c r="E2" s="12"/>
      <c r="G2" s="113" t="s">
        <v>68</v>
      </c>
      <c r="H2" s="113"/>
      <c r="I2" s="113"/>
      <c r="P2" s="114" t="s">
        <v>56</v>
      </c>
      <c r="Q2" s="114"/>
      <c r="R2" s="114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111</v>
      </c>
      <c r="E4" s="6" t="s">
        <v>99</v>
      </c>
      <c r="G4" s="18">
        <v>50</v>
      </c>
      <c r="H4" s="18">
        <v>100</v>
      </c>
      <c r="I4" s="19" t="s">
        <v>111</v>
      </c>
      <c r="J4" s="20" t="s">
        <v>107</v>
      </c>
      <c r="K4" s="20"/>
      <c r="L4" s="20"/>
      <c r="M4" s="20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112</v>
      </c>
      <c r="E5" s="6" t="s">
        <v>100</v>
      </c>
      <c r="G5" s="18">
        <v>50</v>
      </c>
      <c r="H5" s="18"/>
      <c r="I5" s="19" t="s">
        <v>113</v>
      </c>
      <c r="J5" s="20" t="s">
        <v>115</v>
      </c>
      <c r="K5" s="20"/>
      <c r="L5" s="20"/>
      <c r="M5" s="20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14" t="s">
        <v>56</v>
      </c>
      <c r="M8" s="114"/>
      <c r="N8" s="114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124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114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116</v>
      </c>
      <c r="E20" s="6" t="s">
        <v>84</v>
      </c>
      <c r="G20" s="7">
        <v>50</v>
      </c>
      <c r="H20" s="7">
        <v>0</v>
      </c>
      <c r="I20" s="8" t="s">
        <v>116</v>
      </c>
      <c r="J20" s="20" t="s">
        <v>109</v>
      </c>
      <c r="K20" s="20"/>
      <c r="L20" s="20"/>
      <c r="M20" s="20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110</v>
      </c>
      <c r="E21" s="6" t="s">
        <v>85</v>
      </c>
      <c r="G21" s="7">
        <v>50</v>
      </c>
      <c r="H21" s="7">
        <v>0</v>
      </c>
      <c r="I21" s="8" t="s">
        <v>110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8"/>
      <c r="H22" s="18"/>
      <c r="I22" s="19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106</v>
      </c>
      <c r="E32" s="6" t="s">
        <v>96</v>
      </c>
      <c r="G32" s="7">
        <v>50</v>
      </c>
      <c r="H32" s="7"/>
      <c r="I32" s="8" t="s">
        <v>106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6">
        <v>40</v>
      </c>
      <c r="C36" s="16">
        <v>90</v>
      </c>
      <c r="D36" s="17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6">
        <v>40</v>
      </c>
      <c r="C37" s="16">
        <v>90</v>
      </c>
      <c r="D37" s="17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7"/>
  <sheetViews>
    <sheetView topLeftCell="A60" zoomScaleNormal="100" workbookViewId="0">
      <selection activeCell="A70" sqref="A70:F105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123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15" t="s">
        <v>59</v>
      </c>
      <c r="L3" s="115"/>
      <c r="M3" s="115" t="s">
        <v>14</v>
      </c>
      <c r="N3" s="115"/>
    </row>
    <row r="4" spans="1:14" ht="15.75" customHeight="1" x14ac:dyDescent="0.35">
      <c r="A4" s="30"/>
      <c r="B4" s="30"/>
      <c r="C4" s="81" t="s">
        <v>26</v>
      </c>
      <c r="D4" s="82">
        <f>'4637'!G8</f>
        <v>4060</v>
      </c>
      <c r="E4" s="30"/>
      <c r="F4" s="30"/>
      <c r="G4" s="30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5">
      <c r="A5" s="30"/>
      <c r="B5" s="30"/>
      <c r="C5" s="83" t="s">
        <v>65</v>
      </c>
      <c r="D5" s="84" t="str">
        <f>'4637'!C10</f>
        <v xml:space="preserve">MIGUEL ESTAY 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5"/>
      <c r="D6" s="86"/>
      <c r="E6" s="30"/>
      <c r="F6" s="30"/>
      <c r="G6" s="30"/>
    </row>
    <row r="7" spans="1:14" ht="18" x14ac:dyDescent="0.35">
      <c r="A7" s="30"/>
      <c r="B7" s="30"/>
      <c r="C7" s="96" t="str">
        <f>'4637'!F11</f>
        <v>FECHA LIMITE :</v>
      </c>
      <c r="D7" s="88">
        <f>'4637'!G11</f>
        <v>45386</v>
      </c>
      <c r="E7" s="30"/>
      <c r="F7" s="30" t="s">
        <v>141</v>
      </c>
      <c r="G7" s="30"/>
    </row>
    <row r="8" spans="1:14" ht="18" x14ac:dyDescent="0.35">
      <c r="A8" s="30"/>
      <c r="B8" s="30"/>
      <c r="C8" s="97" t="s">
        <v>122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16" t="s">
        <v>59</v>
      </c>
      <c r="B10" s="116"/>
      <c r="C10" s="116"/>
      <c r="D10" s="116"/>
      <c r="E10" s="116"/>
      <c r="F10" s="116"/>
      <c r="G10" s="30"/>
    </row>
    <row r="11" spans="1:14" ht="18" x14ac:dyDescent="0.35">
      <c r="A11" s="30"/>
      <c r="B11" s="30"/>
      <c r="C11" s="98"/>
      <c r="D11" s="30"/>
      <c r="E11" s="30"/>
      <c r="F11" s="30"/>
      <c r="G11" s="30"/>
    </row>
    <row r="12" spans="1:14" ht="18" x14ac:dyDescent="0.35">
      <c r="A12" s="30"/>
      <c r="B12" s="30"/>
      <c r="C12" s="30"/>
      <c r="D12" s="73" t="s">
        <v>7</v>
      </c>
      <c r="E12" s="73" t="s">
        <v>8</v>
      </c>
      <c r="F12" s="30"/>
      <c r="G12" s="30"/>
    </row>
    <row r="13" spans="1:14" ht="18" x14ac:dyDescent="0.35">
      <c r="A13" s="73" t="s">
        <v>9</v>
      </c>
      <c r="B13" s="99" t="s">
        <v>10</v>
      </c>
      <c r="C13" s="99" t="s">
        <v>11</v>
      </c>
      <c r="D13" s="100">
        <v>50</v>
      </c>
      <c r="E13" s="100">
        <v>-30</v>
      </c>
      <c r="F13" s="99" t="s">
        <v>108</v>
      </c>
      <c r="G13" s="30"/>
      <c r="J13" s="5" t="s">
        <v>7</v>
      </c>
      <c r="K13" s="5" t="s">
        <v>8</v>
      </c>
    </row>
    <row r="14" spans="1:14" ht="18" x14ac:dyDescent="0.35">
      <c r="A14" s="140" t="s">
        <v>151</v>
      </c>
      <c r="B14" s="101">
        <f>I14</f>
        <v>1</v>
      </c>
      <c r="C14" s="101"/>
      <c r="D14" s="101">
        <f>J14+D$13</f>
        <v>2610</v>
      </c>
      <c r="E14" s="101">
        <v>570</v>
      </c>
      <c r="F14" s="101" t="str">
        <f t="shared" ref="F14" si="0">C50</f>
        <v xml:space="preserve">CUB C/R R8 </v>
      </c>
      <c r="G14" s="30"/>
      <c r="I14" s="3">
        <f>'4637'!B21</f>
        <v>1</v>
      </c>
      <c r="J14" s="4">
        <f t="shared" ref="J14:K14" si="1">D50</f>
        <v>2560</v>
      </c>
      <c r="K14" s="4">
        <f t="shared" si="1"/>
        <v>600</v>
      </c>
    </row>
    <row r="15" spans="1:14" ht="18" x14ac:dyDescent="0.35">
      <c r="A15" s="140"/>
      <c r="B15" s="101">
        <f t="shared" ref="B15:B17" si="2">I15</f>
        <v>1</v>
      </c>
      <c r="C15" s="101" t="s">
        <v>154</v>
      </c>
      <c r="D15" s="101">
        <f t="shared" ref="D15:D17" si="3">J15+D$13</f>
        <v>3100</v>
      </c>
      <c r="E15" s="101">
        <v>100</v>
      </c>
      <c r="F15" s="101" t="str">
        <f>C53</f>
        <v>CENEFA 1V TRASCARA BLANCA</v>
      </c>
      <c r="G15" s="30"/>
      <c r="I15" s="3">
        <v>1</v>
      </c>
      <c r="J15" s="4">
        <v>3050</v>
      </c>
      <c r="K15" s="4"/>
    </row>
    <row r="16" spans="1:14" ht="18" x14ac:dyDescent="0.35">
      <c r="A16" s="140"/>
      <c r="B16" s="101">
        <f t="shared" si="2"/>
        <v>1</v>
      </c>
      <c r="C16" s="101"/>
      <c r="D16" s="101">
        <f t="shared" si="3"/>
        <v>3100</v>
      </c>
      <c r="E16" s="101">
        <v>100</v>
      </c>
      <c r="F16" s="101" t="str">
        <f>C54</f>
        <v>CENEFA 1V MDF 18MM DESNUDO</v>
      </c>
      <c r="G16" s="30"/>
      <c r="I16" s="3">
        <v>1</v>
      </c>
      <c r="J16" s="4">
        <v>3050</v>
      </c>
      <c r="K16" s="4"/>
    </row>
    <row r="17" spans="1:11" ht="18" x14ac:dyDescent="0.35">
      <c r="A17" s="140"/>
      <c r="B17" s="101">
        <f t="shared" si="2"/>
        <v>1</v>
      </c>
      <c r="C17" s="101"/>
      <c r="D17" s="101">
        <f t="shared" si="3"/>
        <v>1550</v>
      </c>
      <c r="E17" s="101">
        <v>100</v>
      </c>
      <c r="F17" s="101" t="str">
        <f>C55</f>
        <v>CENEFA 1V MDF 18MM DESNUDO</v>
      </c>
      <c r="G17" s="30"/>
      <c r="I17" s="3">
        <v>1</v>
      </c>
      <c r="J17" s="4">
        <v>1500</v>
      </c>
      <c r="K17" s="4"/>
    </row>
    <row r="18" spans="1:11" ht="18" x14ac:dyDescent="0.35">
      <c r="A18" s="140"/>
      <c r="B18" s="99" t="s">
        <v>10</v>
      </c>
      <c r="C18" s="99" t="s">
        <v>11</v>
      </c>
      <c r="D18" s="100">
        <v>50</v>
      </c>
      <c r="E18" s="100">
        <v>-2</v>
      </c>
      <c r="F18" s="99" t="s">
        <v>108</v>
      </c>
      <c r="G18" s="30"/>
      <c r="I18" s="3"/>
      <c r="J18" s="4"/>
      <c r="K18" s="4"/>
    </row>
    <row r="19" spans="1:11" ht="18" x14ac:dyDescent="0.35">
      <c r="A19" s="140" t="s">
        <v>152</v>
      </c>
      <c r="B19" s="101">
        <f t="shared" ref="B19:B26" si="4">I19</f>
        <v>2</v>
      </c>
      <c r="C19" s="101"/>
      <c r="D19" s="101">
        <f t="shared" ref="D19:D26" si="5">J19+D$13</f>
        <v>633</v>
      </c>
      <c r="E19" s="101">
        <f t="shared" ref="E19:E26" si="6">K19+E$13</f>
        <v>318</v>
      </c>
      <c r="F19" s="101" t="str">
        <f>C51</f>
        <v>PR6</v>
      </c>
      <c r="G19" s="30"/>
      <c r="I19" s="3">
        <f>'4637'!B22</f>
        <v>2</v>
      </c>
      <c r="J19" s="4">
        <f>D51</f>
        <v>583</v>
      </c>
      <c r="K19" s="4">
        <f>E51</f>
        <v>348</v>
      </c>
    </row>
    <row r="20" spans="1:11" ht="18" x14ac:dyDescent="0.35">
      <c r="A20" s="90"/>
      <c r="B20" s="101">
        <f t="shared" si="4"/>
        <v>6</v>
      </c>
      <c r="C20" s="101"/>
      <c r="D20" s="101">
        <f t="shared" si="5"/>
        <v>848</v>
      </c>
      <c r="E20" s="101">
        <f t="shared" si="6"/>
        <v>391</v>
      </c>
      <c r="F20" s="101" t="str">
        <f>C52</f>
        <v>PR6</v>
      </c>
      <c r="G20" s="30"/>
      <c r="I20" s="3">
        <f>'4637'!B23</f>
        <v>6</v>
      </c>
      <c r="J20" s="4">
        <f>D52</f>
        <v>798</v>
      </c>
      <c r="K20" s="4">
        <f>E52</f>
        <v>421</v>
      </c>
    </row>
    <row r="21" spans="1:11" ht="18" x14ac:dyDescent="0.35">
      <c r="A21" s="90"/>
      <c r="B21" s="101">
        <f t="shared" si="4"/>
        <v>2</v>
      </c>
      <c r="C21" s="101"/>
      <c r="D21" s="101">
        <f t="shared" si="5"/>
        <v>683</v>
      </c>
      <c r="E21" s="101">
        <f t="shared" si="6"/>
        <v>318</v>
      </c>
      <c r="F21" s="101" t="str">
        <f t="shared" ref="F21:F26" si="7">C56</f>
        <v>PR6</v>
      </c>
      <c r="G21" s="30"/>
      <c r="I21" s="3">
        <f>'4637'!B27</f>
        <v>2</v>
      </c>
      <c r="J21" s="4">
        <f t="shared" ref="J21:J26" si="8">D56</f>
        <v>633</v>
      </c>
      <c r="K21" s="4">
        <f t="shared" ref="K21:K26" si="9">E56</f>
        <v>348</v>
      </c>
    </row>
    <row r="22" spans="1:11" ht="18" x14ac:dyDescent="0.35">
      <c r="A22" s="90"/>
      <c r="B22" s="101">
        <f t="shared" si="4"/>
        <v>1</v>
      </c>
      <c r="C22" s="101"/>
      <c r="D22" s="101">
        <f t="shared" si="5"/>
        <v>748</v>
      </c>
      <c r="E22" s="101">
        <f t="shared" si="6"/>
        <v>368</v>
      </c>
      <c r="F22" s="101" t="str">
        <f t="shared" si="7"/>
        <v>PR6</v>
      </c>
      <c r="G22" s="30"/>
      <c r="I22" s="3">
        <f>'4637'!B28</f>
        <v>1</v>
      </c>
      <c r="J22" s="4">
        <f t="shared" si="8"/>
        <v>698</v>
      </c>
      <c r="K22" s="4">
        <f t="shared" si="9"/>
        <v>398</v>
      </c>
    </row>
    <row r="23" spans="1:11" ht="18" x14ac:dyDescent="0.35">
      <c r="A23" s="90"/>
      <c r="B23" s="101">
        <f t="shared" si="4"/>
        <v>1</v>
      </c>
      <c r="C23" s="101" t="s">
        <v>153</v>
      </c>
      <c r="D23" s="101">
        <f t="shared" si="5"/>
        <v>748</v>
      </c>
      <c r="E23" s="101">
        <f t="shared" si="6"/>
        <v>568</v>
      </c>
      <c r="F23" s="141" t="str">
        <f t="shared" si="7"/>
        <v>PR6 FRENTES 1 DE 348, 1 DE 198, 1 DE 145</v>
      </c>
      <c r="G23" s="30"/>
      <c r="I23" s="3">
        <f>'4637'!B29</f>
        <v>1</v>
      </c>
      <c r="J23" s="4">
        <f t="shared" si="8"/>
        <v>698</v>
      </c>
      <c r="K23" s="4">
        <f t="shared" si="9"/>
        <v>598</v>
      </c>
    </row>
    <row r="24" spans="1:11" ht="18" x14ac:dyDescent="0.35">
      <c r="A24" s="90"/>
      <c r="B24" s="101">
        <f t="shared" si="4"/>
        <v>1</v>
      </c>
      <c r="C24" s="101" t="s">
        <v>153</v>
      </c>
      <c r="D24" s="101">
        <f t="shared" si="5"/>
        <v>748</v>
      </c>
      <c r="E24" s="101">
        <f t="shared" si="6"/>
        <v>388</v>
      </c>
      <c r="F24" s="101" t="str">
        <f t="shared" si="7"/>
        <v>PR6 FRENTES 1 DE 294, 2 DE 198</v>
      </c>
      <c r="G24" s="30"/>
      <c r="I24" s="3">
        <f>'4637'!B30</f>
        <v>1</v>
      </c>
      <c r="J24" s="4">
        <f t="shared" si="8"/>
        <v>698</v>
      </c>
      <c r="K24" s="4">
        <f t="shared" si="9"/>
        <v>418</v>
      </c>
    </row>
    <row r="25" spans="1:11" ht="18" x14ac:dyDescent="0.35">
      <c r="A25" s="90"/>
      <c r="B25" s="101">
        <f t="shared" si="4"/>
        <v>2</v>
      </c>
      <c r="C25" s="101"/>
      <c r="D25" s="101">
        <f t="shared" si="5"/>
        <v>748</v>
      </c>
      <c r="E25" s="101">
        <f t="shared" si="6"/>
        <v>338</v>
      </c>
      <c r="F25" s="101" t="str">
        <f t="shared" si="7"/>
        <v>PR6</v>
      </c>
      <c r="G25" s="30"/>
      <c r="I25" s="3">
        <f>'4637'!B31</f>
        <v>2</v>
      </c>
      <c r="J25" s="4">
        <f t="shared" si="8"/>
        <v>698</v>
      </c>
      <c r="K25" s="4">
        <f t="shared" si="9"/>
        <v>368</v>
      </c>
    </row>
    <row r="26" spans="1:11" ht="18" x14ac:dyDescent="0.35">
      <c r="A26" s="90"/>
      <c r="B26" s="101">
        <f t="shared" si="4"/>
        <v>1</v>
      </c>
      <c r="C26" s="101"/>
      <c r="D26" s="101">
        <f t="shared" si="5"/>
        <v>748</v>
      </c>
      <c r="E26" s="101">
        <f t="shared" si="6"/>
        <v>348</v>
      </c>
      <c r="F26" s="101" t="str">
        <f t="shared" si="7"/>
        <v>PR6</v>
      </c>
      <c r="G26" s="30"/>
      <c r="I26" s="3">
        <f>'4637'!B32</f>
        <v>1</v>
      </c>
      <c r="J26" s="4">
        <f t="shared" si="8"/>
        <v>698</v>
      </c>
      <c r="K26" s="4">
        <f t="shared" si="9"/>
        <v>378</v>
      </c>
    </row>
    <row r="27" spans="1:11" ht="18" x14ac:dyDescent="0.35">
      <c r="A27" s="90"/>
      <c r="B27" s="80"/>
      <c r="C27" s="80"/>
      <c r="D27" s="80"/>
      <c r="E27" s="80"/>
      <c r="F27" s="80"/>
      <c r="G27" s="30"/>
      <c r="I27" s="23"/>
      <c r="J27" s="2"/>
      <c r="K27" s="2"/>
    </row>
    <row r="28" spans="1:11" ht="18" x14ac:dyDescent="0.35">
      <c r="A28" s="90"/>
      <c r="B28" s="80"/>
      <c r="C28" s="80"/>
      <c r="D28" s="80"/>
      <c r="E28" s="80"/>
      <c r="F28" s="80"/>
      <c r="G28" s="30"/>
      <c r="I28" s="23"/>
      <c r="J28" s="2"/>
      <c r="K28" s="2"/>
    </row>
    <row r="29" spans="1:11" ht="6.75" customHeight="1" x14ac:dyDescent="0.35">
      <c r="A29" s="30"/>
      <c r="B29" s="30"/>
      <c r="C29" s="30"/>
      <c r="D29" s="30"/>
      <c r="E29" s="30"/>
      <c r="F29" s="30"/>
      <c r="G29" s="30"/>
    </row>
    <row r="30" spans="1:11" ht="18" x14ac:dyDescent="0.35">
      <c r="A30" s="116" t="s">
        <v>14</v>
      </c>
      <c r="B30" s="116"/>
      <c r="C30" s="116"/>
      <c r="D30" s="116"/>
      <c r="E30" s="116"/>
      <c r="F30" s="116"/>
      <c r="G30" s="30"/>
    </row>
    <row r="31" spans="1:11" ht="10.5" customHeight="1" x14ac:dyDescent="0.35">
      <c r="A31" s="30"/>
      <c r="B31" s="30"/>
      <c r="C31" s="98"/>
      <c r="D31" s="30"/>
      <c r="E31" s="30"/>
      <c r="F31" s="30"/>
      <c r="G31" s="30"/>
    </row>
    <row r="32" spans="1:11" ht="18" x14ac:dyDescent="0.35">
      <c r="A32" s="30"/>
      <c r="B32" s="30"/>
      <c r="C32" s="30"/>
      <c r="D32" s="73" t="s">
        <v>7</v>
      </c>
      <c r="E32" s="73" t="s">
        <v>8</v>
      </c>
      <c r="F32" s="30"/>
      <c r="G32" s="30"/>
    </row>
    <row r="33" spans="1:11" ht="18" x14ac:dyDescent="0.35">
      <c r="A33" s="73" t="s">
        <v>9</v>
      </c>
      <c r="B33" s="89" t="s">
        <v>10</v>
      </c>
      <c r="C33" s="89" t="s">
        <v>11</v>
      </c>
      <c r="D33" s="102">
        <v>40</v>
      </c>
      <c r="E33" s="102">
        <v>90</v>
      </c>
      <c r="F33" s="89" t="s">
        <v>108</v>
      </c>
      <c r="G33" s="30"/>
      <c r="J33" s="5" t="s">
        <v>7</v>
      </c>
      <c r="K33" s="5" t="s">
        <v>8</v>
      </c>
    </row>
    <row r="34" spans="1:11" ht="18" x14ac:dyDescent="0.35">
      <c r="A34" s="139" t="s">
        <v>151</v>
      </c>
      <c r="B34" s="103">
        <f t="shared" ref="B34" si="10">I34</f>
        <v>1</v>
      </c>
      <c r="C34" s="103"/>
      <c r="D34" s="103">
        <f>J34+D$33</f>
        <v>2600</v>
      </c>
      <c r="E34" s="103">
        <v>730</v>
      </c>
      <c r="F34" s="103" t="str">
        <f>C50</f>
        <v xml:space="preserve">CUB C/R R8 </v>
      </c>
      <c r="G34" s="30"/>
      <c r="I34" s="3">
        <f>B50</f>
        <v>1</v>
      </c>
      <c r="J34" s="4">
        <f>D50</f>
        <v>2560</v>
      </c>
      <c r="K34" s="4">
        <f>E50</f>
        <v>600</v>
      </c>
    </row>
    <row r="35" spans="1:11" ht="18" x14ac:dyDescent="0.35">
      <c r="A35" s="140" t="s">
        <v>139</v>
      </c>
      <c r="B35" s="103">
        <f t="shared" ref="B35:B45" si="11">I35</f>
        <v>2</v>
      </c>
      <c r="C35" s="103"/>
      <c r="D35" s="103">
        <f>J35+D$33</f>
        <v>623</v>
      </c>
      <c r="E35" s="103">
        <f>K35+E$33</f>
        <v>438</v>
      </c>
      <c r="F35" s="103" t="str">
        <f>C51</f>
        <v>PR6</v>
      </c>
      <c r="G35" s="30"/>
      <c r="I35" s="3">
        <f>B51</f>
        <v>2</v>
      </c>
      <c r="J35" s="4">
        <f t="shared" ref="J35:K35" si="12">D51</f>
        <v>583</v>
      </c>
      <c r="K35" s="4">
        <f t="shared" si="12"/>
        <v>348</v>
      </c>
    </row>
    <row r="36" spans="1:11" ht="18" x14ac:dyDescent="0.35">
      <c r="A36" s="90"/>
      <c r="B36" s="103">
        <f t="shared" si="11"/>
        <v>6</v>
      </c>
      <c r="C36" s="103"/>
      <c r="D36" s="103">
        <f>J36+D$33</f>
        <v>838</v>
      </c>
      <c r="E36" s="103">
        <f>K36+E$33</f>
        <v>511</v>
      </c>
      <c r="F36" s="103" t="str">
        <f>C52</f>
        <v>PR6</v>
      </c>
      <c r="G36" s="30"/>
      <c r="I36" s="3">
        <f>B52</f>
        <v>6</v>
      </c>
      <c r="J36" s="4">
        <f t="shared" ref="J36:K36" si="13">D52</f>
        <v>798</v>
      </c>
      <c r="K36" s="4">
        <f t="shared" si="13"/>
        <v>421</v>
      </c>
    </row>
    <row r="37" spans="1:11" ht="18" x14ac:dyDescent="0.35">
      <c r="A37" s="90"/>
      <c r="B37" s="103">
        <f t="shared" si="11"/>
        <v>1</v>
      </c>
      <c r="C37" s="103"/>
      <c r="D37" s="103">
        <v>3080</v>
      </c>
      <c r="E37" s="103">
        <v>120</v>
      </c>
      <c r="F37" s="103" t="str">
        <f>C53</f>
        <v>CENEFA 1V TRASCARA BLANCA</v>
      </c>
      <c r="G37" s="30"/>
      <c r="I37" s="3">
        <f>B53</f>
        <v>1</v>
      </c>
      <c r="J37" s="4">
        <f t="shared" ref="J37:K37" si="14">D53</f>
        <v>3000</v>
      </c>
      <c r="K37" s="4">
        <f t="shared" si="14"/>
        <v>60</v>
      </c>
    </row>
    <row r="38" spans="1:11" ht="18" x14ac:dyDescent="0.35">
      <c r="A38" s="90"/>
      <c r="B38" s="103">
        <f t="shared" si="11"/>
        <v>1</v>
      </c>
      <c r="C38" s="103"/>
      <c r="D38" s="103">
        <v>3080</v>
      </c>
      <c r="E38" s="103">
        <v>160</v>
      </c>
      <c r="F38" s="103" t="str">
        <f>C54</f>
        <v>CENEFA 1V MDF 18MM DESNUDO</v>
      </c>
      <c r="G38" s="30"/>
      <c r="I38" s="3">
        <f>B54</f>
        <v>1</v>
      </c>
      <c r="J38" s="4">
        <f t="shared" ref="J38:K38" si="15">D54</f>
        <v>3000</v>
      </c>
      <c r="K38" s="4">
        <f t="shared" si="15"/>
        <v>100</v>
      </c>
    </row>
    <row r="39" spans="1:11" ht="18" x14ac:dyDescent="0.35">
      <c r="A39" s="90"/>
      <c r="B39" s="103">
        <f t="shared" si="11"/>
        <v>1</v>
      </c>
      <c r="C39" s="103"/>
      <c r="D39" s="103">
        <f>J39+D$33</f>
        <v>1540</v>
      </c>
      <c r="E39" s="103">
        <v>160</v>
      </c>
      <c r="F39" s="103" t="str">
        <f>C55</f>
        <v>CENEFA 1V MDF 18MM DESNUDO</v>
      </c>
      <c r="G39" s="30"/>
      <c r="I39" s="3">
        <f>B55</f>
        <v>1</v>
      </c>
      <c r="J39" s="4">
        <f t="shared" ref="J39:K39" si="16">D55</f>
        <v>1500</v>
      </c>
      <c r="K39" s="4">
        <f t="shared" si="16"/>
        <v>100</v>
      </c>
    </row>
    <row r="40" spans="1:11" ht="18" x14ac:dyDescent="0.35">
      <c r="A40" s="90"/>
      <c r="B40" s="103">
        <f t="shared" si="11"/>
        <v>2</v>
      </c>
      <c r="C40" s="103"/>
      <c r="D40" s="103">
        <f>J40+D$33</f>
        <v>673</v>
      </c>
      <c r="E40" s="103">
        <f>K40+E$33</f>
        <v>438</v>
      </c>
      <c r="F40" s="103" t="str">
        <f>C56</f>
        <v>PR6</v>
      </c>
      <c r="G40" s="30"/>
      <c r="I40" s="3">
        <f>B56</f>
        <v>2</v>
      </c>
      <c r="J40" s="4">
        <f t="shared" ref="J40:K40" si="17">D56</f>
        <v>633</v>
      </c>
      <c r="K40" s="4">
        <f t="shared" si="17"/>
        <v>348</v>
      </c>
    </row>
    <row r="41" spans="1:11" ht="18" x14ac:dyDescent="0.35">
      <c r="A41" s="90"/>
      <c r="B41" s="103">
        <f t="shared" si="11"/>
        <v>1</v>
      </c>
      <c r="C41" s="103"/>
      <c r="D41" s="103">
        <f>J41+D$33</f>
        <v>738</v>
      </c>
      <c r="E41" s="103">
        <f>K41+E$33</f>
        <v>488</v>
      </c>
      <c r="F41" s="103" t="str">
        <f>C57</f>
        <v>PR6</v>
      </c>
      <c r="G41" s="30"/>
      <c r="I41" s="3">
        <f>B57</f>
        <v>1</v>
      </c>
      <c r="J41" s="4">
        <f t="shared" ref="J41:K41" si="18">D57</f>
        <v>698</v>
      </c>
      <c r="K41" s="4">
        <f t="shared" si="18"/>
        <v>398</v>
      </c>
    </row>
    <row r="42" spans="1:11" ht="18" x14ac:dyDescent="0.35">
      <c r="A42" s="90"/>
      <c r="B42" s="103">
        <f t="shared" si="11"/>
        <v>1</v>
      </c>
      <c r="C42" s="103"/>
      <c r="D42" s="103">
        <f>J42+D$33</f>
        <v>738</v>
      </c>
      <c r="E42" s="103">
        <f>K42+E$33</f>
        <v>688</v>
      </c>
      <c r="F42" s="103" t="str">
        <f>C58</f>
        <v>PR6 FRENTES 1 DE 348, 1 DE 198, 1 DE 145</v>
      </c>
      <c r="G42" s="30"/>
      <c r="I42" s="3">
        <f>B58</f>
        <v>1</v>
      </c>
      <c r="J42" s="4">
        <f t="shared" ref="J42:K42" si="19">D58</f>
        <v>698</v>
      </c>
      <c r="K42" s="4">
        <f t="shared" si="19"/>
        <v>598</v>
      </c>
    </row>
    <row r="43" spans="1:11" ht="18" x14ac:dyDescent="0.35">
      <c r="A43" s="90"/>
      <c r="B43" s="103">
        <f t="shared" si="11"/>
        <v>1</v>
      </c>
      <c r="C43" s="103"/>
      <c r="D43" s="103">
        <f>J43+D$33</f>
        <v>738</v>
      </c>
      <c r="E43" s="103">
        <f>K43+E$33</f>
        <v>508</v>
      </c>
      <c r="F43" s="103" t="str">
        <f>C59</f>
        <v>PR6 FRENTES 1 DE 294, 2 DE 198</v>
      </c>
      <c r="G43" s="30"/>
      <c r="I43" s="3">
        <f>B59</f>
        <v>1</v>
      </c>
      <c r="J43" s="4">
        <f t="shared" ref="J43:K43" si="20">D59</f>
        <v>698</v>
      </c>
      <c r="K43" s="4">
        <f t="shared" si="20"/>
        <v>418</v>
      </c>
    </row>
    <row r="44" spans="1:11" ht="18" x14ac:dyDescent="0.35">
      <c r="A44" s="90"/>
      <c r="B44" s="103">
        <f t="shared" si="11"/>
        <v>2</v>
      </c>
      <c r="C44" s="103"/>
      <c r="D44" s="103">
        <f>J44+D$33</f>
        <v>738</v>
      </c>
      <c r="E44" s="103">
        <f>K44+E$33</f>
        <v>458</v>
      </c>
      <c r="F44" s="103" t="str">
        <f>C60</f>
        <v>PR6</v>
      </c>
      <c r="G44" s="30"/>
      <c r="I44" s="3">
        <f>B60</f>
        <v>2</v>
      </c>
      <c r="J44" s="4">
        <f t="shared" ref="J44:K44" si="21">D60</f>
        <v>698</v>
      </c>
      <c r="K44" s="4">
        <f t="shared" si="21"/>
        <v>368</v>
      </c>
    </row>
    <row r="45" spans="1:11" ht="18" x14ac:dyDescent="0.35">
      <c r="A45" s="90"/>
      <c r="B45" s="103">
        <f t="shared" si="11"/>
        <v>1</v>
      </c>
      <c r="C45" s="103"/>
      <c r="D45" s="103">
        <f>J45+D$33</f>
        <v>738</v>
      </c>
      <c r="E45" s="103">
        <f>K45+E$33</f>
        <v>468</v>
      </c>
      <c r="F45" s="103" t="str">
        <f>C61</f>
        <v>PR6</v>
      </c>
      <c r="G45" s="30"/>
      <c r="I45" s="3">
        <f>B61</f>
        <v>1</v>
      </c>
      <c r="J45" s="4">
        <f t="shared" ref="J45:K45" si="22">D61</f>
        <v>698</v>
      </c>
      <c r="K45" s="4">
        <f t="shared" si="22"/>
        <v>378</v>
      </c>
    </row>
    <row r="46" spans="1:11" ht="18.600000000000001" thickBot="1" x14ac:dyDescent="0.4">
      <c r="A46" s="90"/>
      <c r="B46" s="80"/>
      <c r="C46" s="80"/>
      <c r="D46" s="80"/>
      <c r="E46" s="80"/>
      <c r="F46" s="80"/>
      <c r="G46" s="30"/>
      <c r="I46" s="23"/>
      <c r="J46" s="2"/>
      <c r="K46" s="2"/>
    </row>
    <row r="47" spans="1:11" ht="18.600000000000001" thickBot="1" x14ac:dyDescent="0.4">
      <c r="A47" s="73"/>
      <c r="B47" s="104" t="s">
        <v>105</v>
      </c>
      <c r="C47" s="33"/>
      <c r="D47" s="33"/>
      <c r="E47" s="33"/>
      <c r="F47" s="105"/>
      <c r="G47" s="30"/>
      <c r="I47" s="2"/>
      <c r="J47" s="2"/>
      <c r="K47" s="2"/>
    </row>
    <row r="48" spans="1:11" ht="10.5" customHeight="1" x14ac:dyDescent="0.35">
      <c r="A48" s="30"/>
      <c r="B48" s="30"/>
      <c r="C48" s="30"/>
      <c r="D48" s="30"/>
      <c r="E48" s="30"/>
      <c r="F48" s="30"/>
      <c r="G48" s="30"/>
    </row>
    <row r="49" spans="1:9" ht="18" x14ac:dyDescent="0.35">
      <c r="A49" s="73" t="s">
        <v>9</v>
      </c>
      <c r="B49" s="106" t="s">
        <v>10</v>
      </c>
      <c r="C49" s="106" t="s">
        <v>108</v>
      </c>
      <c r="D49" s="106" t="s">
        <v>7</v>
      </c>
      <c r="E49" s="106" t="s">
        <v>8</v>
      </c>
      <c r="F49" s="106" t="s">
        <v>22</v>
      </c>
      <c r="G49" s="30"/>
    </row>
    <row r="50" spans="1:9" ht="18" x14ac:dyDescent="0.35">
      <c r="A50" s="139" t="s">
        <v>150</v>
      </c>
      <c r="B50" s="101">
        <f>'4637'!B21</f>
        <v>1</v>
      </c>
      <c r="C50" s="101" t="str">
        <f>'4637'!C21</f>
        <v xml:space="preserve">CUB C/R R8 </v>
      </c>
      <c r="D50" s="101">
        <f>'4637'!D21</f>
        <v>2560</v>
      </c>
      <c r="E50" s="101">
        <f>'4637'!E21</f>
        <v>600</v>
      </c>
      <c r="F50" s="101" t="str">
        <f>'4637'!F21</f>
        <v>MARMOL CARRARA BRILLO</v>
      </c>
      <c r="G50" s="30"/>
      <c r="H50" s="28">
        <f>D50*E50/1000000</f>
        <v>1.536</v>
      </c>
      <c r="I50" s="28">
        <f>H50*B50</f>
        <v>1.536</v>
      </c>
    </row>
    <row r="51" spans="1:9" ht="18" x14ac:dyDescent="0.35">
      <c r="A51" s="140" t="s">
        <v>139</v>
      </c>
      <c r="B51" s="101">
        <f>'4637'!B22</f>
        <v>2</v>
      </c>
      <c r="C51" s="101" t="str">
        <f>'4637'!C22</f>
        <v>PR6</v>
      </c>
      <c r="D51" s="101">
        <f>'4637'!D22</f>
        <v>583</v>
      </c>
      <c r="E51" s="101">
        <f>'4637'!E22</f>
        <v>348</v>
      </c>
      <c r="F51" s="101" t="str">
        <f>'4637'!F22</f>
        <v>VAINILLA 2109 MT</v>
      </c>
      <c r="G51" s="30"/>
      <c r="H51" s="28"/>
      <c r="I51" s="28"/>
    </row>
    <row r="52" spans="1:9" ht="18" x14ac:dyDescent="0.35">
      <c r="A52" s="90"/>
      <c r="B52" s="101">
        <f>'4637'!B23</f>
        <v>6</v>
      </c>
      <c r="C52" s="101" t="str">
        <f>'4637'!C23</f>
        <v>PR6</v>
      </c>
      <c r="D52" s="101">
        <f>'4637'!D23</f>
        <v>798</v>
      </c>
      <c r="E52" s="101">
        <f>'4637'!E23</f>
        <v>421</v>
      </c>
      <c r="F52" s="101" t="str">
        <f>'4637'!F23</f>
        <v>VAINILLA 2109 MT</v>
      </c>
      <c r="G52" s="30"/>
      <c r="H52" s="28"/>
      <c r="I52" s="28"/>
    </row>
    <row r="53" spans="1:9" ht="18" x14ac:dyDescent="0.35">
      <c r="A53" s="90"/>
      <c r="B53" s="101">
        <f>'4637'!B24</f>
        <v>1</v>
      </c>
      <c r="C53" s="101" t="str">
        <f>'4637'!C24</f>
        <v>CENEFA 1V TRASCARA BLANCA</v>
      </c>
      <c r="D53" s="101">
        <f>'4637'!D24</f>
        <v>3000</v>
      </c>
      <c r="E53" s="101">
        <f>'4637'!E24</f>
        <v>60</v>
      </c>
      <c r="F53" s="101" t="str">
        <f>'4637'!F24</f>
        <v>VAINILLA 2109 MT</v>
      </c>
      <c r="G53" s="30"/>
      <c r="H53" s="28"/>
      <c r="I53" s="28"/>
    </row>
    <row r="54" spans="1:9" ht="18" x14ac:dyDescent="0.35">
      <c r="A54" s="90"/>
      <c r="B54" s="101">
        <f>'4637'!B25</f>
        <v>1</v>
      </c>
      <c r="C54" s="101" t="str">
        <f>'4637'!C25</f>
        <v>CENEFA 1V MDF 18MM DESNUDO</v>
      </c>
      <c r="D54" s="101">
        <f>'4637'!D25</f>
        <v>3000</v>
      </c>
      <c r="E54" s="101">
        <f>'4637'!E25</f>
        <v>100</v>
      </c>
      <c r="F54" s="101" t="str">
        <f>'4637'!F25</f>
        <v>VAINILLA 2109 MT</v>
      </c>
      <c r="G54" s="30"/>
      <c r="H54" s="28"/>
      <c r="I54" s="28"/>
    </row>
    <row r="55" spans="1:9" ht="18" x14ac:dyDescent="0.35">
      <c r="A55" s="90"/>
      <c r="B55" s="101">
        <f>'4637'!B26</f>
        <v>1</v>
      </c>
      <c r="C55" s="101" t="str">
        <f>'4637'!C26</f>
        <v>CENEFA 1V MDF 18MM DESNUDO</v>
      </c>
      <c r="D55" s="101">
        <f>'4637'!D26</f>
        <v>1500</v>
      </c>
      <c r="E55" s="101">
        <f>'4637'!E26</f>
        <v>100</v>
      </c>
      <c r="F55" s="101" t="str">
        <f>'4637'!F26</f>
        <v>VAINILLA 2109 MT</v>
      </c>
      <c r="G55" s="30"/>
      <c r="H55" s="28"/>
      <c r="I55" s="28"/>
    </row>
    <row r="56" spans="1:9" ht="18" x14ac:dyDescent="0.35">
      <c r="A56" s="90"/>
      <c r="B56" s="101">
        <f>'4637'!B27</f>
        <v>2</v>
      </c>
      <c r="C56" s="101" t="str">
        <f>'4637'!C27</f>
        <v>PR6</v>
      </c>
      <c r="D56" s="101">
        <f>'4637'!D27</f>
        <v>633</v>
      </c>
      <c r="E56" s="101">
        <f>'4637'!E27</f>
        <v>348</v>
      </c>
      <c r="F56" s="101" t="str">
        <f>'4637'!F27</f>
        <v>GRAFITO 2174 MT</v>
      </c>
      <c r="G56" s="30"/>
      <c r="H56" s="28"/>
      <c r="I56" s="28"/>
    </row>
    <row r="57" spans="1:9" ht="18" x14ac:dyDescent="0.35">
      <c r="A57" s="90"/>
      <c r="B57" s="101">
        <f>'4637'!B28</f>
        <v>1</v>
      </c>
      <c r="C57" s="101" t="str">
        <f>'4637'!C28</f>
        <v>PR6</v>
      </c>
      <c r="D57" s="101">
        <f>'4637'!D28</f>
        <v>698</v>
      </c>
      <c r="E57" s="101">
        <f>'4637'!E28</f>
        <v>398</v>
      </c>
      <c r="F57" s="101" t="str">
        <f>'4637'!F28</f>
        <v>GRAFITO 2174 MT</v>
      </c>
      <c r="G57" s="30"/>
      <c r="H57" s="28"/>
      <c r="I57" s="28"/>
    </row>
    <row r="58" spans="1:9" ht="18" x14ac:dyDescent="0.35">
      <c r="A58" s="90"/>
      <c r="B58" s="101">
        <f>'4637'!B29</f>
        <v>1</v>
      </c>
      <c r="C58" s="141" t="str">
        <f>'4637'!C29</f>
        <v>PR6 FRENTES 1 DE 348, 1 DE 198, 1 DE 145</v>
      </c>
      <c r="D58" s="101">
        <f>'4637'!D29</f>
        <v>698</v>
      </c>
      <c r="E58" s="101">
        <f>'4637'!E29</f>
        <v>598</v>
      </c>
      <c r="F58" s="101" t="str">
        <f>'4637'!F29</f>
        <v>GRAFITO 2174 MT</v>
      </c>
      <c r="G58" s="30"/>
      <c r="H58" s="28"/>
      <c r="I58" s="28"/>
    </row>
    <row r="59" spans="1:9" ht="18" x14ac:dyDescent="0.35">
      <c r="A59" s="90"/>
      <c r="B59" s="101">
        <f>'4637'!B30</f>
        <v>1</v>
      </c>
      <c r="C59" s="101" t="str">
        <f>'4637'!C30</f>
        <v>PR6 FRENTES 1 DE 294, 2 DE 198</v>
      </c>
      <c r="D59" s="101">
        <f>'4637'!D30</f>
        <v>698</v>
      </c>
      <c r="E59" s="101">
        <f>'4637'!E30</f>
        <v>418</v>
      </c>
      <c r="F59" s="101" t="str">
        <f>'4637'!F30</f>
        <v>GRAFITO 2174 MT</v>
      </c>
      <c r="G59" s="30"/>
      <c r="H59" s="28"/>
      <c r="I59" s="28"/>
    </row>
    <row r="60" spans="1:9" ht="18" x14ac:dyDescent="0.35">
      <c r="A60" s="90"/>
      <c r="B60" s="101">
        <f>'4637'!B31</f>
        <v>2</v>
      </c>
      <c r="C60" s="101" t="str">
        <f>'4637'!C31</f>
        <v>PR6</v>
      </c>
      <c r="D60" s="101">
        <f>'4637'!D31</f>
        <v>698</v>
      </c>
      <c r="E60" s="101">
        <f>'4637'!E31</f>
        <v>368</v>
      </c>
      <c r="F60" s="101" t="str">
        <f>'4637'!F31</f>
        <v>GRAFITO 2174 MT</v>
      </c>
      <c r="G60" s="30"/>
      <c r="H60" s="28"/>
      <c r="I60" s="28"/>
    </row>
    <row r="61" spans="1:9" ht="18" x14ac:dyDescent="0.35">
      <c r="A61" s="90"/>
      <c r="B61" s="101">
        <f>'4637'!B32</f>
        <v>1</v>
      </c>
      <c r="C61" s="101" t="str">
        <f>'4637'!C32</f>
        <v>PR6</v>
      </c>
      <c r="D61" s="101">
        <f>'4637'!D32</f>
        <v>698</v>
      </c>
      <c r="E61" s="101">
        <f>'4637'!E32</f>
        <v>378</v>
      </c>
      <c r="F61" s="101" t="str">
        <f>'4637'!F32</f>
        <v>GRAFITO 2174 MT</v>
      </c>
      <c r="G61" s="30"/>
      <c r="H61" s="28"/>
      <c r="I61" s="28"/>
    </row>
    <row r="62" spans="1:9" ht="18" x14ac:dyDescent="0.35">
      <c r="A62" s="90"/>
      <c r="B62" s="80"/>
      <c r="C62" s="80"/>
      <c r="D62" s="80"/>
      <c r="E62" s="80"/>
      <c r="F62" s="80"/>
      <c r="G62" s="30"/>
      <c r="H62" s="28"/>
      <c r="I62" s="28"/>
    </row>
    <row r="63" spans="1:9" ht="18" x14ac:dyDescent="0.35">
      <c r="A63" s="30"/>
      <c r="B63" s="80"/>
      <c r="C63" s="80"/>
      <c r="D63" s="80"/>
      <c r="E63" s="80"/>
      <c r="F63" s="80"/>
      <c r="G63" s="30"/>
    </row>
    <row r="64" spans="1:9" ht="18" x14ac:dyDescent="0.35">
      <c r="A64" s="30"/>
      <c r="B64" s="80"/>
      <c r="C64" s="80"/>
      <c r="D64" s="80"/>
      <c r="E64" s="80"/>
      <c r="F64" s="80"/>
      <c r="G64" s="30"/>
      <c r="I64" s="28">
        <f>SUM(I50:I50)*2</f>
        <v>3.0720000000000001</v>
      </c>
    </row>
    <row r="65" spans="1:7" ht="18" x14ac:dyDescent="0.35">
      <c r="A65" s="30"/>
      <c r="B65" s="80"/>
      <c r="C65" s="80"/>
      <c r="D65" s="80"/>
      <c r="E65" s="80"/>
      <c r="F65" s="80"/>
      <c r="G65" s="30"/>
    </row>
    <row r="66" spans="1:7" ht="18" x14ac:dyDescent="0.35">
      <c r="A66" s="30"/>
      <c r="B66" s="80"/>
      <c r="C66" s="80"/>
      <c r="D66" s="80"/>
      <c r="E66" s="80"/>
      <c r="F66" s="80"/>
      <c r="G66" s="30"/>
    </row>
    <row r="67" spans="1:7" ht="18" x14ac:dyDescent="0.35">
      <c r="A67" s="30"/>
      <c r="B67" s="80"/>
      <c r="C67" s="80"/>
      <c r="D67" s="80"/>
      <c r="E67" s="80"/>
      <c r="F67" s="80"/>
      <c r="G67" s="30"/>
    </row>
    <row r="68" spans="1:7" ht="18" x14ac:dyDescent="0.35">
      <c r="A68" s="30"/>
      <c r="B68" s="80"/>
      <c r="C68" s="80"/>
      <c r="D68" s="80"/>
      <c r="E68" s="80"/>
      <c r="F68" s="80"/>
      <c r="G68" s="30"/>
    </row>
    <row r="69" spans="1:7" ht="18" x14ac:dyDescent="0.35">
      <c r="A69" s="30"/>
      <c r="B69" s="80"/>
      <c r="C69" s="80"/>
      <c r="D69" s="80"/>
      <c r="E69" s="80"/>
      <c r="F69" s="80"/>
      <c r="G69" s="30"/>
    </row>
    <row r="70" spans="1:7" ht="18" x14ac:dyDescent="0.35">
      <c r="A70" s="30"/>
      <c r="B70" s="80"/>
      <c r="C70" s="80"/>
      <c r="D70" s="80"/>
      <c r="E70" s="80"/>
      <c r="F70" s="80"/>
      <c r="G70" s="30"/>
    </row>
    <row r="71" spans="1:7" ht="18" x14ac:dyDescent="0.35">
      <c r="A71" s="30"/>
      <c r="B71" s="80"/>
      <c r="C71" s="80"/>
      <c r="D71" s="80"/>
      <c r="E71" s="80"/>
      <c r="F71" s="80"/>
      <c r="G71" s="30"/>
    </row>
    <row r="72" spans="1:7" ht="18" x14ac:dyDescent="0.35">
      <c r="A72" s="30"/>
      <c r="B72" s="30"/>
      <c r="C72" s="30"/>
      <c r="D72" s="30"/>
      <c r="E72" s="30"/>
      <c r="F72" s="30"/>
      <c r="G72" s="30"/>
    </row>
    <row r="73" spans="1:7" ht="18" x14ac:dyDescent="0.35">
      <c r="A73" s="30"/>
      <c r="B73" s="30"/>
      <c r="C73" s="81" t="s">
        <v>26</v>
      </c>
      <c r="D73" s="82">
        <f>'4637'!G8</f>
        <v>4060</v>
      </c>
      <c r="E73" s="30"/>
      <c r="F73" s="30"/>
      <c r="G73" s="30"/>
    </row>
    <row r="74" spans="1:7" ht="17.25" customHeight="1" x14ac:dyDescent="0.35">
      <c r="A74" s="30"/>
      <c r="B74" s="30"/>
      <c r="C74" s="83" t="s">
        <v>65</v>
      </c>
      <c r="D74" s="84" t="str">
        <f>'4637'!C10</f>
        <v xml:space="preserve">MIGUEL ESTAY </v>
      </c>
      <c r="E74" s="48"/>
      <c r="F74" s="48"/>
      <c r="G74" s="30"/>
    </row>
    <row r="75" spans="1:7" ht="4.5" customHeight="1" x14ac:dyDescent="0.35">
      <c r="A75" s="30"/>
      <c r="B75" s="30"/>
      <c r="C75" s="85"/>
      <c r="D75" s="86"/>
      <c r="E75" s="30"/>
      <c r="F75" s="30"/>
      <c r="G75" s="30"/>
    </row>
    <row r="76" spans="1:7" ht="18" x14ac:dyDescent="0.35">
      <c r="A76" s="30"/>
      <c r="B76" s="30"/>
      <c r="C76" s="87" t="str">
        <f>'4637'!F11</f>
        <v>FECHA LIMITE :</v>
      </c>
      <c r="D76" s="88">
        <f>'4637'!G11</f>
        <v>45386</v>
      </c>
      <c r="E76" s="30"/>
      <c r="F76" s="30"/>
      <c r="G76" s="30"/>
    </row>
    <row r="77" spans="1:7" ht="18" x14ac:dyDescent="0.35">
      <c r="A77" s="30"/>
      <c r="B77" s="30"/>
      <c r="C77" s="30"/>
      <c r="D77" s="30"/>
      <c r="E77" s="30"/>
      <c r="F77" s="30" t="s">
        <v>141</v>
      </c>
      <c r="G77" s="30"/>
    </row>
    <row r="78" spans="1:7" ht="18" x14ac:dyDescent="0.35">
      <c r="A78" s="30"/>
      <c r="B78" s="30"/>
      <c r="C78" s="30"/>
      <c r="D78" s="30"/>
      <c r="E78" s="30"/>
      <c r="F78" s="30"/>
      <c r="G78" s="30"/>
    </row>
    <row r="79" spans="1:7" ht="18" x14ac:dyDescent="0.35">
      <c r="A79" s="117" t="s">
        <v>66</v>
      </c>
      <c r="B79" s="117"/>
      <c r="C79" s="117"/>
      <c r="D79" s="117"/>
      <c r="E79" s="117"/>
      <c r="F79" s="117"/>
      <c r="G79" s="30"/>
    </row>
    <row r="80" spans="1:7" ht="18" x14ac:dyDescent="0.35">
      <c r="A80" s="30"/>
      <c r="B80" s="30"/>
      <c r="C80" s="30"/>
      <c r="D80" s="30"/>
      <c r="E80" s="30"/>
      <c r="F80" s="30"/>
      <c r="G80" s="30"/>
    </row>
    <row r="81" spans="1:12" ht="20.100000000000001" customHeight="1" x14ac:dyDescent="0.35">
      <c r="A81" s="30"/>
      <c r="B81" s="118" t="s">
        <v>67</v>
      </c>
      <c r="C81" s="119"/>
      <c r="D81" s="120"/>
      <c r="E81" s="120"/>
      <c r="F81" s="121"/>
      <c r="G81" s="30"/>
      <c r="H81" s="25" t="s">
        <v>131</v>
      </c>
    </row>
    <row r="82" spans="1:12" s="10" customFormat="1" ht="20.100000000000001" customHeight="1" x14ac:dyDescent="0.35">
      <c r="A82" s="30"/>
      <c r="B82" s="91" t="s">
        <v>10</v>
      </c>
      <c r="C82" s="92" t="s">
        <v>11</v>
      </c>
      <c r="D82" s="95" t="s">
        <v>7</v>
      </c>
      <c r="E82" s="95" t="s">
        <v>8</v>
      </c>
      <c r="F82" s="93" t="s">
        <v>12</v>
      </c>
      <c r="G82" s="30"/>
      <c r="J82" s="10">
        <v>15000</v>
      </c>
    </row>
    <row r="83" spans="1:12" s="10" customFormat="1" ht="20.100000000000001" customHeight="1" x14ac:dyDescent="0.35">
      <c r="A83" s="137" t="s">
        <v>150</v>
      </c>
      <c r="B83" s="103">
        <f>'4637'!B21</f>
        <v>1</v>
      </c>
      <c r="C83" s="103" t="str">
        <f>'4637'!C21</f>
        <v xml:space="preserve">CUB C/R R8 </v>
      </c>
      <c r="D83" s="107">
        <f>'4637'!D21</f>
        <v>2560</v>
      </c>
      <c r="E83" s="107">
        <f>'4637'!E21</f>
        <v>600</v>
      </c>
      <c r="F83" s="103" t="str">
        <f>'4637'!F21</f>
        <v>MARMOL CARRARA BRILLO</v>
      </c>
      <c r="G83" s="30"/>
      <c r="H83" s="10">
        <f>D83*E83/1000000</f>
        <v>1.536</v>
      </c>
      <c r="I83" s="10">
        <f>H83*B83</f>
        <v>1.536</v>
      </c>
      <c r="J83" s="26">
        <f>I83*J$82</f>
        <v>23040</v>
      </c>
      <c r="L83" s="24">
        <v>12096</v>
      </c>
    </row>
    <row r="84" spans="1:12" s="10" customFormat="1" ht="20.100000000000001" customHeight="1" x14ac:dyDescent="0.35">
      <c r="A84" s="137" t="s">
        <v>138</v>
      </c>
      <c r="B84" s="103">
        <f>'4637'!B22</f>
        <v>2</v>
      </c>
      <c r="C84" s="103" t="str">
        <f>'4637'!C22</f>
        <v>PR6</v>
      </c>
      <c r="D84" s="107">
        <f>'4637'!D22</f>
        <v>583</v>
      </c>
      <c r="E84" s="107">
        <f>'4637'!E22</f>
        <v>348</v>
      </c>
      <c r="F84" s="103" t="str">
        <f>'4637'!F22</f>
        <v>VAINILLA 2109 MT</v>
      </c>
      <c r="G84" s="30"/>
      <c r="J84" s="26"/>
      <c r="L84" s="29"/>
    </row>
    <row r="85" spans="1:12" s="10" customFormat="1" ht="20.100000000000001" customHeight="1" x14ac:dyDescent="0.35">
      <c r="A85" s="90"/>
      <c r="B85" s="103">
        <f>'4637'!B23</f>
        <v>6</v>
      </c>
      <c r="C85" s="103" t="str">
        <f>'4637'!C23</f>
        <v>PR6</v>
      </c>
      <c r="D85" s="107">
        <f>'4637'!D23</f>
        <v>798</v>
      </c>
      <c r="E85" s="107">
        <f>'4637'!E23</f>
        <v>421</v>
      </c>
      <c r="F85" s="103" t="str">
        <f>'4637'!F23</f>
        <v>VAINILLA 2109 MT</v>
      </c>
      <c r="G85" s="30"/>
      <c r="J85" s="26"/>
      <c r="L85" s="29"/>
    </row>
    <row r="86" spans="1:12" s="10" customFormat="1" ht="20.100000000000001" customHeight="1" x14ac:dyDescent="0.35">
      <c r="A86" s="90"/>
      <c r="B86" s="103">
        <f>'4637'!B24</f>
        <v>1</v>
      </c>
      <c r="C86" s="103" t="str">
        <f>'4637'!C24</f>
        <v>CENEFA 1V TRASCARA BLANCA</v>
      </c>
      <c r="D86" s="107">
        <f>'4637'!D24</f>
        <v>3000</v>
      </c>
      <c r="E86" s="107">
        <f>'4637'!E24</f>
        <v>60</v>
      </c>
      <c r="F86" s="103" t="str">
        <f>'4637'!F24</f>
        <v>VAINILLA 2109 MT</v>
      </c>
      <c r="G86" s="30"/>
      <c r="J86" s="26"/>
      <c r="L86" s="29"/>
    </row>
    <row r="87" spans="1:12" s="10" customFormat="1" ht="20.100000000000001" customHeight="1" x14ac:dyDescent="0.35">
      <c r="A87" s="90"/>
      <c r="B87" s="103">
        <f>'4637'!B25</f>
        <v>1</v>
      </c>
      <c r="C87" s="103" t="str">
        <f>'4637'!C25</f>
        <v>CENEFA 1V MDF 18MM DESNUDO</v>
      </c>
      <c r="D87" s="107">
        <f>'4637'!D25</f>
        <v>3000</v>
      </c>
      <c r="E87" s="107">
        <f>'4637'!E25</f>
        <v>100</v>
      </c>
      <c r="F87" s="103" t="str">
        <f>'4637'!F25</f>
        <v>VAINILLA 2109 MT</v>
      </c>
      <c r="G87" s="30"/>
      <c r="J87" s="26"/>
      <c r="L87" s="29"/>
    </row>
    <row r="88" spans="1:12" s="10" customFormat="1" ht="20.100000000000001" customHeight="1" x14ac:dyDescent="0.35">
      <c r="A88" s="90"/>
      <c r="B88" s="103">
        <f>'4637'!B26</f>
        <v>1</v>
      </c>
      <c r="C88" s="103" t="str">
        <f>'4637'!C26</f>
        <v>CENEFA 1V MDF 18MM DESNUDO</v>
      </c>
      <c r="D88" s="107">
        <f>'4637'!D26</f>
        <v>1500</v>
      </c>
      <c r="E88" s="107">
        <f>'4637'!E26</f>
        <v>100</v>
      </c>
      <c r="F88" s="103" t="str">
        <f>'4637'!F26</f>
        <v>VAINILLA 2109 MT</v>
      </c>
      <c r="G88" s="30"/>
      <c r="J88" s="26"/>
      <c r="L88" s="29"/>
    </row>
    <row r="89" spans="1:12" s="10" customFormat="1" ht="20.100000000000001" customHeight="1" x14ac:dyDescent="0.35">
      <c r="A89" s="90"/>
      <c r="B89" s="103">
        <f>'4637'!B27</f>
        <v>2</v>
      </c>
      <c r="C89" s="103" t="str">
        <f>'4637'!C27</f>
        <v>PR6</v>
      </c>
      <c r="D89" s="107">
        <f>'4637'!D27</f>
        <v>633</v>
      </c>
      <c r="E89" s="107">
        <f>'4637'!E27</f>
        <v>348</v>
      </c>
      <c r="F89" s="103" t="str">
        <f>'4637'!F27</f>
        <v>GRAFITO 2174 MT</v>
      </c>
      <c r="G89" s="30"/>
      <c r="J89" s="26"/>
      <c r="L89" s="29"/>
    </row>
    <row r="90" spans="1:12" s="10" customFormat="1" ht="20.100000000000001" customHeight="1" x14ac:dyDescent="0.35">
      <c r="A90" s="90"/>
      <c r="B90" s="103">
        <f>'4637'!B28</f>
        <v>1</v>
      </c>
      <c r="C90" s="103" t="str">
        <f>'4637'!C28</f>
        <v>PR6</v>
      </c>
      <c r="D90" s="107">
        <f>'4637'!D28</f>
        <v>698</v>
      </c>
      <c r="E90" s="107">
        <f>'4637'!E28</f>
        <v>398</v>
      </c>
      <c r="F90" s="103" t="str">
        <f>'4637'!F28</f>
        <v>GRAFITO 2174 MT</v>
      </c>
      <c r="G90" s="30"/>
      <c r="J90" s="26"/>
      <c r="L90" s="29"/>
    </row>
    <row r="91" spans="1:12" s="10" customFormat="1" ht="20.100000000000001" customHeight="1" x14ac:dyDescent="0.35">
      <c r="A91" s="90"/>
      <c r="B91" s="103">
        <f>'4637'!B29</f>
        <v>1</v>
      </c>
      <c r="C91" s="138" t="str">
        <f>'4637'!C29</f>
        <v>PR6 FRENTES 1 DE 348, 1 DE 198, 1 DE 145</v>
      </c>
      <c r="D91" s="107">
        <f>'4637'!D29</f>
        <v>698</v>
      </c>
      <c r="E91" s="107">
        <f>'4637'!E29</f>
        <v>598</v>
      </c>
      <c r="F91" s="103" t="str">
        <f>'4637'!F29</f>
        <v>GRAFITO 2174 MT</v>
      </c>
      <c r="G91" s="30"/>
      <c r="J91" s="26"/>
      <c r="L91" s="29"/>
    </row>
    <row r="92" spans="1:12" s="10" customFormat="1" ht="20.100000000000001" customHeight="1" x14ac:dyDescent="0.35">
      <c r="A92" s="90"/>
      <c r="B92" s="103">
        <f>'4637'!B30</f>
        <v>1</v>
      </c>
      <c r="C92" s="103" t="str">
        <f>'4637'!C30</f>
        <v>PR6 FRENTES 1 DE 294, 2 DE 198</v>
      </c>
      <c r="D92" s="107">
        <f>'4637'!D30</f>
        <v>698</v>
      </c>
      <c r="E92" s="107">
        <f>'4637'!E30</f>
        <v>418</v>
      </c>
      <c r="F92" s="103" t="str">
        <f>'4637'!F30</f>
        <v>GRAFITO 2174 MT</v>
      </c>
      <c r="G92" s="30"/>
      <c r="J92" s="26"/>
      <c r="L92" s="29"/>
    </row>
    <row r="93" spans="1:12" s="10" customFormat="1" ht="20.100000000000001" customHeight="1" x14ac:dyDescent="0.35">
      <c r="A93" s="90"/>
      <c r="B93" s="103">
        <f>'4637'!B31</f>
        <v>2</v>
      </c>
      <c r="C93" s="103" t="str">
        <f>'4637'!C31</f>
        <v>PR6</v>
      </c>
      <c r="D93" s="107">
        <f>'4637'!D31</f>
        <v>698</v>
      </c>
      <c r="E93" s="107">
        <f>'4637'!E31</f>
        <v>368</v>
      </c>
      <c r="F93" s="103" t="str">
        <f>'4637'!F31</f>
        <v>GRAFITO 2174 MT</v>
      </c>
      <c r="G93" s="30"/>
      <c r="J93" s="26"/>
      <c r="L93" s="29"/>
    </row>
    <row r="94" spans="1:12" s="10" customFormat="1" ht="20.100000000000001" customHeight="1" x14ac:dyDescent="0.35">
      <c r="A94" s="90"/>
      <c r="B94" s="103">
        <f>'4637'!B32</f>
        <v>1</v>
      </c>
      <c r="C94" s="103" t="str">
        <f>'4637'!C32</f>
        <v>PR6</v>
      </c>
      <c r="D94" s="107">
        <f>'4637'!D32</f>
        <v>698</v>
      </c>
      <c r="E94" s="107">
        <f>'4637'!E32</f>
        <v>378</v>
      </c>
      <c r="F94" s="103" t="str">
        <f>'4637'!F32</f>
        <v>GRAFITO 2174 MT</v>
      </c>
      <c r="G94" s="30"/>
      <c r="J94" s="26"/>
      <c r="L94" s="29"/>
    </row>
    <row r="95" spans="1:12" s="10" customFormat="1" ht="15" customHeight="1" x14ac:dyDescent="0.35">
      <c r="A95" s="90"/>
      <c r="B95" s="73"/>
      <c r="C95" s="73"/>
      <c r="D95" s="73"/>
      <c r="E95" s="73"/>
      <c r="F95" s="73"/>
      <c r="G95" s="30"/>
      <c r="J95" s="26"/>
      <c r="L95" s="29"/>
    </row>
    <row r="96" spans="1:12" s="10" customFormat="1" ht="15" customHeight="1" x14ac:dyDescent="0.35">
      <c r="A96" s="90"/>
      <c r="B96" s="73"/>
      <c r="C96" s="73"/>
      <c r="D96" s="73"/>
      <c r="E96" s="73"/>
      <c r="F96" s="73"/>
      <c r="G96" s="30"/>
    </row>
    <row r="97" spans="1:10" ht="18" x14ac:dyDescent="0.35">
      <c r="A97" s="80"/>
      <c r="B97" s="80"/>
      <c r="C97" s="30"/>
      <c r="D97" s="80"/>
      <c r="E97" s="80"/>
      <c r="F97" s="85"/>
      <c r="G97" s="30"/>
    </row>
    <row r="98" spans="1:10" ht="18" x14ac:dyDescent="0.35">
      <c r="A98" s="80"/>
      <c r="B98" s="80"/>
      <c r="C98" s="30"/>
      <c r="D98" s="80"/>
      <c r="E98" s="80"/>
      <c r="F98" s="80"/>
      <c r="G98" s="30"/>
      <c r="I98" s="10">
        <f>SUM(I83:I83)</f>
        <v>1.536</v>
      </c>
      <c r="J98" s="27">
        <f>SUM(J83:J83)</f>
        <v>23040</v>
      </c>
    </row>
    <row r="99" spans="1:10" ht="18" x14ac:dyDescent="0.35">
      <c r="A99" s="30"/>
      <c r="B99" s="30"/>
      <c r="C99" s="30"/>
      <c r="D99" s="30"/>
      <c r="E99" s="30"/>
      <c r="F99" s="30"/>
      <c r="G99" s="30"/>
    </row>
    <row r="100" spans="1:10" ht="18" x14ac:dyDescent="0.35">
      <c r="A100" s="30"/>
      <c r="B100" s="30"/>
      <c r="C100" s="30"/>
      <c r="D100" s="30"/>
      <c r="E100" s="30"/>
      <c r="F100" s="30"/>
      <c r="G100" s="30"/>
    </row>
    <row r="101" spans="1:10" ht="18" x14ac:dyDescent="0.35">
      <c r="A101" s="30"/>
      <c r="B101" s="30"/>
      <c r="C101" s="30"/>
      <c r="D101" s="30"/>
      <c r="E101" s="30"/>
      <c r="F101" s="30"/>
      <c r="G101" s="30"/>
    </row>
    <row r="102" spans="1:10" ht="15" customHeight="1" x14ac:dyDescent="0.35">
      <c r="A102" s="30"/>
      <c r="B102" s="30"/>
      <c r="C102" s="30"/>
      <c r="D102" s="30"/>
      <c r="E102" s="30"/>
      <c r="F102" s="30"/>
      <c r="G102" s="30"/>
    </row>
    <row r="103" spans="1:10" ht="18" x14ac:dyDescent="0.35">
      <c r="A103" s="30"/>
      <c r="B103" s="30"/>
      <c r="C103" s="30"/>
      <c r="D103" s="30"/>
      <c r="E103" s="30"/>
      <c r="F103" s="30"/>
      <c r="G103" s="30"/>
    </row>
    <row r="104" spans="1:10" ht="18" x14ac:dyDescent="0.35">
      <c r="A104" s="80"/>
      <c r="B104" s="94"/>
      <c r="C104" s="30"/>
      <c r="D104" s="30"/>
      <c r="E104" s="30"/>
      <c r="F104" s="30"/>
      <c r="G104" s="30"/>
    </row>
    <row r="105" spans="1:10" ht="18" x14ac:dyDescent="0.35">
      <c r="A105" s="30"/>
      <c r="B105" s="30"/>
      <c r="C105" s="30"/>
      <c r="D105" s="30"/>
      <c r="E105" s="30"/>
      <c r="F105" s="30"/>
      <c r="G105" s="30"/>
    </row>
    <row r="106" spans="1:10" x14ac:dyDescent="0.3">
      <c r="B106" s="14"/>
      <c r="C106" s="14"/>
      <c r="E106" s="14"/>
      <c r="F106" s="14"/>
    </row>
    <row r="107" spans="1:10" x14ac:dyDescent="0.3">
      <c r="B107" s="14"/>
      <c r="C107" s="14"/>
      <c r="E107" s="14"/>
      <c r="F107" s="14"/>
    </row>
  </sheetData>
  <mergeCells count="6">
    <mergeCell ref="M3:N3"/>
    <mergeCell ref="A30:F30"/>
    <mergeCell ref="A10:F10"/>
    <mergeCell ref="A79:F79"/>
    <mergeCell ref="B81:F81"/>
    <mergeCell ref="K3:L3"/>
  </mergeCells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2024-03-27T16:49:27Z</cp:lastPrinted>
  <dcterms:created xsi:type="dcterms:W3CDTF">2013-03-19T12:54:14Z</dcterms:created>
  <dcterms:modified xsi:type="dcterms:W3CDTF">2024-03-27T17:03:08Z</dcterms:modified>
</cp:coreProperties>
</file>