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9 SEPTIEMBRE 2024\"/>
    </mc:Choice>
  </mc:AlternateContent>
  <xr:revisionPtr revIDLastSave="0" documentId="13_ncr:1_{1C90753F-FBB3-4601-B901-5D1E4E1A30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'4637'!$B$1:$H$43</definedName>
    <definedName name="_xlnm.Print_Area" localSheetId="2">CUBIERTA!$A$45:$G$73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" l="1"/>
  <c r="J16" i="3"/>
  <c r="C16" i="3" s="1"/>
  <c r="K16" i="3"/>
  <c r="E16" i="3" s="1"/>
  <c r="L16" i="3"/>
  <c r="F16" i="3" s="1"/>
  <c r="G17" i="3"/>
  <c r="J17" i="3"/>
  <c r="C17" i="3" s="1"/>
  <c r="K17" i="3"/>
  <c r="E17" i="3" s="1"/>
  <c r="L17" i="3"/>
  <c r="F17" i="3" s="1"/>
  <c r="F15" i="3"/>
  <c r="A16" i="3"/>
  <c r="A17" i="3" s="1"/>
  <c r="A15" i="3"/>
  <c r="J27" i="3"/>
  <c r="C27" i="3" s="1"/>
  <c r="A25" i="3"/>
  <c r="A26" i="3" s="1"/>
  <c r="A27" i="3" s="1"/>
  <c r="C35" i="3"/>
  <c r="J26" i="3" s="1"/>
  <c r="C26" i="3" s="1"/>
  <c r="D35" i="3"/>
  <c r="G26" i="3" s="1"/>
  <c r="E35" i="3"/>
  <c r="K26" i="3" s="1"/>
  <c r="E26" i="3" s="1"/>
  <c r="F35" i="3"/>
  <c r="L26" i="3" s="1"/>
  <c r="G35" i="3"/>
  <c r="C36" i="3"/>
  <c r="D36" i="3"/>
  <c r="G27" i="3" s="1"/>
  <c r="E36" i="3"/>
  <c r="K27" i="3" s="1"/>
  <c r="E27" i="3" s="1"/>
  <c r="F36" i="3"/>
  <c r="L27" i="3" s="1"/>
  <c r="G36" i="3"/>
  <c r="A34" i="3"/>
  <c r="A35" i="3" s="1"/>
  <c r="A36" i="3" s="1"/>
  <c r="C60" i="3"/>
  <c r="D60" i="3"/>
  <c r="E60" i="3"/>
  <c r="F60" i="3"/>
  <c r="G60" i="3"/>
  <c r="C61" i="3"/>
  <c r="D61" i="3"/>
  <c r="E61" i="3"/>
  <c r="F61" i="3"/>
  <c r="G61" i="3"/>
  <c r="A60" i="3"/>
  <c r="A61" i="3" s="1"/>
  <c r="H29" i="4"/>
  <c r="H24" i="4"/>
  <c r="H23" i="4"/>
  <c r="H22" i="4"/>
  <c r="H21" i="4"/>
  <c r="J15" i="3" l="1"/>
  <c r="C15" i="3" s="1"/>
  <c r="H28" i="4" l="1"/>
  <c r="C34" i="3"/>
  <c r="J25" i="3" s="1"/>
  <c r="C25" i="3" s="1"/>
  <c r="D34" i="3"/>
  <c r="G15" i="3" s="1"/>
  <c r="E34" i="3"/>
  <c r="K15" i="3" s="1"/>
  <c r="E15" i="3" s="1"/>
  <c r="F34" i="3"/>
  <c r="L15" i="3" s="1"/>
  <c r="G34" i="3"/>
  <c r="C59" i="3"/>
  <c r="D59" i="3"/>
  <c r="E59" i="3"/>
  <c r="F59" i="3"/>
  <c r="G59" i="3"/>
  <c r="J14" i="3"/>
  <c r="C14" i="3" s="1"/>
  <c r="G25" i="3" l="1"/>
  <c r="L25" i="3"/>
  <c r="K25" i="3"/>
  <c r="E25" i="3" s="1"/>
  <c r="D58" i="3"/>
  <c r="L21" i="4" l="1"/>
  <c r="K21" i="4"/>
  <c r="M21" i="4" l="1"/>
  <c r="N21" i="4" s="1"/>
  <c r="C33" i="3" l="1"/>
  <c r="J24" i="3" s="1"/>
  <c r="C24" i="3" s="1"/>
  <c r="D33" i="3"/>
  <c r="G24" i="3" s="1"/>
  <c r="E33" i="3"/>
  <c r="F33" i="3"/>
  <c r="L24" i="3" s="1"/>
  <c r="G33" i="3"/>
  <c r="C58" i="3"/>
  <c r="E58" i="3"/>
  <c r="F58" i="3"/>
  <c r="G58" i="3"/>
  <c r="I33" i="3" l="1"/>
  <c r="J33" i="3" s="1"/>
  <c r="K24" i="3"/>
  <c r="E24" i="3" s="1"/>
  <c r="I58" i="3"/>
  <c r="J58" i="3" s="1"/>
  <c r="K14" i="3"/>
  <c r="E14" i="3" s="1"/>
  <c r="G14" i="3"/>
  <c r="L14" i="3"/>
  <c r="F14" i="3" s="1"/>
  <c r="J39" i="3" l="1"/>
  <c r="K58" i="3"/>
  <c r="J65" i="3"/>
  <c r="H30" i="4"/>
  <c r="O5" i="3"/>
  <c r="K65" i="3" l="1"/>
  <c r="N5" i="3"/>
  <c r="M5" i="3"/>
  <c r="L5" i="3"/>
  <c r="D51" i="3" l="1"/>
  <c r="D7" i="3"/>
  <c r="E49" i="3"/>
  <c r="E5" i="3"/>
  <c r="E51" i="3"/>
  <c r="E7" i="3"/>
  <c r="E48" i="3"/>
  <c r="E4" i="3"/>
</calcChain>
</file>

<file path=xl/sharedStrings.xml><?xml version="1.0" encoding="utf-8"?>
<sst xmlns="http://schemas.openxmlformats.org/spreadsheetml/2006/main" count="261" uniqueCount="144">
  <si>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</si>
  <si>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</si>
  <si>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</si>
  <si>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</si>
  <si>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</si>
  <si>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</si>
  <si>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</si>
  <si>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</si>
  <si>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</si>
  <si>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</si>
  <si>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</si>
  <si>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</si>
  <si>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</si>
  <si>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</si>
  <si>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</si>
  <si>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</si>
  <si>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</si>
  <si>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</si>
  <si>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</si>
  <si>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</si>
  <si>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</si>
  <si>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</si>
  <si>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</si>
  <si>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</si>
  <si>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</si>
  <si>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</si>
  <si>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</si>
  <si>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</si>
  <si>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</si>
  <si>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</si>
  <si>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</si>
  <si>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</si>
  <si>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</si>
  <si>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</si>
  <si>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</si>
  <si>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</si>
  <si>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</si>
  <si>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</si>
  <si>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</si>
  <si>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</si>
  <si>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</si>
  <si>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</si>
  <si>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</si>
  <si>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</si>
  <si>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</si>
  <si>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</si>
  <si>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</si>
  <si>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</si>
  <si>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</si>
  <si>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</si>
  <si>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</si>
  <si>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</si>
  <si>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</si>
  <si>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</si>
  <si>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</si>
  <si>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</si>
  <si>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</si>
  <si>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</si>
  <si>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</si>
  <si>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</si>
  <si>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</si>
  <si>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</si>
  <si>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</si>
  <si>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</si>
  <si>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</si>
  <si>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</si>
  <si>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</si>
  <si>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</si>
  <si>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</si>
  <si>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</si>
  <si>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</si>
  <si>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</si>
  <si>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</si>
  <si>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</si>
  <si>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</si>
  <si>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</si>
  <si>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</si>
  <si>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</si>
  <si>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</si>
  <si>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</si>
  <si>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</si>
  <si>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</si>
  <si>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</si>
  <si>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</si>
  <si>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</si>
  <si>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</si>
  <si>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</si>
  <si>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</si>
  <si>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</si>
  <si>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</si>
  <si>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</si>
  <si>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</si>
  <si>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</si>
  <si>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</si>
  <si>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</si>
  <si>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</si>
  <si>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</si>
  <si>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</si>
  <si>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</si>
  <si>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</si>
  <si>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</si>
  <si>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</si>
  <si>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</si>
  <si>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</si>
  <si>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</si>
  <si>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</si>
  <si>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</si>
  <si>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</si>
  <si>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</si>
  <si>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</si>
  <si>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</si>
  <si>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</si>
  <si>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</si>
  <si>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</si>
  <si>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</si>
  <si>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</si>
  <si>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</si>
  <si>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</si>
  <si>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</si>
  <si>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</si>
  <si>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</si>
  <si>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</si>
  <si>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</si>
  <si>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</si>
  <si>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</si>
  <si>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</si>
  <si>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</si>
  <si>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</si>
  <si>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</si>
  <si>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</si>
  <si>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</si>
  <si>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</si>
  <si>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</si>
  <si>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</si>
  <si>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</si>
  <si>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</si>
  <si>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RANCAGUA</t>
  </si>
  <si>
    <t>CUB C/R R8</t>
  </si>
  <si>
    <t>MDF18MM</t>
  </si>
  <si>
    <t>+569 9844 0365</t>
  </si>
  <si>
    <t>ALEJANDRO RODRIGUEZ</t>
  </si>
  <si>
    <t>BLANCO MERINO 22191 SF</t>
  </si>
  <si>
    <t>IVA</t>
  </si>
  <si>
    <t>CORTAR RESPALDO A 4CMS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</si>
</sst>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9" fillId="0" borderId="0" xfId="2" quotePrefix="1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26</xdr:row>
      <xdr:rowOff>0</xdr:rowOff>
    </xdr:from>
    <xdr:to>
      <xdr:col>5</xdr:col>
      <xdr:colOff>1555102</xdr:colOff>
      <xdr:row>29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$ 200.000.-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38</xdr:row>
      <xdr:rowOff>0</xdr:rowOff>
    </xdr:from>
    <xdr:to>
      <xdr:col>4</xdr:col>
      <xdr:colOff>369336</xdr:colOff>
      <xdr:row>38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40</xdr:row>
      <xdr:rowOff>1</xdr:rowOff>
    </xdr:from>
    <xdr:to>
      <xdr:col>4</xdr:col>
      <xdr:colOff>349897</xdr:colOff>
      <xdr:row>40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52</xdr:row>
      <xdr:rowOff>190500</xdr:rowOff>
    </xdr:from>
    <xdr:to>
      <xdr:col>7</xdr:col>
      <xdr:colOff>9524</xdr:colOff>
      <xdr:row>54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49</xdr:row>
      <xdr:rowOff>30479</xdr:rowOff>
    </xdr:from>
    <xdr:to>
      <xdr:col>6</xdr:col>
      <xdr:colOff>2912745</xdr:colOff>
      <xdr:row>50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47</xdr:row>
      <xdr:rowOff>209549</xdr:rowOff>
    </xdr:from>
    <xdr:to>
      <xdr:col>7</xdr:col>
      <xdr:colOff>0</xdr:colOff>
      <xdr:row>49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171450</xdr:rowOff>
    </xdr:from>
    <xdr:to>
      <xdr:col>7</xdr:col>
      <xdr:colOff>19050</xdr:colOff>
      <xdr:row>47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63</xdr:row>
      <xdr:rowOff>0</xdr:rowOff>
    </xdr:from>
    <xdr:to>
      <xdr:col>3</xdr:col>
      <xdr:colOff>1019175</xdr:colOff>
      <xdr:row>64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63</xdr:row>
      <xdr:rowOff>0</xdr:rowOff>
    </xdr:from>
    <xdr:to>
      <xdr:col>4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63</xdr:row>
      <xdr:rowOff>0</xdr:rowOff>
    </xdr:from>
    <xdr:to>
      <xdr:col>5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63</xdr:row>
      <xdr:rowOff>0</xdr:rowOff>
    </xdr:from>
    <xdr:to>
      <xdr:col>6</xdr:col>
      <xdr:colOff>447675</xdr:colOff>
      <xdr:row>64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63</xdr:row>
      <xdr:rowOff>0</xdr:rowOff>
    </xdr:from>
    <xdr:to>
      <xdr:col>7</xdr:col>
      <xdr:colOff>0</xdr:colOff>
      <xdr:row>64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64</xdr:row>
      <xdr:rowOff>0</xdr:rowOff>
    </xdr:from>
    <xdr:to>
      <xdr:col>3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64</xdr:row>
      <xdr:rowOff>0</xdr:rowOff>
    </xdr:from>
    <xdr:to>
      <xdr:col>4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64</xdr:row>
      <xdr:rowOff>0</xdr:rowOff>
    </xdr:from>
    <xdr:to>
      <xdr:col>5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64</xdr:row>
      <xdr:rowOff>0</xdr:rowOff>
    </xdr:from>
    <xdr:to>
      <xdr:col>6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64</xdr:row>
      <xdr:rowOff>0</xdr:rowOff>
    </xdr:from>
    <xdr:to>
      <xdr:col>7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38</xdr:row>
      <xdr:rowOff>15239</xdr:rowOff>
    </xdr:from>
    <xdr:to>
      <xdr:col>7</xdr:col>
      <xdr:colOff>0</xdr:colOff>
      <xdr:row>42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29</xdr:row>
      <xdr:rowOff>1</xdr:rowOff>
    </xdr:from>
    <xdr:to>
      <xdr:col>7</xdr:col>
      <xdr:colOff>19048</xdr:colOff>
      <xdr:row>30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66</xdr:row>
      <xdr:rowOff>32385</xdr:rowOff>
    </xdr:from>
    <xdr:to>
      <xdr:col>7</xdr:col>
      <xdr:colOff>0</xdr:colOff>
      <xdr:row>70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46</xdr:row>
      <xdr:rowOff>146685</xdr:rowOff>
    </xdr:from>
    <xdr:to>
      <xdr:col>2</xdr:col>
      <xdr:colOff>786523</xdr:colOff>
      <xdr:row>52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304800</xdr:colOff>
      <xdr:row>73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topLeftCell="A4" zoomScale="98" zoomScaleNormal="98" workbookViewId="0">
      <selection activeCell="I22" sqref="I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11098</v>
      </c>
      <c r="E8" s="30">
        <v>0</v>
      </c>
      <c r="F8" s="35" t="s">
        <v>25</v>
      </c>
      <c r="G8" s="36">
        <v>4117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45559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45563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7" t="s">
        <v>139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136</v>
      </c>
      <c r="D16" s="56"/>
      <c r="E16" s="57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8" t="s">
        <v>128</v>
      </c>
      <c r="C20" s="107" t="s">
        <v>19</v>
      </c>
      <c r="D20" s="107" t="s">
        <v>20</v>
      </c>
      <c r="E20" s="107" t="s">
        <v>7</v>
      </c>
      <c r="F20" s="108" t="s">
        <v>21</v>
      </c>
      <c r="G20" s="109" t="s">
        <v>22</v>
      </c>
      <c r="H20" s="108" t="s">
        <v>4</v>
      </c>
      <c r="I20" s="30"/>
      <c r="N20">
        <v>65000</v>
      </c>
    </row>
    <row r="21" spans="1:16" ht="20.100000000000001" customHeight="1" x14ac:dyDescent="0.35">
      <c r="A21" s="30"/>
      <c r="B21" s="118">
        <v>1</v>
      </c>
      <c r="C21" s="118" t="s">
        <v>137</v>
      </c>
      <c r="D21" s="119">
        <v>2100</v>
      </c>
      <c r="E21" s="119">
        <v>600</v>
      </c>
      <c r="F21" s="118" t="s">
        <v>141</v>
      </c>
      <c r="G21" s="120">
        <v>106955</v>
      </c>
      <c r="H21" s="120">
        <f>G21*B21</f>
        <v>106955</v>
      </c>
      <c r="I21" s="30"/>
      <c r="K21" s="11">
        <f>D21/1000</f>
        <v>2.1</v>
      </c>
      <c r="L21" s="15">
        <f>E21/1000</f>
        <v>0.6</v>
      </c>
      <c r="M21" s="11">
        <f>K21*L21</f>
        <v>1.26</v>
      </c>
      <c r="N21" s="11">
        <f>M21*N$20</f>
        <v>81900</v>
      </c>
      <c r="O21" s="15"/>
      <c r="P21" s="21"/>
    </row>
    <row r="22" spans="1:16" ht="20.100000000000001" customHeight="1" x14ac:dyDescent="0.35">
      <c r="A22" s="30"/>
      <c r="B22" s="118">
        <v>1</v>
      </c>
      <c r="C22" s="118" t="s">
        <v>137</v>
      </c>
      <c r="D22" s="119">
        <v>1350</v>
      </c>
      <c r="E22" s="119">
        <v>600</v>
      </c>
      <c r="F22" s="118" t="s">
        <v>141</v>
      </c>
      <c r="G22" s="120">
        <v>70691</v>
      </c>
      <c r="H22" s="120">
        <f t="shared" ref="H22:H24" si="0">G22*B22</f>
        <v>70691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18">
        <v>1</v>
      </c>
      <c r="C23" s="118" t="s">
        <v>137</v>
      </c>
      <c r="D23" s="119">
        <v>2900</v>
      </c>
      <c r="E23" s="119">
        <v>500</v>
      </c>
      <c r="F23" s="118" t="s">
        <v>141</v>
      </c>
      <c r="G23" s="120">
        <v>87907</v>
      </c>
      <c r="H23" s="120">
        <f t="shared" si="0"/>
        <v>87907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18">
        <v>1</v>
      </c>
      <c r="C24" s="118" t="s">
        <v>137</v>
      </c>
      <c r="D24" s="119">
        <v>1350</v>
      </c>
      <c r="E24" s="119">
        <v>500</v>
      </c>
      <c r="F24" s="118" t="s">
        <v>141</v>
      </c>
      <c r="G24" s="120">
        <v>43295</v>
      </c>
      <c r="H24" s="120">
        <f t="shared" si="0"/>
        <v>43295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35"/>
      <c r="C25" s="135"/>
      <c r="D25" s="136"/>
      <c r="E25" s="136"/>
      <c r="F25" s="135"/>
      <c r="G25" s="104"/>
      <c r="H25" s="104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15"/>
      <c r="C26" s="115"/>
      <c r="D26" s="116"/>
      <c r="E26" s="116"/>
      <c r="F26" s="115"/>
      <c r="G26" s="104"/>
      <c r="H26" s="104"/>
      <c r="I26" s="30"/>
      <c r="K26" s="11"/>
      <c r="L26" s="15"/>
      <c r="M26" s="11"/>
      <c r="N26" s="11"/>
      <c r="O26" s="15"/>
      <c r="P26" s="21"/>
    </row>
    <row r="27" spans="1:16" ht="13.2" customHeight="1" thickBot="1" x14ac:dyDescent="0.4">
      <c r="A27" s="30"/>
      <c r="B27" s="60"/>
      <c r="C27" s="60"/>
      <c r="D27" s="60"/>
      <c r="E27" s="60"/>
      <c r="F27" s="60"/>
      <c r="G27" s="59"/>
      <c r="H27" s="59"/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G28" s="61" t="s">
        <v>5</v>
      </c>
      <c r="H28" s="62">
        <f>SUM(H21:H27)</f>
        <v>308848</v>
      </c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G29" s="63" t="s">
        <v>142</v>
      </c>
      <c r="H29" s="64">
        <f>H28*19%</f>
        <v>58681.120000000003</v>
      </c>
      <c r="I29" s="30"/>
    </row>
    <row r="30" spans="1:16" ht="20.100000000000001" customHeight="1" thickBot="1" x14ac:dyDescent="0.4">
      <c r="A30" s="30"/>
      <c r="B30" s="30"/>
      <c r="C30" s="30"/>
      <c r="D30" s="30"/>
      <c r="E30" s="30"/>
      <c r="F30" s="30"/>
      <c r="G30" s="65" t="s">
        <v>4</v>
      </c>
      <c r="H30" s="66">
        <f>H28+H29</f>
        <v>367529.12</v>
      </c>
      <c r="I30" s="30"/>
    </row>
    <row r="31" spans="1:16" ht="20.100000000000001" customHeight="1" x14ac:dyDescent="0.35">
      <c r="A31" s="30"/>
      <c r="B31" s="30"/>
      <c r="C31" s="30"/>
      <c r="D31" s="30"/>
      <c r="E31" s="30"/>
      <c r="F31" s="30"/>
      <c r="G31" s="67"/>
      <c r="H31" s="68"/>
      <c r="I31" s="30"/>
    </row>
    <row r="32" spans="1:16" ht="18" x14ac:dyDescent="0.35">
      <c r="A32" s="30"/>
      <c r="B32" s="30"/>
      <c r="C32" s="30"/>
      <c r="D32" s="30"/>
      <c r="E32" s="30"/>
      <c r="F32" s="30"/>
      <c r="G32" s="30"/>
      <c r="H32" s="30"/>
      <c r="I32" s="30"/>
    </row>
    <row r="33" spans="1:9" ht="18" x14ac:dyDescent="0.35">
      <c r="A33" s="30"/>
      <c r="B33" s="69" t="s">
        <v>133</v>
      </c>
      <c r="C33" s="70"/>
      <c r="D33" s="71"/>
      <c r="E33" s="71"/>
      <c r="F33" s="60"/>
      <c r="G33" s="30"/>
      <c r="H33" s="30"/>
      <c r="I33" s="30"/>
    </row>
    <row r="34" spans="1:9" ht="18" x14ac:dyDescent="0.35">
      <c r="A34" s="30"/>
      <c r="B34" s="69" t="s">
        <v>119</v>
      </c>
      <c r="C34" s="70"/>
      <c r="D34" s="71"/>
      <c r="E34" s="71"/>
      <c r="F34" s="60"/>
      <c r="G34" s="30"/>
      <c r="H34" s="30"/>
      <c r="I34" s="30"/>
    </row>
    <row r="35" spans="1:9" ht="18" x14ac:dyDescent="0.35">
      <c r="A35" s="30"/>
      <c r="B35" s="30" t="s">
        <v>23</v>
      </c>
      <c r="C35" s="30"/>
      <c r="D35" s="30"/>
      <c r="E35" s="30"/>
      <c r="F35" s="30"/>
      <c r="G35" s="30"/>
      <c r="H35" s="30"/>
      <c r="I35" s="30"/>
    </row>
    <row r="36" spans="1:9" ht="18" x14ac:dyDescent="0.35">
      <c r="A36" s="30"/>
      <c r="B36" s="72" t="s">
        <v>24</v>
      </c>
      <c r="C36" s="72"/>
      <c r="D36" s="30"/>
      <c r="E36" s="30"/>
      <c r="F36" s="30"/>
      <c r="G36" s="30"/>
      <c r="H36" s="30"/>
      <c r="I36" s="30"/>
    </row>
    <row r="37" spans="1:9" ht="18" x14ac:dyDescent="0.35">
      <c r="A37" s="30"/>
      <c r="B37" s="30"/>
      <c r="C37" s="30"/>
      <c r="D37" s="30"/>
      <c r="E37" s="72"/>
      <c r="F37" s="30"/>
      <c r="G37" s="30"/>
      <c r="H37" s="30"/>
      <c r="I37" s="30"/>
    </row>
    <row r="38" spans="1:9" ht="18" x14ac:dyDescent="0.35">
      <c r="A38" s="30"/>
      <c r="B38" s="31" t="s">
        <v>131</v>
      </c>
      <c r="C38" s="31"/>
      <c r="D38" s="31"/>
      <c r="E38" s="73"/>
      <c r="F38" s="30"/>
      <c r="G38" s="30"/>
      <c r="H38" s="30"/>
      <c r="I38" s="30"/>
    </row>
    <row r="39" spans="1:9" ht="18" x14ac:dyDescent="0.35">
      <c r="A39" s="30"/>
      <c r="B39" s="31"/>
      <c r="C39" s="31"/>
      <c r="D39" s="31"/>
      <c r="E39" s="73"/>
      <c r="F39" s="30"/>
      <c r="G39" s="30"/>
      <c r="H39" s="30"/>
      <c r="I39" s="30"/>
    </row>
    <row r="40" spans="1:9" ht="18" x14ac:dyDescent="0.35">
      <c r="A40" s="30"/>
      <c r="B40" s="31" t="s">
        <v>132</v>
      </c>
      <c r="C40" s="30"/>
      <c r="D40" s="30"/>
      <c r="E40" s="72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72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30"/>
      <c r="F43" s="30"/>
      <c r="G43" s="30"/>
      <c r="H43" s="30"/>
      <c r="I43" s="30"/>
    </row>
    <row r="44" spans="1:9" ht="15.6" x14ac:dyDescent="0.3">
      <c r="C44" s="1"/>
    </row>
  </sheetData>
  <sortState xmlns:xlrd2="http://schemas.microsoft.com/office/spreadsheetml/2017/richdata2" ref="B45">
    <sortCondition sortBy="fontColor" ref="B45" dxfId="0"/>
  </sortState>
  <mergeCells count="2">
    <mergeCell ref="F16:H16"/>
    <mergeCell ref="B19:H19"/>
  </mergeCells>
  <phoneticPr fontId="8" type="noConversion"/>
  <hyperlinks>
    <hyperlink ref="B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4"/>
  <sheetViews>
    <sheetView tabSelected="1" zoomScaleNormal="100" workbookViewId="0">
      <selection activeCell="H21" sqref="H2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5" t="s">
        <v>25</v>
      </c>
      <c r="E4" s="76">
        <f>'4637'!G8</f>
        <v>4117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ALEJANDRO RODRIGUEZ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45563</v>
      </c>
      <c r="F7" s="30"/>
      <c r="G7" s="30" t="s">
        <v>135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2">
        <v>1</v>
      </c>
      <c r="B14" s="103" t="s">
        <v>138</v>
      </c>
      <c r="C14" s="95">
        <f>J14</f>
        <v>1</v>
      </c>
      <c r="D14" s="97" t="s">
        <v>143</v>
      </c>
      <c r="E14" s="95">
        <f>K14+E$13</f>
        <v>2150</v>
      </c>
      <c r="F14" s="95">
        <f>L14+F$13</f>
        <v>570</v>
      </c>
      <c r="G14" s="95" t="str">
        <f>D33</f>
        <v>CUB C/R R8</v>
      </c>
      <c r="H14" s="30"/>
      <c r="J14" s="3">
        <f>'4637'!B21</f>
        <v>1</v>
      </c>
      <c r="K14" s="4">
        <f t="shared" ref="K14:L14" si="0">E33</f>
        <v>2100</v>
      </c>
      <c r="L14" s="4">
        <f t="shared" si="0"/>
        <v>600</v>
      </c>
    </row>
    <row r="15" spans="1:15" ht="18" x14ac:dyDescent="0.35">
      <c r="A15" s="112">
        <f>A14+1</f>
        <v>2</v>
      </c>
      <c r="B15" s="103"/>
      <c r="C15" s="95">
        <f t="shared" ref="C15" si="1">J15</f>
        <v>1</v>
      </c>
      <c r="D15" s="97" t="s">
        <v>143</v>
      </c>
      <c r="E15" s="95">
        <f t="shared" ref="E15" si="2">K15+E$13</f>
        <v>1400</v>
      </c>
      <c r="F15" s="95">
        <f>L15+F$13</f>
        <v>570</v>
      </c>
      <c r="G15" s="95" t="str">
        <f>D34</f>
        <v>CUB C/R R8</v>
      </c>
      <c r="H15" s="30"/>
      <c r="J15" s="3">
        <f>'4637'!B22</f>
        <v>1</v>
      </c>
      <c r="K15" s="4">
        <f>E34</f>
        <v>1350</v>
      </c>
      <c r="L15" s="4">
        <f>F34</f>
        <v>600</v>
      </c>
    </row>
    <row r="16" spans="1:15" ht="18" x14ac:dyDescent="0.35">
      <c r="A16" s="112">
        <f t="shared" ref="A16:A17" si="3">A15+1</f>
        <v>3</v>
      </c>
      <c r="B16" s="103"/>
      <c r="C16" s="95">
        <f t="shared" ref="C16:C17" si="4">J16</f>
        <v>1</v>
      </c>
      <c r="D16" s="97" t="s">
        <v>143</v>
      </c>
      <c r="E16" s="95">
        <f t="shared" ref="E16:E17" si="5">K16+E$13</f>
        <v>2950</v>
      </c>
      <c r="F16" s="95">
        <f t="shared" ref="F16:F17" si="6">L16+F$13</f>
        <v>470</v>
      </c>
      <c r="G16" s="95" t="str">
        <f t="shared" ref="G16:G17" si="7">D35</f>
        <v>CUB C/R R8</v>
      </c>
      <c r="H16" s="30"/>
      <c r="J16" s="3">
        <f>'4637'!B23</f>
        <v>1</v>
      </c>
      <c r="K16" s="4">
        <f t="shared" ref="K16:L16" si="8">E35</f>
        <v>2900</v>
      </c>
      <c r="L16" s="4">
        <f t="shared" si="8"/>
        <v>500</v>
      </c>
    </row>
    <row r="17" spans="1:12" ht="18" x14ac:dyDescent="0.35">
      <c r="A17" s="112">
        <f t="shared" si="3"/>
        <v>4</v>
      </c>
      <c r="B17" s="103"/>
      <c r="C17" s="95">
        <f t="shared" si="4"/>
        <v>1</v>
      </c>
      <c r="D17" s="97" t="s">
        <v>143</v>
      </c>
      <c r="E17" s="95">
        <f t="shared" si="5"/>
        <v>1400</v>
      </c>
      <c r="F17" s="95">
        <f t="shared" si="6"/>
        <v>470</v>
      </c>
      <c r="G17" s="95" t="str">
        <f t="shared" si="7"/>
        <v>CUB C/R R8</v>
      </c>
      <c r="H17" s="30"/>
      <c r="J17" s="3">
        <f>'4637'!B24</f>
        <v>1</v>
      </c>
      <c r="K17" s="4">
        <f t="shared" ref="K17:L17" si="9">E36</f>
        <v>1350</v>
      </c>
      <c r="L17" s="4">
        <f t="shared" si="9"/>
        <v>500</v>
      </c>
    </row>
    <row r="18" spans="1:12" ht="18" x14ac:dyDescent="0.35">
      <c r="A18" s="2"/>
      <c r="B18" s="84"/>
      <c r="C18" s="74"/>
      <c r="D18" s="74"/>
      <c r="E18" s="74"/>
      <c r="F18" s="74"/>
      <c r="G18" s="74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29" t="s">
        <v>13</v>
      </c>
      <c r="C20" s="129"/>
      <c r="D20" s="129"/>
      <c r="E20" s="129"/>
      <c r="F20" s="129"/>
      <c r="G20" s="129"/>
      <c r="H20" s="30"/>
    </row>
    <row r="21" spans="1:12" ht="10.5" customHeight="1" x14ac:dyDescent="0.35">
      <c r="A21" s="2"/>
      <c r="B21" s="30"/>
      <c r="C21" s="30"/>
      <c r="D21" s="92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7" t="s">
        <v>6</v>
      </c>
      <c r="F22" s="67" t="s">
        <v>7</v>
      </c>
      <c r="G22" s="30"/>
      <c r="H22" s="30"/>
    </row>
    <row r="23" spans="1:12" ht="18" x14ac:dyDescent="0.35">
      <c r="A23" s="2"/>
      <c r="B23" s="67" t="s">
        <v>8</v>
      </c>
      <c r="C23" s="83" t="s">
        <v>9</v>
      </c>
      <c r="D23" s="83" t="s">
        <v>10</v>
      </c>
      <c r="E23" s="96">
        <v>40</v>
      </c>
      <c r="F23" s="96">
        <v>110</v>
      </c>
      <c r="G23" s="83" t="s">
        <v>107</v>
      </c>
      <c r="H23" s="30"/>
      <c r="K23" s="5" t="s">
        <v>6</v>
      </c>
      <c r="L23" s="5" t="s">
        <v>7</v>
      </c>
    </row>
    <row r="24" spans="1:12" ht="18" x14ac:dyDescent="0.35">
      <c r="A24" s="112">
        <v>1</v>
      </c>
      <c r="B24" s="103"/>
      <c r="C24" s="97">
        <f t="shared" ref="C24" si="10">J24</f>
        <v>1</v>
      </c>
      <c r="D24" s="97" t="s">
        <v>143</v>
      </c>
      <c r="E24" s="97">
        <f>K24+E$23</f>
        <v>2140</v>
      </c>
      <c r="F24" s="97">
        <v>730</v>
      </c>
      <c r="G24" s="97" t="str">
        <f>D33</f>
        <v>CUB C/R R8</v>
      </c>
      <c r="H24" s="30"/>
      <c r="J24" s="3">
        <f>C33</f>
        <v>1</v>
      </c>
      <c r="K24" s="106">
        <f>E33</f>
        <v>2100</v>
      </c>
      <c r="L24" s="106">
        <f>F33</f>
        <v>600</v>
      </c>
    </row>
    <row r="25" spans="1:12" ht="18" x14ac:dyDescent="0.35">
      <c r="A25" s="112">
        <f>A24+1</f>
        <v>2</v>
      </c>
      <c r="B25" s="103"/>
      <c r="C25" s="97">
        <f t="shared" ref="C25" si="11">J25</f>
        <v>1</v>
      </c>
      <c r="D25" s="97" t="s">
        <v>143</v>
      </c>
      <c r="E25" s="97">
        <f>K25+E$23</f>
        <v>1390</v>
      </c>
      <c r="F25" s="97">
        <v>730</v>
      </c>
      <c r="G25" s="97" t="str">
        <f>D34</f>
        <v>CUB C/R R8</v>
      </c>
      <c r="H25" s="30"/>
      <c r="J25" s="3">
        <f t="shared" ref="J25" si="12">C34</f>
        <v>1</v>
      </c>
      <c r="K25" s="105">
        <f t="shared" ref="K25:L25" si="13">E34</f>
        <v>1350</v>
      </c>
      <c r="L25" s="105">
        <f t="shared" si="13"/>
        <v>600</v>
      </c>
    </row>
    <row r="26" spans="1:12" ht="18" x14ac:dyDescent="0.35">
      <c r="A26" s="112">
        <f t="shared" ref="A26:A27" si="14">A25+1</f>
        <v>3</v>
      </c>
      <c r="B26" s="103"/>
      <c r="C26" s="97">
        <f t="shared" ref="C26:C27" si="15">J26</f>
        <v>1</v>
      </c>
      <c r="D26" s="97" t="s">
        <v>143</v>
      </c>
      <c r="E26" s="97">
        <f t="shared" ref="E26:E27" si="16">K26+E$23</f>
        <v>2940</v>
      </c>
      <c r="F26" s="97">
        <v>610</v>
      </c>
      <c r="G26" s="97" t="str">
        <f t="shared" ref="G26:G27" si="17">D35</f>
        <v>CUB C/R R8</v>
      </c>
      <c r="H26" s="30"/>
      <c r="J26" s="3">
        <f t="shared" ref="J26:J27" si="18">C35</f>
        <v>1</v>
      </c>
      <c r="K26" s="105">
        <f t="shared" ref="K26:K27" si="19">E35</f>
        <v>2900</v>
      </c>
      <c r="L26" s="105">
        <f t="shared" ref="L26:L27" si="20">F35</f>
        <v>500</v>
      </c>
    </row>
    <row r="27" spans="1:12" ht="18" x14ac:dyDescent="0.35">
      <c r="A27" s="112">
        <f t="shared" si="14"/>
        <v>4</v>
      </c>
      <c r="B27" s="103"/>
      <c r="C27" s="97">
        <f t="shared" si="15"/>
        <v>1</v>
      </c>
      <c r="D27" s="97" t="s">
        <v>143</v>
      </c>
      <c r="E27" s="97">
        <f t="shared" si="16"/>
        <v>1390</v>
      </c>
      <c r="F27" s="97">
        <v>610</v>
      </c>
      <c r="G27" s="97" t="str">
        <f t="shared" si="17"/>
        <v>CUB C/R R8</v>
      </c>
      <c r="H27" s="30"/>
      <c r="J27" s="3">
        <f t="shared" si="18"/>
        <v>1</v>
      </c>
      <c r="K27" s="105">
        <f t="shared" si="19"/>
        <v>1350</v>
      </c>
      <c r="L27" s="105">
        <f t="shared" si="20"/>
        <v>500</v>
      </c>
    </row>
    <row r="28" spans="1:12" ht="18" x14ac:dyDescent="0.35">
      <c r="A28" s="112"/>
      <c r="B28" s="103"/>
      <c r="C28" s="74"/>
      <c r="D28" s="74"/>
      <c r="E28" s="74"/>
      <c r="F28" s="74"/>
      <c r="G28" s="74"/>
      <c r="H28" s="30"/>
      <c r="J28" s="23"/>
      <c r="K28" s="114"/>
      <c r="L28" s="114"/>
    </row>
    <row r="29" spans="1:12" ht="18.600000000000001" thickBot="1" x14ac:dyDescent="0.4">
      <c r="A29" s="2"/>
      <c r="B29" s="84"/>
      <c r="C29" s="74"/>
      <c r="D29" s="74"/>
      <c r="E29" s="74"/>
      <c r="F29" s="74"/>
      <c r="G29" s="74"/>
      <c r="H29" s="30"/>
      <c r="I29" s="110"/>
      <c r="J29" s="111"/>
      <c r="K29" s="111"/>
      <c r="L29" s="111"/>
    </row>
    <row r="30" spans="1:12" ht="18.600000000000001" thickBot="1" x14ac:dyDescent="0.4">
      <c r="A30" s="2"/>
      <c r="B30" s="67"/>
      <c r="C30" s="98" t="s">
        <v>104</v>
      </c>
      <c r="D30" s="33"/>
      <c r="E30" s="33"/>
      <c r="F30" s="33"/>
      <c r="G30" s="99"/>
      <c r="H30" s="30"/>
      <c r="J30" s="2"/>
      <c r="K30" s="2"/>
      <c r="L30" s="2"/>
    </row>
    <row r="31" spans="1:12" ht="10.5" customHeight="1" x14ac:dyDescent="0.35">
      <c r="A31" s="2"/>
      <c r="B31" s="30"/>
      <c r="C31" s="30"/>
      <c r="D31" s="30"/>
      <c r="E31" s="30"/>
      <c r="F31" s="30"/>
      <c r="G31" s="30"/>
      <c r="H31" s="30"/>
    </row>
    <row r="32" spans="1:12" ht="18" x14ac:dyDescent="0.35">
      <c r="A32" s="2"/>
      <c r="B32" s="67" t="s">
        <v>8</v>
      </c>
      <c r="C32" s="100" t="s">
        <v>9</v>
      </c>
      <c r="D32" s="100" t="s">
        <v>107</v>
      </c>
      <c r="E32" s="100" t="s">
        <v>6</v>
      </c>
      <c r="F32" s="100" t="s">
        <v>7</v>
      </c>
      <c r="G32" s="100" t="s">
        <v>21</v>
      </c>
      <c r="H32" s="30"/>
    </row>
    <row r="33" spans="1:10" ht="18" x14ac:dyDescent="0.35">
      <c r="A33" s="112">
        <v>1</v>
      </c>
      <c r="B33" s="103" t="s">
        <v>138</v>
      </c>
      <c r="C33" s="95">
        <f>'4637'!B21</f>
        <v>1</v>
      </c>
      <c r="D33" s="95" t="str">
        <f>'4637'!C21</f>
        <v>CUB C/R R8</v>
      </c>
      <c r="E33" s="95">
        <f>'4637'!D21</f>
        <v>2100</v>
      </c>
      <c r="F33" s="95">
        <f>'4637'!E21</f>
        <v>600</v>
      </c>
      <c r="G33" s="95" t="str">
        <f>'4637'!F21</f>
        <v>BLANCO MERINO 22191 SF</v>
      </c>
      <c r="H33" s="30"/>
      <c r="I33" s="28">
        <f>E33*F33/1000000</f>
        <v>1.26</v>
      </c>
      <c r="J33" s="28">
        <f>I33*C33</f>
        <v>1.26</v>
      </c>
    </row>
    <row r="34" spans="1:10" ht="18" x14ac:dyDescent="0.35">
      <c r="A34" s="112">
        <f>A33+1</f>
        <v>2</v>
      </c>
      <c r="B34" s="103"/>
      <c r="C34" s="95">
        <f>'4637'!B22</f>
        <v>1</v>
      </c>
      <c r="D34" s="95" t="str">
        <f>'4637'!C22</f>
        <v>CUB C/R R8</v>
      </c>
      <c r="E34" s="95">
        <f>'4637'!D22</f>
        <v>1350</v>
      </c>
      <c r="F34" s="95">
        <f>'4637'!E22</f>
        <v>600</v>
      </c>
      <c r="G34" s="95" t="str">
        <f>'4637'!F22</f>
        <v>BLANCO MERINO 22191 SF</v>
      </c>
      <c r="H34" s="30"/>
      <c r="I34" s="28"/>
      <c r="J34" s="28"/>
    </row>
    <row r="35" spans="1:10" ht="18" x14ac:dyDescent="0.35">
      <c r="A35" s="112">
        <f>A34+1</f>
        <v>3</v>
      </c>
      <c r="B35" s="103"/>
      <c r="C35" s="95">
        <f>'4637'!B23</f>
        <v>1</v>
      </c>
      <c r="D35" s="95" t="str">
        <f>'4637'!C23</f>
        <v>CUB C/R R8</v>
      </c>
      <c r="E35" s="95">
        <f>'4637'!D23</f>
        <v>2900</v>
      </c>
      <c r="F35" s="95">
        <f>'4637'!E23</f>
        <v>500</v>
      </c>
      <c r="G35" s="95" t="str">
        <f>'4637'!F23</f>
        <v>BLANCO MERINO 22191 SF</v>
      </c>
      <c r="H35" s="30"/>
      <c r="I35" s="28"/>
      <c r="J35" s="28"/>
    </row>
    <row r="36" spans="1:10" ht="18" x14ac:dyDescent="0.35">
      <c r="A36" s="112">
        <f>A35+1</f>
        <v>4</v>
      </c>
      <c r="B36" s="103"/>
      <c r="C36" s="95">
        <f>'4637'!B24</f>
        <v>1</v>
      </c>
      <c r="D36" s="95" t="str">
        <f>'4637'!C24</f>
        <v>CUB C/R R8</v>
      </c>
      <c r="E36" s="95">
        <f>'4637'!D24</f>
        <v>1350</v>
      </c>
      <c r="F36" s="95">
        <f>'4637'!E24</f>
        <v>500</v>
      </c>
      <c r="G36" s="95" t="str">
        <f>'4637'!F24</f>
        <v>BLANCO MERINO 22191 SF</v>
      </c>
      <c r="H36" s="30"/>
      <c r="I36" s="28"/>
      <c r="J36" s="28"/>
    </row>
    <row r="37" spans="1:10" ht="18" x14ac:dyDescent="0.35">
      <c r="A37" s="2"/>
      <c r="B37" s="84"/>
      <c r="C37" s="74"/>
      <c r="D37" s="74"/>
      <c r="E37" s="74"/>
      <c r="F37" s="74"/>
      <c r="G37" s="74"/>
      <c r="H37" s="30"/>
      <c r="I37" s="28"/>
      <c r="J37" s="28"/>
    </row>
    <row r="38" spans="1:10" ht="18" x14ac:dyDescent="0.35">
      <c r="A38" s="2"/>
      <c r="B38" s="30"/>
      <c r="C38" s="74"/>
      <c r="D38" s="74"/>
      <c r="E38" s="74"/>
      <c r="F38" s="74"/>
      <c r="G38" s="74"/>
      <c r="H38" s="30"/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  <c r="J39" s="28">
        <f>SUM(J33:J33)*2</f>
        <v>2.52</v>
      </c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74"/>
      <c r="D42" s="74"/>
      <c r="E42" s="74"/>
      <c r="F42" s="74"/>
      <c r="G42" s="74"/>
      <c r="H42" s="30"/>
    </row>
    <row r="43" spans="1:10" ht="18" x14ac:dyDescent="0.35">
      <c r="A43" s="2"/>
      <c r="B43" s="30"/>
      <c r="C43" s="74"/>
      <c r="D43" s="74"/>
      <c r="E43" s="74"/>
      <c r="F43" s="74"/>
      <c r="G43" s="74"/>
      <c r="H43" s="30"/>
    </row>
    <row r="44" spans="1:10" ht="18" x14ac:dyDescent="0.35">
      <c r="A44" s="2"/>
      <c r="B44" s="30"/>
      <c r="C44" s="74"/>
      <c r="D44" s="74"/>
      <c r="E44" s="74"/>
      <c r="F44" s="74"/>
      <c r="G44" s="74"/>
      <c r="H44" s="30"/>
    </row>
    <row r="45" spans="1:10" ht="18" x14ac:dyDescent="0.35">
      <c r="A45" s="2"/>
      <c r="B45" s="30"/>
      <c r="C45" s="74"/>
      <c r="D45" s="74"/>
      <c r="E45" s="74"/>
      <c r="F45" s="74"/>
      <c r="G45" s="74"/>
      <c r="H45" s="30"/>
    </row>
    <row r="46" spans="1:10" ht="18" x14ac:dyDescent="0.35">
      <c r="A46" s="2"/>
      <c r="B46" s="30"/>
      <c r="C46" s="74"/>
      <c r="D46" s="74"/>
      <c r="E46" s="74"/>
      <c r="F46" s="74"/>
      <c r="G46" s="74"/>
      <c r="H46" s="30"/>
    </row>
    <row r="47" spans="1:10" ht="18" x14ac:dyDescent="0.35">
      <c r="A47" s="2"/>
      <c r="B47" s="30"/>
      <c r="C47" s="30"/>
      <c r="D47" s="30"/>
      <c r="E47" s="30"/>
      <c r="F47" s="30"/>
      <c r="G47" s="30"/>
      <c r="H47" s="30"/>
    </row>
    <row r="48" spans="1:10" ht="18" x14ac:dyDescent="0.35">
      <c r="A48" s="2"/>
      <c r="B48" s="30"/>
      <c r="C48" s="30"/>
      <c r="D48" s="75" t="s">
        <v>25</v>
      </c>
      <c r="E48" s="76">
        <f>'4637'!G8</f>
        <v>4117</v>
      </c>
      <c r="F48" s="30"/>
      <c r="G48" s="30"/>
      <c r="H48" s="30"/>
    </row>
    <row r="49" spans="1:13" ht="17.25" customHeight="1" x14ac:dyDescent="0.35">
      <c r="A49" s="2"/>
      <c r="B49" s="30"/>
      <c r="C49" s="30"/>
      <c r="D49" s="77" t="s">
        <v>64</v>
      </c>
      <c r="E49" s="78" t="str">
        <f>'4637'!C10</f>
        <v>ALEJANDRO RODRIGUEZ</v>
      </c>
      <c r="F49" s="48"/>
      <c r="G49" s="48"/>
      <c r="H49" s="30"/>
    </row>
    <row r="50" spans="1:13" ht="4.5" customHeight="1" x14ac:dyDescent="0.35">
      <c r="A50" s="2"/>
      <c r="B50" s="30"/>
      <c r="C50" s="30"/>
      <c r="D50" s="79"/>
      <c r="E50" s="80"/>
      <c r="F50" s="30"/>
      <c r="G50" s="30"/>
      <c r="H50" s="30"/>
    </row>
    <row r="51" spans="1:13" ht="18" x14ac:dyDescent="0.35">
      <c r="A51" s="2"/>
      <c r="B51" s="30"/>
      <c r="C51" s="30"/>
      <c r="D51" s="81" t="str">
        <f>'4637'!F11</f>
        <v>FECHA LIMITE :</v>
      </c>
      <c r="E51" s="82">
        <f>'4637'!G11</f>
        <v>45563</v>
      </c>
      <c r="F51" s="30"/>
      <c r="G51" s="30"/>
      <c r="H51" s="30"/>
    </row>
    <row r="52" spans="1:13" ht="18" x14ac:dyDescent="0.35">
      <c r="A52" s="2"/>
      <c r="B52" s="30"/>
      <c r="C52" s="30"/>
      <c r="D52" s="30"/>
      <c r="E52" s="30"/>
      <c r="F52" s="30"/>
      <c r="G52" s="30" t="s">
        <v>135</v>
      </c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18" x14ac:dyDescent="0.35">
      <c r="A54" s="2"/>
      <c r="B54" s="130" t="s">
        <v>65</v>
      </c>
      <c r="C54" s="130"/>
      <c r="D54" s="130"/>
      <c r="E54" s="130"/>
      <c r="F54" s="130"/>
      <c r="G54" s="130"/>
      <c r="H54" s="30"/>
    </row>
    <row r="55" spans="1:13" ht="18" x14ac:dyDescent="0.35">
      <c r="A55" s="2"/>
      <c r="B55" s="30"/>
      <c r="C55" s="30"/>
      <c r="D55" s="30"/>
      <c r="E55" s="30"/>
      <c r="F55" s="30"/>
      <c r="G55" s="30"/>
      <c r="H55" s="30"/>
    </row>
    <row r="56" spans="1:13" ht="20.100000000000001" customHeight="1" x14ac:dyDescent="0.35">
      <c r="A56" s="2"/>
      <c r="B56" s="30"/>
      <c r="C56" s="131" t="s">
        <v>66</v>
      </c>
      <c r="D56" s="132"/>
      <c r="E56" s="133"/>
      <c r="F56" s="133"/>
      <c r="G56" s="134"/>
      <c r="H56" s="30"/>
      <c r="I56" s="25" t="s">
        <v>130</v>
      </c>
    </row>
    <row r="57" spans="1:13" s="10" customFormat="1" ht="20.100000000000001" customHeight="1" x14ac:dyDescent="0.35">
      <c r="A57" s="113"/>
      <c r="B57" s="30"/>
      <c r="C57" s="85" t="s">
        <v>9</v>
      </c>
      <c r="D57" s="86" t="s">
        <v>10</v>
      </c>
      <c r="E57" s="89" t="s">
        <v>6</v>
      </c>
      <c r="F57" s="89" t="s">
        <v>7</v>
      </c>
      <c r="G57" s="87" t="s">
        <v>11</v>
      </c>
      <c r="H57" s="30"/>
      <c r="K57" s="10">
        <v>15000</v>
      </c>
    </row>
    <row r="58" spans="1:13" s="10" customFormat="1" ht="20.100000000000001" customHeight="1" x14ac:dyDescent="0.35">
      <c r="A58" s="112">
        <v>1</v>
      </c>
      <c r="B58" s="102" t="s">
        <v>138</v>
      </c>
      <c r="C58" s="97">
        <f>'4637'!B21</f>
        <v>1</v>
      </c>
      <c r="D58" s="97" t="str">
        <f>'4637'!C21</f>
        <v>CUB C/R R8</v>
      </c>
      <c r="E58" s="101">
        <f>'4637'!D21</f>
        <v>2100</v>
      </c>
      <c r="F58" s="101">
        <f>'4637'!E21</f>
        <v>600</v>
      </c>
      <c r="G58" s="97" t="str">
        <f>'4637'!F21</f>
        <v>BLANCO MERINO 22191 SF</v>
      </c>
      <c r="H58" s="30"/>
      <c r="I58" s="10">
        <f>E58*F58/1000000</f>
        <v>1.26</v>
      </c>
      <c r="J58" s="10">
        <f>I58*C58</f>
        <v>1.26</v>
      </c>
      <c r="K58" s="26">
        <f>J58*K$57</f>
        <v>18900</v>
      </c>
      <c r="M58" s="24">
        <v>12096</v>
      </c>
    </row>
    <row r="59" spans="1:13" s="10" customFormat="1" ht="20.100000000000001" customHeight="1" x14ac:dyDescent="0.35">
      <c r="A59" s="112">
        <v>2</v>
      </c>
      <c r="B59" s="102"/>
      <c r="C59" s="97">
        <f>'4637'!B22</f>
        <v>1</v>
      </c>
      <c r="D59" s="97" t="str">
        <f>'4637'!C22</f>
        <v>CUB C/R R8</v>
      </c>
      <c r="E59" s="101">
        <f>'4637'!D22</f>
        <v>1350</v>
      </c>
      <c r="F59" s="101">
        <f>'4637'!E22</f>
        <v>600</v>
      </c>
      <c r="G59" s="97" t="str">
        <f>'4637'!F22</f>
        <v>BLANCO MERINO 22191 SF</v>
      </c>
      <c r="H59" s="30"/>
      <c r="K59" s="26"/>
      <c r="M59" s="29"/>
    </row>
    <row r="60" spans="1:13" s="10" customFormat="1" ht="20.100000000000001" customHeight="1" x14ac:dyDescent="0.35">
      <c r="A60" s="112">
        <f>A59+1</f>
        <v>3</v>
      </c>
      <c r="B60" s="102"/>
      <c r="C60" s="97">
        <f>'4637'!B23</f>
        <v>1</v>
      </c>
      <c r="D60" s="97" t="str">
        <f>'4637'!C23</f>
        <v>CUB C/R R8</v>
      </c>
      <c r="E60" s="101">
        <f>'4637'!D23</f>
        <v>2900</v>
      </c>
      <c r="F60" s="101">
        <f>'4637'!E23</f>
        <v>500</v>
      </c>
      <c r="G60" s="97" t="str">
        <f>'4637'!F23</f>
        <v>BLANCO MERINO 22191 SF</v>
      </c>
      <c r="H60" s="30"/>
      <c r="K60" s="26"/>
      <c r="M60" s="29"/>
    </row>
    <row r="61" spans="1:13" s="10" customFormat="1" ht="20.100000000000001" customHeight="1" x14ac:dyDescent="0.35">
      <c r="A61" s="112">
        <f>A60+1</f>
        <v>4</v>
      </c>
      <c r="B61" s="102"/>
      <c r="C61" s="97">
        <f>'4637'!B24</f>
        <v>1</v>
      </c>
      <c r="D61" s="97" t="str">
        <f>'4637'!C24</f>
        <v>CUB C/R R8</v>
      </c>
      <c r="E61" s="101">
        <f>'4637'!D24</f>
        <v>1350</v>
      </c>
      <c r="F61" s="101">
        <f>'4637'!E24</f>
        <v>500</v>
      </c>
      <c r="G61" s="97" t="str">
        <f>'4637'!F24</f>
        <v>BLANCO MERINO 22191 SF</v>
      </c>
      <c r="H61" s="30"/>
      <c r="K61" s="26"/>
      <c r="M61" s="29"/>
    </row>
    <row r="62" spans="1:13" s="10" customFormat="1" ht="20.100000000000001" customHeight="1" x14ac:dyDescent="0.35">
      <c r="A62" s="112"/>
      <c r="B62" s="102"/>
      <c r="C62" s="137"/>
      <c r="D62" s="137"/>
      <c r="E62" s="137"/>
      <c r="F62" s="137"/>
      <c r="G62" s="137"/>
      <c r="H62" s="30"/>
      <c r="K62" s="26"/>
      <c r="M62" s="29"/>
    </row>
    <row r="63" spans="1:13" s="10" customFormat="1" ht="15" customHeight="1" x14ac:dyDescent="0.35">
      <c r="B63" s="84"/>
      <c r="C63" s="67"/>
      <c r="D63" s="67"/>
      <c r="E63" s="67"/>
      <c r="F63" s="67"/>
      <c r="G63" s="67"/>
      <c r="H63" s="30"/>
    </row>
    <row r="64" spans="1:13" ht="18" x14ac:dyDescent="0.35">
      <c r="B64" s="74"/>
      <c r="C64" s="74"/>
      <c r="D64" s="30"/>
      <c r="E64" s="74"/>
      <c r="F64" s="74"/>
      <c r="G64" s="79"/>
      <c r="H64" s="30"/>
    </row>
    <row r="65" spans="2:11" ht="18" x14ac:dyDescent="0.35">
      <c r="B65" s="74"/>
      <c r="C65" s="74"/>
      <c r="D65" s="30"/>
      <c r="E65" s="74"/>
      <c r="F65" s="74"/>
      <c r="G65" s="74"/>
      <c r="H65" s="30"/>
      <c r="J65" s="10">
        <f>SUM(J58:J58)</f>
        <v>1.26</v>
      </c>
      <c r="K65" s="27">
        <f>SUM(K58:K58)</f>
        <v>18900</v>
      </c>
    </row>
    <row r="66" spans="2:11" ht="18" x14ac:dyDescent="0.35">
      <c r="B66" s="30"/>
      <c r="C66" s="30"/>
      <c r="D66" s="30"/>
      <c r="E66" s="30"/>
      <c r="F66" s="30"/>
      <c r="G66" s="30"/>
      <c r="H66" s="30"/>
    </row>
    <row r="67" spans="2:11" ht="18" x14ac:dyDescent="0.35">
      <c r="B67" s="30"/>
      <c r="C67" s="30"/>
      <c r="D67" s="30"/>
      <c r="E67" s="30"/>
      <c r="F67" s="30"/>
      <c r="G67" s="30"/>
      <c r="H67" s="30"/>
    </row>
    <row r="68" spans="2:11" ht="18" x14ac:dyDescent="0.35">
      <c r="B68" s="30"/>
      <c r="C68" s="30"/>
      <c r="D68" s="30"/>
      <c r="E68" s="30"/>
      <c r="F68" s="30"/>
      <c r="G68" s="30"/>
      <c r="H68" s="30"/>
    </row>
    <row r="69" spans="2:11" ht="15" customHeight="1" x14ac:dyDescent="0.35">
      <c r="B69" s="30"/>
      <c r="C69" s="30"/>
      <c r="D69" s="30"/>
      <c r="E69" s="30"/>
      <c r="F69" s="30"/>
      <c r="G69" s="30"/>
      <c r="H69" s="30"/>
    </row>
    <row r="70" spans="2:11" ht="18" x14ac:dyDescent="0.35">
      <c r="B70" s="30"/>
      <c r="C70" s="30"/>
      <c r="D70" s="30"/>
      <c r="E70" s="30"/>
      <c r="F70" s="30"/>
      <c r="G70" s="30"/>
      <c r="H70" s="30"/>
    </row>
    <row r="71" spans="2:11" ht="18" x14ac:dyDescent="0.35">
      <c r="B71" s="74"/>
      <c r="C71" s="88"/>
      <c r="D71" s="30"/>
      <c r="E71" s="30"/>
      <c r="F71" s="30"/>
      <c r="G71" s="30"/>
      <c r="H71" s="30"/>
    </row>
    <row r="72" spans="2:11" ht="18" x14ac:dyDescent="0.35">
      <c r="B72" s="30"/>
      <c r="C72" s="30"/>
      <c r="D72" s="30"/>
      <c r="E72" s="30"/>
      <c r="F72" s="30"/>
      <c r="G72" s="30"/>
      <c r="H72" s="30"/>
    </row>
    <row r="73" spans="2:11" x14ac:dyDescent="0.3">
      <c r="C73" s="14"/>
      <c r="D73" s="14"/>
      <c r="F73" s="14"/>
      <c r="G73" s="14"/>
    </row>
    <row r="74" spans="2:11" x14ac:dyDescent="0.3">
      <c r="C74" s="14"/>
      <c r="D74" s="14"/>
      <c r="F74" s="14"/>
      <c r="G74" s="14"/>
    </row>
  </sheetData>
  <mergeCells count="6">
    <mergeCell ref="N3:O3"/>
    <mergeCell ref="B20:G20"/>
    <mergeCell ref="B10:G10"/>
    <mergeCell ref="B54:G54"/>
    <mergeCell ref="C56:G5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2024-09-09T14:51:56Z</cp:lastPrinted>
  <dcterms:created xsi:type="dcterms:W3CDTF">2013-03-19T12:54:14Z</dcterms:created>
  <dcterms:modified xsi:type="dcterms:W3CDTF">2024-09-23T22:36:46Z</dcterms:modified>
</cp:coreProperties>
</file>