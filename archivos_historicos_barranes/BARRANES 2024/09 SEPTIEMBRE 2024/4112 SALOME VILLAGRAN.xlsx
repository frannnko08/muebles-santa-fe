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9 SEPTIEMBRE 2024\"/>
    </mc:Choice>
  </mc:AlternateContent>
  <xr:revisionPtr revIDLastSave="0" documentId="13_ncr:1_{6AC86CA3-DB4A-42E2-B117-644C80729EE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'4637'!$B$1:$H$42</definedName>
    <definedName name="_xlnm.Print_Area" localSheetId="2">CUBIERTA!$A$42:$G$68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4" l="1"/>
  <c r="H23" i="4"/>
  <c r="C33" i="3"/>
  <c r="D33" i="3"/>
  <c r="E33" i="3"/>
  <c r="F33" i="3"/>
  <c r="G33" i="3"/>
  <c r="C57" i="3"/>
  <c r="D57" i="3"/>
  <c r="E57" i="3"/>
  <c r="F57" i="3"/>
  <c r="G57" i="3"/>
  <c r="H22" i="4"/>
  <c r="H21" i="4"/>
  <c r="J16" i="3"/>
  <c r="C16" i="3" s="1"/>
  <c r="H27" i="4" l="1"/>
  <c r="J25" i="3"/>
  <c r="L25" i="3" l="1"/>
  <c r="K25" i="3"/>
  <c r="C32" i="3"/>
  <c r="J24" i="3" s="1"/>
  <c r="C24" i="3" s="1"/>
  <c r="D32" i="3"/>
  <c r="G16" i="3" s="1"/>
  <c r="E32" i="3"/>
  <c r="K16" i="3" s="1"/>
  <c r="E16" i="3" s="1"/>
  <c r="F32" i="3"/>
  <c r="L16" i="3" s="1"/>
  <c r="F16" i="3" s="1"/>
  <c r="G32" i="3"/>
  <c r="C56" i="3"/>
  <c r="D56" i="3"/>
  <c r="E56" i="3"/>
  <c r="F56" i="3"/>
  <c r="G56" i="3"/>
  <c r="J14" i="3"/>
  <c r="C14" i="3" s="1"/>
  <c r="G24" i="3" l="1"/>
  <c r="L24" i="3"/>
  <c r="K24" i="3"/>
  <c r="E24" i="3" s="1"/>
  <c r="D55" i="3"/>
  <c r="L21" i="4" l="1"/>
  <c r="K21" i="4"/>
  <c r="M21" i="4" l="1"/>
  <c r="N21" i="4" s="1"/>
  <c r="C31" i="3" l="1"/>
  <c r="J23" i="3" s="1"/>
  <c r="C23" i="3" s="1"/>
  <c r="D31" i="3"/>
  <c r="G23" i="3" s="1"/>
  <c r="E31" i="3"/>
  <c r="F31" i="3"/>
  <c r="L23" i="3" s="1"/>
  <c r="G31" i="3"/>
  <c r="C55" i="3"/>
  <c r="E55" i="3"/>
  <c r="F55" i="3"/>
  <c r="G55" i="3"/>
  <c r="I31" i="3" l="1"/>
  <c r="J31" i="3" s="1"/>
  <c r="K23" i="3"/>
  <c r="E23" i="3" s="1"/>
  <c r="I55" i="3"/>
  <c r="J55" i="3" s="1"/>
  <c r="K14" i="3"/>
  <c r="E14" i="3" s="1"/>
  <c r="G14" i="3"/>
  <c r="L14" i="3"/>
  <c r="F14" i="3" s="1"/>
  <c r="J36" i="3" l="1"/>
  <c r="K55" i="3"/>
  <c r="J60" i="3"/>
  <c r="H29" i="4"/>
  <c r="O5" i="3"/>
  <c r="K60" i="3" l="1"/>
  <c r="N5" i="3"/>
  <c r="M5" i="3"/>
  <c r="L5" i="3"/>
  <c r="D48" i="3" l="1"/>
  <c r="D7" i="3"/>
  <c r="E46" i="3"/>
  <c r="E5" i="3"/>
  <c r="E48" i="3"/>
  <c r="E7" i="3"/>
  <c r="E45" i="3"/>
  <c r="E4" i="3"/>
</calcChain>
</file>

<file path=xl/sharedStrings.xml><?xml version="1.0" encoding="utf-8"?>
<sst xmlns="http://schemas.openxmlformats.org/spreadsheetml/2006/main" count="259" uniqueCount="149">
  <si>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</si>
  <si>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</si>
  <si>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</si>
  <si>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</si>
  <si>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</si>
  <si>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</si>
  <si>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</si>
  <si>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</si>
  <si>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</si>
  <si>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</si>
  <si>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</si>
  <si>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</si>
  <si>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</si>
  <si>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</si>
  <si>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</si>
  <si>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</si>
  <si>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</si>
  <si>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</si>
  <si>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</si>
  <si>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</si>
  <si>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</si>
  <si>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</si>
  <si>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</si>
  <si>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</si>
  <si>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</si>
  <si>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</si>
  <si>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</si>
  <si>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</si>
  <si>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</si>
  <si>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</si>
  <si>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</si>
  <si>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</si>
  <si>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</si>
  <si>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</si>
  <si>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</si>
  <si>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</si>
  <si>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</si>
  <si>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</si>
  <si>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</si>
  <si>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</si>
  <si>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</si>
  <si>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</si>
  <si>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</si>
  <si>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</si>
  <si>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</si>
  <si>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</si>
  <si>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</si>
  <si>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</si>
  <si>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</si>
  <si>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</si>
  <si>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</si>
  <si>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</si>
  <si>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</si>
  <si>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</si>
  <si>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</si>
  <si>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</si>
  <si>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</si>
  <si>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</si>
  <si>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</si>
  <si>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</si>
  <si>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</si>
  <si>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</si>
  <si>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</si>
  <si>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</si>
  <si>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</si>
  <si>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</si>
  <si>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</si>
  <si>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</si>
  <si>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</si>
  <si>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</si>
  <si>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</si>
  <si>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</si>
  <si>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</si>
  <si>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</si>
  <si>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</si>
  <si>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</si>
  <si>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</si>
  <si>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</si>
  <si>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</si>
  <si>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</si>
  <si>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</si>
  <si>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</si>
  <si>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</si>
  <si>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</si>
  <si>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</si>
  <si>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</si>
  <si>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</si>
  <si>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</si>
  <si>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</si>
  <si>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</si>
  <si>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</si>
  <si>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</si>
  <si>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</si>
  <si>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</si>
  <si>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</si>
  <si>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</si>
  <si>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</si>
  <si>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</si>
  <si>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</si>
  <si>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</si>
  <si>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</si>
  <si>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</si>
  <si>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</si>
  <si>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</si>
  <si>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</si>
  <si>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</si>
  <si>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</si>
  <si>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</si>
  <si>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</si>
  <si>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</si>
  <si>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</si>
  <si>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</si>
  <si>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</si>
  <si>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</si>
  <si>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</si>
  <si>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</si>
  <si>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</si>
  <si>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</si>
  <si>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</si>
  <si>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</si>
  <si>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</si>
  <si>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</si>
  <si>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</si>
  <si>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</si>
  <si>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</si>
  <si>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</si>
  <si>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</si>
  <si>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</si>
  <si>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</si>
  <si>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</si>
  <si>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</si>
  <si>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</si>
  <si>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</si>
  <si>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</si>
  <si>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</si>
  <si>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</si>
  <si>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</si>
  <si>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RANCAGUA</t>
  </si>
  <si>
    <t>CUB C/R R8</t>
  </si>
  <si>
    <t>MDF18MM</t>
  </si>
  <si>
    <t>+569 9844 0365</t>
  </si>
  <si>
    <t>SALOME VILLAGRAN</t>
  </si>
  <si>
    <t>FORT GRANITE 42008  BR</t>
  </si>
  <si>
    <t>HUMO 2108 MT</t>
  </si>
  <si>
    <t>TROZO LAMINA</t>
  </si>
  <si>
    <t>LAMINA</t>
  </si>
  <si>
    <t>MELAMIL 18MM</t>
  </si>
  <si>
    <t>CORTAR RESPALDO A 3CMS</t>
  </si>
  <si>
    <t>BISAGRAS C/S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</si>
</sst>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1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2" borderId="0" xfId="0" applyFill="1" applyAlignment="1">
      <alignment horizontal="center"/>
    </xf>
    <xf numFmtId="0" fontId="9" fillId="0" borderId="11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166" fontId="2" fillId="0" borderId="30" xfId="1" applyNumberFormat="1" applyFont="1" applyFill="1" applyBorder="1" applyAlignment="1">
      <alignment horizontal="center" vertical="center"/>
    </xf>
    <xf numFmtId="166" fontId="2" fillId="0" borderId="12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" fontId="9" fillId="0" borderId="30" xfId="0" applyNumberFormat="1" applyFont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19" fillId="0" borderId="0" xfId="2" quotePrefix="1" applyFont="1" applyFill="1" applyBorder="1" applyAlignment="1">
      <alignment horizontal="lef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25</xdr:row>
      <xdr:rowOff>0</xdr:rowOff>
    </xdr:from>
    <xdr:to>
      <xdr:col>5</xdr:col>
      <xdr:colOff>1555102</xdr:colOff>
      <xdr:row>28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$ 104.000.- 06/09</a:t>
          </a:r>
          <a:r>
            <a:rPr lang="es-CL" sz="1200" b="1" i="0" baseline="0"/>
            <a:t> +  $ 75.000.-  05/09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37</xdr:row>
      <xdr:rowOff>0</xdr:rowOff>
    </xdr:from>
    <xdr:to>
      <xdr:col>4</xdr:col>
      <xdr:colOff>369336</xdr:colOff>
      <xdr:row>37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39</xdr:row>
      <xdr:rowOff>1</xdr:rowOff>
    </xdr:from>
    <xdr:to>
      <xdr:col>4</xdr:col>
      <xdr:colOff>349897</xdr:colOff>
      <xdr:row>39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17</xdr:row>
      <xdr:rowOff>66674</xdr:rowOff>
    </xdr:from>
    <xdr:to>
      <xdr:col>6</xdr:col>
      <xdr:colOff>2914649</xdr:colOff>
      <xdr:row>19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49</xdr:row>
      <xdr:rowOff>190500</xdr:rowOff>
    </xdr:from>
    <xdr:to>
      <xdr:col>7</xdr:col>
      <xdr:colOff>9524</xdr:colOff>
      <xdr:row>51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46</xdr:row>
      <xdr:rowOff>30479</xdr:rowOff>
    </xdr:from>
    <xdr:to>
      <xdr:col>6</xdr:col>
      <xdr:colOff>2912745</xdr:colOff>
      <xdr:row>47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44</xdr:row>
      <xdr:rowOff>209549</xdr:rowOff>
    </xdr:from>
    <xdr:to>
      <xdr:col>7</xdr:col>
      <xdr:colOff>0</xdr:colOff>
      <xdr:row>46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43</xdr:row>
      <xdr:rowOff>171450</xdr:rowOff>
    </xdr:from>
    <xdr:to>
      <xdr:col>7</xdr:col>
      <xdr:colOff>19050</xdr:colOff>
      <xdr:row>44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58</xdr:row>
      <xdr:rowOff>0</xdr:rowOff>
    </xdr:from>
    <xdr:to>
      <xdr:col>3</xdr:col>
      <xdr:colOff>38100</xdr:colOff>
      <xdr:row>59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58</xdr:row>
      <xdr:rowOff>0</xdr:rowOff>
    </xdr:from>
    <xdr:to>
      <xdr:col>3</xdr:col>
      <xdr:colOff>1019175</xdr:colOff>
      <xdr:row>59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58</xdr:row>
      <xdr:rowOff>0</xdr:rowOff>
    </xdr:from>
    <xdr:to>
      <xdr:col>4</xdr:col>
      <xdr:colOff>352425</xdr:colOff>
      <xdr:row>59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58</xdr:row>
      <xdr:rowOff>0</xdr:rowOff>
    </xdr:from>
    <xdr:to>
      <xdr:col>5</xdr:col>
      <xdr:colOff>257175</xdr:colOff>
      <xdr:row>59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58</xdr:row>
      <xdr:rowOff>0</xdr:rowOff>
    </xdr:from>
    <xdr:to>
      <xdr:col>6</xdr:col>
      <xdr:colOff>447675</xdr:colOff>
      <xdr:row>59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58</xdr:row>
      <xdr:rowOff>0</xdr:rowOff>
    </xdr:from>
    <xdr:to>
      <xdr:col>7</xdr:col>
      <xdr:colOff>0</xdr:colOff>
      <xdr:row>59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59</xdr:row>
      <xdr:rowOff>0</xdr:rowOff>
    </xdr:from>
    <xdr:to>
      <xdr:col>3</xdr:col>
      <xdr:colOff>304800</xdr:colOff>
      <xdr:row>60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59</xdr:row>
      <xdr:rowOff>0</xdr:rowOff>
    </xdr:from>
    <xdr:to>
      <xdr:col>3</xdr:col>
      <xdr:colOff>1276350</xdr:colOff>
      <xdr:row>60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59</xdr:row>
      <xdr:rowOff>0</xdr:rowOff>
    </xdr:from>
    <xdr:to>
      <xdr:col>4</xdr:col>
      <xdr:colOff>619125</xdr:colOff>
      <xdr:row>60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59</xdr:row>
      <xdr:rowOff>0</xdr:rowOff>
    </xdr:from>
    <xdr:to>
      <xdr:col>5</xdr:col>
      <xdr:colOff>523875</xdr:colOff>
      <xdr:row>60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59</xdr:row>
      <xdr:rowOff>0</xdr:rowOff>
    </xdr:from>
    <xdr:to>
      <xdr:col>6</xdr:col>
      <xdr:colOff>723900</xdr:colOff>
      <xdr:row>60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59</xdr:row>
      <xdr:rowOff>0</xdr:rowOff>
    </xdr:from>
    <xdr:to>
      <xdr:col>7</xdr:col>
      <xdr:colOff>0</xdr:colOff>
      <xdr:row>60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35</xdr:row>
      <xdr:rowOff>15239</xdr:rowOff>
    </xdr:from>
    <xdr:to>
      <xdr:col>7</xdr:col>
      <xdr:colOff>0</xdr:colOff>
      <xdr:row>39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CUBIERTAS CORTAR A LA MEDIDA Y ENCHAPAR SIN REGRUESO, PUERTAS ENCHAPADAS CON TAPACANTO PVC 0,4MM LO MAS PARECIDO A LA LAMINA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27</xdr:row>
      <xdr:rowOff>1</xdr:rowOff>
    </xdr:from>
    <xdr:to>
      <xdr:col>7</xdr:col>
      <xdr:colOff>19048</xdr:colOff>
      <xdr:row>28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61</xdr:row>
      <xdr:rowOff>32385</xdr:rowOff>
    </xdr:from>
    <xdr:to>
      <xdr:col>7</xdr:col>
      <xdr:colOff>0</xdr:colOff>
      <xdr:row>65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CUBIERTAS CORTAR A LA MEDIDA Y ENCHAPAR SIN REGRUESO CON LA MISMA LAMINAS, PUERTAS ENCHAPADAS CON TAPACANTO PVC 0,4MM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43</xdr:row>
      <xdr:rowOff>146685</xdr:rowOff>
    </xdr:from>
    <xdr:to>
      <xdr:col>2</xdr:col>
      <xdr:colOff>786523</xdr:colOff>
      <xdr:row>49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304800</xdr:colOff>
      <xdr:row>68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3"/>
  <sheetViews>
    <sheetView topLeftCell="A15" zoomScale="98" zoomScaleNormal="98" workbookViewId="0">
      <selection activeCell="I24" sqref="I2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11090</v>
      </c>
      <c r="E8" s="30">
        <v>0</v>
      </c>
      <c r="F8" s="35" t="s">
        <v>25</v>
      </c>
      <c r="G8" s="36">
        <v>4112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141</v>
      </c>
      <c r="D10" s="39"/>
      <c r="E10" s="39"/>
      <c r="F10" s="40" t="s">
        <v>26</v>
      </c>
      <c r="G10" s="41">
        <v>45541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45548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37" t="s">
        <v>140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137</v>
      </c>
      <c r="D16" s="56"/>
      <c r="E16" s="57"/>
      <c r="F16" s="123" t="s">
        <v>17</v>
      </c>
      <c r="G16" s="123"/>
      <c r="H16" s="124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5" t="s">
        <v>18</v>
      </c>
      <c r="C19" s="126"/>
      <c r="D19" s="126"/>
      <c r="E19" s="126"/>
      <c r="F19" s="126"/>
      <c r="G19" s="126"/>
      <c r="H19" s="127"/>
      <c r="I19" s="30"/>
    </row>
    <row r="20" spans="1:16" ht="20.100000000000001" customHeight="1" thickBot="1" x14ac:dyDescent="0.4">
      <c r="A20" s="30"/>
      <c r="B20" s="58" t="s">
        <v>128</v>
      </c>
      <c r="C20" s="108" t="s">
        <v>19</v>
      </c>
      <c r="D20" s="108" t="s">
        <v>20</v>
      </c>
      <c r="E20" s="108" t="s">
        <v>7</v>
      </c>
      <c r="F20" s="109" t="s">
        <v>21</v>
      </c>
      <c r="G20" s="110" t="s">
        <v>22</v>
      </c>
      <c r="H20" s="109" t="s">
        <v>4</v>
      </c>
      <c r="I20" s="30"/>
      <c r="N20">
        <v>65000</v>
      </c>
    </row>
    <row r="21" spans="1:16" ht="20.100000000000001" customHeight="1" thickBot="1" x14ac:dyDescent="0.4">
      <c r="A21" s="30"/>
      <c r="B21" s="116">
        <v>2</v>
      </c>
      <c r="C21" s="117" t="s">
        <v>138</v>
      </c>
      <c r="D21" s="122">
        <v>1600</v>
      </c>
      <c r="E21" s="122">
        <v>520</v>
      </c>
      <c r="F21" s="138" t="s">
        <v>142</v>
      </c>
      <c r="G21" s="118">
        <v>75000</v>
      </c>
      <c r="H21" s="119">
        <f t="shared" ref="H21:H24" si="0">G21*B21</f>
        <v>150000</v>
      </c>
      <c r="I21" s="30"/>
      <c r="K21" s="11">
        <f>D21/1000</f>
        <v>1.6</v>
      </c>
      <c r="L21" s="15">
        <f>E21/1000</f>
        <v>0.52</v>
      </c>
      <c r="M21" s="11">
        <f>K21*L21</f>
        <v>0.83200000000000007</v>
      </c>
      <c r="N21" s="11">
        <f>M21*N$20</f>
        <v>54080.000000000007</v>
      </c>
      <c r="O21" s="15"/>
      <c r="P21" s="21"/>
    </row>
    <row r="22" spans="1:16" ht="20.100000000000001" customHeight="1" thickBot="1" x14ac:dyDescent="0.4">
      <c r="A22" s="30"/>
      <c r="B22" s="116">
        <v>8</v>
      </c>
      <c r="C22" s="117" t="s">
        <v>61</v>
      </c>
      <c r="D22" s="122">
        <v>690</v>
      </c>
      <c r="E22" s="122">
        <v>398</v>
      </c>
      <c r="F22" s="138" t="s">
        <v>143</v>
      </c>
      <c r="G22" s="118">
        <v>21121</v>
      </c>
      <c r="H22" s="119">
        <f t="shared" si="0"/>
        <v>168968</v>
      </c>
      <c r="I22" s="30"/>
      <c r="K22" s="11"/>
      <c r="L22" s="15"/>
      <c r="M22" s="11"/>
      <c r="N22" s="11"/>
      <c r="O22" s="15"/>
      <c r="P22" s="21"/>
    </row>
    <row r="23" spans="1:16" ht="20.100000000000001" customHeight="1" thickBot="1" x14ac:dyDescent="0.4">
      <c r="A23" s="30"/>
      <c r="B23" s="116">
        <v>3</v>
      </c>
      <c r="C23" s="117" t="s">
        <v>145</v>
      </c>
      <c r="D23" s="122">
        <v>830</v>
      </c>
      <c r="E23" s="122">
        <v>470</v>
      </c>
      <c r="F23" s="138" t="s">
        <v>143</v>
      </c>
      <c r="G23" s="118"/>
      <c r="H23" s="119">
        <f t="shared" si="0"/>
        <v>0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38">
        <v>16</v>
      </c>
      <c r="C24" s="138" t="s">
        <v>148</v>
      </c>
      <c r="D24" s="139"/>
      <c r="E24" s="139"/>
      <c r="F24" s="138"/>
      <c r="G24" s="140">
        <v>2500</v>
      </c>
      <c r="H24" s="119">
        <f t="shared" si="0"/>
        <v>40000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20"/>
      <c r="C25" s="120"/>
      <c r="D25" s="121"/>
      <c r="E25" s="121"/>
      <c r="F25" s="120"/>
      <c r="G25" s="104"/>
      <c r="H25" s="104"/>
      <c r="I25" s="30"/>
      <c r="K25" s="11"/>
      <c r="L25" s="15"/>
      <c r="M25" s="11"/>
      <c r="N25" s="11"/>
      <c r="O25" s="15"/>
      <c r="P25" s="21"/>
    </row>
    <row r="26" spans="1:16" ht="13.2" customHeight="1" thickBot="1" x14ac:dyDescent="0.4">
      <c r="A26" s="30"/>
      <c r="B26" s="60"/>
      <c r="C26" s="60"/>
      <c r="D26" s="60"/>
      <c r="E26" s="60"/>
      <c r="F26" s="60"/>
      <c r="G26" s="59"/>
      <c r="H26" s="59"/>
      <c r="I26" s="30"/>
    </row>
    <row r="27" spans="1:16" ht="20.100000000000001" customHeight="1" x14ac:dyDescent="0.35">
      <c r="A27" s="30"/>
      <c r="B27" s="30"/>
      <c r="C27" s="30"/>
      <c r="D27" s="30"/>
      <c r="E27" s="30"/>
      <c r="F27" s="30"/>
      <c r="G27" s="61" t="s">
        <v>5</v>
      </c>
      <c r="H27" s="62">
        <f>SUM(H21:H26)</f>
        <v>358968</v>
      </c>
      <c r="I27" s="30"/>
    </row>
    <row r="28" spans="1:16" ht="20.100000000000001" customHeight="1" x14ac:dyDescent="0.35">
      <c r="A28" s="30"/>
      <c r="B28" s="30"/>
      <c r="C28" s="30"/>
      <c r="D28" s="30"/>
      <c r="E28" s="30"/>
      <c r="F28" s="30"/>
      <c r="G28" s="63" t="s">
        <v>136</v>
      </c>
      <c r="H28" s="64"/>
      <c r="I28" s="30"/>
    </row>
    <row r="29" spans="1:16" ht="20.100000000000001" customHeight="1" thickBot="1" x14ac:dyDescent="0.4">
      <c r="A29" s="30"/>
      <c r="B29" s="30"/>
      <c r="C29" s="30"/>
      <c r="D29" s="30"/>
      <c r="E29" s="30"/>
      <c r="F29" s="30"/>
      <c r="G29" s="65" t="s">
        <v>4</v>
      </c>
      <c r="H29" s="66">
        <f>H27+H28</f>
        <v>358968</v>
      </c>
      <c r="I29" s="30"/>
    </row>
    <row r="30" spans="1:16" ht="20.100000000000001" customHeight="1" x14ac:dyDescent="0.35">
      <c r="A30" s="30"/>
      <c r="B30" s="30"/>
      <c r="C30" s="30"/>
      <c r="D30" s="30"/>
      <c r="E30" s="30"/>
      <c r="F30" s="30"/>
      <c r="G30" s="67"/>
      <c r="H30" s="68"/>
      <c r="I30" s="30"/>
    </row>
    <row r="31" spans="1:16" ht="18" x14ac:dyDescent="0.35">
      <c r="A31" s="30"/>
      <c r="B31" s="30"/>
      <c r="C31" s="30"/>
      <c r="D31" s="30"/>
      <c r="E31" s="30"/>
      <c r="F31" s="30"/>
      <c r="G31" s="30"/>
      <c r="H31" s="30"/>
      <c r="I31" s="30"/>
    </row>
    <row r="32" spans="1:16" ht="18" x14ac:dyDescent="0.35">
      <c r="A32" s="30"/>
      <c r="B32" s="69" t="s">
        <v>133</v>
      </c>
      <c r="C32" s="70"/>
      <c r="D32" s="71"/>
      <c r="E32" s="71"/>
      <c r="F32" s="60"/>
      <c r="G32" s="30"/>
      <c r="H32" s="30"/>
      <c r="I32" s="30"/>
    </row>
    <row r="33" spans="1:9" ht="18" x14ac:dyDescent="0.35">
      <c r="A33" s="30"/>
      <c r="B33" s="69" t="s">
        <v>119</v>
      </c>
      <c r="C33" s="70"/>
      <c r="D33" s="71"/>
      <c r="E33" s="71"/>
      <c r="F33" s="60"/>
      <c r="G33" s="30"/>
      <c r="H33" s="30"/>
      <c r="I33" s="30"/>
    </row>
    <row r="34" spans="1:9" ht="18" x14ac:dyDescent="0.35">
      <c r="A34" s="30"/>
      <c r="B34" s="30" t="s">
        <v>23</v>
      </c>
      <c r="C34" s="30"/>
      <c r="D34" s="30"/>
      <c r="E34" s="30"/>
      <c r="F34" s="30"/>
      <c r="G34" s="30"/>
      <c r="H34" s="30"/>
      <c r="I34" s="30"/>
    </row>
    <row r="35" spans="1:9" ht="18" x14ac:dyDescent="0.35">
      <c r="A35" s="30"/>
      <c r="B35" s="72" t="s">
        <v>24</v>
      </c>
      <c r="C35" s="72"/>
      <c r="D35" s="30"/>
      <c r="E35" s="30"/>
      <c r="F35" s="30"/>
      <c r="G35" s="30"/>
      <c r="H35" s="30"/>
      <c r="I35" s="30"/>
    </row>
    <row r="36" spans="1:9" ht="18" x14ac:dyDescent="0.35">
      <c r="A36" s="30"/>
      <c r="B36" s="30"/>
      <c r="C36" s="30"/>
      <c r="D36" s="30"/>
      <c r="E36" s="72"/>
      <c r="F36" s="30"/>
      <c r="G36" s="30"/>
      <c r="H36" s="30"/>
      <c r="I36" s="30"/>
    </row>
    <row r="37" spans="1:9" ht="18" x14ac:dyDescent="0.35">
      <c r="A37" s="30"/>
      <c r="B37" s="31" t="s">
        <v>131</v>
      </c>
      <c r="C37" s="31"/>
      <c r="D37" s="31"/>
      <c r="E37" s="73"/>
      <c r="F37" s="30"/>
      <c r="G37" s="30"/>
      <c r="H37" s="30"/>
      <c r="I37" s="30"/>
    </row>
    <row r="38" spans="1:9" ht="18" x14ac:dyDescent="0.35">
      <c r="A38" s="30"/>
      <c r="B38" s="31"/>
      <c r="C38" s="31"/>
      <c r="D38" s="31"/>
      <c r="E38" s="73"/>
      <c r="F38" s="30"/>
      <c r="G38" s="30"/>
      <c r="H38" s="30"/>
      <c r="I38" s="30"/>
    </row>
    <row r="39" spans="1:9" ht="18" x14ac:dyDescent="0.35">
      <c r="A39" s="30"/>
      <c r="B39" s="31" t="s">
        <v>132</v>
      </c>
      <c r="C39" s="30"/>
      <c r="D39" s="30"/>
      <c r="E39" s="72"/>
      <c r="F39" s="30"/>
      <c r="G39" s="30"/>
      <c r="H39" s="30"/>
      <c r="I39" s="30"/>
    </row>
    <row r="40" spans="1:9" ht="18" x14ac:dyDescent="0.35">
      <c r="A40" s="30"/>
      <c r="B40" s="30"/>
      <c r="C40" s="30"/>
      <c r="D40" s="30"/>
      <c r="E40" s="72"/>
      <c r="F40" s="30"/>
      <c r="G40" s="30"/>
      <c r="H40" s="30"/>
      <c r="I40" s="30"/>
    </row>
    <row r="41" spans="1:9" ht="18" x14ac:dyDescent="0.35">
      <c r="A41" s="30"/>
      <c r="B41" s="30"/>
      <c r="C41" s="30"/>
      <c r="D41" s="30"/>
      <c r="E41" s="30"/>
      <c r="F41" s="30"/>
      <c r="G41" s="30"/>
      <c r="H41" s="30"/>
      <c r="I41" s="30"/>
    </row>
    <row r="42" spans="1:9" ht="18" x14ac:dyDescent="0.35">
      <c r="A42" s="30"/>
      <c r="B42" s="30"/>
      <c r="C42" s="30"/>
      <c r="D42" s="30"/>
      <c r="E42" s="30"/>
      <c r="F42" s="30"/>
      <c r="G42" s="30"/>
      <c r="H42" s="30"/>
      <c r="I42" s="30"/>
    </row>
    <row r="43" spans="1:9" ht="15.6" x14ac:dyDescent="0.3">
      <c r="C43" s="1"/>
    </row>
  </sheetData>
  <sortState xmlns:xlrd2="http://schemas.microsoft.com/office/spreadsheetml/2017/richdata2" ref="B44">
    <sortCondition sortBy="fontColor" ref="B44" dxfId="1"/>
  </sortState>
  <mergeCells count="2">
    <mergeCell ref="F16:H16"/>
    <mergeCell ref="B19:H19"/>
  </mergeCells>
  <phoneticPr fontId="8" type="noConversion"/>
  <hyperlinks>
    <hyperlink ref="B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8" t="s">
        <v>28</v>
      </c>
      <c r="C2" s="128"/>
      <c r="D2" s="128"/>
      <c r="E2" s="12"/>
      <c r="G2" s="128" t="s">
        <v>67</v>
      </c>
      <c r="H2" s="128"/>
      <c r="I2" s="128"/>
      <c r="P2" s="129" t="s">
        <v>55</v>
      </c>
      <c r="Q2" s="129"/>
      <c r="R2" s="129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9" t="s">
        <v>55</v>
      </c>
      <c r="M8" s="129"/>
      <c r="N8" s="129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9"/>
  <sheetViews>
    <sheetView tabSelected="1" topLeftCell="A32" zoomScaleNormal="100" workbookViewId="0">
      <selection activeCell="A42" sqref="A42:G68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30" t="s">
        <v>58</v>
      </c>
      <c r="M3" s="130"/>
      <c r="N3" s="130" t="s">
        <v>13</v>
      </c>
      <c r="O3" s="130"/>
    </row>
    <row r="4" spans="1:15" ht="15.75" customHeight="1" x14ac:dyDescent="0.35">
      <c r="B4" s="30"/>
      <c r="C4" s="30"/>
      <c r="D4" s="75" t="s">
        <v>25</v>
      </c>
      <c r="E4" s="76">
        <f>'4637'!G8</f>
        <v>4112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7" t="s">
        <v>64</v>
      </c>
      <c r="E5" s="78" t="str">
        <f>'4637'!C10</f>
        <v>SALOME VILLAGRAN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9"/>
      <c r="E6" s="80"/>
      <c r="F6" s="30"/>
      <c r="G6" s="30"/>
      <c r="H6" s="30"/>
    </row>
    <row r="7" spans="1:15" ht="18" x14ac:dyDescent="0.35">
      <c r="B7" s="30"/>
      <c r="C7" s="30"/>
      <c r="D7" s="90" t="str">
        <f>'4637'!F11</f>
        <v>FECHA LIMITE :</v>
      </c>
      <c r="E7" s="82">
        <f>'4637'!G11</f>
        <v>45548</v>
      </c>
      <c r="F7" s="30"/>
      <c r="G7" s="30" t="s">
        <v>135</v>
      </c>
      <c r="H7" s="30"/>
    </row>
    <row r="8" spans="1:15" ht="18" x14ac:dyDescent="0.35">
      <c r="B8" s="30"/>
      <c r="C8" s="30"/>
      <c r="D8" s="91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1" t="s">
        <v>58</v>
      </c>
      <c r="C10" s="131"/>
      <c r="D10" s="131"/>
      <c r="E10" s="131"/>
      <c r="F10" s="131"/>
      <c r="G10" s="131"/>
      <c r="H10" s="30"/>
    </row>
    <row r="11" spans="1:15" ht="18" x14ac:dyDescent="0.35">
      <c r="B11" s="30"/>
      <c r="C11" s="30"/>
      <c r="D11" s="92"/>
      <c r="E11" s="30"/>
      <c r="F11" s="30"/>
      <c r="G11" s="30"/>
      <c r="H11" s="30"/>
    </row>
    <row r="12" spans="1:15" ht="18" x14ac:dyDescent="0.35">
      <c r="B12" s="30"/>
      <c r="C12" s="30"/>
      <c r="D12" s="30"/>
      <c r="E12" s="67" t="s">
        <v>6</v>
      </c>
      <c r="F12" s="67" t="s">
        <v>7</v>
      </c>
      <c r="G12" s="30"/>
      <c r="H12" s="30"/>
    </row>
    <row r="13" spans="1:15" ht="18" x14ac:dyDescent="0.35">
      <c r="B13" s="67" t="s">
        <v>8</v>
      </c>
      <c r="C13" s="93" t="s">
        <v>9</v>
      </c>
      <c r="D13" s="93" t="s">
        <v>10</v>
      </c>
      <c r="E13" s="94">
        <v>50</v>
      </c>
      <c r="F13" s="94">
        <v>-30</v>
      </c>
      <c r="G13" s="93" t="s">
        <v>107</v>
      </c>
      <c r="H13" s="30"/>
      <c r="K13" s="5" t="s">
        <v>6</v>
      </c>
      <c r="L13" s="5" t="s">
        <v>7</v>
      </c>
    </row>
    <row r="14" spans="1:15" ht="18" x14ac:dyDescent="0.35">
      <c r="A14" s="113">
        <v>1</v>
      </c>
      <c r="B14" s="103" t="s">
        <v>139</v>
      </c>
      <c r="C14" s="95">
        <f>J14</f>
        <v>2</v>
      </c>
      <c r="D14" s="95"/>
      <c r="E14" s="95">
        <f>K14+E$13</f>
        <v>1650</v>
      </c>
      <c r="F14" s="95">
        <f>L14+F$13</f>
        <v>490</v>
      </c>
      <c r="G14" s="95" t="str">
        <f>D31</f>
        <v>CUB C/R R8</v>
      </c>
      <c r="H14" s="30"/>
      <c r="J14" s="3">
        <f>'4637'!B21</f>
        <v>2</v>
      </c>
      <c r="K14" s="4">
        <f t="shared" ref="K14:L14" si="0">E31</f>
        <v>1600</v>
      </c>
      <c r="L14" s="4">
        <f t="shared" si="0"/>
        <v>520</v>
      </c>
    </row>
    <row r="15" spans="1:15" ht="18" x14ac:dyDescent="0.35">
      <c r="A15" s="113"/>
      <c r="B15" s="67" t="s">
        <v>8</v>
      </c>
      <c r="C15" s="93" t="s">
        <v>9</v>
      </c>
      <c r="D15" s="93" t="s">
        <v>10</v>
      </c>
      <c r="E15" s="94">
        <v>50</v>
      </c>
      <c r="F15" s="94">
        <v>-2</v>
      </c>
      <c r="G15" s="93" t="s">
        <v>107</v>
      </c>
      <c r="H15" s="30"/>
      <c r="J15" s="3"/>
      <c r="K15" s="4"/>
      <c r="L15" s="4"/>
    </row>
    <row r="16" spans="1:15" ht="18" x14ac:dyDescent="0.35">
      <c r="A16" s="113">
        <v>2</v>
      </c>
      <c r="B16" s="103" t="s">
        <v>146</v>
      </c>
      <c r="C16" s="95">
        <f t="shared" ref="C16" si="1">J16</f>
        <v>8</v>
      </c>
      <c r="D16" s="95"/>
      <c r="E16" s="95">
        <f t="shared" ref="E16" si="2">K16+E$13</f>
        <v>740</v>
      </c>
      <c r="F16" s="95">
        <f>L16+F15</f>
        <v>396</v>
      </c>
      <c r="G16" s="95" t="str">
        <f>D32</f>
        <v>PR8</v>
      </c>
      <c r="H16" s="30"/>
      <c r="J16" s="3">
        <f>'4637'!B22</f>
        <v>8</v>
      </c>
      <c r="K16" s="4">
        <f>E32</f>
        <v>690</v>
      </c>
      <c r="L16" s="4">
        <f>F32</f>
        <v>398</v>
      </c>
    </row>
    <row r="17" spans="1:12" ht="18" x14ac:dyDescent="0.35">
      <c r="A17" s="2"/>
      <c r="B17" s="84"/>
      <c r="C17" s="74"/>
      <c r="D17" s="74"/>
      <c r="E17" s="74"/>
      <c r="F17" s="74"/>
      <c r="G17" s="74"/>
      <c r="H17" s="30"/>
      <c r="J17" s="23"/>
      <c r="K17" s="2"/>
      <c r="L17" s="2"/>
    </row>
    <row r="18" spans="1:12" ht="6.75" customHeight="1" x14ac:dyDescent="0.35">
      <c r="A18" s="2"/>
      <c r="B18" s="30"/>
      <c r="C18" s="30"/>
      <c r="D18" s="30"/>
      <c r="E18" s="30"/>
      <c r="F18" s="30"/>
      <c r="G18" s="30"/>
      <c r="H18" s="30"/>
    </row>
    <row r="19" spans="1:12" ht="18" x14ac:dyDescent="0.35">
      <c r="A19" s="2"/>
      <c r="B19" s="131" t="s">
        <v>13</v>
      </c>
      <c r="C19" s="131"/>
      <c r="D19" s="131"/>
      <c r="E19" s="131"/>
      <c r="F19" s="131"/>
      <c r="G19" s="131"/>
      <c r="H19" s="30"/>
    </row>
    <row r="20" spans="1:12" ht="10.5" customHeight="1" x14ac:dyDescent="0.35">
      <c r="A20" s="2"/>
      <c r="B20" s="30"/>
      <c r="C20" s="30"/>
      <c r="D20" s="92"/>
      <c r="E20" s="30"/>
      <c r="F20" s="30"/>
      <c r="G20" s="30"/>
      <c r="H20" s="30"/>
    </row>
    <row r="21" spans="1:12" ht="18" x14ac:dyDescent="0.35">
      <c r="A21" s="2"/>
      <c r="B21" s="30"/>
      <c r="C21" s="30"/>
      <c r="D21" s="30"/>
      <c r="E21" s="67" t="s">
        <v>6</v>
      </c>
      <c r="F21" s="67" t="s">
        <v>7</v>
      </c>
      <c r="G21" s="30"/>
      <c r="H21" s="30"/>
    </row>
    <row r="22" spans="1:12" ht="18" x14ac:dyDescent="0.35">
      <c r="A22" s="2"/>
      <c r="B22" s="67" t="s">
        <v>8</v>
      </c>
      <c r="C22" s="83" t="s">
        <v>9</v>
      </c>
      <c r="D22" s="83" t="s">
        <v>10</v>
      </c>
      <c r="E22" s="96">
        <v>40</v>
      </c>
      <c r="F22" s="96">
        <v>100</v>
      </c>
      <c r="G22" s="83" t="s">
        <v>107</v>
      </c>
      <c r="H22" s="30"/>
      <c r="K22" s="5" t="s">
        <v>6</v>
      </c>
      <c r="L22" s="5" t="s">
        <v>7</v>
      </c>
    </row>
    <row r="23" spans="1:12" ht="18" x14ac:dyDescent="0.35">
      <c r="A23" s="113">
        <v>1</v>
      </c>
      <c r="B23" s="103"/>
      <c r="C23" s="97">
        <f t="shared" ref="C23" si="3">J23</f>
        <v>2</v>
      </c>
      <c r="D23" s="97" t="s">
        <v>147</v>
      </c>
      <c r="E23" s="97">
        <f>K23+E$22</f>
        <v>1640</v>
      </c>
      <c r="F23" s="97">
        <v>610</v>
      </c>
      <c r="G23" s="97" t="str">
        <f>D31</f>
        <v>CUB C/R R8</v>
      </c>
      <c r="H23" s="30"/>
      <c r="J23" s="3">
        <f>C31</f>
        <v>2</v>
      </c>
      <c r="K23" s="107">
        <f>E31</f>
        <v>1600</v>
      </c>
      <c r="L23" s="107">
        <f>F31</f>
        <v>520</v>
      </c>
    </row>
    <row r="24" spans="1:12" ht="18" x14ac:dyDescent="0.35">
      <c r="A24" s="113">
        <v>2</v>
      </c>
      <c r="B24" s="103"/>
      <c r="C24" s="97">
        <f t="shared" ref="C24" si="4">J24</f>
        <v>8</v>
      </c>
      <c r="D24" s="97"/>
      <c r="E24" s="97">
        <f>K24+E$22</f>
        <v>730</v>
      </c>
      <c r="F24" s="97">
        <v>488</v>
      </c>
      <c r="G24" s="97" t="str">
        <f>D32</f>
        <v>PR8</v>
      </c>
      <c r="H24" s="30"/>
      <c r="J24" s="3">
        <f t="shared" ref="J24:J25" si="5">C32</f>
        <v>8</v>
      </c>
      <c r="K24" s="105">
        <f t="shared" ref="K24:L24" si="6">E32</f>
        <v>690</v>
      </c>
      <c r="L24" s="105">
        <f t="shared" si="6"/>
        <v>398</v>
      </c>
    </row>
    <row r="25" spans="1:12" ht="18" x14ac:dyDescent="0.35">
      <c r="A25" s="113">
        <v>3</v>
      </c>
      <c r="B25" s="103"/>
      <c r="C25" s="97">
        <v>2</v>
      </c>
      <c r="D25" s="97"/>
      <c r="E25" s="97">
        <v>830</v>
      </c>
      <c r="F25" s="97">
        <v>470</v>
      </c>
      <c r="G25" s="97" t="s">
        <v>144</v>
      </c>
      <c r="H25" s="30"/>
      <c r="J25" s="3">
        <f t="shared" si="5"/>
        <v>3</v>
      </c>
      <c r="K25" s="106">
        <f t="shared" ref="K25:L25" si="7">E33</f>
        <v>830</v>
      </c>
      <c r="L25" s="106">
        <f t="shared" si="7"/>
        <v>470</v>
      </c>
    </row>
    <row r="26" spans="1:12" ht="18" x14ac:dyDescent="0.35">
      <c r="A26" s="113"/>
      <c r="B26" s="103"/>
      <c r="C26" s="74"/>
      <c r="D26" s="74"/>
      <c r="E26" s="74"/>
      <c r="F26" s="74"/>
      <c r="G26" s="74"/>
      <c r="H26" s="30"/>
      <c r="J26" s="23"/>
      <c r="K26" s="115"/>
      <c r="L26" s="115"/>
    </row>
    <row r="27" spans="1:12" ht="18.600000000000001" thickBot="1" x14ac:dyDescent="0.4">
      <c r="A27" s="2"/>
      <c r="B27" s="84"/>
      <c r="C27" s="74"/>
      <c r="D27" s="74"/>
      <c r="E27" s="74"/>
      <c r="F27" s="74"/>
      <c r="G27" s="74"/>
      <c r="H27" s="30"/>
      <c r="I27" s="111"/>
      <c r="J27" s="112"/>
      <c r="K27" s="112"/>
      <c r="L27" s="112"/>
    </row>
    <row r="28" spans="1:12" ht="18.600000000000001" thickBot="1" x14ac:dyDescent="0.4">
      <c r="A28" s="2"/>
      <c r="B28" s="67"/>
      <c r="C28" s="98" t="s">
        <v>104</v>
      </c>
      <c r="D28" s="33"/>
      <c r="E28" s="33"/>
      <c r="F28" s="33"/>
      <c r="G28" s="99"/>
      <c r="H28" s="30"/>
      <c r="J28" s="2"/>
      <c r="K28" s="2"/>
      <c r="L28" s="2"/>
    </row>
    <row r="29" spans="1:12" ht="10.5" customHeight="1" x14ac:dyDescent="0.35">
      <c r="A29" s="2"/>
      <c r="B29" s="30"/>
      <c r="C29" s="30"/>
      <c r="D29" s="30"/>
      <c r="E29" s="30"/>
      <c r="F29" s="30"/>
      <c r="G29" s="30"/>
      <c r="H29" s="30"/>
    </row>
    <row r="30" spans="1:12" ht="18" x14ac:dyDescent="0.35">
      <c r="A30" s="2"/>
      <c r="B30" s="67" t="s">
        <v>8</v>
      </c>
      <c r="C30" s="100" t="s">
        <v>9</v>
      </c>
      <c r="D30" s="100" t="s">
        <v>107</v>
      </c>
      <c r="E30" s="100" t="s">
        <v>6</v>
      </c>
      <c r="F30" s="100" t="s">
        <v>7</v>
      </c>
      <c r="G30" s="100" t="s">
        <v>21</v>
      </c>
      <c r="H30" s="30"/>
    </row>
    <row r="31" spans="1:12" ht="18" x14ac:dyDescent="0.35">
      <c r="A31" s="113">
        <v>1</v>
      </c>
      <c r="B31" s="103" t="s">
        <v>139</v>
      </c>
      <c r="C31" s="95">
        <f>'4637'!B21</f>
        <v>2</v>
      </c>
      <c r="D31" s="95" t="str">
        <f>'4637'!C21</f>
        <v>CUB C/R R8</v>
      </c>
      <c r="E31" s="95">
        <f>'4637'!D21</f>
        <v>1600</v>
      </c>
      <c r="F31" s="95">
        <f>'4637'!E21</f>
        <v>520</v>
      </c>
      <c r="G31" s="95" t="str">
        <f>'4637'!F21</f>
        <v>FORT GRANITE 42008  BR</v>
      </c>
      <c r="H31" s="30"/>
      <c r="I31" s="28">
        <f>E31*F31/1000000</f>
        <v>0.83199999999999996</v>
      </c>
      <c r="J31" s="28">
        <f>I31*C31</f>
        <v>1.6639999999999999</v>
      </c>
    </row>
    <row r="32" spans="1:12" ht="18" x14ac:dyDescent="0.35">
      <c r="A32" s="113">
        <v>2</v>
      </c>
      <c r="B32" s="103"/>
      <c r="C32" s="95">
        <f>'4637'!B22</f>
        <v>8</v>
      </c>
      <c r="D32" s="95" t="str">
        <f>'4637'!C22</f>
        <v>PR8</v>
      </c>
      <c r="E32" s="95">
        <f>'4637'!D22</f>
        <v>690</v>
      </c>
      <c r="F32" s="95">
        <f>'4637'!E22</f>
        <v>398</v>
      </c>
      <c r="G32" s="95" t="str">
        <f>'4637'!F22</f>
        <v>HUMO 2108 MT</v>
      </c>
      <c r="H32" s="30"/>
      <c r="I32" s="28"/>
      <c r="J32" s="28"/>
    </row>
    <row r="33" spans="1:10" ht="18" x14ac:dyDescent="0.35">
      <c r="A33" s="113">
        <v>3</v>
      </c>
      <c r="C33" s="95">
        <f>'4637'!B23</f>
        <v>3</v>
      </c>
      <c r="D33" s="95" t="str">
        <f>'4637'!C23</f>
        <v>LAMINA</v>
      </c>
      <c r="E33" s="95">
        <f>'4637'!D23</f>
        <v>830</v>
      </c>
      <c r="F33" s="95">
        <f>'4637'!E23</f>
        <v>470</v>
      </c>
      <c r="G33" s="95" t="str">
        <f>'4637'!F23</f>
        <v>HUMO 2108 MT</v>
      </c>
      <c r="H33" s="30"/>
      <c r="I33" s="28"/>
      <c r="J33" s="28"/>
    </row>
    <row r="34" spans="1:10" ht="18" x14ac:dyDescent="0.35">
      <c r="A34" s="2"/>
      <c r="B34" s="84"/>
      <c r="C34" s="74"/>
      <c r="D34" s="74"/>
      <c r="E34" s="74"/>
      <c r="F34" s="74"/>
      <c r="G34" s="74"/>
      <c r="H34" s="30"/>
      <c r="I34" s="28"/>
      <c r="J34" s="28"/>
    </row>
    <row r="35" spans="1:10" ht="18" x14ac:dyDescent="0.35">
      <c r="A35" s="2"/>
      <c r="B35" s="30"/>
      <c r="C35" s="74"/>
      <c r="D35" s="74"/>
      <c r="E35" s="74"/>
      <c r="F35" s="74"/>
      <c r="G35" s="74"/>
      <c r="H35" s="30"/>
    </row>
    <row r="36" spans="1:10" ht="18" x14ac:dyDescent="0.35">
      <c r="A36" s="2"/>
      <c r="B36" s="30"/>
      <c r="C36" s="74"/>
      <c r="D36" s="74"/>
      <c r="E36" s="74"/>
      <c r="F36" s="74"/>
      <c r="G36" s="74"/>
      <c r="H36" s="30"/>
      <c r="J36" s="28">
        <f>SUM(J31:J31)*2</f>
        <v>3.3279999999999998</v>
      </c>
    </row>
    <row r="37" spans="1:10" ht="18" x14ac:dyDescent="0.35">
      <c r="A37" s="2"/>
      <c r="B37" s="30"/>
      <c r="C37" s="74"/>
      <c r="D37" s="74"/>
      <c r="E37" s="74"/>
      <c r="F37" s="74"/>
      <c r="G37" s="74"/>
      <c r="H37" s="30"/>
    </row>
    <row r="38" spans="1:10" ht="18" x14ac:dyDescent="0.35">
      <c r="A38" s="2"/>
      <c r="B38" s="30"/>
      <c r="C38" s="74"/>
      <c r="D38" s="74"/>
      <c r="E38" s="74"/>
      <c r="F38" s="74"/>
      <c r="G38" s="74"/>
      <c r="H38" s="30"/>
    </row>
    <row r="39" spans="1:10" ht="18" x14ac:dyDescent="0.35">
      <c r="A39" s="2"/>
      <c r="B39" s="30"/>
      <c r="C39" s="74"/>
      <c r="D39" s="74"/>
      <c r="E39" s="74"/>
      <c r="F39" s="74"/>
      <c r="G39" s="74"/>
      <c r="H39" s="30"/>
    </row>
    <row r="40" spans="1:10" ht="18" x14ac:dyDescent="0.35">
      <c r="A40" s="2"/>
      <c r="B40" s="30"/>
      <c r="C40" s="74"/>
      <c r="D40" s="74"/>
      <c r="E40" s="74"/>
      <c r="F40" s="74"/>
      <c r="G40" s="74"/>
      <c r="H40" s="30"/>
    </row>
    <row r="41" spans="1:10" ht="18" x14ac:dyDescent="0.35">
      <c r="A41" s="2"/>
      <c r="B41" s="30"/>
      <c r="C41" s="74"/>
      <c r="D41" s="74"/>
      <c r="E41" s="74"/>
      <c r="F41" s="74"/>
      <c r="G41" s="74"/>
      <c r="H41" s="30"/>
    </row>
    <row r="42" spans="1:10" ht="18" x14ac:dyDescent="0.35">
      <c r="A42" s="2"/>
      <c r="B42" s="30"/>
      <c r="C42" s="74"/>
      <c r="D42" s="74"/>
      <c r="E42" s="74"/>
      <c r="F42" s="74"/>
      <c r="G42" s="74"/>
      <c r="H42" s="30"/>
    </row>
    <row r="43" spans="1:10" ht="18" x14ac:dyDescent="0.35">
      <c r="A43" s="2"/>
      <c r="B43" s="30"/>
      <c r="C43" s="74"/>
      <c r="D43" s="74"/>
      <c r="E43" s="74"/>
      <c r="F43" s="74"/>
      <c r="G43" s="74"/>
      <c r="H43" s="30"/>
    </row>
    <row r="44" spans="1:10" ht="18" x14ac:dyDescent="0.35">
      <c r="A44" s="2"/>
      <c r="B44" s="30"/>
      <c r="C44" s="30"/>
      <c r="D44" s="30"/>
      <c r="E44" s="30"/>
      <c r="F44" s="30"/>
      <c r="G44" s="30"/>
      <c r="H44" s="30"/>
    </row>
    <row r="45" spans="1:10" ht="18" x14ac:dyDescent="0.35">
      <c r="A45" s="2"/>
      <c r="B45" s="30"/>
      <c r="C45" s="30"/>
      <c r="D45" s="75" t="s">
        <v>25</v>
      </c>
      <c r="E45" s="76">
        <f>'4637'!G8</f>
        <v>4112</v>
      </c>
      <c r="F45" s="30"/>
      <c r="G45" s="30"/>
      <c r="H45" s="30"/>
    </row>
    <row r="46" spans="1:10" ht="17.25" customHeight="1" x14ac:dyDescent="0.35">
      <c r="A46" s="2"/>
      <c r="B46" s="30"/>
      <c r="C46" s="30"/>
      <c r="D46" s="77" t="s">
        <v>64</v>
      </c>
      <c r="E46" s="78" t="str">
        <f>'4637'!C10</f>
        <v>SALOME VILLAGRAN</v>
      </c>
      <c r="F46" s="48"/>
      <c r="G46" s="48"/>
      <c r="H46" s="30"/>
    </row>
    <row r="47" spans="1:10" ht="4.5" customHeight="1" x14ac:dyDescent="0.35">
      <c r="A47" s="2"/>
      <c r="B47" s="30"/>
      <c r="C47" s="30"/>
      <c r="D47" s="79"/>
      <c r="E47" s="80"/>
      <c r="F47" s="30"/>
      <c r="G47" s="30"/>
      <c r="H47" s="30"/>
    </row>
    <row r="48" spans="1:10" ht="18" x14ac:dyDescent="0.35">
      <c r="A48" s="2"/>
      <c r="B48" s="30"/>
      <c r="C48" s="30"/>
      <c r="D48" s="81" t="str">
        <f>'4637'!F11</f>
        <v>FECHA LIMITE :</v>
      </c>
      <c r="E48" s="82">
        <f>'4637'!G11</f>
        <v>45548</v>
      </c>
      <c r="F48" s="30"/>
      <c r="G48" s="30"/>
      <c r="H48" s="30"/>
    </row>
    <row r="49" spans="1:13" ht="18" x14ac:dyDescent="0.35">
      <c r="A49" s="2"/>
      <c r="B49" s="30"/>
      <c r="C49" s="30"/>
      <c r="D49" s="30"/>
      <c r="E49" s="30"/>
      <c r="F49" s="30"/>
      <c r="G49" s="30" t="s">
        <v>135</v>
      </c>
      <c r="H49" s="30"/>
    </row>
    <row r="50" spans="1:13" ht="18" x14ac:dyDescent="0.35">
      <c r="A50" s="2"/>
      <c r="B50" s="30"/>
      <c r="C50" s="30"/>
      <c r="D50" s="30"/>
      <c r="E50" s="30"/>
      <c r="F50" s="30"/>
      <c r="G50" s="30"/>
      <c r="H50" s="30"/>
    </row>
    <row r="51" spans="1:13" ht="18" x14ac:dyDescent="0.35">
      <c r="A51" s="2"/>
      <c r="B51" s="132" t="s">
        <v>65</v>
      </c>
      <c r="C51" s="132"/>
      <c r="D51" s="132"/>
      <c r="E51" s="132"/>
      <c r="F51" s="132"/>
      <c r="G51" s="132"/>
      <c r="H51" s="30"/>
    </row>
    <row r="52" spans="1:13" ht="18" x14ac:dyDescent="0.35">
      <c r="A52" s="2"/>
      <c r="B52" s="30"/>
      <c r="C52" s="30"/>
      <c r="D52" s="30"/>
      <c r="E52" s="30"/>
      <c r="F52" s="30"/>
      <c r="G52" s="30"/>
      <c r="H52" s="30"/>
    </row>
    <row r="53" spans="1:13" ht="20.100000000000001" customHeight="1" x14ac:dyDescent="0.35">
      <c r="A53" s="2"/>
      <c r="B53" s="30"/>
      <c r="C53" s="133" t="s">
        <v>66</v>
      </c>
      <c r="D53" s="134"/>
      <c r="E53" s="135"/>
      <c r="F53" s="135"/>
      <c r="G53" s="136"/>
      <c r="H53" s="30"/>
      <c r="I53" s="25" t="s">
        <v>130</v>
      </c>
    </row>
    <row r="54" spans="1:13" s="10" customFormat="1" ht="20.100000000000001" customHeight="1" x14ac:dyDescent="0.35">
      <c r="A54" s="114"/>
      <c r="B54" s="30"/>
      <c r="C54" s="85" t="s">
        <v>9</v>
      </c>
      <c r="D54" s="86" t="s">
        <v>10</v>
      </c>
      <c r="E54" s="89" t="s">
        <v>6</v>
      </c>
      <c r="F54" s="89" t="s">
        <v>7</v>
      </c>
      <c r="G54" s="87" t="s">
        <v>11</v>
      </c>
      <c r="H54" s="30"/>
      <c r="K54" s="10">
        <v>15000</v>
      </c>
    </row>
    <row r="55" spans="1:13" s="10" customFormat="1" ht="20.100000000000001" customHeight="1" x14ac:dyDescent="0.35">
      <c r="A55" s="113">
        <v>1</v>
      </c>
      <c r="B55" s="102" t="s">
        <v>139</v>
      </c>
      <c r="C55" s="97">
        <f>'4637'!B21</f>
        <v>2</v>
      </c>
      <c r="D55" s="97" t="str">
        <f>'4637'!C21</f>
        <v>CUB C/R R8</v>
      </c>
      <c r="E55" s="101">
        <f>'4637'!D21</f>
        <v>1600</v>
      </c>
      <c r="F55" s="101">
        <f>'4637'!E21</f>
        <v>520</v>
      </c>
      <c r="G55" s="97" t="str">
        <f>'4637'!F21</f>
        <v>FORT GRANITE 42008  BR</v>
      </c>
      <c r="H55" s="30"/>
      <c r="I55" s="10">
        <f>E55*F55/1000000</f>
        <v>0.83199999999999996</v>
      </c>
      <c r="J55" s="10">
        <f>I55*C55</f>
        <v>1.6639999999999999</v>
      </c>
      <c r="K55" s="26">
        <f>J55*K$54</f>
        <v>24960</v>
      </c>
      <c r="M55" s="24">
        <v>12096</v>
      </c>
    </row>
    <row r="56" spans="1:13" s="10" customFormat="1" ht="20.100000000000001" customHeight="1" x14ac:dyDescent="0.35">
      <c r="A56" s="113">
        <v>2</v>
      </c>
      <c r="B56" s="102"/>
      <c r="C56" s="97">
        <f>'4637'!B22</f>
        <v>8</v>
      </c>
      <c r="D56" s="97" t="str">
        <f>'4637'!C22</f>
        <v>PR8</v>
      </c>
      <c r="E56" s="101">
        <f>'4637'!D22</f>
        <v>690</v>
      </c>
      <c r="F56" s="101">
        <f>'4637'!E22</f>
        <v>398</v>
      </c>
      <c r="G56" s="97" t="str">
        <f>'4637'!F22</f>
        <v>HUMO 2108 MT</v>
      </c>
      <c r="H56" s="30"/>
      <c r="K56" s="26"/>
      <c r="M56" s="29"/>
    </row>
    <row r="57" spans="1:13" s="10" customFormat="1" ht="20.100000000000001" customHeight="1" x14ac:dyDescent="0.35">
      <c r="A57" s="113">
        <v>3</v>
      </c>
      <c r="C57" s="97">
        <f>'4637'!B23</f>
        <v>3</v>
      </c>
      <c r="D57" s="97" t="str">
        <f>'4637'!C23</f>
        <v>LAMINA</v>
      </c>
      <c r="E57" s="101">
        <f>'4637'!D23</f>
        <v>830</v>
      </c>
      <c r="F57" s="101">
        <f>'4637'!E23</f>
        <v>470</v>
      </c>
      <c r="G57" s="97" t="str">
        <f>'4637'!F23</f>
        <v>HUMO 2108 MT</v>
      </c>
      <c r="H57" s="30"/>
      <c r="K57" s="26"/>
      <c r="M57" s="29"/>
    </row>
    <row r="58" spans="1:13" s="10" customFormat="1" ht="15" customHeight="1" x14ac:dyDescent="0.35">
      <c r="B58" s="84"/>
      <c r="C58" s="67"/>
      <c r="D58" s="67"/>
      <c r="E58" s="67"/>
      <c r="F58" s="67"/>
      <c r="G58" s="67"/>
      <c r="H58" s="30"/>
    </row>
    <row r="59" spans="1:13" ht="18" x14ac:dyDescent="0.35">
      <c r="B59" s="74"/>
      <c r="C59" s="74"/>
      <c r="D59" s="30"/>
      <c r="E59" s="74"/>
      <c r="F59" s="74"/>
      <c r="G59" s="79"/>
      <c r="H59" s="30"/>
    </row>
    <row r="60" spans="1:13" ht="18" x14ac:dyDescent="0.35">
      <c r="B60" s="74"/>
      <c r="C60" s="74"/>
      <c r="D60" s="30"/>
      <c r="E60" s="74"/>
      <c r="F60" s="74"/>
      <c r="G60" s="74"/>
      <c r="H60" s="30"/>
      <c r="J60" s="10">
        <f>SUM(J55:J55)</f>
        <v>1.6639999999999999</v>
      </c>
      <c r="K60" s="27">
        <f>SUM(K55:K55)</f>
        <v>24960</v>
      </c>
    </row>
    <row r="61" spans="1:13" ht="18" x14ac:dyDescent="0.35">
      <c r="B61" s="30"/>
      <c r="C61" s="30"/>
      <c r="D61" s="30"/>
      <c r="E61" s="30"/>
      <c r="F61" s="30"/>
      <c r="G61" s="30"/>
      <c r="H61" s="30"/>
    </row>
    <row r="62" spans="1:13" ht="18" x14ac:dyDescent="0.35">
      <c r="B62" s="30"/>
      <c r="C62" s="30"/>
      <c r="D62" s="30"/>
      <c r="E62" s="30"/>
      <c r="F62" s="30"/>
      <c r="G62" s="30"/>
      <c r="H62" s="30"/>
    </row>
    <row r="63" spans="1:13" ht="18" x14ac:dyDescent="0.35">
      <c r="B63" s="30"/>
      <c r="C63" s="30"/>
      <c r="D63" s="30"/>
      <c r="E63" s="30"/>
      <c r="F63" s="30"/>
      <c r="G63" s="30"/>
      <c r="H63" s="30"/>
    </row>
    <row r="64" spans="1:13" ht="15" customHeight="1" x14ac:dyDescent="0.35">
      <c r="B64" s="30"/>
      <c r="C64" s="30"/>
      <c r="D64" s="30"/>
      <c r="E64" s="30"/>
      <c r="F64" s="30"/>
      <c r="G64" s="30"/>
      <c r="H64" s="30"/>
    </row>
    <row r="65" spans="2:8" ht="18" x14ac:dyDescent="0.35">
      <c r="B65" s="30"/>
      <c r="C65" s="30"/>
      <c r="D65" s="30"/>
      <c r="E65" s="30"/>
      <c r="F65" s="30"/>
      <c r="G65" s="30"/>
      <c r="H65" s="30"/>
    </row>
    <row r="66" spans="2:8" ht="18" x14ac:dyDescent="0.35">
      <c r="B66" s="74"/>
      <c r="C66" s="88"/>
      <c r="D66" s="30"/>
      <c r="E66" s="30"/>
      <c r="F66" s="30"/>
      <c r="G66" s="30"/>
      <c r="H66" s="30"/>
    </row>
    <row r="67" spans="2:8" ht="18" x14ac:dyDescent="0.35">
      <c r="B67" s="30"/>
      <c r="C67" s="30"/>
      <c r="D67" s="30"/>
      <c r="E67" s="30"/>
      <c r="F67" s="30"/>
      <c r="G67" s="30"/>
      <c r="H67" s="30"/>
    </row>
    <row r="68" spans="2:8" x14ac:dyDescent="0.3">
      <c r="C68" s="14"/>
      <c r="D68" s="14"/>
      <c r="F68" s="14"/>
      <c r="G68" s="14"/>
    </row>
    <row r="69" spans="2:8" x14ac:dyDescent="0.3">
      <c r="C69" s="14"/>
      <c r="D69" s="14"/>
      <c r="F69" s="14"/>
      <c r="G69" s="14"/>
    </row>
  </sheetData>
  <mergeCells count="6">
    <mergeCell ref="N3:O3"/>
    <mergeCell ref="B19:G19"/>
    <mergeCell ref="B10:G10"/>
    <mergeCell ref="B51:G51"/>
    <mergeCell ref="C53:G53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2024-09-09T14:51:56Z</cp:lastPrinted>
  <dcterms:created xsi:type="dcterms:W3CDTF">2013-03-19T12:54:14Z</dcterms:created>
  <dcterms:modified xsi:type="dcterms:W3CDTF">2024-09-09T14:52:52Z</dcterms:modified>
</cp:coreProperties>
</file>