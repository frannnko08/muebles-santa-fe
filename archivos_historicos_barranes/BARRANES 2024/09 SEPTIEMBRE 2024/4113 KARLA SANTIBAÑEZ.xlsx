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89C4F5C6-B066-47FB-B8E1-A355F3F82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3" l="1"/>
  <c r="C51" i="3"/>
  <c r="D51" i="3"/>
  <c r="E51" i="3"/>
  <c r="F51" i="3"/>
  <c r="H22" i="4"/>
  <c r="H21" i="4"/>
  <c r="H26" i="4" s="1"/>
  <c r="E44" i="3" l="1" a="1"/>
  <c r="E44" i="3" s="1"/>
  <c r="L21" i="4" l="1"/>
  <c r="K21" i="4"/>
  <c r="H28" i="4" l="1"/>
  <c r="M21" i="4"/>
  <c r="N21" i="4" s="1"/>
  <c r="B28" i="3" l="1"/>
  <c r="I21" i="3" s="1"/>
  <c r="B21" i="3" s="1"/>
  <c r="C28" i="3"/>
  <c r="F21" i="3" s="1"/>
  <c r="D28" i="3"/>
  <c r="E28" i="3"/>
  <c r="K21" i="3" s="1"/>
  <c r="E21" i="3" s="1"/>
  <c r="F28" i="3"/>
  <c r="B50" i="3"/>
  <c r="C50" i="3"/>
  <c r="D50" i="3"/>
  <c r="E50" i="3"/>
  <c r="F50" i="3"/>
  <c r="H28" i="3" l="1"/>
  <c r="I28" i="3" s="1"/>
  <c r="J21" i="3"/>
  <c r="D21" i="3" s="1"/>
  <c r="H50" i="3"/>
  <c r="I50" i="3" s="1"/>
  <c r="J14" i="3"/>
  <c r="D14" i="3" s="1"/>
  <c r="I14" i="3"/>
  <c r="B14" i="3" s="1"/>
  <c r="F14" i="3"/>
  <c r="K14" i="3"/>
  <c r="E14" i="3" s="1"/>
  <c r="I54" i="3" l="1"/>
  <c r="I30" i="3"/>
  <c r="J50" i="3"/>
  <c r="N5" i="3"/>
  <c r="J54" i="3" l="1"/>
  <c r="M5" i="3"/>
  <c r="L5" i="3"/>
  <c r="K5" i="3"/>
  <c r="C42" i="3" l="1"/>
  <c r="C7" i="3"/>
  <c r="D40" i="3"/>
  <c r="D5" i="3"/>
  <c r="D3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<sst xmlns="http://schemas.openxmlformats.org/spreadsheetml/2006/main" count="251" uniqueCount="147">
  <si>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</si>
  <si>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</si>
  <si>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</si>
  <si>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</si>
  <si>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</si>
  <si>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</si>
  <si>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</si>
  <si>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</si>
  <si>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</si>
  <si>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</si>
  <si>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</si>
  <si>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</si>
  <si>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</si>
  <si>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</si>
  <si>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</si>
  <si>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</si>
  <si>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</si>
  <si>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</si>
  <si>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</si>
  <si>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</si>
  <si>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</si>
  <si>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</si>
  <si>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</si>
  <si>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</si>
  <si>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</si>
  <si>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</si>
  <si>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</si>
  <si>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</si>
  <si>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</si>
  <si>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</si>
  <si>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</si>
  <si>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</si>
  <si>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</si>
  <si>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</si>
  <si>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</si>
  <si>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</si>
  <si>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</si>
  <si>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</si>
  <si>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</si>
  <si>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</si>
  <si>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</si>
  <si>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</si>
  <si>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</si>
  <si>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</si>
  <si>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</si>
  <si>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</si>
  <si>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</si>
  <si>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</si>
  <si>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</si>
  <si>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</si>
  <si>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</si>
  <si>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</si>
  <si>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</si>
  <si>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</si>
  <si>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</si>
  <si>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</si>
  <si>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</si>
  <si>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</si>
  <si>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</si>
  <si>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</si>
  <si>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</si>
  <si>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</si>
  <si>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</si>
  <si>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</si>
  <si>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</si>
  <si>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</si>
  <si>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</si>
  <si>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</si>
  <si>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</si>
  <si>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</si>
  <si>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</si>
  <si>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</si>
  <si>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</si>
  <si>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</si>
  <si>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</si>
  <si>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</si>
  <si>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</si>
  <si>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</si>
  <si>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</si>
  <si>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</si>
  <si>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</si>
  <si>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</si>
  <si>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</si>
  <si>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</si>
  <si>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</si>
  <si>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</si>
  <si>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</si>
  <si>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</si>
  <si>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</si>
  <si>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</si>
  <si>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</si>
  <si>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</si>
  <si>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</si>
  <si>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</si>
  <si>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</si>
  <si>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</si>
  <si>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</si>
  <si>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</si>
  <si>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</si>
  <si>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</si>
  <si>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</si>
  <si>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</si>
  <si>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</si>
  <si>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</si>
  <si>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</si>
  <si>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</si>
  <si>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</si>
  <si>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</si>
  <si>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</si>
  <si>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</si>
  <si>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</si>
  <si>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</si>
  <si>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</si>
  <si>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</si>
  <si>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</si>
  <si>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</si>
  <si>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</si>
  <si>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</si>
  <si>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</si>
  <si>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</si>
  <si>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</si>
  <si>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</si>
  <si>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</si>
  <si>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</si>
  <si>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</si>
  <si>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</si>
  <si>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</si>
  <si>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</si>
  <si>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</si>
  <si>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</si>
  <si>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</si>
  <si>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</si>
  <si>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</si>
  <si>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</si>
  <si>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</si>
  <si>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</si>
  <si>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</si>
  <si>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</si>
  <si>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</si>
  <si>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</si>
  <si>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</si>
  <si>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N° 11056</t>
  </si>
  <si>
    <t>M. VERONICA SALAZAR H.</t>
  </si>
  <si>
    <t>+569 963607922</t>
  </si>
  <si>
    <t>NEGRO OPACO</t>
  </si>
  <si>
    <t>DESPACHO A DOMICILIO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</si>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</sst>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rgb="FF5133AB"/>
      <name val="Times New Roman"/>
      <family val="1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9" fillId="9" borderId="0" xfId="0" applyFont="1" applyFill="1"/>
    <xf numFmtId="0" fontId="11" fillId="9" borderId="9" xfId="2" applyFont="1" applyFill="1" applyBorder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left" indent="1"/>
    </xf>
    <xf numFmtId="0" fontId="22" fillId="0" borderId="0" xfId="0" applyFont="1" applyAlignment="1">
      <alignment horizontal="left"/>
    </xf>
    <xf numFmtId="0" fontId="21" fillId="3" borderId="0" xfId="0" applyFont="1" applyFill="1" applyAlignment="1">
      <alignment horizontal="left" indent="1"/>
    </xf>
    <xf numFmtId="0" fontId="23" fillId="3" borderId="0" xfId="0" applyFont="1" applyFill="1" applyAlignment="1">
      <alignment horizontal="left"/>
    </xf>
    <xf numFmtId="0" fontId="20" fillId="3" borderId="0" xfId="0" applyFont="1" applyFill="1"/>
    <xf numFmtId="0" fontId="20" fillId="0" borderId="0" xfId="0" applyFont="1" applyAlignment="1">
      <alignment horizontal="left" indent="1"/>
    </xf>
    <xf numFmtId="14" fontId="20" fillId="0" borderId="0" xfId="0" applyNumberFormat="1" applyFont="1" applyAlignment="1">
      <alignment horizontal="right" vertical="top"/>
    </xf>
    <xf numFmtId="14" fontId="21" fillId="0" borderId="0" xfId="0" applyNumberFormat="1" applyFont="1" applyAlignment="1">
      <alignment horizontal="left" indent="1"/>
    </xf>
    <xf numFmtId="14" fontId="22" fillId="0" borderId="0" xfId="0" applyNumberFormat="1" applyFont="1" applyAlignment="1">
      <alignment horizontal="left" wrapText="1" shrinkToFit="1"/>
    </xf>
    <xf numFmtId="0" fontId="22" fillId="0" borderId="0" xfId="0" applyFont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2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2" fillId="3" borderId="0" xfId="0" applyFont="1" applyFill="1" applyAlignment="1">
      <alignment horizontal="left"/>
    </xf>
    <xf numFmtId="14" fontId="21" fillId="0" borderId="0" xfId="0" applyNumberFormat="1" applyFont="1" applyAlignment="1">
      <alignment horizontal="left" vertical="top" indent="1"/>
    </xf>
    <xf numFmtId="0" fontId="20" fillId="0" borderId="0" xfId="0" applyFont="1" applyAlignment="1">
      <alignment horizontal="left"/>
    </xf>
    <xf numFmtId="0" fontId="23" fillId="0" borderId="0" xfId="0" applyFont="1"/>
    <xf numFmtId="0" fontId="22" fillId="0" borderId="11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0" fillId="6" borderId="28" xfId="0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0" fillId="6" borderId="23" xfId="0" applyFont="1" applyFill="1" applyBorder="1" applyAlignment="1">
      <alignment horizontal="center"/>
    </xf>
    <xf numFmtId="0" fontId="22" fillId="0" borderId="1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5" fillId="0" borderId="0" xfId="2" quotePrefix="1" applyFont="1" applyFill="1" applyBorder="1" applyAlignment="1">
      <alignment horizontal="left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3" borderId="20" xfId="0" applyFont="1" applyFill="1" applyBorder="1" applyAlignment="1">
      <alignment horizontal="left" vertical="top" indent="28"/>
    </xf>
    <xf numFmtId="0" fontId="22" fillId="3" borderId="21" xfId="0" applyFont="1" applyFill="1" applyBorder="1" applyAlignment="1">
      <alignment horizontal="left" vertical="top" indent="28"/>
    </xf>
    <xf numFmtId="0" fontId="22" fillId="3" borderId="25" xfId="0" applyFont="1" applyFill="1" applyBorder="1" applyAlignment="1">
      <alignment horizontal="left" vertical="top" indent="28"/>
    </xf>
    <xf numFmtId="0" fontId="22" fillId="3" borderId="19" xfId="0" applyFont="1" applyFill="1" applyBorder="1" applyAlignment="1">
      <alignment horizontal="left" vertical="top" indent="28"/>
    </xf>
    <xf numFmtId="0" fontId="4" fillId="3" borderId="4" xfId="0" applyFont="1" applyFill="1" applyBorder="1"/>
    <xf numFmtId="0" fontId="26" fillId="0" borderId="0" xfId="0" applyFont="1"/>
    <xf numFmtId="0" fontId="5" fillId="0" borderId="0" xfId="2"/>
    <xf numFmtId="0" fontId="27" fillId="3" borderId="9" xfId="2" applyFont="1" applyFill="1" applyBorder="1" applyAlignment="1">
      <alignment horizontal="left"/>
    </xf>
    <xf numFmtId="0" fontId="10" fillId="0" borderId="1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65" fontId="10" fillId="0" borderId="28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24</xdr:row>
      <xdr:rowOff>107</xdr:rowOff>
    </xdr:from>
    <xdr:to>
      <xdr:col>5</xdr:col>
      <xdr:colOff>1422971</xdr:colOff>
      <xdr:row>28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76.467.- 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46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228601</xdr:rowOff>
    </xdr:from>
    <xdr:to>
      <xdr:col>6</xdr:col>
      <xdr:colOff>0</xdr:colOff>
      <xdr:row>40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52</xdr:row>
      <xdr:rowOff>0</xdr:rowOff>
    </xdr:from>
    <xdr:to>
      <xdr:col>3</xdr:col>
      <xdr:colOff>323850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29</xdr:row>
      <xdr:rowOff>5714</xdr:rowOff>
    </xdr:from>
    <xdr:to>
      <xdr:col>6</xdr:col>
      <xdr:colOff>0</xdr:colOff>
      <xdr:row>31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MAS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 PERFORACIONES PASA CABLE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23</xdr:row>
      <xdr:rowOff>152400</xdr:rowOff>
    </xdr:from>
    <xdr:to>
      <xdr:col>6</xdr:col>
      <xdr:colOff>9524</xdr:colOff>
      <xdr:row>24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55</xdr:row>
      <xdr:rowOff>28575</xdr:rowOff>
    </xdr:from>
    <xdr:to>
      <xdr:col>5</xdr:col>
      <xdr:colOff>2386965</xdr:colOff>
      <xdr:row>58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MAS 3 PERFORACIONES PASA CABLE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38</xdr:row>
      <xdr:rowOff>22860</xdr:rowOff>
    </xdr:from>
    <xdr:to>
      <xdr:col>1</xdr:col>
      <xdr:colOff>672223</xdr:colOff>
      <xdr:row>43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topLeftCell="A3" zoomScale="89" zoomScaleNormal="89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141</v>
      </c>
      <c r="E8" s="28"/>
      <c r="F8" s="34" t="s">
        <v>26</v>
      </c>
      <c r="G8" s="35">
        <v>4114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138" t="s">
        <v>142</v>
      </c>
      <c r="D10" s="56"/>
      <c r="E10" s="56"/>
      <c r="F10" s="57" t="s">
        <v>27</v>
      </c>
      <c r="G10" s="58">
        <v>45559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18.600000000000001" x14ac:dyDescent="0.4">
      <c r="A11" s="28"/>
      <c r="B11" s="60" t="s">
        <v>2</v>
      </c>
      <c r="C11" s="139"/>
      <c r="D11" s="61"/>
      <c r="E11" s="61"/>
      <c r="F11" s="61" t="s">
        <v>120</v>
      </c>
      <c r="G11" s="62">
        <v>45561</v>
      </c>
      <c r="H11" s="63"/>
      <c r="I11" s="1"/>
    </row>
    <row r="12" spans="1:17" ht="18.600000000000001" x14ac:dyDescent="0.4">
      <c r="A12" s="28"/>
      <c r="B12" s="60" t="s">
        <v>126</v>
      </c>
      <c r="C12" s="139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40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1" t="s">
        <v>143</v>
      </c>
      <c r="D15" s="68"/>
      <c r="E15" s="61"/>
      <c r="F15" s="65" t="s">
        <v>73</v>
      </c>
      <c r="G15" s="65" t="s">
        <v>128</v>
      </c>
      <c r="H15" s="63"/>
      <c r="I15" s="1"/>
    </row>
    <row r="16" spans="1:17" ht="18.600000000000001" x14ac:dyDescent="0.4">
      <c r="A16" s="28"/>
      <c r="B16" s="60" t="s">
        <v>1</v>
      </c>
      <c r="C16" s="139"/>
      <c r="D16" s="61"/>
      <c r="E16" s="61"/>
      <c r="F16" s="122" t="s">
        <v>18</v>
      </c>
      <c r="G16" s="122"/>
      <c r="H16" s="123"/>
      <c r="I16" s="1"/>
    </row>
    <row r="17" spans="1:16" ht="18.600000000000001" thickBot="1" x14ac:dyDescent="0.4">
      <c r="A17" s="28"/>
      <c r="B17" s="66" t="s">
        <v>3</v>
      </c>
      <c r="C17" s="141" t="s">
        <v>140</v>
      </c>
      <c r="D17" s="69"/>
      <c r="E17" s="67"/>
      <c r="F17" s="127"/>
      <c r="G17" s="127"/>
      <c r="H17" s="128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4" t="s">
        <v>19</v>
      </c>
      <c r="C19" s="125"/>
      <c r="D19" s="125"/>
      <c r="E19" s="125"/>
      <c r="F19" s="125"/>
      <c r="G19" s="125"/>
      <c r="H19" s="126"/>
      <c r="I19" s="1"/>
    </row>
    <row r="20" spans="1:16" ht="18" customHeight="1" thickBot="1" x14ac:dyDescent="0.4">
      <c r="A20" s="28"/>
      <c r="B20" s="106" t="s">
        <v>127</v>
      </c>
      <c r="C20" s="107" t="s">
        <v>20</v>
      </c>
      <c r="D20" s="107" t="s">
        <v>21</v>
      </c>
      <c r="E20" s="107" t="s">
        <v>8</v>
      </c>
      <c r="F20" s="107" t="s">
        <v>22</v>
      </c>
      <c r="G20" s="107" t="s">
        <v>23</v>
      </c>
      <c r="H20" s="108" t="s">
        <v>4</v>
      </c>
      <c r="I20" s="1"/>
      <c r="N20">
        <v>14000</v>
      </c>
    </row>
    <row r="21" spans="1:16" ht="19.5" customHeight="1" thickBot="1" x14ac:dyDescent="0.4">
      <c r="A21" s="28"/>
      <c r="B21" s="142">
        <v>1</v>
      </c>
      <c r="C21" s="143" t="s">
        <v>105</v>
      </c>
      <c r="D21" s="151">
        <v>1600</v>
      </c>
      <c r="E21" s="151">
        <v>550</v>
      </c>
      <c r="F21" s="145" t="s">
        <v>144</v>
      </c>
      <c r="G21" s="146">
        <v>111485</v>
      </c>
      <c r="H21" s="147">
        <f t="shared" ref="H21:H22" si="0">G21*B21</f>
        <v>111485</v>
      </c>
      <c r="I21" s="1"/>
      <c r="K21" s="11">
        <f t="shared" ref="K21:L21" si="1">D21/1000</f>
        <v>1.6</v>
      </c>
      <c r="L21" s="14">
        <f t="shared" si="1"/>
        <v>0.55000000000000004</v>
      </c>
      <c r="M21" s="11">
        <f>K21*L21</f>
        <v>0.88000000000000012</v>
      </c>
      <c r="N21" s="11">
        <f>M21*N$20</f>
        <v>12320.000000000002</v>
      </c>
      <c r="O21" s="14"/>
      <c r="P21" s="20"/>
    </row>
    <row r="22" spans="1:16" ht="19.5" customHeight="1" x14ac:dyDescent="0.35">
      <c r="A22" s="28"/>
      <c r="B22" s="142">
        <v>1</v>
      </c>
      <c r="C22" s="143" t="s">
        <v>145</v>
      </c>
      <c r="D22" s="144"/>
      <c r="E22" s="144"/>
      <c r="F22" s="145"/>
      <c r="G22" s="146">
        <v>20000</v>
      </c>
      <c r="H22" s="147">
        <f t="shared" si="0"/>
        <v>20000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48"/>
      <c r="C23" s="149"/>
      <c r="D23" s="150"/>
      <c r="E23" s="150"/>
      <c r="F23" s="148"/>
      <c r="G23" s="115"/>
      <c r="H23" s="115"/>
      <c r="I23" s="1"/>
      <c r="K23" s="11"/>
      <c r="L23" s="14"/>
      <c r="M23" s="11"/>
      <c r="N23" s="11"/>
      <c r="O23" s="14"/>
      <c r="P23" s="20"/>
    </row>
    <row r="24" spans="1:16" ht="18" customHeight="1" x14ac:dyDescent="0.35">
      <c r="A24" s="28"/>
      <c r="B24" s="37"/>
      <c r="C24" s="37"/>
      <c r="D24" s="38"/>
      <c r="E24" s="38"/>
      <c r="F24" s="37"/>
      <c r="G24" s="39"/>
      <c r="H24" s="39"/>
      <c r="I24" s="1"/>
      <c r="K24" s="11"/>
      <c r="L24" s="14"/>
      <c r="M24" s="11"/>
      <c r="N24" s="11"/>
      <c r="O24" s="14"/>
      <c r="P24" s="20"/>
    </row>
    <row r="25" spans="1:16" ht="8.25" customHeight="1" thickBot="1" x14ac:dyDescent="0.4">
      <c r="A25" s="28"/>
      <c r="B25" s="40"/>
      <c r="C25" s="40"/>
      <c r="D25" s="40"/>
      <c r="E25" s="40"/>
      <c r="F25" s="40"/>
      <c r="G25" s="41"/>
      <c r="H25" s="41"/>
      <c r="I25" s="1"/>
    </row>
    <row r="26" spans="1:16" ht="18" x14ac:dyDescent="0.35">
      <c r="A26" s="28"/>
      <c r="B26" s="28"/>
      <c r="C26" s="28"/>
      <c r="D26" s="28"/>
      <c r="E26" s="28"/>
      <c r="F26" s="28"/>
      <c r="G26" s="42" t="s">
        <v>5</v>
      </c>
      <c r="H26" s="43">
        <f>SUM(H21:H25)</f>
        <v>131485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44" t="s">
        <v>6</v>
      </c>
      <c r="H27" s="45"/>
      <c r="I27" s="1"/>
    </row>
    <row r="28" spans="1:16" ht="18.600000000000001" thickBot="1" x14ac:dyDescent="0.4">
      <c r="A28" s="28"/>
      <c r="B28" s="28"/>
      <c r="C28" s="28"/>
      <c r="D28" s="28"/>
      <c r="E28" s="28"/>
      <c r="F28" s="28"/>
      <c r="G28" s="46" t="s">
        <v>4</v>
      </c>
      <c r="H28" s="47">
        <f>H26+H27</f>
        <v>131485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29"/>
      <c r="H29" s="48"/>
      <c r="I29" s="1"/>
    </row>
    <row r="30" spans="1:16" ht="18" x14ac:dyDescent="0.35">
      <c r="A30" s="28"/>
      <c r="B30" s="28"/>
      <c r="C30" s="28"/>
      <c r="D30" s="28"/>
      <c r="E30" s="28"/>
      <c r="F30" s="28"/>
      <c r="G30" s="28"/>
      <c r="H30" s="28"/>
      <c r="I30" s="1"/>
    </row>
    <row r="31" spans="1:16" ht="18" x14ac:dyDescent="0.35">
      <c r="A31" s="28"/>
      <c r="B31" s="49" t="s">
        <v>134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49" t="s">
        <v>119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28" t="s">
        <v>24</v>
      </c>
      <c r="C33" s="28"/>
      <c r="D33" s="28"/>
      <c r="E33" s="52" t="s">
        <v>25</v>
      </c>
      <c r="F33" s="28"/>
      <c r="G33" s="28"/>
      <c r="H33" s="28"/>
      <c r="I33" s="1"/>
    </row>
    <row r="34" spans="1:9" ht="18" x14ac:dyDescent="0.35">
      <c r="A34" s="28"/>
      <c r="B34" s="28"/>
      <c r="C34" s="28"/>
      <c r="D34" s="28"/>
      <c r="E34" s="52"/>
      <c r="F34" s="28"/>
      <c r="G34" s="28"/>
      <c r="H34" s="28"/>
      <c r="I34" s="1"/>
    </row>
    <row r="35" spans="1:9" ht="18" x14ac:dyDescent="0.35">
      <c r="A35" s="28"/>
      <c r="B35" s="30" t="s">
        <v>130</v>
      </c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/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 t="s">
        <v>131</v>
      </c>
      <c r="C37" s="28"/>
      <c r="D37" s="28"/>
      <c r="E37" s="52"/>
      <c r="F37" s="28"/>
      <c r="G37" s="28"/>
      <c r="H37" s="28"/>
      <c r="I37" s="1"/>
    </row>
    <row r="38" spans="1:9" ht="15.6" x14ac:dyDescent="0.3">
      <c r="A38" s="1"/>
      <c r="B38" s="1"/>
      <c r="C38" s="1"/>
      <c r="D38" s="1"/>
      <c r="E38" s="22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3">
    <mergeCell ref="F16:H16"/>
    <mergeCell ref="B19:H19"/>
    <mergeCell ref="F17:H17"/>
  </mergeCells>
  <phoneticPr fontId="8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29</v>
      </c>
      <c r="C2" s="129"/>
      <c r="D2" s="129"/>
      <c r="E2" s="12"/>
      <c r="G2" s="129" t="s">
        <v>68</v>
      </c>
      <c r="H2" s="129"/>
      <c r="I2" s="129"/>
      <c r="P2" s="130" t="s">
        <v>56</v>
      </c>
      <c r="Q2" s="130"/>
      <c r="R2" s="130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0" t="s">
        <v>56</v>
      </c>
      <c r="M8" s="130"/>
      <c r="N8" s="130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zoomScaleNormal="100" workbookViewId="0">
      <selection activeCell="E13" sqref="E13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0"/>
      <c r="B1" s="70"/>
      <c r="C1" s="70"/>
      <c r="D1" s="70"/>
      <c r="E1" s="70"/>
      <c r="F1" s="70"/>
      <c r="G1" s="28"/>
    </row>
    <row r="2" spans="1:14" ht="16.5" customHeight="1" x14ac:dyDescent="0.4">
      <c r="A2" s="70"/>
      <c r="B2" s="70"/>
      <c r="C2" s="70"/>
      <c r="D2" s="70"/>
      <c r="E2" s="70"/>
      <c r="F2" s="70"/>
      <c r="G2" s="28"/>
      <c r="K2" s="21" t="s">
        <v>122</v>
      </c>
      <c r="L2" s="21"/>
      <c r="M2" s="21"/>
    </row>
    <row r="3" spans="1:14" ht="21" x14ac:dyDescent="0.4">
      <c r="A3" s="70"/>
      <c r="B3" s="70"/>
      <c r="C3" s="70"/>
      <c r="D3" s="70"/>
      <c r="E3" s="70"/>
      <c r="F3" s="70"/>
      <c r="G3" s="28"/>
      <c r="K3" s="131" t="s">
        <v>59</v>
      </c>
      <c r="L3" s="131"/>
      <c r="M3" s="131" t="s">
        <v>14</v>
      </c>
      <c r="N3" s="131"/>
    </row>
    <row r="4" spans="1:14" ht="15.75" customHeight="1" x14ac:dyDescent="0.4">
      <c r="A4" s="70"/>
      <c r="B4" s="70"/>
      <c r="C4" s="71" t="s">
        <v>26</v>
      </c>
      <c r="D4" s="72">
        <f>'4637'!G8</f>
        <v>4114</v>
      </c>
      <c r="E4" s="70"/>
      <c r="F4" s="70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0"/>
      <c r="B5" s="70"/>
      <c r="C5" s="73" t="s">
        <v>65</v>
      </c>
      <c r="D5" s="89" t="str">
        <f>'4637'!C10</f>
        <v>M. VERONICA SALAZAR H.</v>
      </c>
      <c r="E5" s="75"/>
      <c r="F5" s="75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0"/>
      <c r="B6" s="70"/>
      <c r="C6" s="76"/>
      <c r="D6" s="77"/>
      <c r="E6" s="70"/>
      <c r="F6" s="70"/>
      <c r="G6" s="28"/>
    </row>
    <row r="7" spans="1:14" ht="21" x14ac:dyDescent="0.4">
      <c r="A7" s="70"/>
      <c r="B7" s="70"/>
      <c r="C7" s="90" t="str">
        <f>'4637'!F11</f>
        <v>FECHA LIMITE :</v>
      </c>
      <c r="D7" s="79"/>
      <c r="E7" s="70"/>
      <c r="F7" s="70" t="s">
        <v>139</v>
      </c>
      <c r="G7" s="28"/>
    </row>
    <row r="8" spans="1:14" ht="21" x14ac:dyDescent="0.4">
      <c r="A8" s="70"/>
      <c r="B8" s="70"/>
      <c r="C8" s="91" t="s">
        <v>121</v>
      </c>
      <c r="D8" s="70"/>
      <c r="E8" s="70"/>
      <c r="F8" s="70"/>
      <c r="G8" s="28"/>
    </row>
    <row r="9" spans="1:14" ht="21" x14ac:dyDescent="0.4">
      <c r="A9" s="70"/>
      <c r="B9" s="70"/>
      <c r="C9" s="70"/>
      <c r="D9" s="70"/>
      <c r="E9" s="70"/>
      <c r="F9" s="70"/>
      <c r="G9" s="28"/>
    </row>
    <row r="10" spans="1:14" ht="15" customHeight="1" x14ac:dyDescent="0.4">
      <c r="A10" s="132" t="s">
        <v>59</v>
      </c>
      <c r="B10" s="132"/>
      <c r="C10" s="132"/>
      <c r="D10" s="132"/>
      <c r="E10" s="132"/>
      <c r="F10" s="132"/>
      <c r="G10" s="28"/>
    </row>
    <row r="11" spans="1:14" ht="21" x14ac:dyDescent="0.4">
      <c r="A11" s="70"/>
      <c r="B11" s="70"/>
      <c r="C11" s="92"/>
      <c r="D11" s="70"/>
      <c r="E11" s="70"/>
      <c r="F11" s="70"/>
      <c r="G11" s="28"/>
    </row>
    <row r="12" spans="1:14" ht="21.6" thickBot="1" x14ac:dyDescent="0.45">
      <c r="A12" s="70"/>
      <c r="B12" s="70"/>
      <c r="C12" s="70"/>
      <c r="D12" s="80" t="s">
        <v>7</v>
      </c>
      <c r="E12" s="80" t="s">
        <v>8</v>
      </c>
      <c r="F12" s="70"/>
      <c r="G12" s="28"/>
    </row>
    <row r="13" spans="1:14" ht="21" x14ac:dyDescent="0.4">
      <c r="A13" s="80" t="s">
        <v>9</v>
      </c>
      <c r="B13" s="93" t="s">
        <v>10</v>
      </c>
      <c r="C13" s="94" t="s">
        <v>11</v>
      </c>
      <c r="D13" s="95">
        <v>50</v>
      </c>
      <c r="E13" s="95"/>
      <c r="F13" s="96" t="s">
        <v>107</v>
      </c>
      <c r="G13" s="28"/>
      <c r="J13" s="5" t="s">
        <v>7</v>
      </c>
      <c r="K13" s="5" t="s">
        <v>8</v>
      </c>
    </row>
    <row r="14" spans="1:14" ht="21" x14ac:dyDescent="0.4">
      <c r="A14" s="109" t="s">
        <v>146</v>
      </c>
      <c r="B14" s="97">
        <f t="shared" ref="B14" si="0">I14</f>
        <v>1</v>
      </c>
      <c r="C14" s="98"/>
      <c r="D14" s="99">
        <f>J14+D$13</f>
        <v>1650</v>
      </c>
      <c r="E14" s="99">
        <f>K14+E$13</f>
        <v>550</v>
      </c>
      <c r="F14" s="113" t="str">
        <f t="shared" ref="F14" si="1">C28</f>
        <v>CUB S/R R2</v>
      </c>
      <c r="G14" s="28"/>
      <c r="I14" s="3">
        <f>B28</f>
        <v>1</v>
      </c>
      <c r="J14" s="4">
        <f>D28</f>
        <v>1600</v>
      </c>
      <c r="K14" s="4">
        <f>E28</f>
        <v>550</v>
      </c>
    </row>
    <row r="15" spans="1:14" ht="21" x14ac:dyDescent="0.4">
      <c r="A15" s="85"/>
      <c r="B15" s="87"/>
      <c r="C15" s="105"/>
      <c r="D15" s="87"/>
      <c r="E15" s="87"/>
      <c r="F15" s="87"/>
      <c r="G15" s="28"/>
      <c r="I15" s="2"/>
      <c r="J15" s="2"/>
      <c r="K15" s="2"/>
    </row>
    <row r="16" spans="1:14" ht="6.75" customHeight="1" x14ac:dyDescent="0.4">
      <c r="A16" s="70"/>
      <c r="B16" s="70"/>
      <c r="C16" s="70"/>
      <c r="D16" s="70"/>
      <c r="E16" s="70"/>
      <c r="F16" s="70"/>
      <c r="G16" s="28"/>
    </row>
    <row r="17" spans="1:11" ht="21" x14ac:dyDescent="0.4">
      <c r="A17" s="132" t="s">
        <v>14</v>
      </c>
      <c r="B17" s="132"/>
      <c r="C17" s="132"/>
      <c r="D17" s="132"/>
      <c r="E17" s="132"/>
      <c r="F17" s="132"/>
      <c r="G17" s="28"/>
    </row>
    <row r="18" spans="1:11" ht="10.5" customHeight="1" x14ac:dyDescent="0.4">
      <c r="A18" s="70"/>
      <c r="B18" s="70"/>
      <c r="C18" s="92"/>
      <c r="D18" s="70"/>
      <c r="E18" s="70"/>
      <c r="F18" s="70"/>
      <c r="G18" s="28"/>
    </row>
    <row r="19" spans="1:11" ht="21" x14ac:dyDescent="0.4">
      <c r="A19" s="70"/>
      <c r="B19" s="70"/>
      <c r="C19" s="70"/>
      <c r="D19" s="80" t="s">
        <v>7</v>
      </c>
      <c r="E19" s="80" t="s">
        <v>8</v>
      </c>
      <c r="F19" s="70"/>
      <c r="G19" s="28"/>
    </row>
    <row r="20" spans="1:11" ht="21" x14ac:dyDescent="0.4">
      <c r="A20" s="80" t="s">
        <v>9</v>
      </c>
      <c r="B20" s="100" t="s">
        <v>10</v>
      </c>
      <c r="C20" s="100" t="s">
        <v>11</v>
      </c>
      <c r="D20" s="101">
        <v>40</v>
      </c>
      <c r="E20" s="101">
        <v>60</v>
      </c>
      <c r="F20" s="100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09"/>
      <c r="B21" s="99">
        <f t="shared" ref="B21" si="2">I21</f>
        <v>1</v>
      </c>
      <c r="C21" s="98"/>
      <c r="D21" s="99">
        <f>J21+D$20</f>
        <v>1640</v>
      </c>
      <c r="E21" s="99">
        <f t="shared" ref="E21" si="3">K21+E$20</f>
        <v>610</v>
      </c>
      <c r="F21" s="112" t="str">
        <f t="shared" ref="F21" si="4">C28</f>
        <v>CUB S/R R2</v>
      </c>
      <c r="G21" s="28"/>
      <c r="I21" s="3">
        <f t="shared" ref="I21" si="5">B28</f>
        <v>1</v>
      </c>
      <c r="J21" s="4">
        <f>D28</f>
        <v>1600</v>
      </c>
      <c r="K21" s="4">
        <f>E28</f>
        <v>550</v>
      </c>
    </row>
    <row r="22" spans="1:11" ht="18.75" customHeight="1" x14ac:dyDescent="0.4">
      <c r="A22" s="109"/>
      <c r="B22" s="87"/>
      <c r="C22" s="105"/>
      <c r="D22" s="87"/>
      <c r="E22" s="87"/>
      <c r="F22" s="120"/>
      <c r="G22" s="28"/>
      <c r="I22" s="110"/>
      <c r="J22" s="2"/>
      <c r="K22" s="2"/>
    </row>
    <row r="23" spans="1:11" ht="18.75" customHeight="1" x14ac:dyDescent="0.4">
      <c r="A23" s="109"/>
      <c r="B23" s="87"/>
      <c r="C23" s="105"/>
      <c r="D23" s="87"/>
      <c r="E23" s="87"/>
      <c r="F23" s="87"/>
      <c r="G23" s="28"/>
      <c r="I23" s="110"/>
      <c r="J23" s="2"/>
      <c r="K23" s="2"/>
    </row>
    <row r="24" spans="1:11" ht="21" x14ac:dyDescent="0.4">
      <c r="A24" s="85"/>
      <c r="B24" s="87"/>
      <c r="C24" s="87"/>
      <c r="D24" s="87"/>
      <c r="E24" s="87"/>
      <c r="F24" s="87"/>
      <c r="G24" s="28"/>
      <c r="I24" s="2"/>
      <c r="J24" s="2"/>
      <c r="K24" s="2"/>
    </row>
    <row r="25" spans="1:11" ht="21" x14ac:dyDescent="0.4">
      <c r="A25" s="80"/>
      <c r="B25" s="92"/>
      <c r="C25" s="92"/>
      <c r="D25" s="92"/>
      <c r="E25" s="92"/>
      <c r="F25" s="92"/>
      <c r="G25" s="28"/>
      <c r="I25" s="2"/>
      <c r="J25" s="2"/>
      <c r="K25" s="2"/>
    </row>
    <row r="26" spans="1:11" ht="10.5" customHeight="1" thickBot="1" x14ac:dyDescent="0.45">
      <c r="A26" s="70"/>
      <c r="B26" s="70"/>
      <c r="C26" s="70"/>
      <c r="D26" s="70"/>
      <c r="E26" s="70"/>
      <c r="F26" s="70"/>
      <c r="G26" s="28"/>
    </row>
    <row r="27" spans="1:11" ht="21" x14ac:dyDescent="0.4">
      <c r="A27" s="80" t="s">
        <v>9</v>
      </c>
      <c r="B27" s="102" t="s">
        <v>10</v>
      </c>
      <c r="C27" s="103" t="s">
        <v>107</v>
      </c>
      <c r="D27" s="103" t="s">
        <v>7</v>
      </c>
      <c r="E27" s="103" t="s">
        <v>8</v>
      </c>
      <c r="F27" s="104" t="s">
        <v>22</v>
      </c>
      <c r="G27" s="28"/>
    </row>
    <row r="28" spans="1:11" ht="21" x14ac:dyDescent="0.4">
      <c r="A28" s="109" t="s">
        <v>146</v>
      </c>
      <c r="B28" s="97">
        <f>'4637'!B21</f>
        <v>1</v>
      </c>
      <c r="C28" s="4" t="str">
        <f>'4637'!C21</f>
        <v>CUB S/R R2</v>
      </c>
      <c r="D28" s="99">
        <f>'4637'!D21</f>
        <v>1600</v>
      </c>
      <c r="E28" s="99">
        <f>'4637'!E21</f>
        <v>550</v>
      </c>
      <c r="F28" s="114" t="str">
        <f>'4637'!F21</f>
        <v>NEGRO OPACO</v>
      </c>
      <c r="G28" s="28"/>
      <c r="H28" s="27">
        <f>D28*E28/1000000</f>
        <v>0.88</v>
      </c>
      <c r="I28" s="27">
        <f>H28*B28</f>
        <v>0.88</v>
      </c>
    </row>
    <row r="29" spans="1:11" ht="21" x14ac:dyDescent="0.4">
      <c r="A29" s="85"/>
      <c r="B29" s="87"/>
      <c r="C29" s="87"/>
      <c r="D29" s="87"/>
      <c r="E29" s="87"/>
      <c r="F29" s="87"/>
      <c r="G29" s="28"/>
      <c r="H29" s="27"/>
      <c r="I29" s="27"/>
    </row>
    <row r="30" spans="1:11" ht="21" x14ac:dyDescent="0.4">
      <c r="A30" s="70"/>
      <c r="B30" s="87"/>
      <c r="C30" s="87"/>
      <c r="D30" s="87"/>
      <c r="E30" s="87"/>
      <c r="F30" s="87"/>
      <c r="G30" s="28"/>
      <c r="I30" s="27">
        <f>SUM(I28:I28)*2</f>
        <v>1.76</v>
      </c>
    </row>
    <row r="31" spans="1:11" ht="21" x14ac:dyDescent="0.4">
      <c r="A31" s="70"/>
      <c r="B31" s="87"/>
      <c r="C31" s="87"/>
      <c r="D31" s="87"/>
      <c r="E31" s="87"/>
      <c r="F31" s="87"/>
      <c r="G31" s="28"/>
    </row>
    <row r="32" spans="1:11" ht="21" x14ac:dyDescent="0.4">
      <c r="A32" s="70"/>
      <c r="B32" s="87"/>
      <c r="C32" s="87"/>
      <c r="D32" s="87"/>
      <c r="E32" s="87"/>
      <c r="F32" s="87"/>
      <c r="G32" s="28"/>
    </row>
    <row r="33" spans="1:8" ht="21" x14ac:dyDescent="0.4">
      <c r="A33" s="70"/>
      <c r="B33" s="87"/>
      <c r="C33" s="87"/>
      <c r="D33" s="87"/>
      <c r="E33" s="87"/>
      <c r="F33" s="87"/>
      <c r="G33" s="28"/>
    </row>
    <row r="34" spans="1:8" ht="21" x14ac:dyDescent="0.4">
      <c r="A34" s="70"/>
      <c r="B34" s="87"/>
      <c r="C34" s="87"/>
      <c r="D34" s="87"/>
      <c r="E34" s="87"/>
      <c r="F34" s="87"/>
      <c r="G34" s="28"/>
    </row>
    <row r="35" spans="1:8" ht="18" x14ac:dyDescent="0.35">
      <c r="A35" s="28"/>
      <c r="B35" s="54"/>
      <c r="C35" s="54"/>
      <c r="D35" s="54"/>
      <c r="E35" s="54"/>
      <c r="F35" s="54"/>
      <c r="G35" s="28"/>
    </row>
    <row r="36" spans="1:8" ht="18" x14ac:dyDescent="0.35">
      <c r="A36" s="28"/>
      <c r="B36" s="54"/>
      <c r="C36" s="54"/>
      <c r="D36" s="54"/>
      <c r="E36" s="54"/>
      <c r="F36" s="54"/>
      <c r="G36" s="28"/>
    </row>
    <row r="37" spans="1:8" ht="18" x14ac:dyDescent="0.35">
      <c r="A37" s="28"/>
      <c r="B37" s="54"/>
      <c r="C37" s="54"/>
      <c r="D37" s="54"/>
      <c r="E37" s="54"/>
      <c r="F37" s="54"/>
      <c r="G37" s="28"/>
    </row>
    <row r="38" spans="1:8" ht="21" x14ac:dyDescent="0.4">
      <c r="A38" s="70"/>
      <c r="B38" s="70"/>
      <c r="C38" s="70"/>
      <c r="D38" s="70"/>
      <c r="E38" s="70"/>
      <c r="F38" s="70"/>
      <c r="G38" s="28"/>
    </row>
    <row r="39" spans="1:8" ht="21" x14ac:dyDescent="0.4">
      <c r="A39" s="70"/>
      <c r="B39" s="70"/>
      <c r="C39" s="71" t="s">
        <v>26</v>
      </c>
      <c r="D39" s="72">
        <f>'4637'!G8</f>
        <v>4114</v>
      </c>
      <c r="E39" s="70"/>
      <c r="F39" s="70"/>
      <c r="G39" s="28"/>
    </row>
    <row r="40" spans="1:8" ht="17.25" customHeight="1" x14ac:dyDescent="0.4">
      <c r="A40" s="70"/>
      <c r="B40" s="70"/>
      <c r="C40" s="73" t="s">
        <v>65</v>
      </c>
      <c r="D40" s="74" t="str">
        <f>'4637'!C10</f>
        <v>M. VERONICA SALAZAR H.</v>
      </c>
      <c r="E40" s="75"/>
      <c r="F40" s="75"/>
      <c r="G40" s="28"/>
    </row>
    <row r="41" spans="1:8" ht="4.5" customHeight="1" x14ac:dyDescent="0.4">
      <c r="A41" s="70"/>
      <c r="B41" s="70"/>
      <c r="C41" s="76"/>
      <c r="D41" s="77"/>
      <c r="E41" s="70"/>
      <c r="F41" s="70"/>
      <c r="G41" s="28"/>
    </row>
    <row r="42" spans="1:8" ht="21" x14ac:dyDescent="0.4">
      <c r="A42" s="70"/>
      <c r="B42" s="70"/>
      <c r="C42" s="78" t="str">
        <f>'4637'!F11</f>
        <v>FECHA LIMITE :</v>
      </c>
      <c r="D42" s="79"/>
      <c r="E42" s="70"/>
      <c r="F42" s="70"/>
      <c r="G42" s="28"/>
    </row>
    <row r="43" spans="1:8" ht="21" x14ac:dyDescent="0.4">
      <c r="A43" s="70"/>
      <c r="B43" s="70"/>
      <c r="C43" s="70"/>
      <c r="D43" s="70"/>
      <c r="E43" s="70" t="s">
        <v>137</v>
      </c>
      <c r="F43" s="70" t="s">
        <v>138</v>
      </c>
      <c r="G43" s="28"/>
    </row>
    <row r="44" spans="1:8" ht="21" x14ac:dyDescent="0.4">
      <c r="A44" s="70"/>
      <c r="B44" s="70"/>
      <c r="C44" s="70"/>
      <c r="D44" s="70"/>
      <c r="E44" s="70" t="str" cm="1">
        <f t="array" ref="E44:F44">'4637'!B17:C17</f>
        <v>CIUDAD:</v>
      </c>
      <c r="F44" s="70" t="str">
        <v>SANTIAGO</v>
      </c>
      <c r="G44" s="28"/>
    </row>
    <row r="45" spans="1:8" ht="21" x14ac:dyDescent="0.4">
      <c r="A45" s="70"/>
      <c r="B45" s="70"/>
      <c r="C45" s="70"/>
      <c r="D45" s="70"/>
      <c r="E45" s="70"/>
      <c r="F45" s="70"/>
      <c r="G45" s="28"/>
    </row>
    <row r="46" spans="1:8" ht="21" x14ac:dyDescent="0.4">
      <c r="A46" s="133" t="s">
        <v>66</v>
      </c>
      <c r="B46" s="132"/>
      <c r="C46" s="132"/>
      <c r="D46" s="132"/>
      <c r="E46" s="132"/>
      <c r="F46" s="132"/>
      <c r="G46" s="28"/>
    </row>
    <row r="47" spans="1:8" ht="21" x14ac:dyDescent="0.4">
      <c r="A47" s="70"/>
      <c r="B47" s="70"/>
      <c r="C47" s="70"/>
      <c r="D47" s="70"/>
      <c r="E47" s="70"/>
      <c r="F47" s="70"/>
      <c r="G47" s="28"/>
    </row>
    <row r="48" spans="1:8" ht="18.600000000000001" customHeight="1" x14ac:dyDescent="0.4">
      <c r="A48" s="70"/>
      <c r="B48" s="134" t="s">
        <v>67</v>
      </c>
      <c r="C48" s="135"/>
      <c r="D48" s="136"/>
      <c r="E48" s="136"/>
      <c r="F48" s="137"/>
      <c r="G48" s="28"/>
      <c r="H48" s="24" t="s">
        <v>129</v>
      </c>
    </row>
    <row r="49" spans="1:12" s="10" customFormat="1" ht="16.5" customHeight="1" x14ac:dyDescent="0.4">
      <c r="A49" s="70"/>
      <c r="B49" s="81" t="s">
        <v>10</v>
      </c>
      <c r="C49" s="82" t="s">
        <v>11</v>
      </c>
      <c r="D49" s="83" t="s">
        <v>7</v>
      </c>
      <c r="E49" s="83" t="s">
        <v>8</v>
      </c>
      <c r="F49" s="84" t="s">
        <v>12</v>
      </c>
      <c r="G49" s="28"/>
      <c r="J49" s="10">
        <v>14000</v>
      </c>
    </row>
    <row r="50" spans="1:12" s="10" customFormat="1" ht="21" customHeight="1" x14ac:dyDescent="0.4">
      <c r="A50" s="119" t="s">
        <v>146</v>
      </c>
      <c r="B50" s="81">
        <f>'4637'!B21</f>
        <v>1</v>
      </c>
      <c r="C50" s="111" t="str">
        <f>'4637'!C21</f>
        <v>CUB S/R R2</v>
      </c>
      <c r="D50" s="86">
        <f>'4637'!D21</f>
        <v>1600</v>
      </c>
      <c r="E50" s="86">
        <f>'4637'!E21</f>
        <v>550</v>
      </c>
      <c r="F50" s="111" t="str">
        <f>'4637'!F21</f>
        <v>NEGRO OPACO</v>
      </c>
      <c r="G50" s="28"/>
      <c r="H50" s="10">
        <f>D50*E50/1000000</f>
        <v>0.88</v>
      </c>
      <c r="I50" s="10">
        <f>H50*B50</f>
        <v>0.88</v>
      </c>
      <c r="J50" s="25">
        <f t="shared" ref="J50" si="6">I50*J$49</f>
        <v>12320</v>
      </c>
      <c r="L50" s="23">
        <v>12096</v>
      </c>
    </row>
    <row r="51" spans="1:12" s="10" customFormat="1" ht="21" customHeight="1" x14ac:dyDescent="0.4">
      <c r="A51" s="116"/>
      <c r="B51" s="81">
        <f>'4637'!B22</f>
        <v>1</v>
      </c>
      <c r="C51" s="111" t="str">
        <f>'4637'!C22</f>
        <v>DESPACHO A DOMICILIO</v>
      </c>
      <c r="D51" s="86">
        <f>'4637'!D22</f>
        <v>0</v>
      </c>
      <c r="E51" s="86">
        <f>'4637'!E22</f>
        <v>0</v>
      </c>
      <c r="F51" s="111">
        <f>'4637'!F22</f>
        <v>0</v>
      </c>
      <c r="G51" s="28"/>
      <c r="J51" s="25"/>
      <c r="L51" s="118"/>
    </row>
    <row r="52" spans="1:12" s="10" customFormat="1" ht="21" customHeight="1" x14ac:dyDescent="0.4">
      <c r="A52" s="116"/>
      <c r="B52" s="80"/>
      <c r="C52" s="117"/>
      <c r="D52" s="80"/>
      <c r="E52" s="80"/>
      <c r="F52" s="117"/>
      <c r="G52" s="28"/>
      <c r="J52" s="25"/>
      <c r="L52" s="118"/>
    </row>
    <row r="53" spans="1:12" ht="21" x14ac:dyDescent="0.4">
      <c r="A53" s="87"/>
      <c r="B53" s="87"/>
      <c r="C53" s="70"/>
      <c r="D53" s="87"/>
      <c r="E53" s="87"/>
      <c r="F53" s="76"/>
      <c r="G53" s="28"/>
    </row>
    <row r="54" spans="1:12" ht="21" x14ac:dyDescent="0.4">
      <c r="A54" s="87"/>
      <c r="B54" s="87"/>
      <c r="C54" s="70"/>
      <c r="D54" s="87"/>
      <c r="E54" s="87"/>
      <c r="F54" s="87"/>
      <c r="G54" s="28"/>
      <c r="I54" s="10">
        <f>SUM(I50:I50)</f>
        <v>0.88</v>
      </c>
      <c r="J54" s="26">
        <f>SUM(J50:J50)</f>
        <v>12320</v>
      </c>
    </row>
    <row r="55" spans="1:12" ht="21" x14ac:dyDescent="0.4">
      <c r="A55" s="70"/>
      <c r="B55" s="70"/>
      <c r="C55" s="70"/>
      <c r="D55" s="70"/>
      <c r="E55" s="70"/>
      <c r="F55" s="70"/>
      <c r="G55" s="28"/>
    </row>
    <row r="56" spans="1:12" ht="21" x14ac:dyDescent="0.4">
      <c r="A56" s="70"/>
      <c r="B56" s="70"/>
      <c r="C56" s="70"/>
      <c r="D56" s="70"/>
      <c r="E56" s="70"/>
      <c r="F56" s="70"/>
      <c r="G56" s="28"/>
    </row>
    <row r="57" spans="1:12" ht="21" x14ac:dyDescent="0.4">
      <c r="A57" s="70"/>
      <c r="B57" s="70"/>
      <c r="C57" s="70"/>
      <c r="D57" s="70"/>
      <c r="E57" s="70"/>
      <c r="F57" s="70"/>
      <c r="G57" s="28"/>
    </row>
    <row r="58" spans="1:12" ht="15" customHeight="1" x14ac:dyDescent="0.4">
      <c r="A58" s="70"/>
      <c r="B58" s="70"/>
      <c r="C58" s="70"/>
      <c r="D58" s="70"/>
      <c r="E58" s="70"/>
      <c r="F58" s="70"/>
      <c r="G58" s="28"/>
    </row>
    <row r="59" spans="1:12" ht="21" x14ac:dyDescent="0.4">
      <c r="A59" s="70"/>
      <c r="B59" s="70"/>
      <c r="C59" s="70"/>
      <c r="D59" s="70"/>
      <c r="E59" s="70"/>
      <c r="F59" s="70"/>
      <c r="G59" s="28"/>
    </row>
    <row r="60" spans="1:12" ht="21" x14ac:dyDescent="0.4">
      <c r="A60" s="87"/>
      <c r="B60" s="88"/>
      <c r="C60" s="70"/>
      <c r="D60" s="70"/>
      <c r="E60" s="70"/>
      <c r="F60" s="70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  <row r="62" spans="1:12" ht="18" x14ac:dyDescent="0.35">
      <c r="A62" s="28"/>
      <c r="B62" s="28"/>
      <c r="C62" s="28"/>
      <c r="D62" s="28"/>
      <c r="E62" s="28"/>
      <c r="F62" s="28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</sheetData>
  <mergeCells count="6">
    <mergeCell ref="M3:N3"/>
    <mergeCell ref="A17:F17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2024-09-12T14:17:02Z</cp:lastPrinted>
  <dcterms:created xsi:type="dcterms:W3CDTF">2013-03-19T12:54:14Z</dcterms:created>
  <dcterms:modified xsi:type="dcterms:W3CDTF">2024-09-23T22:07:38Z</dcterms:modified>
</cp:coreProperties>
</file>