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E8C0CAE2-3156-4E81-888E-F097395311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CUBIERTA!$A$46:$F$72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E28" i="3"/>
  <c r="E26" i="3"/>
  <c r="E17" i="3"/>
  <c r="E18" i="3"/>
  <c r="E16" i="3"/>
  <c r="I17" i="3"/>
  <c r="B17" i="3" s="1"/>
  <c r="I18" i="3"/>
  <c r="B18" i="3" s="1"/>
  <c r="K18" i="3"/>
  <c r="B35" i="3"/>
  <c r="I27" i="3" s="1"/>
  <c r="B27" i="3" s="1"/>
  <c r="C35" i="3"/>
  <c r="F27" i="3" s="1"/>
  <c r="D35" i="3"/>
  <c r="J27" i="3" s="1"/>
  <c r="D27" i="3" s="1"/>
  <c r="E35" i="3"/>
  <c r="K27" i="3" s="1"/>
  <c r="F35" i="3"/>
  <c r="B36" i="3"/>
  <c r="I28" i="3" s="1"/>
  <c r="B28" i="3" s="1"/>
  <c r="C36" i="3"/>
  <c r="F28" i="3" s="1"/>
  <c r="D36" i="3"/>
  <c r="J28" i="3" s="1"/>
  <c r="D28" i="3" s="1"/>
  <c r="E36" i="3"/>
  <c r="K28" i="3" s="1"/>
  <c r="F36" i="3"/>
  <c r="B60" i="3"/>
  <c r="C60" i="3"/>
  <c r="D60" i="3"/>
  <c r="E60" i="3"/>
  <c r="F60" i="3"/>
  <c r="B61" i="3"/>
  <c r="C61" i="3"/>
  <c r="D61" i="3"/>
  <c r="E61" i="3"/>
  <c r="F61" i="3"/>
  <c r="K17" i="3" l="1"/>
  <c r="J18" i="3"/>
  <c r="D18" i="3" s="1"/>
  <c r="J17" i="3"/>
  <c r="D17" i="3" s="1"/>
  <c r="F18" i="3"/>
  <c r="F17" i="3"/>
  <c r="B59" i="3"/>
  <c r="C59" i="3"/>
  <c r="D59" i="3"/>
  <c r="E59" i="3"/>
  <c r="F59" i="3"/>
  <c r="I16" i="3"/>
  <c r="B16" i="3" s="1"/>
  <c r="B34" i="3"/>
  <c r="I26" i="3" s="1"/>
  <c r="B26" i="3" s="1"/>
  <c r="C34" i="3"/>
  <c r="F16" i="3" s="1"/>
  <c r="D34" i="3"/>
  <c r="J26" i="3" s="1"/>
  <c r="D26" i="3" s="1"/>
  <c r="E34" i="3"/>
  <c r="K26" i="3" s="1"/>
  <c r="F34" i="3"/>
  <c r="F26" i="3" l="1"/>
  <c r="K16" i="3"/>
  <c r="J16" i="3"/>
  <c r="D16" i="3" s="1"/>
  <c r="I14" i="3"/>
  <c r="B14" i="3" s="1"/>
  <c r="H27" i="4" l="1"/>
  <c r="C58" i="3"/>
  <c r="L21" i="4" l="1"/>
  <c r="K21" i="4"/>
  <c r="M21" i="4" l="1"/>
  <c r="N21" i="4" s="1"/>
  <c r="B33" i="3" l="1"/>
  <c r="I25" i="3" s="1"/>
  <c r="B25" i="3" s="1"/>
  <c r="C33" i="3"/>
  <c r="F25" i="3" s="1"/>
  <c r="D33" i="3"/>
  <c r="E33" i="3"/>
  <c r="K25" i="3" s="1"/>
  <c r="E25" i="3" s="1"/>
  <c r="F33" i="3"/>
  <c r="B58" i="3"/>
  <c r="D58" i="3"/>
  <c r="E58" i="3"/>
  <c r="F58" i="3"/>
  <c r="H33" i="3" l="1"/>
  <c r="I33" i="3" s="1"/>
  <c r="J25" i="3"/>
  <c r="D25" i="3" s="1"/>
  <c r="H58" i="3"/>
  <c r="I58" i="3" s="1"/>
  <c r="J14" i="3"/>
  <c r="D14" i="3" s="1"/>
  <c r="F14" i="3"/>
  <c r="K14" i="3"/>
  <c r="E14" i="3" s="1"/>
  <c r="I39" i="3" l="1"/>
  <c r="J58" i="3"/>
  <c r="I65" i="3"/>
  <c r="H29" i="4"/>
  <c r="N5" i="3"/>
  <c r="J65" i="3" l="1"/>
  <c r="M5" i="3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<sst xmlns="http://schemas.openxmlformats.org/spreadsheetml/2006/main" count="259" uniqueCount="146">
  <si>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</si>
  <si>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</si>
  <si>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</si>
  <si>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</si>
  <si>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</si>
  <si>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</si>
  <si>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</si>
  <si>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</si>
  <si>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</si>
  <si>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</si>
  <si>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</si>
  <si>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</si>
  <si>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</si>
  <si>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</si>
  <si>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</si>
  <si>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</si>
  <si>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</si>
  <si>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</si>
  <si>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</si>
  <si>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</si>
  <si>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</si>
  <si>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</si>
  <si>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</si>
  <si>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</si>
  <si>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</si>
  <si>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</si>
  <si>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</si>
  <si>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</si>
  <si>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</si>
  <si>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</si>
  <si>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</si>
  <si>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</si>
  <si>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</si>
  <si>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</si>
  <si>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</si>
  <si>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</si>
  <si>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</si>
  <si>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</si>
  <si>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</si>
  <si>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</si>
  <si>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</si>
  <si>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</si>
  <si>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</si>
  <si>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</si>
  <si>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</si>
  <si>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</si>
  <si>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</si>
  <si>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</si>
  <si>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</si>
  <si>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</si>
  <si>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</si>
  <si>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</si>
  <si>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</si>
  <si>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</si>
  <si>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</si>
  <si>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</si>
  <si>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</si>
  <si>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</si>
  <si>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</si>
  <si>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</si>
  <si>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</si>
  <si>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</si>
  <si>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</si>
  <si>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</si>
  <si>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</si>
  <si>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</si>
  <si>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</si>
  <si>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</si>
  <si>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</si>
  <si>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</si>
  <si>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</si>
  <si>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</si>
  <si>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</si>
  <si>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</si>
  <si>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</si>
  <si>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</si>
  <si>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</si>
  <si>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</si>
  <si>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</si>
  <si>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</si>
  <si>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</si>
  <si>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</si>
  <si>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</si>
  <si>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</si>
  <si>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</si>
  <si>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</si>
  <si>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</si>
  <si>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</si>
  <si>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</si>
  <si>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</si>
  <si>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</si>
  <si>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</si>
  <si>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</si>
  <si>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</si>
  <si>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</si>
  <si>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</si>
  <si>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</si>
  <si>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</si>
  <si>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</si>
  <si>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</si>
  <si>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</si>
  <si>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</si>
  <si>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</si>
  <si>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</si>
  <si>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</si>
  <si>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</si>
  <si>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</si>
  <si>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</si>
  <si>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</si>
  <si>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</si>
  <si>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</si>
  <si>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</si>
  <si>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</si>
  <si>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</si>
  <si>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</si>
  <si>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</si>
  <si>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</si>
  <si>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</si>
  <si>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</si>
  <si>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</si>
  <si>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</si>
  <si>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</si>
  <si>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</si>
  <si>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</si>
  <si>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</si>
  <si>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</si>
  <si>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</si>
  <si>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</si>
  <si>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</si>
  <si>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</si>
  <si>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</si>
  <si>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</si>
  <si>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</si>
  <si>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</si>
  <si>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</si>
  <si>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</si>
  <si>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</si>
  <si>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</si>
  <si>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CUB C/R R8</t>
  </si>
  <si>
    <t>MDF18MM</t>
  </si>
  <si>
    <t>AARON LUNA</t>
  </si>
  <si>
    <t>+569 81843090</t>
  </si>
  <si>
    <t>DARK STEEL 2315 MT</t>
  </si>
  <si>
    <t>BLANCO 2114 MT</t>
  </si>
  <si>
    <t>PR6 / 3 FTES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</si>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</sst>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166" fontId="10" fillId="0" borderId="0" xfId="0" applyNumberFormat="1" applyFont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0" fillId="0" borderId="0" xfId="0" applyFont="1" applyAlignment="1">
      <alignment horizontal="right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24</xdr:row>
      <xdr:rowOff>213827</xdr:rowOff>
    </xdr:from>
    <xdr:to>
      <xdr:col>5</xdr:col>
      <xdr:colOff>1555102</xdr:colOff>
      <xdr:row>28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PARA PROYECTO DE COCINA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19</xdr:row>
      <xdr:rowOff>66674</xdr:rowOff>
    </xdr:from>
    <xdr:to>
      <xdr:col>5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52</xdr:row>
      <xdr:rowOff>190500</xdr:rowOff>
    </xdr:from>
    <xdr:to>
      <xdr:col>6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49</xdr:row>
      <xdr:rowOff>30479</xdr:rowOff>
    </xdr:from>
    <xdr:to>
      <xdr:col>5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47</xdr:row>
      <xdr:rowOff>209549</xdr:rowOff>
    </xdr:from>
    <xdr:to>
      <xdr:col>6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46</xdr:row>
      <xdr:rowOff>171450</xdr:rowOff>
    </xdr:from>
    <xdr:to>
      <xdr:col>6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38</xdr:row>
      <xdr:rowOff>15239</xdr:rowOff>
    </xdr:from>
    <xdr:to>
      <xdr:col>6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PROYECTO DE COCINA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29</xdr:row>
      <xdr:rowOff>1</xdr:rowOff>
    </xdr:from>
    <xdr:to>
      <xdr:col>6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0</xdr:colOff>
      <xdr:row>70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DE COCINA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46</xdr:row>
      <xdr:rowOff>146685</xdr:rowOff>
    </xdr:from>
    <xdr:to>
      <xdr:col>1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304800</xdr:colOff>
      <xdr:row>73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8" zoomScale="98" zoomScaleNormal="98" workbookViewId="0">
      <selection activeCell="C24" sqref="C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4102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45510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45513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1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4" t="s">
        <v>17</v>
      </c>
      <c r="G16" s="114"/>
      <c r="H16" s="11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6" t="s">
        <v>18</v>
      </c>
      <c r="C19" s="117"/>
      <c r="D19" s="117"/>
      <c r="E19" s="117"/>
      <c r="F19" s="117"/>
      <c r="G19" s="117"/>
      <c r="H19" s="118"/>
      <c r="I19" s="30"/>
    </row>
    <row r="20" spans="1:16" ht="20.100000000000001" customHeight="1" thickBot="1" x14ac:dyDescent="0.4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thickBot="1" x14ac:dyDescent="0.4">
      <c r="A21" s="30"/>
      <c r="B21" s="108">
        <v>1</v>
      </c>
      <c r="C21" s="108" t="s">
        <v>138</v>
      </c>
      <c r="D21" s="110">
        <v>2950</v>
      </c>
      <c r="E21" s="110">
        <v>600</v>
      </c>
      <c r="F21" s="108" t="s">
        <v>142</v>
      </c>
      <c r="G21" s="113"/>
      <c r="H21" s="109"/>
      <c r="I21" s="30"/>
      <c r="K21" s="11">
        <f>D21/1000</f>
        <v>2.95</v>
      </c>
      <c r="L21" s="15">
        <f>E21/1000</f>
        <v>0.6</v>
      </c>
      <c r="M21" s="11">
        <f>K21*L21</f>
        <v>1.77</v>
      </c>
      <c r="N21" s="11">
        <f>M21*N$20</f>
        <v>115050</v>
      </c>
      <c r="O21" s="15"/>
      <c r="P21" s="21"/>
    </row>
    <row r="22" spans="1:16" ht="20.100000000000001" customHeight="1" thickBot="1" x14ac:dyDescent="0.4">
      <c r="A22" s="30"/>
      <c r="B22" s="108">
        <v>4</v>
      </c>
      <c r="C22" s="108" t="s">
        <v>60</v>
      </c>
      <c r="D22" s="110">
        <v>750</v>
      </c>
      <c r="E22" s="110">
        <v>348</v>
      </c>
      <c r="F22" s="108" t="s">
        <v>143</v>
      </c>
      <c r="G22" s="113"/>
      <c r="H22" s="109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8">
        <v>1</v>
      </c>
      <c r="C23" s="108" t="s">
        <v>144</v>
      </c>
      <c r="D23" s="110">
        <v>750</v>
      </c>
      <c r="E23" s="110">
        <v>599</v>
      </c>
      <c r="F23" s="108" t="s">
        <v>143</v>
      </c>
      <c r="G23" s="113"/>
      <c r="H23" s="109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8">
        <v>2</v>
      </c>
      <c r="C24" s="108" t="s">
        <v>60</v>
      </c>
      <c r="D24" s="110">
        <v>750</v>
      </c>
      <c r="E24" s="110">
        <v>448</v>
      </c>
      <c r="F24" s="108" t="s">
        <v>143</v>
      </c>
      <c r="G24" s="113"/>
      <c r="H24" s="109"/>
      <c r="I24" s="30"/>
      <c r="K24" s="11"/>
      <c r="L24" s="15"/>
      <c r="M24" s="11"/>
      <c r="N24" s="11"/>
      <c r="O24" s="15"/>
      <c r="P24" s="21"/>
    </row>
    <row r="25" spans="1:16" ht="18" customHeight="1" x14ac:dyDescent="0.35">
      <c r="A25" s="30"/>
      <c r="B25" s="61"/>
      <c r="C25" s="61"/>
      <c r="D25" s="62"/>
      <c r="E25" s="62"/>
      <c r="F25" s="61"/>
      <c r="G25" s="63"/>
      <c r="H25" s="112"/>
      <c r="I25" s="30"/>
      <c r="K25" s="11"/>
      <c r="L25" s="15"/>
      <c r="M25" s="11"/>
      <c r="N25" s="11"/>
      <c r="O25" s="15"/>
      <c r="P25" s="21"/>
    </row>
    <row r="26" spans="1:16" ht="13.2" customHeight="1" thickBot="1" x14ac:dyDescent="0.4">
      <c r="A26" s="30"/>
      <c r="B26" s="64"/>
      <c r="C26" s="64"/>
      <c r="D26" s="64"/>
      <c r="E26" s="64"/>
      <c r="F26" s="64"/>
      <c r="G26" s="63"/>
      <c r="H26" s="63"/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5" t="s">
        <v>5</v>
      </c>
      <c r="H27" s="66">
        <f>SUM(H21:H26)</f>
        <v>0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7" t="s">
        <v>137</v>
      </c>
      <c r="H28" s="68"/>
      <c r="I28" s="30"/>
    </row>
    <row r="29" spans="1:16" ht="20.100000000000001" customHeight="1" thickBot="1" x14ac:dyDescent="0.4">
      <c r="A29" s="30"/>
      <c r="B29" s="30"/>
      <c r="C29" s="30"/>
      <c r="D29" s="30"/>
      <c r="E29" s="30"/>
      <c r="F29" s="30"/>
      <c r="G29" s="69" t="s">
        <v>4</v>
      </c>
      <c r="H29" s="70">
        <f>H27+H28</f>
        <v>0</v>
      </c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71"/>
      <c r="H30" s="72"/>
      <c r="I30" s="30"/>
    </row>
    <row r="31" spans="1:16" ht="18" x14ac:dyDescent="0.35">
      <c r="A31" s="30"/>
      <c r="B31" s="30"/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73" t="s">
        <v>134</v>
      </c>
      <c r="C32" s="74"/>
      <c r="D32" s="75"/>
      <c r="E32" s="75"/>
      <c r="F32" s="64"/>
      <c r="G32" s="30"/>
      <c r="H32" s="30"/>
      <c r="I32" s="30"/>
    </row>
    <row r="33" spans="1:9" ht="18" x14ac:dyDescent="0.35">
      <c r="A33" s="30"/>
      <c r="B33" s="73" t="s">
        <v>119</v>
      </c>
      <c r="C33" s="74"/>
      <c r="D33" s="75"/>
      <c r="E33" s="75"/>
      <c r="F33" s="64"/>
      <c r="G33" s="30"/>
      <c r="H33" s="30"/>
      <c r="I33" s="30"/>
    </row>
    <row r="34" spans="1:9" ht="18" x14ac:dyDescent="0.35">
      <c r="A34" s="30"/>
      <c r="B34" s="30" t="s">
        <v>23</v>
      </c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76" t="s">
        <v>24</v>
      </c>
      <c r="C35" s="76"/>
      <c r="D35" s="30"/>
      <c r="E35" s="30"/>
      <c r="F35" s="30"/>
      <c r="G35" s="30"/>
      <c r="H35" s="30"/>
      <c r="I35" s="30"/>
    </row>
    <row r="36" spans="1:9" ht="18" x14ac:dyDescent="0.35">
      <c r="A36" s="30"/>
      <c r="B36" s="30"/>
      <c r="C36" s="30"/>
      <c r="D36" s="30"/>
      <c r="E36" s="76"/>
      <c r="F36" s="30"/>
      <c r="G36" s="30"/>
      <c r="H36" s="30"/>
      <c r="I36" s="30"/>
    </row>
    <row r="37" spans="1:9" ht="18" x14ac:dyDescent="0.35">
      <c r="A37" s="30"/>
      <c r="B37" s="31" t="s">
        <v>131</v>
      </c>
      <c r="C37" s="31"/>
      <c r="D37" s="31"/>
      <c r="E37" s="77"/>
      <c r="F37" s="30"/>
      <c r="G37" s="30"/>
      <c r="H37" s="30"/>
      <c r="I37" s="30"/>
    </row>
    <row r="38" spans="1:9" ht="18" x14ac:dyDescent="0.35">
      <c r="A38" s="30"/>
      <c r="B38" s="31"/>
      <c r="C38" s="31"/>
      <c r="D38" s="31"/>
      <c r="E38" s="77"/>
      <c r="F38" s="30"/>
      <c r="G38" s="30"/>
      <c r="H38" s="30"/>
      <c r="I38" s="30"/>
    </row>
    <row r="39" spans="1:9" ht="18" x14ac:dyDescent="0.35">
      <c r="A39" s="30"/>
      <c r="B39" s="31" t="s">
        <v>132</v>
      </c>
      <c r="C39" s="30"/>
      <c r="D39" s="30"/>
      <c r="E39" s="76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76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3"/>
  </sortState>
  <mergeCells count="2">
    <mergeCell ref="F16:H16"/>
    <mergeCell ref="B19:H19"/>
  </mergeCells>
  <phoneticPr fontId="8" type="noConversion"/>
  <hyperlinks>
    <hyperlink ref="B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28</v>
      </c>
      <c r="C2" s="119"/>
      <c r="D2" s="119"/>
      <c r="E2" s="12"/>
      <c r="G2" s="119" t="s">
        <v>67</v>
      </c>
      <c r="H2" s="119"/>
      <c r="I2" s="119"/>
      <c r="P2" s="120" t="s">
        <v>55</v>
      </c>
      <c r="Q2" s="120"/>
      <c r="R2" s="12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0" t="s">
        <v>55</v>
      </c>
      <c r="M8" s="120"/>
      <c r="N8" s="12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36" zoomScaleNormal="100" workbookViewId="0">
      <selection activeCell="A46" sqref="A46:F72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1" t="s">
        <v>58</v>
      </c>
      <c r="L3" s="121"/>
      <c r="M3" s="121" t="s">
        <v>13</v>
      </c>
      <c r="N3" s="121"/>
    </row>
    <row r="4" spans="1:14" ht="15.75" customHeight="1" x14ac:dyDescent="0.35">
      <c r="A4" s="30"/>
      <c r="B4" s="30"/>
      <c r="C4" s="79" t="s">
        <v>25</v>
      </c>
      <c r="D4" s="80">
        <f>'4637'!G8</f>
        <v>4102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AARON LUNA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45513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2" t="s">
        <v>58</v>
      </c>
      <c r="B10" s="122"/>
      <c r="C10" s="122"/>
      <c r="D10" s="122"/>
      <c r="E10" s="122"/>
      <c r="F10" s="122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50</v>
      </c>
      <c r="E13" s="98">
        <v>-30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139</v>
      </c>
      <c r="B14" s="99">
        <f>I14</f>
        <v>1</v>
      </c>
      <c r="C14" s="99"/>
      <c r="D14" s="99">
        <f>J14+D$13</f>
        <v>3000</v>
      </c>
      <c r="E14" s="99">
        <f>K14+E$13</f>
        <v>570</v>
      </c>
      <c r="F14" s="99" t="str">
        <f>C33</f>
        <v>CUB C/R R8</v>
      </c>
      <c r="G14" s="30"/>
      <c r="I14" s="3">
        <f>'4637'!B21</f>
        <v>1</v>
      </c>
      <c r="J14" s="4">
        <f t="shared" ref="J14:K14" si="0">D33</f>
        <v>2950</v>
      </c>
      <c r="K14" s="4">
        <f t="shared" si="0"/>
        <v>600</v>
      </c>
    </row>
    <row r="15" spans="1:14" ht="18" x14ac:dyDescent="0.35">
      <c r="A15" s="71" t="s">
        <v>8</v>
      </c>
      <c r="B15" s="97" t="s">
        <v>9</v>
      </c>
      <c r="C15" s="97" t="s">
        <v>10</v>
      </c>
      <c r="D15" s="98">
        <v>50</v>
      </c>
      <c r="E15" s="98">
        <v>-2</v>
      </c>
      <c r="F15" s="97" t="s">
        <v>107</v>
      </c>
      <c r="G15" s="30"/>
      <c r="I15" s="3"/>
      <c r="J15" s="4"/>
      <c r="K15" s="4"/>
    </row>
    <row r="16" spans="1:14" ht="18" x14ac:dyDescent="0.35">
      <c r="A16" s="128" t="s">
        <v>145</v>
      </c>
      <c r="B16" s="99">
        <f>I16</f>
        <v>4</v>
      </c>
      <c r="C16" s="99"/>
      <c r="D16" s="99">
        <f>J16+D$13</f>
        <v>800</v>
      </c>
      <c r="E16" s="99">
        <f>K16+E$15</f>
        <v>346</v>
      </c>
      <c r="F16" s="99" t="str">
        <f>C34</f>
        <v>PR6</v>
      </c>
      <c r="G16" s="30"/>
      <c r="I16" s="3">
        <f>'4637'!B22</f>
        <v>4</v>
      </c>
      <c r="J16" s="4">
        <f t="shared" ref="J16" si="1">D34</f>
        <v>750</v>
      </c>
      <c r="K16" s="4">
        <f t="shared" ref="K16" si="2">E34</f>
        <v>348</v>
      </c>
    </row>
    <row r="17" spans="1:11" ht="18" x14ac:dyDescent="0.35">
      <c r="A17" s="88"/>
      <c r="B17" s="99">
        <f t="shared" ref="B17:B18" si="3">I17</f>
        <v>1</v>
      </c>
      <c r="C17" s="99"/>
      <c r="D17" s="99">
        <f t="shared" ref="D17:D18" si="4">J17+D$13</f>
        <v>800</v>
      </c>
      <c r="E17" s="99">
        <f t="shared" ref="E17:E18" si="5">K17+E$15</f>
        <v>597</v>
      </c>
      <c r="F17" s="99" t="str">
        <f t="shared" ref="F17:F18" si="6">C35</f>
        <v>PR6 / 3 FTES</v>
      </c>
      <c r="G17" s="30"/>
      <c r="I17" s="3">
        <f>'4637'!B23</f>
        <v>1</v>
      </c>
      <c r="J17" s="4">
        <f t="shared" ref="J17:J18" si="7">D35</f>
        <v>750</v>
      </c>
      <c r="K17" s="4">
        <f t="shared" ref="K17:K18" si="8">E35</f>
        <v>599</v>
      </c>
    </row>
    <row r="18" spans="1:11" ht="18" x14ac:dyDescent="0.35">
      <c r="A18" s="88"/>
      <c r="B18" s="99">
        <f t="shared" si="3"/>
        <v>2</v>
      </c>
      <c r="C18" s="99"/>
      <c r="D18" s="99">
        <f t="shared" si="4"/>
        <v>800</v>
      </c>
      <c r="E18" s="99">
        <f t="shared" si="5"/>
        <v>446</v>
      </c>
      <c r="F18" s="99" t="str">
        <f t="shared" si="6"/>
        <v>PR6</v>
      </c>
      <c r="G18" s="30"/>
      <c r="I18" s="3">
        <f>'4637'!B24</f>
        <v>2</v>
      </c>
      <c r="J18" s="4">
        <f t="shared" si="7"/>
        <v>750</v>
      </c>
      <c r="K18" s="4">
        <f t="shared" si="8"/>
        <v>448</v>
      </c>
    </row>
    <row r="19" spans="1:11" ht="18" x14ac:dyDescent="0.35">
      <c r="A19" s="88"/>
      <c r="B19" s="78"/>
      <c r="C19" s="78"/>
      <c r="D19" s="78"/>
      <c r="E19" s="78"/>
      <c r="F19" s="78"/>
      <c r="G19" s="30"/>
      <c r="I19" s="23"/>
      <c r="J19" s="2"/>
      <c r="K19" s="2"/>
    </row>
    <row r="20" spans="1:11" ht="6.75" customHeight="1" x14ac:dyDescent="0.35">
      <c r="A20" s="30"/>
      <c r="B20" s="30"/>
      <c r="C20" s="30"/>
      <c r="D20" s="30"/>
      <c r="E20" s="30"/>
      <c r="F20" s="30"/>
      <c r="G20" s="30"/>
    </row>
    <row r="21" spans="1:11" ht="18" x14ac:dyDescent="0.35">
      <c r="A21" s="122" t="s">
        <v>13</v>
      </c>
      <c r="B21" s="122"/>
      <c r="C21" s="122"/>
      <c r="D21" s="122"/>
      <c r="E21" s="122"/>
      <c r="F21" s="122"/>
      <c r="G21" s="30"/>
    </row>
    <row r="22" spans="1:11" ht="10.5" customHeight="1" x14ac:dyDescent="0.35">
      <c r="A22" s="30"/>
      <c r="B22" s="30"/>
      <c r="C22" s="96"/>
      <c r="D22" s="30"/>
      <c r="E22" s="30"/>
      <c r="F22" s="30"/>
      <c r="G22" s="30"/>
    </row>
    <row r="23" spans="1:11" ht="18" x14ac:dyDescent="0.35">
      <c r="A23" s="30"/>
      <c r="B23" s="30"/>
      <c r="C23" s="30"/>
      <c r="D23" s="71" t="s">
        <v>6</v>
      </c>
      <c r="E23" s="71" t="s">
        <v>7</v>
      </c>
      <c r="F23" s="30"/>
      <c r="G23" s="30"/>
    </row>
    <row r="24" spans="1:11" ht="18" x14ac:dyDescent="0.35">
      <c r="A24" s="71" t="s">
        <v>8</v>
      </c>
      <c r="B24" s="87" t="s">
        <v>9</v>
      </c>
      <c r="C24" s="87" t="s">
        <v>10</v>
      </c>
      <c r="D24" s="100">
        <v>40</v>
      </c>
      <c r="E24" s="100">
        <v>130</v>
      </c>
      <c r="F24" s="97" t="s">
        <v>107</v>
      </c>
      <c r="G24" s="30"/>
      <c r="J24" s="5" t="s">
        <v>6</v>
      </c>
      <c r="K24" s="5" t="s">
        <v>7</v>
      </c>
    </row>
    <row r="25" spans="1:11" ht="18" x14ac:dyDescent="0.35">
      <c r="A25" s="107" t="s">
        <v>139</v>
      </c>
      <c r="B25" s="101">
        <f t="shared" ref="B25" si="9">I25</f>
        <v>1</v>
      </c>
      <c r="C25" s="101"/>
      <c r="D25" s="101">
        <f>J25+D$24</f>
        <v>2990</v>
      </c>
      <c r="E25" s="101">
        <f>K25+E$24</f>
        <v>730</v>
      </c>
      <c r="F25" s="101" t="str">
        <f>C33</f>
        <v>CUB C/R R8</v>
      </c>
      <c r="G25" s="30"/>
      <c r="I25" s="3">
        <f>B33</f>
        <v>1</v>
      </c>
      <c r="J25" s="4">
        <f>D33</f>
        <v>2950</v>
      </c>
      <c r="K25" s="4">
        <f>E33</f>
        <v>600</v>
      </c>
    </row>
    <row r="26" spans="1:11" ht="18" x14ac:dyDescent="0.35">
      <c r="A26" s="107"/>
      <c r="B26" s="101">
        <f t="shared" ref="B26" si="10">I26</f>
        <v>4</v>
      </c>
      <c r="C26" s="101"/>
      <c r="D26" s="101">
        <f>J26+D$24</f>
        <v>790</v>
      </c>
      <c r="E26" s="101">
        <f>K26+90</f>
        <v>438</v>
      </c>
      <c r="F26" s="101" t="str">
        <f>C34</f>
        <v>PR6</v>
      </c>
      <c r="G26" s="30"/>
      <c r="I26" s="3">
        <f>B34</f>
        <v>4</v>
      </c>
      <c r="J26" s="4">
        <f>D34</f>
        <v>750</v>
      </c>
      <c r="K26" s="4">
        <f>E34</f>
        <v>348</v>
      </c>
    </row>
    <row r="27" spans="1:11" ht="18" x14ac:dyDescent="0.35">
      <c r="A27" s="107"/>
      <c r="B27" s="101">
        <f t="shared" ref="B27:B28" si="11">I27</f>
        <v>1</v>
      </c>
      <c r="C27" s="101"/>
      <c r="D27" s="101">
        <f t="shared" ref="D27:D28" si="12">J27+D$24</f>
        <v>790</v>
      </c>
      <c r="E27" s="101">
        <f t="shared" ref="E27:E28" si="13">K27+90</f>
        <v>689</v>
      </c>
      <c r="F27" s="101" t="str">
        <f t="shared" ref="F27:F28" si="14">C35</f>
        <v>PR6 / 3 FTES</v>
      </c>
      <c r="G27" s="30"/>
      <c r="I27" s="3">
        <f t="shared" ref="I27:I28" si="15">B35</f>
        <v>1</v>
      </c>
      <c r="J27" s="4">
        <f t="shared" ref="J27:K27" si="16">D35</f>
        <v>750</v>
      </c>
      <c r="K27" s="4">
        <f t="shared" si="16"/>
        <v>599</v>
      </c>
    </row>
    <row r="28" spans="1:11" ht="18" x14ac:dyDescent="0.35">
      <c r="A28" s="107"/>
      <c r="B28" s="101">
        <f t="shared" si="11"/>
        <v>2</v>
      </c>
      <c r="C28" s="101"/>
      <c r="D28" s="101">
        <f t="shared" si="12"/>
        <v>790</v>
      </c>
      <c r="E28" s="101">
        <f t="shared" si="13"/>
        <v>538</v>
      </c>
      <c r="F28" s="101" t="str">
        <f t="shared" si="14"/>
        <v>PR6</v>
      </c>
      <c r="G28" s="30"/>
      <c r="I28" s="3">
        <f t="shared" si="15"/>
        <v>2</v>
      </c>
      <c r="J28" s="4">
        <f t="shared" ref="J28:K28" si="17">D36</f>
        <v>750</v>
      </c>
      <c r="K28" s="4">
        <f t="shared" si="17"/>
        <v>448</v>
      </c>
    </row>
    <row r="29" spans="1:11" ht="18.600000000000001" thickBot="1" x14ac:dyDescent="0.4">
      <c r="A29" s="88"/>
      <c r="B29" s="78"/>
      <c r="C29" s="78"/>
      <c r="D29" s="78"/>
      <c r="E29" s="78"/>
      <c r="F29" s="78"/>
      <c r="G29" s="30"/>
      <c r="I29" s="23"/>
      <c r="J29" s="2"/>
      <c r="K29" s="2"/>
    </row>
    <row r="30" spans="1:11" ht="18.600000000000001" thickBot="1" x14ac:dyDescent="0.4">
      <c r="A30" s="71"/>
      <c r="B30" s="102" t="s">
        <v>104</v>
      </c>
      <c r="C30" s="33"/>
      <c r="D30" s="33"/>
      <c r="E30" s="33"/>
      <c r="F30" s="103"/>
      <c r="G30" s="30"/>
      <c r="I30" s="2"/>
      <c r="J30" s="2"/>
      <c r="K30" s="2"/>
    </row>
    <row r="31" spans="1:11" ht="10.5" customHeight="1" x14ac:dyDescent="0.35">
      <c r="A31" s="30"/>
      <c r="B31" s="30"/>
      <c r="C31" s="30"/>
      <c r="D31" s="30"/>
      <c r="E31" s="30"/>
      <c r="F31" s="30"/>
      <c r="G31" s="30"/>
    </row>
    <row r="32" spans="1:11" ht="18" x14ac:dyDescent="0.35">
      <c r="A32" s="71" t="s">
        <v>8</v>
      </c>
      <c r="B32" s="104" t="s">
        <v>9</v>
      </c>
      <c r="C32" s="104" t="s">
        <v>107</v>
      </c>
      <c r="D32" s="104" t="s">
        <v>6</v>
      </c>
      <c r="E32" s="104" t="s">
        <v>7</v>
      </c>
      <c r="F32" s="104" t="s">
        <v>21</v>
      </c>
      <c r="G32" s="30"/>
    </row>
    <row r="33" spans="1:9" ht="18" x14ac:dyDescent="0.35">
      <c r="A33" s="107" t="s">
        <v>139</v>
      </c>
      <c r="B33" s="99">
        <f>'4637'!B21</f>
        <v>1</v>
      </c>
      <c r="C33" s="99" t="str">
        <f>'4637'!C21</f>
        <v>CUB C/R R8</v>
      </c>
      <c r="D33" s="99">
        <f>'4637'!D21</f>
        <v>2950</v>
      </c>
      <c r="E33" s="99">
        <f>'4637'!E21</f>
        <v>600</v>
      </c>
      <c r="F33" s="99" t="str">
        <f>'4637'!F21</f>
        <v>DARK STEEL 2315 MT</v>
      </c>
      <c r="G33" s="30"/>
      <c r="H33" s="28">
        <f>D33*E33/1000000</f>
        <v>1.77</v>
      </c>
      <c r="I33" s="28">
        <f>H33*B33</f>
        <v>1.77</v>
      </c>
    </row>
    <row r="34" spans="1:9" ht="18" x14ac:dyDescent="0.35">
      <c r="A34" s="107"/>
      <c r="B34" s="99">
        <f>'4637'!B22</f>
        <v>4</v>
      </c>
      <c r="C34" s="99" t="str">
        <f>'4637'!C22</f>
        <v>PR6</v>
      </c>
      <c r="D34" s="99">
        <f>'4637'!D22</f>
        <v>750</v>
      </c>
      <c r="E34" s="99">
        <f>'4637'!E22</f>
        <v>348</v>
      </c>
      <c r="F34" s="99" t="str">
        <f>'4637'!F22</f>
        <v>BLANCO 2114 MT</v>
      </c>
      <c r="G34" s="30"/>
      <c r="H34" s="28"/>
      <c r="I34" s="28"/>
    </row>
    <row r="35" spans="1:9" ht="18" x14ac:dyDescent="0.35">
      <c r="A35" s="107"/>
      <c r="B35" s="99">
        <f>'4637'!B23</f>
        <v>1</v>
      </c>
      <c r="C35" s="99" t="str">
        <f>'4637'!C23</f>
        <v>PR6 / 3 FTES</v>
      </c>
      <c r="D35" s="99">
        <f>'4637'!D23</f>
        <v>750</v>
      </c>
      <c r="E35" s="99">
        <f>'4637'!E23</f>
        <v>599</v>
      </c>
      <c r="F35" s="99" t="str">
        <f>'4637'!F23</f>
        <v>BLANCO 2114 MT</v>
      </c>
      <c r="G35" s="30"/>
      <c r="H35" s="28"/>
      <c r="I35" s="28"/>
    </row>
    <row r="36" spans="1:9" ht="18" x14ac:dyDescent="0.35">
      <c r="A36" s="107"/>
      <c r="B36" s="99">
        <f>'4637'!B24</f>
        <v>2</v>
      </c>
      <c r="C36" s="99" t="str">
        <f>'4637'!C24</f>
        <v>PR6</v>
      </c>
      <c r="D36" s="99">
        <f>'4637'!D24</f>
        <v>750</v>
      </c>
      <c r="E36" s="99">
        <f>'4637'!E24</f>
        <v>448</v>
      </c>
      <c r="F36" s="99" t="str">
        <f>'4637'!F24</f>
        <v>BLANCO 2114 MT</v>
      </c>
      <c r="G36" s="30"/>
      <c r="H36" s="28"/>
      <c r="I36" s="28"/>
    </row>
    <row r="37" spans="1:9" ht="18" x14ac:dyDescent="0.35">
      <c r="A37" s="107"/>
      <c r="B37" s="78"/>
      <c r="C37" s="78"/>
      <c r="D37" s="78"/>
      <c r="E37" s="78"/>
      <c r="F37" s="78"/>
      <c r="G37" s="30"/>
      <c r="H37" s="28"/>
      <c r="I37" s="28"/>
    </row>
    <row r="38" spans="1:9" ht="18" x14ac:dyDescent="0.35">
      <c r="A38" s="30"/>
      <c r="B38" s="78"/>
      <c r="C38" s="78"/>
      <c r="D38" s="78"/>
      <c r="E38" s="78"/>
      <c r="F38" s="78"/>
      <c r="G38" s="30"/>
    </row>
    <row r="39" spans="1:9" ht="18" x14ac:dyDescent="0.35">
      <c r="A39" s="30"/>
      <c r="B39" s="78"/>
      <c r="C39" s="78"/>
      <c r="D39" s="78"/>
      <c r="E39" s="78"/>
      <c r="F39" s="78"/>
      <c r="G39" s="30"/>
      <c r="I39" s="28">
        <f>SUM(I33:I33)*2</f>
        <v>3.54</v>
      </c>
    </row>
    <row r="40" spans="1:9" ht="18" x14ac:dyDescent="0.35">
      <c r="A40" s="30"/>
      <c r="B40" s="78"/>
      <c r="C40" s="78"/>
      <c r="D40" s="78"/>
      <c r="E40" s="78"/>
      <c r="F40" s="78"/>
      <c r="G40" s="30"/>
    </row>
    <row r="41" spans="1:9" ht="18" x14ac:dyDescent="0.35">
      <c r="A41" s="30"/>
      <c r="B41" s="78"/>
      <c r="C41" s="78"/>
      <c r="D41" s="78"/>
      <c r="E41" s="78"/>
      <c r="F41" s="78"/>
      <c r="G41" s="30"/>
    </row>
    <row r="42" spans="1:9" ht="18" x14ac:dyDescent="0.35">
      <c r="A42" s="30"/>
      <c r="B42" s="78"/>
      <c r="C42" s="78"/>
      <c r="D42" s="78"/>
      <c r="E42" s="78"/>
      <c r="F42" s="78"/>
      <c r="G42" s="30"/>
    </row>
    <row r="43" spans="1:9" ht="18" x14ac:dyDescent="0.35">
      <c r="A43" s="30"/>
      <c r="B43" s="78"/>
      <c r="C43" s="78"/>
      <c r="D43" s="78"/>
      <c r="E43" s="78"/>
      <c r="F43" s="78"/>
      <c r="G43" s="30"/>
    </row>
    <row r="44" spans="1:9" ht="18" x14ac:dyDescent="0.35">
      <c r="A44" s="30"/>
      <c r="B44" s="78"/>
      <c r="C44" s="78"/>
      <c r="D44" s="78"/>
      <c r="E44" s="78"/>
      <c r="F44" s="78"/>
      <c r="G44" s="30"/>
    </row>
    <row r="45" spans="1:9" ht="18" x14ac:dyDescent="0.35">
      <c r="A45" s="30"/>
      <c r="B45" s="78"/>
      <c r="C45" s="78"/>
      <c r="D45" s="78"/>
      <c r="E45" s="78"/>
      <c r="F45" s="78"/>
      <c r="G45" s="30"/>
    </row>
    <row r="46" spans="1:9" ht="18" x14ac:dyDescent="0.35">
      <c r="A46" s="30"/>
      <c r="B46" s="78"/>
      <c r="C46" s="78"/>
      <c r="D46" s="78"/>
      <c r="E46" s="78"/>
      <c r="F46" s="78"/>
      <c r="G46" s="30"/>
    </row>
    <row r="47" spans="1:9" ht="18" x14ac:dyDescent="0.35">
      <c r="A47" s="30"/>
      <c r="B47" s="30"/>
      <c r="C47" s="30"/>
      <c r="D47" s="30"/>
      <c r="E47" s="30"/>
      <c r="F47" s="30"/>
      <c r="G47" s="30"/>
    </row>
    <row r="48" spans="1:9" ht="18" x14ac:dyDescent="0.35">
      <c r="A48" s="30"/>
      <c r="B48" s="30"/>
      <c r="C48" s="79" t="s">
        <v>25</v>
      </c>
      <c r="D48" s="80">
        <f>'4637'!G8</f>
        <v>4102</v>
      </c>
      <c r="E48" s="30"/>
      <c r="F48" s="30"/>
      <c r="G48" s="30"/>
    </row>
    <row r="49" spans="1:12" ht="17.25" customHeight="1" x14ac:dyDescent="0.35">
      <c r="A49" s="30"/>
      <c r="B49" s="30"/>
      <c r="C49" s="81" t="s">
        <v>64</v>
      </c>
      <c r="D49" s="82" t="str">
        <f>'4637'!C10</f>
        <v>AARON LUNA</v>
      </c>
      <c r="E49" s="48"/>
      <c r="F49" s="48"/>
      <c r="G49" s="30"/>
    </row>
    <row r="50" spans="1:12" ht="4.5" customHeight="1" x14ac:dyDescent="0.35">
      <c r="A50" s="30"/>
      <c r="B50" s="30"/>
      <c r="C50" s="83"/>
      <c r="D50" s="84"/>
      <c r="E50" s="30"/>
      <c r="F50" s="30"/>
      <c r="G50" s="30"/>
    </row>
    <row r="51" spans="1:12" ht="18" x14ac:dyDescent="0.35">
      <c r="A51" s="30"/>
      <c r="B51" s="30"/>
      <c r="C51" s="85" t="str">
        <f>'4637'!F11</f>
        <v>FECHA LIMITE :</v>
      </c>
      <c r="D51" s="86">
        <f>'4637'!G11</f>
        <v>45513</v>
      </c>
      <c r="E51" s="30"/>
      <c r="F51" s="30"/>
      <c r="G51" s="30"/>
    </row>
    <row r="52" spans="1:12" ht="18" x14ac:dyDescent="0.35">
      <c r="A52" s="30"/>
      <c r="B52" s="30"/>
      <c r="C52" s="30"/>
      <c r="D52" s="30"/>
      <c r="E52" s="30"/>
      <c r="F52" s="30" t="s">
        <v>136</v>
      </c>
      <c r="G52" s="30"/>
    </row>
    <row r="53" spans="1:12" ht="18" x14ac:dyDescent="0.35">
      <c r="A53" s="30"/>
      <c r="B53" s="30"/>
      <c r="C53" s="30"/>
      <c r="D53" s="30"/>
      <c r="E53" s="30"/>
      <c r="F53" s="30"/>
      <c r="G53" s="30"/>
    </row>
    <row r="54" spans="1:12" ht="18" x14ac:dyDescent="0.35">
      <c r="A54" s="123" t="s">
        <v>65</v>
      </c>
      <c r="B54" s="123"/>
      <c r="C54" s="123"/>
      <c r="D54" s="123"/>
      <c r="E54" s="123"/>
      <c r="F54" s="123"/>
      <c r="G54" s="30"/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20.100000000000001" customHeight="1" x14ac:dyDescent="0.35">
      <c r="A56" s="30"/>
      <c r="B56" s="124" t="s">
        <v>66</v>
      </c>
      <c r="C56" s="125"/>
      <c r="D56" s="126"/>
      <c r="E56" s="126"/>
      <c r="F56" s="127"/>
      <c r="G56" s="30"/>
      <c r="H56" s="25" t="s">
        <v>130</v>
      </c>
    </row>
    <row r="57" spans="1:12" s="10" customFormat="1" ht="20.100000000000001" customHeight="1" x14ac:dyDescent="0.35">
      <c r="A57" s="30"/>
      <c r="B57" s="89" t="s">
        <v>9</v>
      </c>
      <c r="C57" s="90" t="s">
        <v>10</v>
      </c>
      <c r="D57" s="93" t="s">
        <v>6</v>
      </c>
      <c r="E57" s="93" t="s">
        <v>7</v>
      </c>
      <c r="F57" s="91" t="s">
        <v>11</v>
      </c>
      <c r="G57" s="30"/>
      <c r="J57" s="10">
        <v>15000</v>
      </c>
    </row>
    <row r="58" spans="1:12" s="10" customFormat="1" ht="20.100000000000001" customHeight="1" x14ac:dyDescent="0.35">
      <c r="A58" s="106" t="s">
        <v>139</v>
      </c>
      <c r="B58" s="101">
        <f>'4637'!B21</f>
        <v>1</v>
      </c>
      <c r="C58" s="101" t="str">
        <f>'4637'!C21</f>
        <v>CUB C/R R8</v>
      </c>
      <c r="D58" s="105">
        <f>'4637'!D21</f>
        <v>2950</v>
      </c>
      <c r="E58" s="105">
        <f>'4637'!E21</f>
        <v>600</v>
      </c>
      <c r="F58" s="101" t="str">
        <f>'4637'!F21</f>
        <v>DARK STEEL 2315 MT</v>
      </c>
      <c r="G58" s="30"/>
      <c r="H58" s="10">
        <f>D58*E58/1000000</f>
        <v>1.77</v>
      </c>
      <c r="I58" s="10">
        <f>H58*B58</f>
        <v>1.77</v>
      </c>
      <c r="J58" s="26">
        <f>I58*J$57</f>
        <v>26550</v>
      </c>
      <c r="L58" s="24">
        <v>12096</v>
      </c>
    </row>
    <row r="59" spans="1:12" s="10" customFormat="1" ht="20.100000000000001" customHeight="1" x14ac:dyDescent="0.35">
      <c r="A59" s="106"/>
      <c r="B59" s="101">
        <f>'4637'!B22</f>
        <v>4</v>
      </c>
      <c r="C59" s="101" t="str">
        <f>'4637'!C22</f>
        <v>PR6</v>
      </c>
      <c r="D59" s="105">
        <f>'4637'!D22</f>
        <v>750</v>
      </c>
      <c r="E59" s="105">
        <f>'4637'!E22</f>
        <v>348</v>
      </c>
      <c r="F59" s="101" t="str">
        <f>'4637'!F22</f>
        <v>BLANCO 2114 MT</v>
      </c>
      <c r="G59" s="30"/>
      <c r="J59" s="26"/>
      <c r="L59" s="29"/>
    </row>
    <row r="60" spans="1:12" s="10" customFormat="1" ht="20.100000000000001" customHeight="1" x14ac:dyDescent="0.35">
      <c r="A60" s="106"/>
      <c r="B60" s="101">
        <f>'4637'!B23</f>
        <v>1</v>
      </c>
      <c r="C60" s="101" t="str">
        <f>'4637'!C23</f>
        <v>PR6 / 3 FTES</v>
      </c>
      <c r="D60" s="105">
        <f>'4637'!D23</f>
        <v>750</v>
      </c>
      <c r="E60" s="105">
        <f>'4637'!E23</f>
        <v>599</v>
      </c>
      <c r="F60" s="101" t="str">
        <f>'4637'!F23</f>
        <v>BLANCO 2114 MT</v>
      </c>
      <c r="G60" s="30"/>
      <c r="J60" s="26"/>
      <c r="L60" s="29"/>
    </row>
    <row r="61" spans="1:12" s="10" customFormat="1" ht="20.100000000000001" customHeight="1" x14ac:dyDescent="0.35">
      <c r="A61" s="106"/>
      <c r="B61" s="101">
        <f>'4637'!B24</f>
        <v>2</v>
      </c>
      <c r="C61" s="101" t="str">
        <f>'4637'!C24</f>
        <v>PR6</v>
      </c>
      <c r="D61" s="105">
        <f>'4637'!D24</f>
        <v>750</v>
      </c>
      <c r="E61" s="105">
        <f>'4637'!E24</f>
        <v>448</v>
      </c>
      <c r="F61" s="101" t="str">
        <f>'4637'!F24</f>
        <v>BLANCO 2114 MT</v>
      </c>
      <c r="G61" s="30"/>
      <c r="J61" s="26"/>
      <c r="L61" s="29"/>
    </row>
    <row r="62" spans="1:12" s="10" customFormat="1" ht="15" customHeight="1" x14ac:dyDescent="0.35">
      <c r="A62" s="88"/>
      <c r="B62" s="71"/>
      <c r="C62" s="71"/>
      <c r="D62" s="71"/>
      <c r="E62" s="71"/>
      <c r="F62" s="71"/>
      <c r="G62" s="30"/>
      <c r="J62" s="26"/>
      <c r="L62" s="29"/>
    </row>
    <row r="63" spans="1:12" s="10" customFormat="1" ht="15" customHeight="1" x14ac:dyDescent="0.35">
      <c r="A63" s="88"/>
      <c r="B63" s="71"/>
      <c r="C63" s="71"/>
      <c r="D63" s="71"/>
      <c r="E63" s="71"/>
      <c r="F63" s="71"/>
      <c r="G63" s="30"/>
    </row>
    <row r="64" spans="1:12" ht="18" x14ac:dyDescent="0.35">
      <c r="A64" s="78"/>
      <c r="B64" s="78"/>
      <c r="C64" s="30"/>
      <c r="D64" s="78"/>
      <c r="E64" s="78"/>
      <c r="F64" s="83"/>
      <c r="G64" s="30"/>
    </row>
    <row r="65" spans="1:10" ht="18" x14ac:dyDescent="0.35">
      <c r="A65" s="78"/>
      <c r="B65" s="78"/>
      <c r="C65" s="30"/>
      <c r="D65" s="78"/>
      <c r="E65" s="78"/>
      <c r="F65" s="78"/>
      <c r="G65" s="30"/>
      <c r="I65" s="10">
        <f>SUM(I58:I58)</f>
        <v>1.77</v>
      </c>
      <c r="J65" s="27">
        <f>SUM(J58:J58)</f>
        <v>26550</v>
      </c>
    </row>
    <row r="66" spans="1:10" ht="18" x14ac:dyDescent="0.35">
      <c r="A66" s="30"/>
      <c r="B66" s="30"/>
      <c r="C66" s="30"/>
      <c r="D66" s="30"/>
      <c r="E66" s="30"/>
      <c r="F66" s="30"/>
      <c r="G66" s="30"/>
    </row>
    <row r="67" spans="1:10" ht="18" x14ac:dyDescent="0.35">
      <c r="A67" s="30"/>
      <c r="B67" s="30"/>
      <c r="C67" s="30"/>
      <c r="D67" s="30"/>
      <c r="E67" s="30"/>
      <c r="F67" s="30"/>
      <c r="G67" s="30"/>
    </row>
    <row r="68" spans="1:10" ht="18" x14ac:dyDescent="0.35">
      <c r="A68" s="30"/>
      <c r="B68" s="30"/>
      <c r="C68" s="30"/>
      <c r="D68" s="30"/>
      <c r="E68" s="30"/>
      <c r="F68" s="30"/>
      <c r="G68" s="30"/>
    </row>
    <row r="69" spans="1:10" ht="15" customHeight="1" x14ac:dyDescent="0.35">
      <c r="A69" s="30"/>
      <c r="B69" s="30"/>
      <c r="C69" s="30"/>
      <c r="D69" s="30"/>
      <c r="E69" s="30"/>
      <c r="F69" s="30"/>
      <c r="G69" s="30"/>
    </row>
    <row r="70" spans="1:10" ht="18" x14ac:dyDescent="0.35">
      <c r="A70" s="30"/>
      <c r="B70" s="30"/>
      <c r="C70" s="30"/>
      <c r="D70" s="30"/>
      <c r="E70" s="30"/>
      <c r="F70" s="30"/>
      <c r="G70" s="30"/>
    </row>
    <row r="71" spans="1:10" ht="18" x14ac:dyDescent="0.35">
      <c r="A71" s="78"/>
      <c r="B71" s="92"/>
      <c r="C71" s="30"/>
      <c r="D71" s="30"/>
      <c r="E71" s="30"/>
      <c r="F71" s="30"/>
      <c r="G71" s="30"/>
    </row>
    <row r="72" spans="1:10" ht="18" x14ac:dyDescent="0.35">
      <c r="A72" s="30"/>
      <c r="B72" s="30"/>
      <c r="C72" s="30"/>
      <c r="D72" s="30"/>
      <c r="E72" s="30"/>
      <c r="F72" s="30"/>
      <c r="G72" s="30"/>
    </row>
    <row r="73" spans="1:10" x14ac:dyDescent="0.3">
      <c r="B73" s="14"/>
      <c r="C73" s="14"/>
      <c r="E73" s="14"/>
      <c r="F73" s="14"/>
    </row>
    <row r="74" spans="1:10" x14ac:dyDescent="0.3">
      <c r="B74" s="14"/>
      <c r="C74" s="14"/>
      <c r="E74" s="14"/>
      <c r="F74" s="14"/>
    </row>
  </sheetData>
  <mergeCells count="6">
    <mergeCell ref="M3:N3"/>
    <mergeCell ref="A21:F21"/>
    <mergeCell ref="A10:F10"/>
    <mergeCell ref="A54:F54"/>
    <mergeCell ref="B56:F56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2024-08-07T20:19:38Z</cp:lastPrinted>
  <dcterms:created xsi:type="dcterms:W3CDTF">2013-03-19T12:54:14Z</dcterms:created>
  <dcterms:modified xsi:type="dcterms:W3CDTF">2024-08-07T20:19:51Z</dcterms:modified>
</cp:coreProperties>
</file>