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8 AGOSTO 2024\"/>
    </mc:Choice>
  </mc:AlternateContent>
  <xr:revisionPtr revIDLastSave="0" documentId="13_ncr:1_{A99A2104-0CD1-4307-8F4B-FC415D3EEA4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'4637'!$B$1:$H$43</definedName>
    <definedName name="_xlnm.Print_Area" localSheetId="2">CUBIERTA!$A$1:$F$39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E15" i="3"/>
  <c r="F23" i="3"/>
  <c r="F22" i="3"/>
  <c r="F14" i="3"/>
  <c r="I15" i="3"/>
  <c r="I23" i="3"/>
  <c r="F53" i="3"/>
  <c r="F30" i="3" s="1"/>
  <c r="F52" i="3"/>
  <c r="F29" i="3" s="1"/>
  <c r="H22" i="4"/>
  <c r="H21" i="4"/>
  <c r="B15" i="3" l="1"/>
  <c r="B23" i="3"/>
  <c r="B30" i="3"/>
  <c r="C30" i="3"/>
  <c r="D30" i="3"/>
  <c r="E30" i="3"/>
  <c r="B53" i="3"/>
  <c r="C53" i="3"/>
  <c r="D53" i="3"/>
  <c r="J23" i="3" s="1"/>
  <c r="J15" i="3" s="1"/>
  <c r="E53" i="3"/>
  <c r="K23" i="3" s="1"/>
  <c r="K15" i="3" s="1"/>
  <c r="H24" i="4"/>
  <c r="D23" i="3" l="1"/>
  <c r="F15" i="3"/>
  <c r="D15" i="3"/>
  <c r="B52" i="3" l="1"/>
  <c r="I22" i="3" s="1"/>
  <c r="I14" i="3" s="1"/>
  <c r="B14" i="3" s="1"/>
  <c r="L21" i="4" l="1"/>
  <c r="K21" i="4"/>
  <c r="M21" i="4" l="1"/>
  <c r="N21" i="4" s="1"/>
  <c r="B22" i="3" l="1"/>
  <c r="B29" i="3"/>
  <c r="C29" i="3"/>
  <c r="D29" i="3"/>
  <c r="E29" i="3"/>
  <c r="C52" i="3"/>
  <c r="D52" i="3"/>
  <c r="J22" i="3" s="1"/>
  <c r="J14" i="3" s="1"/>
  <c r="E52" i="3"/>
  <c r="K22" i="3" s="1"/>
  <c r="K14" i="3" s="1"/>
  <c r="E22" i="3" l="1"/>
  <c r="H29" i="3"/>
  <c r="I29" i="3" s="1"/>
  <c r="D22" i="3"/>
  <c r="H52" i="3"/>
  <c r="I52" i="3" s="1"/>
  <c r="D14" i="3"/>
  <c r="E14" i="3"/>
  <c r="I33" i="3" l="1"/>
  <c r="J52" i="3"/>
  <c r="I57" i="3"/>
  <c r="N5" i="3"/>
  <c r="J57" i="3" l="1"/>
  <c r="M5" i="3"/>
  <c r="L5" i="3"/>
  <c r="K5" i="3"/>
  <c r="C45" i="3" l="1"/>
  <c r="C7" i="3"/>
  <c r="D43" i="3"/>
  <c r="D5" i="3"/>
  <c r="D45" i="3"/>
  <c r="D7" i="3"/>
  <c r="D42" i="3"/>
  <c r="D4" i="3"/>
  <c r="H26" i="4" l="1"/>
</calcChain>
</file>

<file path=xl/sharedStrings.xml><?xml version="1.0" encoding="utf-8"?>
<sst xmlns="http://schemas.openxmlformats.org/spreadsheetml/2006/main" count="249" uniqueCount="144">
  <si>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</si>
  <si>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</si>
  <si>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</si>
  <si>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</si>
  <si>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</si>
  <si>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</si>
  <si>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</si>
  <si>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</si>
  <si>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</si>
  <si>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</si>
  <si>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</si>
  <si>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</si>
  <si>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</si>
  <si>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</si>
  <si>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</si>
  <si>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</si>
  <si>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</si>
  <si>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</si>
  <si>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</si>
  <si>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</si>
  <si>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</si>
  <si>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</si>
  <si>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</si>
  <si>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</si>
  <si>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</si>
  <si>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</si>
  <si>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</si>
  <si>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</si>
  <si>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</si>
  <si>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</si>
  <si>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</si>
  <si>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</si>
  <si>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</si>
  <si>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</si>
  <si>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</si>
  <si>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</si>
  <si>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</si>
  <si>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</si>
  <si>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</si>
  <si>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</si>
  <si>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</si>
  <si>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</si>
  <si>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</si>
  <si>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</si>
  <si>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</si>
  <si>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</si>
  <si>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</si>
  <si>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</si>
  <si>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</si>
  <si>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</si>
  <si>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</si>
  <si>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</si>
  <si>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</si>
  <si>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</si>
  <si>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</si>
  <si>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</si>
  <si>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</si>
  <si>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</si>
  <si>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</si>
  <si>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</si>
  <si>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</si>
  <si>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</si>
  <si>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</si>
  <si>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</si>
  <si>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</si>
  <si>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</si>
  <si>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</si>
  <si>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</si>
  <si>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</si>
  <si>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</si>
  <si>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</si>
  <si>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</si>
  <si>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</si>
  <si>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</si>
  <si>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</si>
  <si>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</si>
  <si>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</si>
  <si>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</si>
  <si>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</si>
  <si>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</si>
  <si>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</si>
  <si>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</si>
  <si>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</si>
  <si>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</si>
  <si>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</si>
  <si>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</si>
  <si>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</si>
  <si>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</si>
  <si>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</si>
  <si>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</si>
  <si>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</si>
  <si>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</si>
  <si>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</si>
  <si>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</si>
  <si>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</si>
  <si>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</si>
  <si>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</si>
  <si>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</si>
  <si>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</si>
  <si>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</si>
  <si>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</si>
  <si>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</si>
  <si>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</si>
  <si>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</si>
  <si>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</si>
  <si>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</si>
  <si>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</si>
  <si>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</si>
  <si>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</si>
  <si>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</si>
  <si>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</si>
  <si>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</si>
  <si>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</si>
  <si>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</si>
  <si>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</si>
  <si>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</si>
  <si>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</si>
  <si>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</si>
  <si>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</si>
  <si>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</si>
  <si>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</si>
  <si>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</si>
  <si>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</si>
  <si>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</si>
  <si>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</si>
  <si>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</si>
  <si>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</si>
  <si>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</si>
  <si>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</si>
  <si>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</si>
  <si>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</si>
  <si>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</si>
  <si>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</si>
  <si>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</si>
  <si>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</si>
  <si>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</si>
  <si>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</si>
  <si>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 TIAGO</t>
  </si>
  <si>
    <t>MDF 18MM</t>
  </si>
  <si>
    <t>MDF18MM</t>
  </si>
  <si>
    <t>FRANCISCO MELLA</t>
  </si>
  <si>
    <t>+569 84514974</t>
  </si>
  <si>
    <t>CUB C/R 90° R8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</si>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</sst>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166" fontId="2" fillId="0" borderId="2" xfId="1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9" fillId="0" borderId="0" xfId="0" quotePrefix="1" applyFont="1"/>
    <xf numFmtId="166" fontId="0" fillId="0" borderId="2" xfId="0" applyNumberFormat="1" applyBorder="1"/>
    <xf numFmtId="0" fontId="10" fillId="0" borderId="20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136225</xdr:colOff>
      <xdr:row>22</xdr:row>
      <xdr:rowOff>241040</xdr:rowOff>
    </xdr:from>
    <xdr:to>
      <xdr:col>5</xdr:col>
      <xdr:colOff>1679511</xdr:colOff>
      <xdr:row>26</xdr:row>
      <xdr:rowOff>108858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30613" y="5100734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:CANCELADO</a:t>
          </a:r>
          <a:r>
            <a:rPr lang="es-CL" sz="1200" b="1" i="0" baseline="0"/>
            <a:t> $ 350.639.-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38</xdr:row>
      <xdr:rowOff>0</xdr:rowOff>
    </xdr:from>
    <xdr:to>
      <xdr:col>4</xdr:col>
      <xdr:colOff>369336</xdr:colOff>
      <xdr:row>38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40</xdr:row>
      <xdr:rowOff>1</xdr:rowOff>
    </xdr:from>
    <xdr:to>
      <xdr:col>4</xdr:col>
      <xdr:colOff>349897</xdr:colOff>
      <xdr:row>40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16</xdr:row>
      <xdr:rowOff>66674</xdr:rowOff>
    </xdr:from>
    <xdr:to>
      <xdr:col>5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46</xdr:row>
      <xdr:rowOff>190500</xdr:rowOff>
    </xdr:from>
    <xdr:to>
      <xdr:col>6</xdr:col>
      <xdr:colOff>9524</xdr:colOff>
      <xdr:row>48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43</xdr:row>
      <xdr:rowOff>30479</xdr:rowOff>
    </xdr:from>
    <xdr:to>
      <xdr:col>5</xdr:col>
      <xdr:colOff>2912745</xdr:colOff>
      <xdr:row>44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41</xdr:row>
      <xdr:rowOff>209549</xdr:rowOff>
    </xdr:from>
    <xdr:to>
      <xdr:col>6</xdr:col>
      <xdr:colOff>0</xdr:colOff>
      <xdr:row>43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171450</xdr:rowOff>
    </xdr:from>
    <xdr:to>
      <xdr:col>6</xdr:col>
      <xdr:colOff>19050</xdr:colOff>
      <xdr:row>41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56</xdr:row>
      <xdr:rowOff>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32</xdr:row>
      <xdr:rowOff>15239</xdr:rowOff>
    </xdr:from>
    <xdr:to>
      <xdr:col>6</xdr:col>
      <xdr:colOff>0</xdr:colOff>
      <xdr:row>36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25</xdr:row>
      <xdr:rowOff>1</xdr:rowOff>
    </xdr:from>
    <xdr:to>
      <xdr:col>6</xdr:col>
      <xdr:colOff>19048</xdr:colOff>
      <xdr:row>26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0</xdr:colOff>
      <xdr:row>62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40</xdr:row>
      <xdr:rowOff>146685</xdr:rowOff>
    </xdr:from>
    <xdr:to>
      <xdr:col>1</xdr:col>
      <xdr:colOff>786523</xdr:colOff>
      <xdr:row>46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4"/>
  <sheetViews>
    <sheetView topLeftCell="A5" zoomScale="98" zoomScaleNormal="98" workbookViewId="0">
      <selection activeCell="J18" sqref="J1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11075</v>
      </c>
      <c r="E8" s="30">
        <v>0</v>
      </c>
      <c r="F8" s="35" t="s">
        <v>25</v>
      </c>
      <c r="G8" s="36">
        <v>4108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45530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45533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5" t="s">
        <v>141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137</v>
      </c>
      <c r="D16" s="56"/>
      <c r="E16" s="57"/>
      <c r="F16" s="121" t="s">
        <v>17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18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8" t="s">
        <v>128</v>
      </c>
      <c r="C20" s="108" t="s">
        <v>19</v>
      </c>
      <c r="D20" s="108" t="s">
        <v>20</v>
      </c>
      <c r="E20" s="108" t="s">
        <v>7</v>
      </c>
      <c r="F20" s="109" t="s">
        <v>21</v>
      </c>
      <c r="G20" s="110" t="s">
        <v>22</v>
      </c>
      <c r="H20" s="109" t="s">
        <v>4</v>
      </c>
      <c r="I20" s="30"/>
      <c r="N20">
        <v>65000</v>
      </c>
    </row>
    <row r="21" spans="1:16" ht="20.100000000000001" customHeight="1" x14ac:dyDescent="0.35">
      <c r="A21" s="30"/>
      <c r="B21" s="103">
        <v>2</v>
      </c>
      <c r="C21" s="103" t="s">
        <v>142</v>
      </c>
      <c r="D21" s="114">
        <v>2400</v>
      </c>
      <c r="E21" s="114">
        <v>800</v>
      </c>
      <c r="F21" s="103" t="s">
        <v>143</v>
      </c>
      <c r="G21" s="113">
        <v>125192</v>
      </c>
      <c r="H21" s="116">
        <f>G21*B21</f>
        <v>250384</v>
      </c>
      <c r="I21" s="30"/>
      <c r="K21" s="11" t="e">
        <f>C21/1000</f>
        <v>#VALUE!</v>
      </c>
      <c r="L21" s="15">
        <f>D21/1000</f>
        <v>2.4</v>
      </c>
      <c r="M21" s="11" t="e">
        <f>K21*L21</f>
        <v>#VALUE!</v>
      </c>
      <c r="N21" s="11" t="e">
        <f>M21*N$20</f>
        <v>#VALUE!</v>
      </c>
      <c r="O21" s="15"/>
      <c r="P21" s="21"/>
    </row>
    <row r="22" spans="1:16" ht="20.100000000000001" customHeight="1" x14ac:dyDescent="0.35">
      <c r="A22" s="30"/>
      <c r="B22" s="103">
        <v>1</v>
      </c>
      <c r="C22" s="103" t="s">
        <v>142</v>
      </c>
      <c r="D22" s="114">
        <v>1900</v>
      </c>
      <c r="E22" s="114">
        <v>800</v>
      </c>
      <c r="F22" s="103" t="s">
        <v>143</v>
      </c>
      <c r="G22" s="113">
        <v>100255</v>
      </c>
      <c r="H22" s="116">
        <f>G22*B22</f>
        <v>100255</v>
      </c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4"/>
      <c r="C23" s="104"/>
      <c r="D23" s="105"/>
      <c r="E23" s="105"/>
      <c r="F23" s="104"/>
      <c r="G23" s="106"/>
      <c r="H23" s="106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/>
      <c r="C24" s="104"/>
      <c r="D24" s="105"/>
      <c r="E24" s="105"/>
      <c r="F24" s="104"/>
      <c r="G24" s="61" t="s">
        <v>5</v>
      </c>
      <c r="H24" s="62">
        <f>SUM(H21:H23)</f>
        <v>350639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05"/>
      <c r="E25" s="105"/>
      <c r="F25" s="104"/>
      <c r="G25" s="63" t="s">
        <v>136</v>
      </c>
      <c r="H25" s="64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05"/>
      <c r="E26" s="105"/>
      <c r="F26" s="104"/>
      <c r="G26" s="65" t="s">
        <v>4</v>
      </c>
      <c r="H26" s="66">
        <f>H24+H25</f>
        <v>350639</v>
      </c>
      <c r="I26" s="30"/>
      <c r="K26" s="11"/>
      <c r="L26" s="15"/>
      <c r="M26" s="11"/>
      <c r="N26" s="11"/>
      <c r="O26" s="15"/>
      <c r="P26" s="21"/>
    </row>
    <row r="27" spans="1:16" ht="13.2" customHeight="1" x14ac:dyDescent="0.35">
      <c r="A27" s="30"/>
      <c r="B27" s="60"/>
      <c r="C27" s="60"/>
      <c r="D27" s="60"/>
      <c r="E27" s="60"/>
      <c r="F27" s="60"/>
      <c r="G27" s="59"/>
      <c r="H27" s="59"/>
      <c r="I27" s="30"/>
    </row>
    <row r="28" spans="1:16" ht="20.100000000000001" customHeight="1" x14ac:dyDescent="0.35">
      <c r="A28" s="30"/>
      <c r="B28" s="30"/>
      <c r="C28" s="30"/>
      <c r="D28" s="30"/>
      <c r="E28" s="30"/>
      <c r="F28" s="30"/>
      <c r="I28" s="30"/>
    </row>
    <row r="29" spans="1:16" ht="20.100000000000001" customHeight="1" x14ac:dyDescent="0.35">
      <c r="A29" s="30"/>
      <c r="B29" s="30"/>
      <c r="C29" s="30"/>
      <c r="D29" s="30"/>
      <c r="E29" s="30"/>
      <c r="F29" s="30"/>
      <c r="I29" s="30"/>
    </row>
    <row r="30" spans="1:16" ht="20.100000000000001" customHeight="1" x14ac:dyDescent="0.35">
      <c r="A30" s="30"/>
      <c r="B30" s="30"/>
      <c r="C30" s="30"/>
      <c r="D30" s="30"/>
      <c r="E30" s="30"/>
      <c r="F30" s="30"/>
      <c r="I30" s="30"/>
    </row>
    <row r="31" spans="1:16" ht="20.100000000000001" customHeight="1" x14ac:dyDescent="0.35">
      <c r="A31" s="30"/>
      <c r="B31" s="30"/>
      <c r="C31" s="30"/>
      <c r="D31" s="30"/>
      <c r="E31" s="30"/>
      <c r="F31" s="30"/>
      <c r="G31" s="67"/>
      <c r="H31" s="68"/>
      <c r="I31" s="30"/>
    </row>
    <row r="32" spans="1:16" ht="18" x14ac:dyDescent="0.35">
      <c r="A32" s="30"/>
      <c r="B32" s="30"/>
      <c r="C32" s="30"/>
      <c r="D32" s="30"/>
      <c r="E32" s="30"/>
      <c r="F32" s="30"/>
      <c r="G32" s="30"/>
      <c r="H32" s="30"/>
      <c r="I32" s="30"/>
    </row>
    <row r="33" spans="1:9" ht="18" x14ac:dyDescent="0.35">
      <c r="A33" s="30"/>
      <c r="B33" s="69" t="s">
        <v>133</v>
      </c>
      <c r="C33" s="70"/>
      <c r="D33" s="71"/>
      <c r="E33" s="71"/>
      <c r="F33" s="60"/>
      <c r="G33" s="30"/>
      <c r="H33" s="30"/>
      <c r="I33" s="30"/>
    </row>
    <row r="34" spans="1:9" ht="18" x14ac:dyDescent="0.35">
      <c r="A34" s="30"/>
      <c r="B34" s="69" t="s">
        <v>119</v>
      </c>
      <c r="C34" s="70"/>
      <c r="D34" s="71"/>
      <c r="E34" s="71"/>
      <c r="F34" s="60"/>
      <c r="G34" s="30"/>
      <c r="H34" s="30"/>
      <c r="I34" s="30"/>
    </row>
    <row r="35" spans="1:9" ht="18" x14ac:dyDescent="0.35">
      <c r="A35" s="30"/>
      <c r="B35" s="30" t="s">
        <v>23</v>
      </c>
      <c r="C35" s="30"/>
      <c r="D35" s="30"/>
      <c r="E35" s="30"/>
      <c r="F35" s="30"/>
      <c r="G35" s="30"/>
      <c r="H35" s="30"/>
      <c r="I35" s="30"/>
    </row>
    <row r="36" spans="1:9" ht="18" x14ac:dyDescent="0.35">
      <c r="A36" s="30"/>
      <c r="B36" s="72" t="s">
        <v>24</v>
      </c>
      <c r="C36" s="72"/>
      <c r="D36" s="30"/>
      <c r="E36" s="30"/>
      <c r="F36" s="30"/>
      <c r="G36" s="30"/>
      <c r="H36" s="30"/>
      <c r="I36" s="30"/>
    </row>
    <row r="37" spans="1:9" ht="18" x14ac:dyDescent="0.35">
      <c r="A37" s="30"/>
      <c r="B37" s="30"/>
      <c r="C37" s="30"/>
      <c r="D37" s="30"/>
      <c r="E37" s="72"/>
      <c r="F37" s="30"/>
      <c r="G37" s="30"/>
      <c r="H37" s="30"/>
      <c r="I37" s="30"/>
    </row>
    <row r="38" spans="1:9" ht="18" x14ac:dyDescent="0.35">
      <c r="A38" s="30"/>
      <c r="B38" s="31" t="s">
        <v>131</v>
      </c>
      <c r="C38" s="31"/>
      <c r="D38" s="31"/>
      <c r="E38" s="73"/>
      <c r="F38" s="30"/>
      <c r="G38" s="30"/>
      <c r="H38" s="30"/>
      <c r="I38" s="30"/>
    </row>
    <row r="39" spans="1:9" ht="18" x14ac:dyDescent="0.35">
      <c r="A39" s="30"/>
      <c r="B39" s="31"/>
      <c r="C39" s="31"/>
      <c r="D39" s="31"/>
      <c r="E39" s="73"/>
      <c r="F39" s="30"/>
      <c r="G39" s="30"/>
      <c r="H39" s="30"/>
      <c r="I39" s="30"/>
    </row>
    <row r="40" spans="1:9" ht="18" x14ac:dyDescent="0.35">
      <c r="A40" s="30"/>
      <c r="B40" s="31" t="s">
        <v>132</v>
      </c>
      <c r="C40" s="30"/>
      <c r="D40" s="30"/>
      <c r="E40" s="72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72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30"/>
      <c r="F43" s="30"/>
      <c r="G43" s="30"/>
      <c r="H43" s="30"/>
      <c r="I43" s="30"/>
    </row>
    <row r="44" spans="1:9" ht="15.6" x14ac:dyDescent="0.3">
      <c r="C44" s="1"/>
    </row>
  </sheetData>
  <sortState xmlns:xlrd2="http://schemas.microsoft.com/office/spreadsheetml/2017/richdata2" ref="B45">
    <sortCondition sortBy="fontColor" ref="B45" dxfId="0"/>
  </sortState>
  <mergeCells count="2">
    <mergeCell ref="F16:H16"/>
    <mergeCell ref="B19:H19"/>
  </mergeCells>
  <phoneticPr fontId="8" type="noConversion"/>
  <hyperlinks>
    <hyperlink ref="B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abSelected="1" zoomScaleNormal="100" workbookViewId="0">
      <selection sqref="A1:F39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8" t="s">
        <v>58</v>
      </c>
      <c r="L3" s="128"/>
      <c r="M3" s="128" t="s">
        <v>13</v>
      </c>
      <c r="N3" s="128"/>
    </row>
    <row r="4" spans="1:14" ht="15.75" customHeight="1" x14ac:dyDescent="0.35">
      <c r="A4" s="30"/>
      <c r="B4" s="30"/>
      <c r="C4" s="75" t="s">
        <v>25</v>
      </c>
      <c r="D4" s="76">
        <f>'4637'!G8</f>
        <v>4108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77" t="s">
        <v>64</v>
      </c>
      <c r="D5" s="78" t="str">
        <f>'4637'!C10</f>
        <v>FRANCISCO MELLA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79"/>
      <c r="D6" s="80"/>
      <c r="E6" s="30"/>
      <c r="F6" s="30"/>
      <c r="G6" s="30"/>
    </row>
    <row r="7" spans="1:14" ht="18" x14ac:dyDescent="0.35">
      <c r="A7" s="30"/>
      <c r="B7" s="30"/>
      <c r="C7" s="89" t="str">
        <f>'4637'!F11</f>
        <v>FECHA LIMITE :</v>
      </c>
      <c r="D7" s="82">
        <f>'4637'!G11</f>
        <v>45533</v>
      </c>
      <c r="E7" s="30"/>
      <c r="F7" s="30" t="s">
        <v>135</v>
      </c>
      <c r="G7" s="30"/>
    </row>
    <row r="8" spans="1:14" ht="18" x14ac:dyDescent="0.35">
      <c r="A8" s="30"/>
      <c r="B8" s="30"/>
      <c r="C8" s="90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9" t="s">
        <v>58</v>
      </c>
      <c r="B10" s="129"/>
      <c r="C10" s="129"/>
      <c r="D10" s="129"/>
      <c r="E10" s="129"/>
      <c r="F10" s="129"/>
      <c r="G10" s="30"/>
    </row>
    <row r="11" spans="1:14" ht="18" x14ac:dyDescent="0.35">
      <c r="A11" s="30"/>
      <c r="B11" s="30"/>
      <c r="C11" s="91"/>
      <c r="D11" s="30"/>
      <c r="E11" s="30"/>
      <c r="F11" s="30"/>
      <c r="G11" s="30"/>
    </row>
    <row r="12" spans="1:14" ht="18" x14ac:dyDescent="0.35">
      <c r="A12" s="30"/>
      <c r="B12" s="30"/>
      <c r="C12" s="30"/>
      <c r="D12" s="67" t="s">
        <v>6</v>
      </c>
      <c r="E12" s="67" t="s">
        <v>7</v>
      </c>
      <c r="F12" s="30"/>
      <c r="G12" s="30"/>
    </row>
    <row r="13" spans="1:14" ht="18" x14ac:dyDescent="0.35">
      <c r="A13" s="67" t="s">
        <v>8</v>
      </c>
      <c r="B13" s="92" t="s">
        <v>9</v>
      </c>
      <c r="C13" s="92" t="s">
        <v>10</v>
      </c>
      <c r="D13" s="93">
        <v>50</v>
      </c>
      <c r="E13" s="93">
        <v>-30</v>
      </c>
      <c r="F13" s="92" t="s">
        <v>107</v>
      </c>
      <c r="G13" s="30"/>
      <c r="J13" s="5" t="s">
        <v>6</v>
      </c>
      <c r="K13" s="5" t="s">
        <v>7</v>
      </c>
    </row>
    <row r="14" spans="1:14" ht="18" x14ac:dyDescent="0.35">
      <c r="A14" s="102" t="s">
        <v>139</v>
      </c>
      <c r="B14" s="94">
        <f>I14</f>
        <v>2</v>
      </c>
      <c r="C14" s="94"/>
      <c r="D14" s="94">
        <f>J14+D$13</f>
        <v>2450</v>
      </c>
      <c r="E14" s="94">
        <f>K14+E$13</f>
        <v>770</v>
      </c>
      <c r="F14" s="94" t="str">
        <f>C29</f>
        <v>CUB C/R 90° R8</v>
      </c>
      <c r="G14" s="30"/>
      <c r="I14" s="3">
        <f t="shared" ref="I14:K15" si="0">I22</f>
        <v>2</v>
      </c>
      <c r="J14" s="4">
        <f t="shared" si="0"/>
        <v>2400</v>
      </c>
      <c r="K14" s="4">
        <f t="shared" si="0"/>
        <v>800</v>
      </c>
    </row>
    <row r="15" spans="1:14" ht="18" x14ac:dyDescent="0.35">
      <c r="A15" s="102"/>
      <c r="B15" s="94">
        <f>I15</f>
        <v>1</v>
      </c>
      <c r="C15" s="94"/>
      <c r="D15" s="94">
        <f>J15+D$13</f>
        <v>1950</v>
      </c>
      <c r="E15" s="94">
        <f>K15+E$13</f>
        <v>770</v>
      </c>
      <c r="F15" s="94" t="str">
        <f>C30</f>
        <v>CUB C/R 90° R8</v>
      </c>
      <c r="G15" s="30"/>
      <c r="I15" s="3">
        <f t="shared" si="0"/>
        <v>1</v>
      </c>
      <c r="J15" s="4">
        <f t="shared" si="0"/>
        <v>1900</v>
      </c>
      <c r="K15" s="4">
        <f t="shared" si="0"/>
        <v>800</v>
      </c>
    </row>
    <row r="16" spans="1:14" ht="18" x14ac:dyDescent="0.35">
      <c r="A16" s="84"/>
      <c r="B16" s="74"/>
      <c r="C16" s="74"/>
      <c r="D16" s="74"/>
      <c r="E16" s="74"/>
      <c r="F16" s="74"/>
      <c r="G16" s="30"/>
      <c r="I16" s="23"/>
      <c r="J16" s="2"/>
      <c r="K16" s="2"/>
    </row>
    <row r="17" spans="1:11" ht="6.75" customHeight="1" x14ac:dyDescent="0.35">
      <c r="A17" s="30"/>
      <c r="B17" s="30"/>
      <c r="C17" s="30"/>
      <c r="D17" s="30"/>
      <c r="E17" s="30"/>
      <c r="F17" s="30"/>
      <c r="G17" s="30"/>
    </row>
    <row r="18" spans="1:11" ht="18" x14ac:dyDescent="0.35">
      <c r="A18" s="129" t="s">
        <v>13</v>
      </c>
      <c r="B18" s="129"/>
      <c r="C18" s="129"/>
      <c r="D18" s="129"/>
      <c r="E18" s="129"/>
      <c r="F18" s="129"/>
      <c r="G18" s="30"/>
    </row>
    <row r="19" spans="1:11" ht="10.5" customHeight="1" x14ac:dyDescent="0.35">
      <c r="A19" s="30"/>
      <c r="B19" s="30"/>
      <c r="C19" s="91"/>
      <c r="D19" s="30"/>
      <c r="E19" s="30"/>
      <c r="F19" s="30"/>
      <c r="G19" s="30"/>
    </row>
    <row r="20" spans="1:11" ht="18" x14ac:dyDescent="0.35">
      <c r="A20" s="30"/>
      <c r="B20" s="30"/>
      <c r="C20" s="30"/>
      <c r="D20" s="67" t="s">
        <v>6</v>
      </c>
      <c r="E20" s="67" t="s">
        <v>7</v>
      </c>
      <c r="F20" s="30"/>
      <c r="G20" s="30"/>
    </row>
    <row r="21" spans="1:11" ht="18" x14ac:dyDescent="0.35">
      <c r="A21" s="67" t="s">
        <v>8</v>
      </c>
      <c r="B21" s="83" t="s">
        <v>9</v>
      </c>
      <c r="C21" s="83" t="s">
        <v>10</v>
      </c>
      <c r="D21" s="95">
        <v>40</v>
      </c>
      <c r="E21" s="95">
        <v>130</v>
      </c>
      <c r="F21" s="83" t="s">
        <v>107</v>
      </c>
      <c r="G21" s="30"/>
      <c r="J21" s="5" t="s">
        <v>6</v>
      </c>
      <c r="K21" s="5" t="s">
        <v>7</v>
      </c>
    </row>
    <row r="22" spans="1:11" ht="18" x14ac:dyDescent="0.35">
      <c r="A22" s="102"/>
      <c r="B22" s="96">
        <f t="shared" ref="B22" si="1">I22</f>
        <v>2</v>
      </c>
      <c r="C22" s="96"/>
      <c r="D22" s="96">
        <f t="shared" ref="D22:E23" si="2">J22+D$21</f>
        <v>2440</v>
      </c>
      <c r="E22" s="96">
        <f t="shared" si="2"/>
        <v>930</v>
      </c>
      <c r="F22" s="96" t="str">
        <f>F14</f>
        <v>CUB C/R 90° R8</v>
      </c>
      <c r="G22" s="30"/>
      <c r="I22" s="3">
        <f>B52</f>
        <v>2</v>
      </c>
      <c r="J22" s="107">
        <f>D52</f>
        <v>2400</v>
      </c>
      <c r="K22" s="107">
        <f>E52</f>
        <v>800</v>
      </c>
    </row>
    <row r="23" spans="1:11" ht="18" x14ac:dyDescent="0.35">
      <c r="A23" s="102"/>
      <c r="B23" s="96">
        <f t="shared" ref="B23" si="3">I23</f>
        <v>1</v>
      </c>
      <c r="C23" s="96"/>
      <c r="D23" s="96">
        <f t="shared" ref="D23" si="4">J23+D$21</f>
        <v>1940</v>
      </c>
      <c r="E23" s="96">
        <f t="shared" si="2"/>
        <v>930</v>
      </c>
      <c r="F23" s="96">
        <f>B30</f>
        <v>1</v>
      </c>
      <c r="G23" s="30"/>
      <c r="I23" s="3">
        <f>B53</f>
        <v>1</v>
      </c>
      <c r="J23" s="107">
        <f>D53</f>
        <v>1900</v>
      </c>
      <c r="K23" s="107">
        <f>E53</f>
        <v>800</v>
      </c>
    </row>
    <row r="24" spans="1:11" x14ac:dyDescent="0.3">
      <c r="A24" s="102"/>
    </row>
    <row r="25" spans="1:11" ht="18.600000000000001" thickBot="1" x14ac:dyDescent="0.4">
      <c r="A25" s="84"/>
      <c r="B25" s="74"/>
      <c r="C25" s="74"/>
      <c r="D25" s="74"/>
      <c r="E25" s="74"/>
      <c r="F25" s="74"/>
      <c r="G25" s="30"/>
      <c r="H25" s="111"/>
      <c r="I25" s="112"/>
      <c r="J25" s="112"/>
      <c r="K25" s="112"/>
    </row>
    <row r="26" spans="1:11" ht="18.600000000000001" thickBot="1" x14ac:dyDescent="0.4">
      <c r="A26" s="67"/>
      <c r="B26" s="97" t="s">
        <v>104</v>
      </c>
      <c r="C26" s="33"/>
      <c r="D26" s="33"/>
      <c r="E26" s="33"/>
      <c r="F26" s="98"/>
      <c r="G26" s="30"/>
      <c r="I26" s="2"/>
      <c r="J26" s="2"/>
      <c r="K26" s="2"/>
    </row>
    <row r="27" spans="1:11" ht="10.5" customHeight="1" x14ac:dyDescent="0.35">
      <c r="A27" s="30"/>
      <c r="B27" s="30"/>
      <c r="C27" s="30"/>
      <c r="D27" s="30"/>
      <c r="E27" s="30"/>
      <c r="F27" s="30"/>
      <c r="G27" s="30"/>
    </row>
    <row r="28" spans="1:11" ht="18" x14ac:dyDescent="0.35">
      <c r="A28" s="67" t="s">
        <v>8</v>
      </c>
      <c r="B28" s="99" t="s">
        <v>9</v>
      </c>
      <c r="C28" s="99" t="s">
        <v>107</v>
      </c>
      <c r="D28" s="99" t="s">
        <v>6</v>
      </c>
      <c r="E28" s="99" t="s">
        <v>7</v>
      </c>
      <c r="F28" s="99" t="s">
        <v>21</v>
      </c>
      <c r="G28" s="30"/>
    </row>
    <row r="29" spans="1:11" ht="18" x14ac:dyDescent="0.35">
      <c r="A29" s="102" t="s">
        <v>138</v>
      </c>
      <c r="B29" s="94">
        <f>'4637'!B21</f>
        <v>2</v>
      </c>
      <c r="C29" s="94" t="str">
        <f>'4637'!C21</f>
        <v>CUB C/R 90° R8</v>
      </c>
      <c r="D29" s="94">
        <f>'4637'!D21</f>
        <v>2400</v>
      </c>
      <c r="E29" s="94">
        <f>'4637'!E21</f>
        <v>800</v>
      </c>
      <c r="F29" s="120" t="str">
        <f>F52</f>
        <v>BLANCO 2114 MT</v>
      </c>
      <c r="G29" s="30"/>
      <c r="H29" s="28" t="e">
        <f>C29*D29/1000000</f>
        <v>#VALUE!</v>
      </c>
      <c r="I29" s="28" t="e">
        <f>H29*#REF!</f>
        <v>#VALUE!</v>
      </c>
    </row>
    <row r="30" spans="1:11" ht="18" x14ac:dyDescent="0.35">
      <c r="A30" s="102"/>
      <c r="B30" s="94">
        <f>'4637'!B22</f>
        <v>1</v>
      </c>
      <c r="C30" s="94" t="str">
        <f>'4637'!C22</f>
        <v>CUB C/R 90° R8</v>
      </c>
      <c r="D30" s="94">
        <f>'4637'!D22</f>
        <v>1900</v>
      </c>
      <c r="E30" s="94">
        <f>'4637'!E22</f>
        <v>800</v>
      </c>
      <c r="F30" s="120" t="str">
        <f>F53</f>
        <v>BLANCO 2114 MT</v>
      </c>
      <c r="G30" s="30"/>
      <c r="H30" s="28"/>
      <c r="I30" s="28"/>
    </row>
    <row r="31" spans="1:11" ht="18" x14ac:dyDescent="0.35">
      <c r="A31" s="84"/>
      <c r="B31" s="74"/>
      <c r="C31" s="74"/>
      <c r="D31" s="74"/>
      <c r="E31" s="74"/>
      <c r="F31" s="74"/>
      <c r="G31" s="30"/>
      <c r="H31" s="28"/>
      <c r="I31" s="28"/>
    </row>
    <row r="32" spans="1:11" ht="18" x14ac:dyDescent="0.35">
      <c r="A32" s="30"/>
      <c r="B32" s="74"/>
      <c r="C32" s="74"/>
      <c r="D32" s="74"/>
      <c r="E32" s="74"/>
      <c r="F32" s="74"/>
      <c r="G32" s="30"/>
    </row>
    <row r="33" spans="1:9" ht="18" x14ac:dyDescent="0.35">
      <c r="A33" s="30"/>
      <c r="B33" s="74"/>
      <c r="C33" s="74"/>
      <c r="D33" s="74"/>
      <c r="E33" s="74"/>
      <c r="F33" s="74"/>
      <c r="G33" s="30"/>
      <c r="I33" s="28" t="e">
        <f>SUM(I29:I29)*2</f>
        <v>#VALUE!</v>
      </c>
    </row>
    <row r="34" spans="1:9" ht="18" x14ac:dyDescent="0.35">
      <c r="A34" s="30"/>
      <c r="B34" s="74"/>
      <c r="C34" s="74"/>
      <c r="D34" s="74"/>
      <c r="E34" s="74"/>
      <c r="F34" s="74"/>
      <c r="G34" s="30"/>
    </row>
    <row r="35" spans="1:9" ht="18" x14ac:dyDescent="0.35">
      <c r="A35" s="30"/>
      <c r="B35" s="74"/>
      <c r="C35" s="74"/>
      <c r="D35" s="74"/>
      <c r="E35" s="74"/>
      <c r="F35" s="74"/>
      <c r="G35" s="30"/>
    </row>
    <row r="36" spans="1:9" ht="18" x14ac:dyDescent="0.35">
      <c r="A36" s="30"/>
      <c r="B36" s="74"/>
      <c r="C36" s="74"/>
      <c r="D36" s="74"/>
      <c r="E36" s="74"/>
      <c r="F36" s="74"/>
      <c r="G36" s="30"/>
    </row>
    <row r="37" spans="1:9" ht="18" x14ac:dyDescent="0.35">
      <c r="A37" s="30"/>
      <c r="B37" s="74"/>
      <c r="C37" s="74"/>
      <c r="D37" s="74"/>
      <c r="E37" s="74"/>
      <c r="F37" s="74"/>
      <c r="G37" s="30"/>
    </row>
    <row r="38" spans="1:9" ht="18" x14ac:dyDescent="0.35">
      <c r="A38" s="30"/>
      <c r="B38" s="74"/>
      <c r="C38" s="74"/>
      <c r="D38" s="74"/>
      <c r="E38" s="74"/>
      <c r="F38" s="74"/>
      <c r="G38" s="30"/>
    </row>
    <row r="39" spans="1:9" ht="18" x14ac:dyDescent="0.35">
      <c r="A39" s="30"/>
      <c r="B39" s="74"/>
      <c r="C39" s="74"/>
      <c r="D39" s="74"/>
      <c r="E39" s="74"/>
      <c r="F39" s="74"/>
      <c r="G39" s="30"/>
    </row>
    <row r="40" spans="1:9" ht="18" x14ac:dyDescent="0.35">
      <c r="A40" s="30"/>
      <c r="B40" s="74"/>
      <c r="C40" s="74"/>
      <c r="D40" s="74"/>
      <c r="E40" s="74"/>
      <c r="F40" s="74"/>
      <c r="G40" s="30"/>
    </row>
    <row r="41" spans="1:9" ht="18" x14ac:dyDescent="0.35">
      <c r="A41" s="30"/>
      <c r="B41" s="30"/>
      <c r="C41" s="30"/>
      <c r="D41" s="30"/>
      <c r="E41" s="30"/>
      <c r="F41" s="30"/>
      <c r="G41" s="30"/>
    </row>
    <row r="42" spans="1:9" ht="18" x14ac:dyDescent="0.35">
      <c r="A42" s="30"/>
      <c r="B42" s="30"/>
      <c r="C42" s="75" t="s">
        <v>25</v>
      </c>
      <c r="D42" s="76">
        <f>'4637'!G8</f>
        <v>4108</v>
      </c>
      <c r="E42" s="30"/>
      <c r="F42" s="30"/>
      <c r="G42" s="30"/>
    </row>
    <row r="43" spans="1:9" ht="17.25" customHeight="1" x14ac:dyDescent="0.35">
      <c r="A43" s="30"/>
      <c r="B43" s="30"/>
      <c r="C43" s="77" t="s">
        <v>64</v>
      </c>
      <c r="D43" s="78" t="str">
        <f>'4637'!C10</f>
        <v>FRANCISCO MELLA</v>
      </c>
      <c r="E43" s="48"/>
      <c r="F43" s="48"/>
      <c r="G43" s="30"/>
    </row>
    <row r="44" spans="1:9" ht="4.5" customHeight="1" x14ac:dyDescent="0.35">
      <c r="A44" s="30"/>
      <c r="B44" s="30"/>
      <c r="C44" s="79"/>
      <c r="D44" s="80"/>
      <c r="E44" s="30"/>
      <c r="F44" s="30"/>
      <c r="G44" s="30"/>
    </row>
    <row r="45" spans="1:9" ht="18" x14ac:dyDescent="0.35">
      <c r="A45" s="30"/>
      <c r="B45" s="30"/>
      <c r="C45" s="81" t="str">
        <f>'4637'!F11</f>
        <v>FECHA LIMITE :</v>
      </c>
      <c r="D45" s="82">
        <f>'4637'!G11</f>
        <v>45533</v>
      </c>
      <c r="E45" s="30"/>
      <c r="F45" s="30"/>
      <c r="G45" s="30"/>
    </row>
    <row r="46" spans="1:9" ht="18" x14ac:dyDescent="0.35">
      <c r="A46" s="30"/>
      <c r="B46" s="30"/>
      <c r="C46" s="30"/>
      <c r="D46" s="30"/>
      <c r="E46" s="30"/>
      <c r="F46" s="30" t="s">
        <v>135</v>
      </c>
      <c r="G46" s="30"/>
    </row>
    <row r="47" spans="1:9" ht="18" x14ac:dyDescent="0.35">
      <c r="A47" s="30"/>
      <c r="B47" s="30"/>
      <c r="C47" s="30"/>
      <c r="D47" s="30"/>
      <c r="E47" s="30"/>
      <c r="F47" s="30"/>
      <c r="G47" s="30"/>
    </row>
    <row r="48" spans="1:9" ht="18" x14ac:dyDescent="0.35">
      <c r="A48" s="130" t="s">
        <v>65</v>
      </c>
      <c r="B48" s="130"/>
      <c r="C48" s="130"/>
      <c r="D48" s="130"/>
      <c r="E48" s="130"/>
      <c r="F48" s="130"/>
      <c r="G48" s="30"/>
    </row>
    <row r="49" spans="1:12" ht="18" x14ac:dyDescent="0.35">
      <c r="A49" s="30"/>
      <c r="B49" s="30"/>
      <c r="C49" s="30"/>
      <c r="D49" s="30"/>
      <c r="E49" s="30"/>
      <c r="F49" s="30"/>
      <c r="G49" s="30"/>
    </row>
    <row r="50" spans="1:12" ht="20.100000000000001" customHeight="1" x14ac:dyDescent="0.35">
      <c r="A50" s="30"/>
      <c r="B50" s="131" t="s">
        <v>66</v>
      </c>
      <c r="C50" s="132"/>
      <c r="D50" s="133"/>
      <c r="E50" s="133"/>
      <c r="F50" s="134"/>
      <c r="G50" s="30"/>
      <c r="H50" s="25" t="s">
        <v>130</v>
      </c>
    </row>
    <row r="51" spans="1:12" s="10" customFormat="1" ht="20.100000000000001" customHeight="1" x14ac:dyDescent="0.35">
      <c r="A51" s="30"/>
      <c r="B51" s="85" t="s">
        <v>9</v>
      </c>
      <c r="C51" s="86" t="s">
        <v>10</v>
      </c>
      <c r="D51" s="88" t="s">
        <v>6</v>
      </c>
      <c r="E51" s="88" t="s">
        <v>7</v>
      </c>
      <c r="F51" s="118" t="s">
        <v>11</v>
      </c>
      <c r="G51" s="30"/>
      <c r="J51" s="10">
        <v>15000</v>
      </c>
    </row>
    <row r="52" spans="1:12" s="10" customFormat="1" ht="20.100000000000001" customHeight="1" x14ac:dyDescent="0.35">
      <c r="A52" s="101" t="s">
        <v>138</v>
      </c>
      <c r="B52" s="96">
        <f>'4637'!B21</f>
        <v>2</v>
      </c>
      <c r="C52" s="100" t="str">
        <f>'4637'!C21</f>
        <v>CUB C/R 90° R8</v>
      </c>
      <c r="D52" s="100">
        <f>'4637'!D21</f>
        <v>2400</v>
      </c>
      <c r="E52" s="117">
        <f>'4637'!E21</f>
        <v>800</v>
      </c>
      <c r="F52" s="119" t="str">
        <f>'4637'!F21</f>
        <v>BLANCO 2114 MT</v>
      </c>
      <c r="G52" s="30"/>
      <c r="H52" s="10" t="e">
        <f>C52*D52/1000000</f>
        <v>#VALUE!</v>
      </c>
      <c r="I52" s="10" t="e">
        <f>H52*#REF!</f>
        <v>#VALUE!</v>
      </c>
      <c r="J52" s="26" t="e">
        <f>I52*J$51</f>
        <v>#VALUE!</v>
      </c>
      <c r="L52" s="24">
        <v>12096</v>
      </c>
    </row>
    <row r="53" spans="1:12" s="10" customFormat="1" ht="20.100000000000001" customHeight="1" x14ac:dyDescent="0.35">
      <c r="A53" s="101"/>
      <c r="B53" s="96">
        <f>'4637'!B22</f>
        <v>1</v>
      </c>
      <c r="C53" s="100" t="str">
        <f>'4637'!C22</f>
        <v>CUB C/R 90° R8</v>
      </c>
      <c r="D53" s="100">
        <f>'4637'!D22</f>
        <v>1900</v>
      </c>
      <c r="E53" s="117">
        <f>'4637'!E22</f>
        <v>800</v>
      </c>
      <c r="F53" s="119" t="str">
        <f>'4637'!F22</f>
        <v>BLANCO 2114 MT</v>
      </c>
      <c r="G53" s="30"/>
      <c r="J53" s="26"/>
      <c r="L53" s="29"/>
    </row>
    <row r="54" spans="1:12" s="10" customFormat="1" ht="15" customHeight="1" x14ac:dyDescent="0.35">
      <c r="A54" s="84"/>
      <c r="B54" s="67"/>
      <c r="C54" s="67"/>
      <c r="D54" s="67"/>
      <c r="E54" s="67"/>
      <c r="F54" s="67"/>
      <c r="G54" s="30"/>
      <c r="J54" s="26"/>
      <c r="L54" s="29"/>
    </row>
    <row r="55" spans="1:12" s="10" customFormat="1" ht="15" customHeight="1" x14ac:dyDescent="0.35">
      <c r="A55" s="84"/>
      <c r="B55" s="67"/>
      <c r="C55" s="67"/>
      <c r="D55" s="67"/>
      <c r="E55" s="67"/>
      <c r="F55" s="67"/>
      <c r="G55" s="30"/>
    </row>
    <row r="56" spans="1:12" ht="18" x14ac:dyDescent="0.35">
      <c r="A56" s="74"/>
      <c r="B56" s="74"/>
      <c r="C56" s="30"/>
      <c r="D56" s="74"/>
      <c r="E56" s="74"/>
      <c r="F56" s="79"/>
      <c r="G56" s="30"/>
    </row>
    <row r="57" spans="1:12" ht="18" x14ac:dyDescent="0.35">
      <c r="A57" s="74"/>
      <c r="B57" s="74"/>
      <c r="C57" s="30"/>
      <c r="D57" s="74"/>
      <c r="E57" s="74"/>
      <c r="F57" s="74"/>
      <c r="G57" s="30"/>
      <c r="I57" s="10" t="e">
        <f>SUM(I52:I52)</f>
        <v>#VALUE!</v>
      </c>
      <c r="J57" s="27" t="e">
        <f>SUM(J52:J52)</f>
        <v>#VALUE!</v>
      </c>
    </row>
    <row r="58" spans="1:12" ht="18" x14ac:dyDescent="0.35">
      <c r="A58" s="30"/>
      <c r="B58" s="30"/>
      <c r="C58" s="30"/>
      <c r="D58" s="30"/>
      <c r="E58" s="30"/>
      <c r="F58" s="30"/>
      <c r="G58" s="30"/>
    </row>
    <row r="59" spans="1:12" ht="18" x14ac:dyDescent="0.35">
      <c r="A59" s="30"/>
      <c r="B59" s="30"/>
      <c r="C59" s="30"/>
      <c r="D59" s="30"/>
      <c r="E59" s="30"/>
      <c r="F59" s="30"/>
      <c r="G59" s="30"/>
    </row>
    <row r="60" spans="1:12" ht="18" x14ac:dyDescent="0.35">
      <c r="A60" s="30"/>
      <c r="B60" s="30"/>
      <c r="C60" s="30"/>
      <c r="D60" s="30"/>
      <c r="E60" s="30"/>
      <c r="F60" s="30"/>
      <c r="G60" s="30"/>
    </row>
    <row r="61" spans="1:12" ht="15" customHeight="1" x14ac:dyDescent="0.35">
      <c r="A61" s="30"/>
      <c r="B61" s="30"/>
      <c r="C61" s="30"/>
      <c r="D61" s="30"/>
      <c r="E61" s="30"/>
      <c r="F61" s="30"/>
      <c r="G61" s="30"/>
    </row>
    <row r="62" spans="1:12" ht="18" x14ac:dyDescent="0.35">
      <c r="A62" s="30"/>
      <c r="B62" s="30"/>
      <c r="C62" s="30"/>
      <c r="D62" s="30"/>
      <c r="E62" s="30"/>
      <c r="F62" s="30"/>
      <c r="G62" s="30"/>
    </row>
    <row r="63" spans="1:12" ht="18" x14ac:dyDescent="0.35">
      <c r="A63" s="74"/>
      <c r="B63" s="87"/>
      <c r="C63" s="30"/>
      <c r="D63" s="30"/>
      <c r="E63" s="30"/>
      <c r="F63" s="30"/>
      <c r="G63" s="30"/>
    </row>
    <row r="64" spans="1:12" ht="18" x14ac:dyDescent="0.35">
      <c r="A64" s="30"/>
      <c r="B64" s="30"/>
      <c r="C64" s="30"/>
      <c r="D64" s="30"/>
      <c r="E64" s="30"/>
      <c r="F64" s="30"/>
      <c r="G64" s="30"/>
    </row>
    <row r="65" spans="2:6" x14ac:dyDescent="0.3">
      <c r="B65" s="14"/>
      <c r="C65" s="14"/>
      <c r="E65" s="14"/>
      <c r="F65" s="14"/>
    </row>
    <row r="66" spans="2:6" x14ac:dyDescent="0.3">
      <c r="B66" s="14"/>
      <c r="C66" s="14"/>
      <c r="E66" s="14"/>
      <c r="F66" s="14"/>
    </row>
  </sheetData>
  <mergeCells count="6">
    <mergeCell ref="M3:N3"/>
    <mergeCell ref="A18:F18"/>
    <mergeCell ref="A10:F10"/>
    <mergeCell ref="A48:F48"/>
    <mergeCell ref="B50:F50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2024-08-26T13:58:32Z</cp:lastPrinted>
  <dcterms:created xsi:type="dcterms:W3CDTF">2013-03-19T12:54:14Z</dcterms:created>
  <dcterms:modified xsi:type="dcterms:W3CDTF">2024-08-26T13:58:56Z</dcterms:modified>
</cp:coreProperties>
</file>