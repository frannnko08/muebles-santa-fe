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4\"/>
    </mc:Choice>
  </mc:AlternateContent>
  <xr:revisionPtr revIDLastSave="0" documentId="13_ncr:1_{4CC50EC2-E387-4589-8CBC-363AB6382AD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'4637'!$B$1:$H$50</definedName>
    <definedName name="_xlnm.Print_Area" localSheetId="2">CUBIERTA!$B$43:$G$71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B25" i="4" l="1"/>
  <c r="J15" i="3" l="1"/>
  <c r="C15" i="3" s="1"/>
  <c r="J16" i="3"/>
  <c r="C16" i="3" s="1"/>
  <c r="C34" i="3"/>
  <c r="J26" i="3" s="1"/>
  <c r="C26" i="3" s="1"/>
  <c r="D34" i="3"/>
  <c r="E34" i="3"/>
  <c r="K26" i="3" s="1"/>
  <c r="E26" i="3" s="1"/>
  <c r="F34" i="3"/>
  <c r="L26" i="3" s="1"/>
  <c r="F26" i="3" s="1"/>
  <c r="G34" i="3"/>
  <c r="C58" i="3"/>
  <c r="D58" i="3"/>
  <c r="E58" i="3"/>
  <c r="F58" i="3"/>
  <c r="G58" i="3"/>
  <c r="G26" i="3" l="1"/>
  <c r="G16" i="3"/>
  <c r="K16" i="3"/>
  <c r="E16" i="3" s="1"/>
  <c r="L16" i="3"/>
  <c r="F16" i="3" s="1"/>
  <c r="C33" i="3"/>
  <c r="J25" i="3" s="1"/>
  <c r="C25" i="3" s="1"/>
  <c r="D33" i="3"/>
  <c r="E33" i="3"/>
  <c r="F33" i="3"/>
  <c r="G33" i="3"/>
  <c r="C57" i="3"/>
  <c r="D57" i="3"/>
  <c r="E57" i="3"/>
  <c r="F57" i="3"/>
  <c r="G57" i="3"/>
  <c r="J14" i="3"/>
  <c r="C14" i="3" s="1"/>
  <c r="G25" i="3" l="1"/>
  <c r="G15" i="3"/>
  <c r="L25" i="3"/>
  <c r="F25" i="3" s="1"/>
  <c r="L15" i="3"/>
  <c r="F15" i="3" s="1"/>
  <c r="K25" i="3"/>
  <c r="K15" i="3"/>
  <c r="E15" i="3" s="1"/>
  <c r="D56" i="3"/>
  <c r="L21" i="4" l="1"/>
  <c r="K21" i="4"/>
  <c r="M21" i="4" l="1"/>
  <c r="N21" i="4" s="1"/>
  <c r="C32" i="3" l="1"/>
  <c r="J24" i="3" s="1"/>
  <c r="C24" i="3" s="1"/>
  <c r="D32" i="3"/>
  <c r="G24" i="3" s="1"/>
  <c r="E32" i="3"/>
  <c r="F32" i="3"/>
  <c r="L24" i="3" s="1"/>
  <c r="F24" i="3" s="1"/>
  <c r="G32" i="3"/>
  <c r="C56" i="3"/>
  <c r="E56" i="3"/>
  <c r="F56" i="3"/>
  <c r="G56" i="3"/>
  <c r="I32" i="3" l="1"/>
  <c r="J32" i="3" s="1"/>
  <c r="K24" i="3"/>
  <c r="E24" i="3" s="1"/>
  <c r="I56" i="3"/>
  <c r="J56" i="3" s="1"/>
  <c r="K14" i="3"/>
  <c r="E14" i="3" s="1"/>
  <c r="G14" i="3"/>
  <c r="L14" i="3"/>
  <c r="F14" i="3" s="1"/>
  <c r="J37" i="3" l="1"/>
  <c r="K56" i="3"/>
  <c r="J62" i="3"/>
  <c r="H28" i="4"/>
  <c r="O5" i="3"/>
  <c r="K62" i="3" l="1"/>
  <c r="N5" i="3"/>
  <c r="M5" i="3"/>
  <c r="L5" i="3"/>
  <c r="D49" i="3" l="1"/>
  <c r="D7" i="3"/>
  <c r="E47" i="3"/>
  <c r="E5" i="3"/>
  <c r="E49" i="3"/>
  <c r="E7" i="3"/>
  <c r="E46" i="3"/>
  <c r="E4" i="3"/>
</calcChain>
</file>

<file path=xl/sharedStrings.xml><?xml version="1.0" encoding="utf-8"?>
<sst xmlns="http://schemas.openxmlformats.org/spreadsheetml/2006/main" count="250" uniqueCount="142">
  <si>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</si>
  <si>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</si>
  <si>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</si>
  <si>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</si>
  <si>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</si>
  <si>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</si>
  <si>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</si>
  <si>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</si>
  <si>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</si>
  <si>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</si>
  <si>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</si>
  <si>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</si>
  <si>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</si>
  <si>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</si>
  <si>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</si>
  <si>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</si>
  <si>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</si>
  <si>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</si>
  <si>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</si>
  <si>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</si>
  <si>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</si>
  <si>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</si>
  <si>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</si>
  <si>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</si>
  <si>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</si>
  <si>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</si>
  <si>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</si>
  <si>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</si>
  <si>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</si>
  <si>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</si>
  <si>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</si>
  <si>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</si>
  <si>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</si>
  <si>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</si>
  <si>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</si>
  <si>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</si>
  <si>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</si>
  <si>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</si>
  <si>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</si>
  <si>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</si>
  <si>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</si>
  <si>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</si>
  <si>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</si>
  <si>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</si>
  <si>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</si>
  <si>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</si>
  <si>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</si>
  <si>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</si>
  <si>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</si>
  <si>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</si>
  <si>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</si>
  <si>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</si>
  <si>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</si>
  <si>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</si>
  <si>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</si>
  <si>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</si>
  <si>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</si>
  <si>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</si>
  <si>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</si>
  <si>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</si>
  <si>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</si>
  <si>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</si>
  <si>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</si>
  <si>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</si>
  <si>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</si>
  <si>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</si>
  <si>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</si>
  <si>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</si>
  <si>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</si>
  <si>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</si>
  <si>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</si>
  <si>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</si>
  <si>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</si>
  <si>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</si>
  <si>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</si>
  <si>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</si>
  <si>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</si>
  <si>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</si>
  <si>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</si>
  <si>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</si>
  <si>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</si>
  <si>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</si>
  <si>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</si>
  <si>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</si>
  <si>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</si>
  <si>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</si>
  <si>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</si>
  <si>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</si>
  <si>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</si>
  <si>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</si>
  <si>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</si>
  <si>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</si>
  <si>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</si>
  <si>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</si>
  <si>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</si>
  <si>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</si>
  <si>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</si>
  <si>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</si>
  <si>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</si>
  <si>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</si>
  <si>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</si>
  <si>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</si>
  <si>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</si>
  <si>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</si>
  <si>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</si>
  <si>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</si>
  <si>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</si>
  <si>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</si>
  <si>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</si>
  <si>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</si>
  <si>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</si>
  <si>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</si>
  <si>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</si>
  <si>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</si>
  <si>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</si>
  <si>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</si>
  <si>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</si>
  <si>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</si>
  <si>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</si>
  <si>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</si>
  <si>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</si>
  <si>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</si>
  <si>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</si>
  <si>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</si>
  <si>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</si>
  <si>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</si>
  <si>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</si>
  <si>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</si>
  <si>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</si>
  <si>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</si>
  <si>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</si>
  <si>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</si>
  <si>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</si>
  <si>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</si>
  <si>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</si>
  <si>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</si>
  <si>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</si>
  <si>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</si>
  <si>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MARCO MORENO</t>
  </si>
  <si>
    <t>+569 7782 4695</t>
  </si>
  <si>
    <t>CUB C/R FRENTE 90° R8</t>
  </si>
  <si>
    <t>PALAZZO 3171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</si>
</sst>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20" fillId="0" borderId="2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25</xdr:row>
      <xdr:rowOff>23327</xdr:rowOff>
    </xdr:from>
    <xdr:to>
      <xdr:col>5</xdr:col>
      <xdr:colOff>1562878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50</xdr:row>
      <xdr:rowOff>190500</xdr:rowOff>
    </xdr:from>
    <xdr:to>
      <xdr:col>7</xdr:col>
      <xdr:colOff>9524</xdr:colOff>
      <xdr:row>52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47</xdr:row>
      <xdr:rowOff>30479</xdr:rowOff>
    </xdr:from>
    <xdr:to>
      <xdr:col>6</xdr:col>
      <xdr:colOff>2912745</xdr:colOff>
      <xdr:row>48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209549</xdr:rowOff>
    </xdr:from>
    <xdr:to>
      <xdr:col>7</xdr:col>
      <xdr:colOff>0</xdr:colOff>
      <xdr:row>47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44</xdr:row>
      <xdr:rowOff>171450</xdr:rowOff>
    </xdr:from>
    <xdr:to>
      <xdr:col>7</xdr:col>
      <xdr:colOff>19050</xdr:colOff>
      <xdr:row>45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60</xdr:row>
      <xdr:rowOff>0</xdr:rowOff>
    </xdr:from>
    <xdr:to>
      <xdr:col>3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60</xdr:row>
      <xdr:rowOff>0</xdr:rowOff>
    </xdr:from>
    <xdr:to>
      <xdr:col>3</xdr:col>
      <xdr:colOff>1019175</xdr:colOff>
      <xdr:row>61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60</xdr:row>
      <xdr:rowOff>0</xdr:rowOff>
    </xdr:from>
    <xdr:to>
      <xdr:col>4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5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60</xdr:row>
      <xdr:rowOff>0</xdr:rowOff>
    </xdr:from>
    <xdr:to>
      <xdr:col>6</xdr:col>
      <xdr:colOff>447675</xdr:colOff>
      <xdr:row>61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60</xdr:row>
      <xdr:rowOff>0</xdr:rowOff>
    </xdr:from>
    <xdr:to>
      <xdr:col>7</xdr:col>
      <xdr:colOff>0</xdr:colOff>
      <xdr:row>61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61</xdr:row>
      <xdr:rowOff>0</xdr:rowOff>
    </xdr:from>
    <xdr:to>
      <xdr:col>3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61</xdr:row>
      <xdr:rowOff>0</xdr:rowOff>
    </xdr:from>
    <xdr:to>
      <xdr:col>4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61</xdr:row>
      <xdr:rowOff>0</xdr:rowOff>
    </xdr:from>
    <xdr:to>
      <xdr:col>5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61</xdr:row>
      <xdr:rowOff>0</xdr:rowOff>
    </xdr:from>
    <xdr:to>
      <xdr:col>6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61</xdr:row>
      <xdr:rowOff>0</xdr:rowOff>
    </xdr:from>
    <xdr:to>
      <xdr:col>7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36</xdr:row>
      <xdr:rowOff>15239</xdr:rowOff>
    </xdr:from>
    <xdr:to>
      <xdr:col>7</xdr:col>
      <xdr:colOff>0</xdr:colOff>
      <xdr:row>40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INSTALAR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63</xdr:row>
      <xdr:rowOff>32385</xdr:rowOff>
    </xdr:from>
    <xdr:to>
      <xdr:col>7</xdr:col>
      <xdr:colOff>0</xdr:colOff>
      <xdr:row>67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SON PARA INSTALAR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44</xdr:row>
      <xdr:rowOff>146685</xdr:rowOff>
    </xdr:from>
    <xdr:to>
      <xdr:col>2</xdr:col>
      <xdr:colOff>786523</xdr:colOff>
      <xdr:row>50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304800</xdr:colOff>
      <xdr:row>70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opLeftCell="A13" zoomScale="98" zoomScaleNormal="98" workbookViewId="0">
      <selection activeCell="G21" sqref="G21:H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11202</v>
      </c>
      <c r="E8" s="30"/>
      <c r="F8" s="35" t="s">
        <v>25</v>
      </c>
      <c r="G8" s="36">
        <v>4141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5" t="s">
        <v>138</v>
      </c>
      <c r="D10" s="38"/>
      <c r="E10" s="38"/>
      <c r="F10" s="39" t="s">
        <v>26</v>
      </c>
      <c r="G10" s="40">
        <v>45646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6"/>
      <c r="D11" s="117"/>
      <c r="E11" s="117"/>
      <c r="F11" s="117" t="s">
        <v>120</v>
      </c>
      <c r="G11" s="43"/>
      <c r="H11" s="44"/>
      <c r="I11" s="30"/>
    </row>
    <row r="12" spans="1:17" ht="18.600000000000001" x14ac:dyDescent="0.4">
      <c r="A12" s="30"/>
      <c r="B12" s="45" t="s">
        <v>126</v>
      </c>
      <c r="C12" s="118"/>
      <c r="D12" s="46"/>
      <c r="E12" s="46"/>
      <c r="F12" s="46" t="s">
        <v>27</v>
      </c>
      <c r="G12" s="119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9" t="s">
        <v>134</v>
      </c>
      <c r="H13" s="47"/>
      <c r="I13" s="30"/>
    </row>
    <row r="14" spans="1:17" ht="18" x14ac:dyDescent="0.35">
      <c r="A14" s="30"/>
      <c r="B14" s="42" t="s">
        <v>16</v>
      </c>
      <c r="C14" s="120" t="s">
        <v>139</v>
      </c>
      <c r="D14" s="121"/>
      <c r="E14" s="117"/>
      <c r="F14" s="117"/>
      <c r="G14" s="117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22" t="s">
        <v>72</v>
      </c>
      <c r="G15" s="122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3"/>
      <c r="D16" s="49"/>
      <c r="E16" s="50"/>
      <c r="F16" s="126" t="s">
        <v>17</v>
      </c>
      <c r="G16" s="126"/>
      <c r="H16" s="127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8" t="s">
        <v>18</v>
      </c>
      <c r="C19" s="129"/>
      <c r="D19" s="129"/>
      <c r="E19" s="129"/>
      <c r="F19" s="129"/>
      <c r="G19" s="129"/>
      <c r="H19" s="130"/>
      <c r="I19" s="30"/>
    </row>
    <row r="20" spans="1:16" ht="20.100000000000001" customHeight="1" x14ac:dyDescent="0.35">
      <c r="A20" s="30"/>
      <c r="B20" s="51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124" t="s">
        <v>140</v>
      </c>
      <c r="D21" s="98">
        <v>2800</v>
      </c>
      <c r="E21" s="98">
        <v>600</v>
      </c>
      <c r="F21" s="97" t="s">
        <v>141</v>
      </c>
      <c r="G21" s="114"/>
      <c r="H21" s="114"/>
      <c r="I21" s="30"/>
      <c r="K21" s="11">
        <f>D21/1000</f>
        <v>2.8</v>
      </c>
      <c r="L21" s="15">
        <f>E21/1000</f>
        <v>0.6</v>
      </c>
      <c r="M21" s="11">
        <f>K21*L21</f>
        <v>1.68</v>
      </c>
      <c r="N21" s="11">
        <f>M21*N$20</f>
        <v>109200</v>
      </c>
      <c r="O21" s="15"/>
      <c r="P21" s="21"/>
    </row>
    <row r="22" spans="1:16" ht="20.100000000000001" customHeight="1" x14ac:dyDescent="0.35">
      <c r="A22" s="30"/>
      <c r="B22" s="97">
        <v>1</v>
      </c>
      <c r="C22" s="124" t="s">
        <v>140</v>
      </c>
      <c r="D22" s="98">
        <v>1840</v>
      </c>
      <c r="E22" s="98">
        <v>510</v>
      </c>
      <c r="F22" s="97" t="s">
        <v>141</v>
      </c>
      <c r="G22" s="114"/>
      <c r="H22" s="114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124" t="s">
        <v>140</v>
      </c>
      <c r="D23" s="98">
        <v>1500</v>
      </c>
      <c r="E23" s="98"/>
      <c r="F23" s="97" t="s">
        <v>141</v>
      </c>
      <c r="G23" s="114"/>
      <c r="H23" s="114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9"/>
      <c r="C24" s="99"/>
      <c r="D24" s="100"/>
      <c r="E24" s="100"/>
      <c r="F24" s="99"/>
      <c r="G24" s="101"/>
      <c r="H24" s="101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99">
        <f>SUM(B21:B23)</f>
        <v>3</v>
      </c>
      <c r="C25" s="99"/>
      <c r="D25" s="113"/>
      <c r="E25" s="113"/>
      <c r="F25" s="99"/>
      <c r="G25" s="101"/>
      <c r="H25" s="101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9"/>
      <c r="C26" s="99"/>
      <c r="D26" s="113"/>
      <c r="E26" s="113"/>
      <c r="F26" s="99"/>
      <c r="G26" s="54" t="s">
        <v>5</v>
      </c>
      <c r="H26" s="55">
        <f>SUM(H21:H25)</f>
        <v>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99"/>
      <c r="C27" s="99"/>
      <c r="D27" s="113"/>
      <c r="E27" s="113"/>
      <c r="F27" s="99"/>
      <c r="G27" s="56" t="s">
        <v>136</v>
      </c>
      <c r="H27" s="57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99"/>
      <c r="C28" s="99"/>
      <c r="D28" s="113"/>
      <c r="E28" s="113"/>
      <c r="F28" s="99"/>
      <c r="G28" s="58" t="s">
        <v>4</v>
      </c>
      <c r="H28" s="59">
        <f>H26+H27</f>
        <v>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3"/>
      <c r="E29" s="113"/>
      <c r="F29" s="99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3"/>
      <c r="E30" s="113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13"/>
      <c r="E31" s="113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00"/>
      <c r="E32" s="100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9"/>
      <c r="C33" s="99"/>
      <c r="D33" s="100"/>
      <c r="E33" s="100"/>
      <c r="F33" s="99"/>
      <c r="G33" s="101"/>
      <c r="H33" s="101"/>
      <c r="I33" s="30"/>
      <c r="K33" s="11"/>
      <c r="L33" s="15"/>
      <c r="M33" s="11"/>
      <c r="N33" s="11"/>
      <c r="O33" s="15"/>
      <c r="P33" s="21"/>
    </row>
    <row r="34" spans="1:16" ht="13.2" customHeight="1" x14ac:dyDescent="0.35">
      <c r="A34" s="30"/>
      <c r="B34" s="53"/>
      <c r="C34" s="53"/>
      <c r="D34" s="53"/>
      <c r="E34" s="53"/>
      <c r="F34" s="53"/>
      <c r="G34" s="52"/>
      <c r="H34" s="52"/>
      <c r="I34" s="30"/>
    </row>
    <row r="35" spans="1:16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G38" s="60"/>
      <c r="H38" s="61"/>
      <c r="I38" s="30"/>
    </row>
    <row r="39" spans="1:16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16" ht="18" x14ac:dyDescent="0.35">
      <c r="A40" s="30"/>
      <c r="B40" s="62" t="s">
        <v>133</v>
      </c>
      <c r="C40" s="63"/>
      <c r="D40" s="64"/>
      <c r="E40" s="64"/>
      <c r="F40" s="53"/>
      <c r="G40" s="30"/>
      <c r="H40" s="30"/>
      <c r="I40" s="30"/>
    </row>
    <row r="41" spans="1:16" ht="18" x14ac:dyDescent="0.35">
      <c r="A41" s="30"/>
      <c r="B41" s="62" t="s">
        <v>119</v>
      </c>
      <c r="C41" s="63"/>
      <c r="D41" s="64"/>
      <c r="E41" s="64"/>
      <c r="F41" s="53"/>
      <c r="G41" s="30"/>
      <c r="H41" s="30"/>
      <c r="I41" s="30"/>
    </row>
    <row r="42" spans="1:16" ht="18" x14ac:dyDescent="0.35">
      <c r="A42" s="30"/>
      <c r="B42" s="30" t="s">
        <v>23</v>
      </c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65" t="s">
        <v>24</v>
      </c>
      <c r="C43" s="65"/>
      <c r="D43" s="30"/>
      <c r="E43" s="30"/>
      <c r="F43" s="30"/>
      <c r="G43" s="30"/>
      <c r="H43" s="30"/>
      <c r="I43" s="30"/>
    </row>
    <row r="44" spans="1:16" ht="18" x14ac:dyDescent="0.35">
      <c r="A44" s="30"/>
      <c r="B44" s="30"/>
      <c r="C44" s="30"/>
      <c r="D44" s="30"/>
      <c r="E44" s="65"/>
      <c r="F44" s="30"/>
      <c r="G44" s="30"/>
      <c r="H44" s="30"/>
      <c r="I44" s="30"/>
    </row>
    <row r="45" spans="1:16" ht="18" x14ac:dyDescent="0.35">
      <c r="A45" s="30"/>
      <c r="B45" s="31" t="s">
        <v>131</v>
      </c>
      <c r="C45" s="31"/>
      <c r="D45" s="31"/>
      <c r="E45" s="66"/>
      <c r="F45" s="30"/>
      <c r="G45" s="30"/>
      <c r="H45" s="30"/>
      <c r="I45" s="30"/>
    </row>
    <row r="46" spans="1:16" ht="18" x14ac:dyDescent="0.35">
      <c r="A46" s="30"/>
      <c r="B46" s="31"/>
      <c r="C46" s="31"/>
      <c r="D46" s="31"/>
      <c r="E46" s="66"/>
      <c r="F46" s="30"/>
      <c r="G46" s="30"/>
      <c r="H46" s="30"/>
      <c r="I46" s="30"/>
    </row>
    <row r="47" spans="1:16" ht="18" x14ac:dyDescent="0.35">
      <c r="A47" s="30"/>
      <c r="B47" s="31" t="s">
        <v>132</v>
      </c>
      <c r="C47" s="30"/>
      <c r="D47" s="30"/>
      <c r="E47" s="65"/>
      <c r="F47" s="30"/>
      <c r="G47" s="30"/>
      <c r="H47" s="30"/>
      <c r="I47" s="30"/>
    </row>
    <row r="48" spans="1:16" ht="18" x14ac:dyDescent="0.35">
      <c r="A48" s="30"/>
      <c r="B48" s="30"/>
      <c r="C48" s="30"/>
      <c r="D48" s="30"/>
      <c r="E48" s="65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1" t="s">
        <v>28</v>
      </c>
      <c r="C2" s="131"/>
      <c r="D2" s="131"/>
      <c r="E2" s="12"/>
      <c r="G2" s="131" t="s">
        <v>67</v>
      </c>
      <c r="H2" s="131"/>
      <c r="I2" s="131"/>
      <c r="P2" s="132" t="s">
        <v>55</v>
      </c>
      <c r="Q2" s="132"/>
      <c r="R2" s="132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2" t="s">
        <v>55</v>
      </c>
      <c r="M8" s="132"/>
      <c r="N8" s="132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1"/>
  <sheetViews>
    <sheetView tabSelected="1" topLeftCell="B33" zoomScaleNormal="100" workbookViewId="0">
      <selection activeCell="B43" sqref="B43:G7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3" t="s">
        <v>58</v>
      </c>
      <c r="M3" s="133"/>
      <c r="N3" s="133" t="s">
        <v>13</v>
      </c>
      <c r="O3" s="133"/>
    </row>
    <row r="4" spans="1:15" ht="15.75" customHeight="1" x14ac:dyDescent="0.35">
      <c r="B4" s="30"/>
      <c r="C4" s="30"/>
      <c r="D4" s="68" t="s">
        <v>25</v>
      </c>
      <c r="E4" s="69">
        <f>'4637'!G8</f>
        <v>4141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MARCO MORENO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4" t="s">
        <v>58</v>
      </c>
      <c r="C10" s="134"/>
      <c r="D10" s="134"/>
      <c r="E10" s="134"/>
      <c r="F10" s="134"/>
      <c r="G10" s="134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96" t="s">
        <v>137</v>
      </c>
      <c r="C14" s="88">
        <f>J14</f>
        <v>1</v>
      </c>
      <c r="D14" s="88"/>
      <c r="E14" s="88">
        <f>K14+E$13</f>
        <v>2880</v>
      </c>
      <c r="F14" s="88">
        <f>L14+F$13</f>
        <v>570</v>
      </c>
      <c r="G14" s="88" t="str">
        <f>D32</f>
        <v>CUB C/R FRENTE 90° R8</v>
      </c>
      <c r="H14" s="30"/>
      <c r="J14" s="3">
        <f>'4637'!B21</f>
        <v>1</v>
      </c>
      <c r="K14" s="4">
        <f t="shared" ref="K14:L14" si="0">E32</f>
        <v>2800</v>
      </c>
      <c r="L14" s="4">
        <f t="shared" si="0"/>
        <v>600</v>
      </c>
    </row>
    <row r="15" spans="1:15" ht="18" x14ac:dyDescent="0.35">
      <c r="A15" s="110">
        <v>2</v>
      </c>
      <c r="B15" s="96"/>
      <c r="C15" s="88">
        <f t="shared" ref="C15:C16" si="1">J15</f>
        <v>1</v>
      </c>
      <c r="D15" s="88"/>
      <c r="E15" s="88">
        <f t="shared" ref="E15:E16" si="2">K15+E$13</f>
        <v>1920</v>
      </c>
      <c r="F15" s="88">
        <f t="shared" ref="F15:F16" si="3">L15+F$13</f>
        <v>480</v>
      </c>
      <c r="G15" s="4" t="str">
        <f>D33</f>
        <v>CUB C/R FRENTE 90° R8</v>
      </c>
      <c r="H15" s="30"/>
      <c r="J15" s="3">
        <f>'4637'!B22</f>
        <v>1</v>
      </c>
      <c r="K15" s="4">
        <f>E33</f>
        <v>1840</v>
      </c>
      <c r="L15" s="4">
        <f>F33</f>
        <v>510</v>
      </c>
    </row>
    <row r="16" spans="1:15" ht="18" x14ac:dyDescent="0.35">
      <c r="A16" s="110">
        <v>3</v>
      </c>
      <c r="B16" s="96"/>
      <c r="C16" s="88">
        <f t="shared" si="1"/>
        <v>1</v>
      </c>
      <c r="D16" s="88"/>
      <c r="E16" s="88">
        <f t="shared" si="2"/>
        <v>1580</v>
      </c>
      <c r="F16" s="88">
        <f t="shared" si="3"/>
        <v>-30</v>
      </c>
      <c r="G16" s="4" t="str">
        <f>D34</f>
        <v>CUB C/R FRENTE 90° R8</v>
      </c>
      <c r="H16" s="30"/>
      <c r="J16" s="3">
        <f>'4637'!B23</f>
        <v>1</v>
      </c>
      <c r="K16" s="4">
        <f>E34</f>
        <v>1500</v>
      </c>
      <c r="L16" s="4">
        <f>F34</f>
        <v>0</v>
      </c>
    </row>
    <row r="17" spans="1:12" ht="18" x14ac:dyDescent="0.35">
      <c r="A17" s="110"/>
      <c r="B17" s="96"/>
      <c r="C17" s="67"/>
      <c r="D17" s="67"/>
      <c r="E17" s="67"/>
      <c r="F17" s="67"/>
      <c r="G17" s="67"/>
      <c r="H17" s="30"/>
      <c r="J17" s="23"/>
      <c r="K17" s="2"/>
      <c r="L17" s="2"/>
    </row>
    <row r="18" spans="1:12" ht="18" x14ac:dyDescent="0.35">
      <c r="A18" s="2"/>
      <c r="B18" s="77"/>
      <c r="C18" s="67"/>
      <c r="D18" s="67"/>
      <c r="E18" s="67"/>
      <c r="F18" s="67"/>
      <c r="G18" s="67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34" t="s">
        <v>13</v>
      </c>
      <c r="C20" s="134"/>
      <c r="D20" s="134"/>
      <c r="E20" s="134"/>
      <c r="F20" s="134"/>
      <c r="G20" s="134"/>
      <c r="H20" s="30"/>
    </row>
    <row r="21" spans="1:12" ht="10.5" customHeight="1" x14ac:dyDescent="0.35">
      <c r="A21" s="2"/>
      <c r="B21" s="30"/>
      <c r="C21" s="30"/>
      <c r="D21" s="85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0" t="s">
        <v>6</v>
      </c>
      <c r="F22" s="60" t="s">
        <v>7</v>
      </c>
      <c r="G22" s="30"/>
      <c r="H22" s="30"/>
    </row>
    <row r="23" spans="1:12" ht="18" x14ac:dyDescent="0.35">
      <c r="A23" s="2"/>
      <c r="B23" s="60" t="s">
        <v>8</v>
      </c>
      <c r="C23" s="76" t="s">
        <v>9</v>
      </c>
      <c r="D23" s="76" t="s">
        <v>10</v>
      </c>
      <c r="E23" s="89">
        <v>40</v>
      </c>
      <c r="F23" s="89">
        <v>130</v>
      </c>
      <c r="G23" s="76" t="s">
        <v>107</v>
      </c>
      <c r="H23" s="30"/>
      <c r="K23" s="5" t="s">
        <v>6</v>
      </c>
      <c r="L23" s="5" t="s">
        <v>7</v>
      </c>
    </row>
    <row r="24" spans="1:12" ht="18" x14ac:dyDescent="0.35">
      <c r="A24" s="110">
        <v>1</v>
      </c>
      <c r="B24" s="96"/>
      <c r="C24" s="90">
        <f t="shared" ref="C24" si="4">J24</f>
        <v>1</v>
      </c>
      <c r="D24" s="90"/>
      <c r="E24" s="90">
        <f t="shared" ref="E24:E26" si="5">K24+E$23</f>
        <v>2840</v>
      </c>
      <c r="F24" s="90">
        <f t="shared" ref="F24:F25" si="6">L24+F$23</f>
        <v>730</v>
      </c>
      <c r="G24" s="90" t="str">
        <f>D32</f>
        <v>CUB C/R FRENTE 90° R8</v>
      </c>
      <c r="H24" s="30"/>
      <c r="J24" s="3">
        <f>C32</f>
        <v>1</v>
      </c>
      <c r="K24" s="104">
        <f>E32</f>
        <v>2800</v>
      </c>
      <c r="L24" s="104">
        <f>F32</f>
        <v>600</v>
      </c>
    </row>
    <row r="25" spans="1:12" ht="18" x14ac:dyDescent="0.35">
      <c r="A25" s="110">
        <v>2</v>
      </c>
      <c r="B25" s="96"/>
      <c r="C25" s="90">
        <f t="shared" ref="C25:C26" si="7">J25</f>
        <v>1</v>
      </c>
      <c r="D25" s="90"/>
      <c r="E25" s="90">
        <v>2120</v>
      </c>
      <c r="F25" s="90">
        <f t="shared" si="6"/>
        <v>640</v>
      </c>
      <c r="G25" s="125" t="str">
        <f>D33</f>
        <v>CUB C/R FRENTE 90° R8</v>
      </c>
      <c r="H25" s="30"/>
      <c r="J25" s="3">
        <f>C33</f>
        <v>1</v>
      </c>
      <c r="K25" s="102">
        <f t="shared" ref="K25:L25" si="8">E33</f>
        <v>1840</v>
      </c>
      <c r="L25" s="102">
        <f t="shared" si="8"/>
        <v>510</v>
      </c>
    </row>
    <row r="26" spans="1:12" ht="18" x14ac:dyDescent="0.35">
      <c r="A26" s="110">
        <v>3</v>
      </c>
      <c r="B26" s="96"/>
      <c r="C26" s="90">
        <f t="shared" si="7"/>
        <v>1</v>
      </c>
      <c r="D26" s="90"/>
      <c r="E26" s="90">
        <f t="shared" si="5"/>
        <v>1540</v>
      </c>
      <c r="F26" s="90">
        <f>L26+90</f>
        <v>90</v>
      </c>
      <c r="G26" s="125" t="str">
        <f>D34</f>
        <v>CUB C/R FRENTE 90° R8</v>
      </c>
      <c r="H26" s="30"/>
      <c r="J26" s="3">
        <f>C34</f>
        <v>1</v>
      </c>
      <c r="K26" s="103">
        <f t="shared" ref="K26:L26" si="9">E34</f>
        <v>1500</v>
      </c>
      <c r="L26" s="103">
        <f t="shared" si="9"/>
        <v>0</v>
      </c>
    </row>
    <row r="27" spans="1:12" ht="18" x14ac:dyDescent="0.35">
      <c r="A27" s="110"/>
      <c r="B27" s="96"/>
      <c r="C27" s="67"/>
      <c r="D27" s="67"/>
      <c r="E27" s="67"/>
      <c r="F27" s="67"/>
      <c r="G27" s="67"/>
      <c r="H27" s="30"/>
      <c r="J27" s="23"/>
      <c r="K27" s="112"/>
      <c r="L27" s="112"/>
    </row>
    <row r="28" spans="1:12" ht="18.600000000000001" thickBot="1" x14ac:dyDescent="0.4">
      <c r="A28" s="2"/>
      <c r="B28" s="77"/>
      <c r="C28" s="67"/>
      <c r="D28" s="67"/>
      <c r="E28" s="67"/>
      <c r="F28" s="67"/>
      <c r="G28" s="67"/>
      <c r="H28" s="30"/>
      <c r="I28" s="108"/>
      <c r="J28" s="109"/>
      <c r="K28" s="109"/>
      <c r="L28" s="109"/>
    </row>
    <row r="29" spans="1:12" ht="18.600000000000001" thickBot="1" x14ac:dyDescent="0.4">
      <c r="A29" s="2"/>
      <c r="B29" s="60"/>
      <c r="C29" s="91" t="s">
        <v>104</v>
      </c>
      <c r="D29" s="33"/>
      <c r="E29" s="33"/>
      <c r="F29" s="33"/>
      <c r="G29" s="92"/>
      <c r="H29" s="30"/>
      <c r="J29" s="2"/>
      <c r="K29" s="2"/>
      <c r="L29" s="2"/>
    </row>
    <row r="30" spans="1:12" ht="10.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2" ht="18" x14ac:dyDescent="0.35">
      <c r="A31" s="2"/>
      <c r="B31" s="60" t="s">
        <v>8</v>
      </c>
      <c r="C31" s="93" t="s">
        <v>9</v>
      </c>
      <c r="D31" s="93" t="s">
        <v>107</v>
      </c>
      <c r="E31" s="93" t="s">
        <v>6</v>
      </c>
      <c r="F31" s="93" t="s">
        <v>7</v>
      </c>
      <c r="G31" s="93" t="s">
        <v>21</v>
      </c>
      <c r="H31" s="30"/>
    </row>
    <row r="32" spans="1:12" ht="18" x14ac:dyDescent="0.35">
      <c r="A32" s="110">
        <v>1</v>
      </c>
      <c r="B32" s="96" t="s">
        <v>137</v>
      </c>
      <c r="C32" s="88">
        <f>'4637'!B21</f>
        <v>1</v>
      </c>
      <c r="D32" s="88" t="str">
        <f>'4637'!C21</f>
        <v>CUB C/R FRENTE 90° R8</v>
      </c>
      <c r="E32" s="88">
        <f>'4637'!D21</f>
        <v>2800</v>
      </c>
      <c r="F32" s="88">
        <f>'4637'!E21</f>
        <v>600</v>
      </c>
      <c r="G32" s="88" t="str">
        <f>'4637'!F21</f>
        <v>PALAZZO 3171 BR</v>
      </c>
      <c r="H32" s="30"/>
      <c r="I32" s="28">
        <f>E32*F32/1000000</f>
        <v>1.68</v>
      </c>
      <c r="J32" s="28">
        <f>I32*C32</f>
        <v>1.68</v>
      </c>
    </row>
    <row r="33" spans="1:10" ht="18" x14ac:dyDescent="0.35">
      <c r="A33" s="110">
        <v>2</v>
      </c>
      <c r="B33" s="96"/>
      <c r="C33" s="88">
        <f>'4637'!B22</f>
        <v>1</v>
      </c>
      <c r="D33" s="4" t="str">
        <f>'4637'!C22</f>
        <v>CUB C/R FRENTE 90° R8</v>
      </c>
      <c r="E33" s="88">
        <f>'4637'!D22</f>
        <v>1840</v>
      </c>
      <c r="F33" s="88">
        <f>'4637'!E22</f>
        <v>510</v>
      </c>
      <c r="G33" s="88" t="str">
        <f>'4637'!F22</f>
        <v>PALAZZO 3171 BR</v>
      </c>
      <c r="H33" s="30"/>
      <c r="I33" s="28"/>
      <c r="J33" s="28"/>
    </row>
    <row r="34" spans="1:10" ht="18" x14ac:dyDescent="0.35">
      <c r="A34" s="110">
        <v>3</v>
      </c>
      <c r="C34" s="88">
        <f>'4637'!B23</f>
        <v>1</v>
      </c>
      <c r="D34" s="4" t="str">
        <f>'4637'!C23</f>
        <v>CUB C/R FRENTE 90° R8</v>
      </c>
      <c r="E34" s="88">
        <f>'4637'!D23</f>
        <v>1500</v>
      </c>
      <c r="F34" s="88">
        <f>'4637'!E23</f>
        <v>0</v>
      </c>
      <c r="G34" s="88" t="str">
        <f>'4637'!F23</f>
        <v>PALAZZO 3171 BR</v>
      </c>
      <c r="H34" s="30"/>
      <c r="I34" s="28"/>
      <c r="J34" s="28"/>
    </row>
    <row r="35" spans="1:10" ht="18" x14ac:dyDescent="0.35">
      <c r="A35" s="2"/>
      <c r="B35" s="77"/>
      <c r="C35" s="67"/>
      <c r="D35" s="67"/>
      <c r="E35" s="67"/>
      <c r="F35" s="67"/>
      <c r="G35" s="67"/>
      <c r="H35" s="30"/>
      <c r="I35" s="28"/>
      <c r="J35" s="28"/>
    </row>
    <row r="36" spans="1:10" ht="18" x14ac:dyDescent="0.35">
      <c r="A36" s="2"/>
      <c r="B36" s="30"/>
      <c r="C36" s="67"/>
      <c r="D36" s="67"/>
      <c r="E36" s="67"/>
      <c r="F36" s="67"/>
      <c r="G36" s="67"/>
      <c r="H36" s="30"/>
    </row>
    <row r="37" spans="1:10" ht="18" x14ac:dyDescent="0.35">
      <c r="A37" s="2"/>
      <c r="B37" s="30"/>
      <c r="C37" s="67"/>
      <c r="D37" s="67"/>
      <c r="E37" s="67"/>
      <c r="F37" s="67"/>
      <c r="G37" s="67"/>
      <c r="H37" s="30"/>
      <c r="J37" s="28">
        <f>SUM(J32:J32)*2</f>
        <v>3.36</v>
      </c>
    </row>
    <row r="38" spans="1:10" ht="18" x14ac:dyDescent="0.35">
      <c r="A38" s="2"/>
      <c r="B38" s="30"/>
      <c r="C38" s="67"/>
      <c r="D38" s="67"/>
      <c r="E38" s="67"/>
      <c r="F38" s="67"/>
      <c r="G38" s="67"/>
      <c r="H38" s="30"/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</row>
    <row r="44" spans="1:10" ht="18" x14ac:dyDescent="0.35">
      <c r="A44" s="2"/>
      <c r="B44" s="30"/>
      <c r="C44" s="67"/>
      <c r="D44" s="67"/>
      <c r="E44" s="67"/>
      <c r="F44" s="67"/>
      <c r="G44" s="67"/>
      <c r="H44" s="30"/>
    </row>
    <row r="45" spans="1:10" ht="18" x14ac:dyDescent="0.35">
      <c r="A45" s="2"/>
      <c r="B45" s="30"/>
      <c r="C45" s="30"/>
      <c r="D45" s="30"/>
      <c r="E45" s="30"/>
      <c r="F45" s="30"/>
      <c r="G45" s="30"/>
      <c r="H45" s="30"/>
    </row>
    <row r="46" spans="1:10" ht="18" x14ac:dyDescent="0.35">
      <c r="A46" s="2"/>
      <c r="B46" s="30"/>
      <c r="C46" s="30"/>
      <c r="D46" s="68" t="s">
        <v>25</v>
      </c>
      <c r="E46" s="69">
        <f>'4637'!G8</f>
        <v>4141</v>
      </c>
      <c r="F46" s="30"/>
      <c r="G46" s="30"/>
      <c r="H46" s="30"/>
    </row>
    <row r="47" spans="1:10" ht="17.25" customHeight="1" x14ac:dyDescent="0.35">
      <c r="A47" s="2"/>
      <c r="B47" s="30"/>
      <c r="C47" s="30"/>
      <c r="D47" s="70" t="s">
        <v>64</v>
      </c>
      <c r="E47" s="71" t="str">
        <f>'4637'!C10</f>
        <v>MARCO MORENO</v>
      </c>
      <c r="F47" s="46"/>
      <c r="G47" s="46"/>
      <c r="H47" s="30"/>
    </row>
    <row r="48" spans="1:10" ht="4.5" customHeight="1" x14ac:dyDescent="0.35">
      <c r="A48" s="2"/>
      <c r="B48" s="30"/>
      <c r="C48" s="30"/>
      <c r="D48" s="72"/>
      <c r="E48" s="73"/>
      <c r="F48" s="30"/>
      <c r="G48" s="30"/>
      <c r="H48" s="30"/>
    </row>
    <row r="49" spans="1:13" ht="18" x14ac:dyDescent="0.35">
      <c r="A49" s="2"/>
      <c r="B49" s="30"/>
      <c r="C49" s="30"/>
      <c r="D49" s="74" t="str">
        <f>'4637'!F11</f>
        <v>FECHA LIMITE :</v>
      </c>
      <c r="E49" s="75">
        <f>'4637'!G11</f>
        <v>0</v>
      </c>
      <c r="F49" s="30"/>
      <c r="G49" s="30"/>
      <c r="H49" s="30"/>
    </row>
    <row r="50" spans="1:13" ht="18" x14ac:dyDescent="0.35">
      <c r="A50" s="2"/>
      <c r="B50" s="30"/>
      <c r="C50" s="30"/>
      <c r="D50" s="30"/>
      <c r="E50" s="30"/>
      <c r="F50" s="30"/>
      <c r="G50" s="30" t="s">
        <v>135</v>
      </c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18" x14ac:dyDescent="0.35">
      <c r="A52" s="2"/>
      <c r="B52" s="135" t="s">
        <v>65</v>
      </c>
      <c r="C52" s="135"/>
      <c r="D52" s="135"/>
      <c r="E52" s="135"/>
      <c r="F52" s="135"/>
      <c r="G52" s="135"/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20.100000000000001" customHeight="1" x14ac:dyDescent="0.35">
      <c r="A54" s="2"/>
      <c r="B54" s="30"/>
      <c r="C54" s="136" t="s">
        <v>66</v>
      </c>
      <c r="D54" s="137"/>
      <c r="E54" s="138"/>
      <c r="F54" s="138"/>
      <c r="G54" s="139"/>
      <c r="H54" s="30"/>
      <c r="I54" s="25" t="s">
        <v>130</v>
      </c>
    </row>
    <row r="55" spans="1:13" s="10" customFormat="1" ht="20.100000000000001" customHeight="1" x14ac:dyDescent="0.35">
      <c r="A55" s="111"/>
      <c r="B55" s="30"/>
      <c r="C55" s="78" t="s">
        <v>9</v>
      </c>
      <c r="D55" s="79" t="s">
        <v>10</v>
      </c>
      <c r="E55" s="82" t="s">
        <v>6</v>
      </c>
      <c r="F55" s="82" t="s">
        <v>7</v>
      </c>
      <c r="G55" s="80" t="s">
        <v>11</v>
      </c>
      <c r="H55" s="30"/>
      <c r="K55" s="10">
        <v>15000</v>
      </c>
    </row>
    <row r="56" spans="1:13" s="10" customFormat="1" ht="20.100000000000001" customHeight="1" x14ac:dyDescent="0.35">
      <c r="A56" s="110">
        <v>1</v>
      </c>
      <c r="B56" s="95" t="s">
        <v>137</v>
      </c>
      <c r="C56" s="90">
        <f>'4637'!B21</f>
        <v>1</v>
      </c>
      <c r="D56" s="90" t="str">
        <f>'4637'!C21</f>
        <v>CUB C/R FRENTE 90° R8</v>
      </c>
      <c r="E56" s="94">
        <f>'4637'!D21</f>
        <v>2800</v>
      </c>
      <c r="F56" s="94">
        <f>'4637'!E21</f>
        <v>600</v>
      </c>
      <c r="G56" s="90" t="str">
        <f>'4637'!F21</f>
        <v>PALAZZO 3171 BR</v>
      </c>
      <c r="H56" s="30"/>
      <c r="I56" s="10">
        <f>E56*F56/1000000</f>
        <v>1.68</v>
      </c>
      <c r="J56" s="10">
        <f>I56*C56</f>
        <v>1.68</v>
      </c>
      <c r="K56" s="26">
        <f>J56*K$55</f>
        <v>25200</v>
      </c>
      <c r="M56" s="24">
        <v>12096</v>
      </c>
    </row>
    <row r="57" spans="1:13" s="10" customFormat="1" ht="20.100000000000001" customHeight="1" x14ac:dyDescent="0.35">
      <c r="A57" s="110">
        <v>2</v>
      </c>
      <c r="B57" s="95"/>
      <c r="C57" s="90">
        <f>'4637'!B22</f>
        <v>1</v>
      </c>
      <c r="D57" s="125" t="str">
        <f>'4637'!C22</f>
        <v>CUB C/R FRENTE 90° R8</v>
      </c>
      <c r="E57" s="94">
        <f>'4637'!D22</f>
        <v>1840</v>
      </c>
      <c r="F57" s="94">
        <f>'4637'!E22</f>
        <v>510</v>
      </c>
      <c r="G57" s="90" t="str">
        <f>'4637'!F22</f>
        <v>PALAZZO 3171 BR</v>
      </c>
      <c r="H57" s="30"/>
      <c r="K57" s="26"/>
      <c r="M57" s="29"/>
    </row>
    <row r="58" spans="1:13" s="10" customFormat="1" ht="20.100000000000001" customHeight="1" x14ac:dyDescent="0.35">
      <c r="A58" s="110">
        <v>3</v>
      </c>
      <c r="C58" s="90">
        <f>'4637'!B23</f>
        <v>1</v>
      </c>
      <c r="D58" s="125" t="str">
        <f>'4637'!C23</f>
        <v>CUB C/R FRENTE 90° R8</v>
      </c>
      <c r="E58" s="94">
        <f>'4637'!D23</f>
        <v>1500</v>
      </c>
      <c r="F58" s="94">
        <f>'4637'!E23</f>
        <v>0</v>
      </c>
      <c r="G58" s="90" t="str">
        <f>'4637'!F23</f>
        <v>PALAZZO 3171 BR</v>
      </c>
      <c r="H58" s="30"/>
      <c r="K58" s="26"/>
      <c r="M58" s="29"/>
    </row>
    <row r="59" spans="1:13" s="10" customFormat="1" ht="20.100000000000001" customHeight="1" x14ac:dyDescent="0.35">
      <c r="A59" s="110"/>
      <c r="C59" s="67"/>
      <c r="D59" s="67"/>
      <c r="E59" s="67"/>
      <c r="F59" s="67"/>
      <c r="G59" s="67"/>
      <c r="H59" s="30"/>
      <c r="K59" s="26"/>
      <c r="M59" s="29"/>
    </row>
    <row r="60" spans="1:13" s="10" customFormat="1" ht="15" customHeight="1" x14ac:dyDescent="0.35">
      <c r="B60" s="77"/>
      <c r="C60" s="60"/>
      <c r="D60" s="60"/>
      <c r="E60" s="60"/>
      <c r="F60" s="60"/>
      <c r="G60" s="60"/>
      <c r="H60" s="30"/>
    </row>
    <row r="61" spans="1:13" ht="18" x14ac:dyDescent="0.35">
      <c r="B61" s="67"/>
      <c r="C61" s="67"/>
      <c r="D61" s="30"/>
      <c r="E61" s="67"/>
      <c r="F61" s="67"/>
      <c r="G61" s="72"/>
      <c r="H61" s="30"/>
    </row>
    <row r="62" spans="1:13" ht="18" x14ac:dyDescent="0.35">
      <c r="B62" s="67"/>
      <c r="C62" s="67"/>
      <c r="D62" s="30"/>
      <c r="E62" s="67"/>
      <c r="F62" s="67"/>
      <c r="G62" s="67"/>
      <c r="H62" s="30"/>
      <c r="J62" s="10">
        <f>SUM(J56:J56)</f>
        <v>1.68</v>
      </c>
      <c r="K62" s="27">
        <f>SUM(K56:K56)</f>
        <v>25200</v>
      </c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5" customHeight="1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ht="18" x14ac:dyDescent="0.35">
      <c r="B68" s="67"/>
      <c r="C68" s="81"/>
      <c r="D68" s="30"/>
      <c r="E68" s="30"/>
      <c r="F68" s="30"/>
      <c r="G68" s="30"/>
      <c r="H68" s="30"/>
    </row>
    <row r="69" spans="2:8" ht="18" x14ac:dyDescent="0.35">
      <c r="B69" s="30"/>
      <c r="C69" s="30"/>
      <c r="D69" s="30"/>
      <c r="E69" s="30"/>
      <c r="F69" s="30"/>
      <c r="G69" s="30"/>
      <c r="H69" s="30"/>
    </row>
    <row r="70" spans="2:8" x14ac:dyDescent="0.3">
      <c r="C70" s="14"/>
      <c r="D70" s="14"/>
      <c r="F70" s="14"/>
      <c r="G70" s="14"/>
    </row>
    <row r="71" spans="2:8" x14ac:dyDescent="0.3">
      <c r="C71" s="14"/>
      <c r="D71" s="14"/>
      <c r="F71" s="14"/>
      <c r="G71" s="14"/>
    </row>
  </sheetData>
  <mergeCells count="6">
    <mergeCell ref="N3:O3"/>
    <mergeCell ref="B20:G20"/>
    <mergeCell ref="B10:G10"/>
    <mergeCell ref="B52:G52"/>
    <mergeCell ref="C54:G54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2024-12-20T14:20:38Z</cp:lastPrinted>
  <dcterms:created xsi:type="dcterms:W3CDTF">2013-03-19T12:54:14Z</dcterms:created>
  <dcterms:modified xsi:type="dcterms:W3CDTF">2024-12-20T14:20:55Z</dcterms:modified>
</cp:coreProperties>
</file>