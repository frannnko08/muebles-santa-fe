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5 MAYO 2024\"/>
    </mc:Choice>
  </mc:AlternateContent>
  <xr:revisionPtr revIDLastSave="0" documentId="13_ncr:1_{0ECFC911-3FE6-472F-B24C-395B3695947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'4637'!$B$1:$H$57</definedName>
    <definedName name="_xlnm.Print_Area" localSheetId="2">CUBIERTA!$B$61:$F$90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/>
  <c r="I29" i="3"/>
  <c r="B29" i="3" s="1"/>
  <c r="J29" i="3"/>
  <c r="D29" i="3" s="1"/>
  <c r="K29" i="3"/>
  <c r="E29" i="3" s="1"/>
  <c r="F30" i="3"/>
  <c r="I30" i="3"/>
  <c r="B30" i="3" s="1"/>
  <c r="J30" i="3"/>
  <c r="D30" i="3" s="1"/>
  <c r="K30" i="3"/>
  <c r="E30" i="3" s="1"/>
  <c r="F31" i="3"/>
  <c r="I31" i="3"/>
  <c r="B31" i="3" s="1"/>
  <c r="J31" i="3"/>
  <c r="D31" i="3" s="1"/>
  <c r="K31" i="3"/>
  <c r="E31" i="3" s="1"/>
  <c r="F32" i="3"/>
  <c r="I32" i="3"/>
  <c r="B32" i="3" s="1"/>
  <c r="J32" i="3"/>
  <c r="D32" i="3" s="1"/>
  <c r="K32" i="3"/>
  <c r="E32" i="3" s="1"/>
  <c r="F33" i="3"/>
  <c r="I33" i="3"/>
  <c r="B33" i="3" s="1"/>
  <c r="J33" i="3"/>
  <c r="D33" i="3" s="1"/>
  <c r="K33" i="3"/>
  <c r="E33" i="3" s="1"/>
  <c r="B69" i="3"/>
  <c r="I44" i="3" s="1"/>
  <c r="B44" i="3" s="1"/>
  <c r="C69" i="3"/>
  <c r="F44" i="3" s="1"/>
  <c r="D69" i="3"/>
  <c r="J44" i="3" s="1"/>
  <c r="D44" i="3" s="1"/>
  <c r="E69" i="3"/>
  <c r="K44" i="3" s="1"/>
  <c r="E44" i="3" s="1"/>
  <c r="F69" i="3"/>
  <c r="B70" i="3"/>
  <c r="I45" i="3" s="1"/>
  <c r="B45" i="3" s="1"/>
  <c r="C70" i="3"/>
  <c r="F45" i="3" s="1"/>
  <c r="D70" i="3"/>
  <c r="J45" i="3" s="1"/>
  <c r="D45" i="3" s="1"/>
  <c r="E70" i="3"/>
  <c r="K45" i="3" s="1"/>
  <c r="E45" i="3" s="1"/>
  <c r="F70" i="3"/>
  <c r="B71" i="3"/>
  <c r="I46" i="3" s="1"/>
  <c r="B46" i="3" s="1"/>
  <c r="C71" i="3"/>
  <c r="F46" i="3" s="1"/>
  <c r="D71" i="3"/>
  <c r="J46" i="3" s="1"/>
  <c r="D46" i="3" s="1"/>
  <c r="E71" i="3"/>
  <c r="K46" i="3" s="1"/>
  <c r="E46" i="3" s="1"/>
  <c r="F71" i="3"/>
  <c r="B72" i="3"/>
  <c r="I47" i="3" s="1"/>
  <c r="B47" i="3" s="1"/>
  <c r="C72" i="3"/>
  <c r="F47" i="3" s="1"/>
  <c r="D72" i="3"/>
  <c r="J47" i="3" s="1"/>
  <c r="D47" i="3" s="1"/>
  <c r="E72" i="3"/>
  <c r="K47" i="3" s="1"/>
  <c r="E47" i="3" s="1"/>
  <c r="F72" i="3"/>
  <c r="B73" i="3"/>
  <c r="I48" i="3" s="1"/>
  <c r="B48" i="3" s="1"/>
  <c r="C73" i="3"/>
  <c r="F48" i="3" s="1"/>
  <c r="D73" i="3"/>
  <c r="J48" i="3" s="1"/>
  <c r="D48" i="3" s="1"/>
  <c r="E73" i="3"/>
  <c r="K48" i="3" s="1"/>
  <c r="E48" i="3" s="1"/>
  <c r="F73" i="3"/>
  <c r="B74" i="3"/>
  <c r="I49" i="3" s="1"/>
  <c r="B49" i="3" s="1"/>
  <c r="C74" i="3"/>
  <c r="F49" i="3" s="1"/>
  <c r="D74" i="3"/>
  <c r="J49" i="3" s="1"/>
  <c r="D49" i="3" s="1"/>
  <c r="E74" i="3"/>
  <c r="K49" i="3" s="1"/>
  <c r="E49" i="3" s="1"/>
  <c r="F74" i="3"/>
  <c r="B75" i="3"/>
  <c r="I50" i="3" s="1"/>
  <c r="B50" i="3" s="1"/>
  <c r="C75" i="3"/>
  <c r="F50" i="3" s="1"/>
  <c r="D75" i="3"/>
  <c r="J50" i="3" s="1"/>
  <c r="D50" i="3" s="1"/>
  <c r="E75" i="3"/>
  <c r="K50" i="3" s="1"/>
  <c r="E50" i="3" s="1"/>
  <c r="F75" i="3"/>
  <c r="B76" i="3"/>
  <c r="I51" i="3" s="1"/>
  <c r="B51" i="3" s="1"/>
  <c r="C76" i="3"/>
  <c r="F51" i="3" s="1"/>
  <c r="D76" i="3"/>
  <c r="J51" i="3" s="1"/>
  <c r="D51" i="3" s="1"/>
  <c r="E76" i="3"/>
  <c r="K51" i="3" s="1"/>
  <c r="E51" i="3" s="1"/>
  <c r="F76" i="3"/>
  <c r="B77" i="3"/>
  <c r="I52" i="3" s="1"/>
  <c r="B52" i="3" s="1"/>
  <c r="C77" i="3"/>
  <c r="F52" i="3" s="1"/>
  <c r="D77" i="3"/>
  <c r="J52" i="3" s="1"/>
  <c r="D52" i="3" s="1"/>
  <c r="E77" i="3"/>
  <c r="K52" i="3" s="1"/>
  <c r="E52" i="3" s="1"/>
  <c r="F77" i="3"/>
  <c r="B78" i="3"/>
  <c r="I53" i="3" s="1"/>
  <c r="B53" i="3" s="1"/>
  <c r="C78" i="3"/>
  <c r="F53" i="3" s="1"/>
  <c r="D78" i="3"/>
  <c r="J53" i="3" s="1"/>
  <c r="D53" i="3" s="1"/>
  <c r="E78" i="3"/>
  <c r="K53" i="3" s="1"/>
  <c r="E53" i="3" s="1"/>
  <c r="F78" i="3"/>
  <c r="B79" i="3"/>
  <c r="I54" i="3" s="1"/>
  <c r="B54" i="3" s="1"/>
  <c r="C79" i="3"/>
  <c r="F54" i="3" s="1"/>
  <c r="D79" i="3"/>
  <c r="J54" i="3" s="1"/>
  <c r="D54" i="3" s="1"/>
  <c r="E79" i="3"/>
  <c r="K54" i="3" s="1"/>
  <c r="E54" i="3" s="1"/>
  <c r="F79" i="3"/>
  <c r="B80" i="3"/>
  <c r="I55" i="3" s="1"/>
  <c r="B55" i="3" s="1"/>
  <c r="C80" i="3"/>
  <c r="F55" i="3" s="1"/>
  <c r="D80" i="3"/>
  <c r="J55" i="3" s="1"/>
  <c r="D55" i="3" s="1"/>
  <c r="E80" i="3"/>
  <c r="K55" i="3" s="1"/>
  <c r="E55" i="3" s="1"/>
  <c r="F80" i="3"/>
  <c r="B81" i="3"/>
  <c r="I56" i="3" s="1"/>
  <c r="B56" i="3" s="1"/>
  <c r="C81" i="3"/>
  <c r="F56" i="3" s="1"/>
  <c r="D81" i="3"/>
  <c r="J56" i="3" s="1"/>
  <c r="D56" i="3" s="1"/>
  <c r="E81" i="3"/>
  <c r="K56" i="3" s="1"/>
  <c r="E56" i="3" s="1"/>
  <c r="F81" i="3"/>
  <c r="B82" i="3"/>
  <c r="I57" i="3" s="1"/>
  <c r="B57" i="3" s="1"/>
  <c r="C82" i="3"/>
  <c r="F57" i="3" s="1"/>
  <c r="D82" i="3"/>
  <c r="J57" i="3" s="1"/>
  <c r="D57" i="3" s="1"/>
  <c r="E82" i="3"/>
  <c r="K57" i="3" s="1"/>
  <c r="E57" i="3" s="1"/>
  <c r="F82" i="3"/>
  <c r="B83" i="3"/>
  <c r="I58" i="3" s="1"/>
  <c r="B58" i="3" s="1"/>
  <c r="C83" i="3"/>
  <c r="F58" i="3" s="1"/>
  <c r="D83" i="3"/>
  <c r="J58" i="3" s="1"/>
  <c r="D58" i="3" s="1"/>
  <c r="E83" i="3"/>
  <c r="K58" i="3" s="1"/>
  <c r="E58" i="3" s="1"/>
  <c r="F83" i="3"/>
  <c r="B84" i="3"/>
  <c r="I59" i="3" s="1"/>
  <c r="B59" i="3" s="1"/>
  <c r="C84" i="3"/>
  <c r="F59" i="3" s="1"/>
  <c r="D84" i="3"/>
  <c r="J59" i="3" s="1"/>
  <c r="D59" i="3" s="1"/>
  <c r="E84" i="3"/>
  <c r="K59" i="3" s="1"/>
  <c r="E59" i="3" s="1"/>
  <c r="F84" i="3"/>
  <c r="B109" i="3"/>
  <c r="C109" i="3"/>
  <c r="D109" i="3"/>
  <c r="E109" i="3"/>
  <c r="F109" i="3"/>
  <c r="B110" i="3"/>
  <c r="C110" i="3"/>
  <c r="D110" i="3"/>
  <c r="E110" i="3"/>
  <c r="F110" i="3"/>
  <c r="B111" i="3"/>
  <c r="C111" i="3"/>
  <c r="D111" i="3"/>
  <c r="E111" i="3"/>
  <c r="F111" i="3"/>
  <c r="B112" i="3"/>
  <c r="C112" i="3"/>
  <c r="D112" i="3"/>
  <c r="E112" i="3"/>
  <c r="F112" i="3"/>
  <c r="B113" i="3"/>
  <c r="C113" i="3"/>
  <c r="D113" i="3"/>
  <c r="E113" i="3"/>
  <c r="F113" i="3"/>
  <c r="B114" i="3"/>
  <c r="C114" i="3"/>
  <c r="D114" i="3"/>
  <c r="E114" i="3"/>
  <c r="F114" i="3"/>
  <c r="B115" i="3"/>
  <c r="C115" i="3"/>
  <c r="D115" i="3"/>
  <c r="E115" i="3"/>
  <c r="F115" i="3"/>
  <c r="B116" i="3"/>
  <c r="C116" i="3"/>
  <c r="D116" i="3"/>
  <c r="E116" i="3"/>
  <c r="F116" i="3"/>
  <c r="B117" i="3"/>
  <c r="C117" i="3"/>
  <c r="D117" i="3"/>
  <c r="E117" i="3"/>
  <c r="F117" i="3"/>
  <c r="B118" i="3"/>
  <c r="C118" i="3"/>
  <c r="D118" i="3"/>
  <c r="E118" i="3"/>
  <c r="F118" i="3"/>
  <c r="B119" i="3"/>
  <c r="C119" i="3"/>
  <c r="D119" i="3"/>
  <c r="E119" i="3"/>
  <c r="F119" i="3"/>
  <c r="B120" i="3"/>
  <c r="C120" i="3"/>
  <c r="D120" i="3"/>
  <c r="E120" i="3"/>
  <c r="F120" i="3"/>
  <c r="B121" i="3"/>
  <c r="C121" i="3"/>
  <c r="D121" i="3"/>
  <c r="E121" i="3"/>
  <c r="F121" i="3"/>
  <c r="B122" i="3"/>
  <c r="C122" i="3"/>
  <c r="D122" i="3"/>
  <c r="E122" i="3"/>
  <c r="F122" i="3"/>
  <c r="B123" i="3"/>
  <c r="C123" i="3"/>
  <c r="D123" i="3"/>
  <c r="E123" i="3"/>
  <c r="F123" i="3"/>
  <c r="B124" i="3"/>
  <c r="C124" i="3"/>
  <c r="D124" i="3"/>
  <c r="E124" i="3"/>
  <c r="F124" i="3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B66" i="3"/>
  <c r="C66" i="3"/>
  <c r="D66" i="3"/>
  <c r="E66" i="3"/>
  <c r="F66" i="3"/>
  <c r="B67" i="3"/>
  <c r="C67" i="3"/>
  <c r="D67" i="3"/>
  <c r="E67" i="3"/>
  <c r="F67" i="3"/>
  <c r="B68" i="3"/>
  <c r="C68" i="3"/>
  <c r="D68" i="3"/>
  <c r="E68" i="3"/>
  <c r="F68" i="3"/>
  <c r="B106" i="3"/>
  <c r="C106" i="3"/>
  <c r="D106" i="3"/>
  <c r="E106" i="3"/>
  <c r="F106" i="3"/>
  <c r="B107" i="3"/>
  <c r="C107" i="3"/>
  <c r="D107" i="3"/>
  <c r="E107" i="3"/>
  <c r="F107" i="3"/>
  <c r="B108" i="3"/>
  <c r="C108" i="3"/>
  <c r="D108" i="3"/>
  <c r="E108" i="3"/>
  <c r="F108" i="3"/>
  <c r="K28" i="3" l="1"/>
  <c r="E28" i="3" s="1"/>
  <c r="K25" i="3"/>
  <c r="E25" i="3" s="1"/>
  <c r="J21" i="3"/>
  <c r="D21" i="3" s="1"/>
  <c r="K20" i="3"/>
  <c r="E20" i="3" s="1"/>
  <c r="I26" i="3"/>
  <c r="B26" i="3" s="1"/>
  <c r="I18" i="3"/>
  <c r="B18" i="3" s="1"/>
  <c r="K23" i="3"/>
  <c r="E23" i="3" s="1"/>
  <c r="J28" i="3"/>
  <c r="D28" i="3" s="1"/>
  <c r="J25" i="3"/>
  <c r="D25" i="3" s="1"/>
  <c r="I22" i="3"/>
  <c r="B22" i="3" s="1"/>
  <c r="J20" i="3"/>
  <c r="D20" i="3" s="1"/>
  <c r="J24" i="3"/>
  <c r="D24" i="3" s="1"/>
  <c r="K27" i="3"/>
  <c r="E27" i="3" s="1"/>
  <c r="K24" i="3"/>
  <c r="E24" i="3" s="1"/>
  <c r="K21" i="3"/>
  <c r="E21" i="3" s="1"/>
  <c r="K19" i="3"/>
  <c r="E19" i="3" s="1"/>
  <c r="K26" i="3"/>
  <c r="E26" i="3" s="1"/>
  <c r="K22" i="3"/>
  <c r="E22" i="3" s="1"/>
  <c r="K18" i="3"/>
  <c r="E18" i="3" s="1"/>
  <c r="J27" i="3"/>
  <c r="D27" i="3" s="1"/>
  <c r="J26" i="3"/>
  <c r="D26" i="3" s="1"/>
  <c r="J23" i="3"/>
  <c r="D23" i="3" s="1"/>
  <c r="J22" i="3"/>
  <c r="D22" i="3" s="1"/>
  <c r="J19" i="3"/>
  <c r="D19" i="3" s="1"/>
  <c r="J18" i="3"/>
  <c r="D18" i="3" s="1"/>
  <c r="I28" i="3"/>
  <c r="B28" i="3" s="1"/>
  <c r="I27" i="3"/>
  <c r="B27" i="3" s="1"/>
  <c r="I25" i="3"/>
  <c r="B25" i="3" s="1"/>
  <c r="I24" i="3"/>
  <c r="B24" i="3" s="1"/>
  <c r="I23" i="3"/>
  <c r="B23" i="3" s="1"/>
  <c r="I21" i="3"/>
  <c r="B21" i="3" s="1"/>
  <c r="I20" i="3"/>
  <c r="B20" i="3" s="1"/>
  <c r="I19" i="3"/>
  <c r="B19" i="3" s="1"/>
  <c r="F28" i="3"/>
  <c r="F27" i="3"/>
  <c r="F26" i="3"/>
  <c r="F25" i="3"/>
  <c r="F24" i="3"/>
  <c r="F23" i="3"/>
  <c r="F22" i="3"/>
  <c r="F21" i="3"/>
  <c r="F20" i="3"/>
  <c r="F19" i="3"/>
  <c r="F18" i="3"/>
  <c r="K43" i="3"/>
  <c r="E43" i="3" s="1"/>
  <c r="K17" i="3"/>
  <c r="E17" i="3" s="1"/>
  <c r="J43" i="3"/>
  <c r="D43" i="3" s="1"/>
  <c r="J17" i="3"/>
  <c r="D17" i="3" s="1"/>
  <c r="F43" i="3"/>
  <c r="F17" i="3"/>
  <c r="I43" i="3"/>
  <c r="B43" i="3" s="1"/>
  <c r="I17" i="3"/>
  <c r="B17" i="3" s="1"/>
  <c r="K42" i="3"/>
  <c r="E42" i="3" s="1"/>
  <c r="K16" i="3"/>
  <c r="E16" i="3" s="1"/>
  <c r="J42" i="3"/>
  <c r="D42" i="3" s="1"/>
  <c r="J16" i="3"/>
  <c r="D16" i="3" s="1"/>
  <c r="F42" i="3"/>
  <c r="F16" i="3"/>
  <c r="I42" i="3"/>
  <c r="B42" i="3" s="1"/>
  <c r="I16" i="3"/>
  <c r="B16" i="3" s="1"/>
  <c r="K41" i="3"/>
  <c r="E41" i="3" s="1"/>
  <c r="K15" i="3"/>
  <c r="E15" i="3" s="1"/>
  <c r="J41" i="3"/>
  <c r="D41" i="3" s="1"/>
  <c r="J15" i="3"/>
  <c r="D15" i="3" s="1"/>
  <c r="F41" i="3"/>
  <c r="F15" i="3"/>
  <c r="I41" i="3"/>
  <c r="B41" i="3" s="1"/>
  <c r="I15" i="3"/>
  <c r="B15" i="3" s="1"/>
  <c r="H21" i="4" l="1"/>
  <c r="H43" i="4" s="1"/>
  <c r="E99" i="3" l="1" a="1"/>
  <c r="E99" i="3" s="1"/>
  <c r="L21" i="4" l="1"/>
  <c r="K21" i="4"/>
  <c r="H45" i="4" l="1"/>
  <c r="M21" i="4"/>
  <c r="N21" i="4" s="1"/>
  <c r="B65" i="3" l="1"/>
  <c r="I40" i="3" s="1"/>
  <c r="B40" i="3" s="1"/>
  <c r="C65" i="3"/>
  <c r="F40" i="3" s="1"/>
  <c r="D65" i="3"/>
  <c r="E65" i="3"/>
  <c r="K40" i="3" s="1"/>
  <c r="E40" i="3" s="1"/>
  <c r="F65" i="3"/>
  <c r="B105" i="3"/>
  <c r="C105" i="3"/>
  <c r="D105" i="3"/>
  <c r="E105" i="3"/>
  <c r="F105" i="3"/>
  <c r="H65" i="3" l="1"/>
  <c r="I65" i="3" s="1"/>
  <c r="J40" i="3"/>
  <c r="D40" i="3" s="1"/>
  <c r="H105" i="3"/>
  <c r="I105" i="3" s="1"/>
  <c r="J14" i="3"/>
  <c r="D14" i="3" s="1"/>
  <c r="I14" i="3"/>
  <c r="B14" i="3" s="1"/>
  <c r="F14" i="3"/>
  <c r="K14" i="3"/>
  <c r="E14" i="3" s="1"/>
  <c r="I127" i="3" l="1"/>
  <c r="I86" i="3"/>
  <c r="J105" i="3"/>
  <c r="N5" i="3"/>
  <c r="J127" i="3" l="1"/>
  <c r="M5" i="3"/>
  <c r="L5" i="3"/>
  <c r="K5" i="3"/>
  <c r="C97" i="3" l="1"/>
  <c r="C7" i="3"/>
  <c r="D95" i="3"/>
  <c r="D5" i="3"/>
  <c r="D94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<sst xmlns="http://schemas.openxmlformats.org/spreadsheetml/2006/main" count="287" uniqueCount="145">
  <si>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</si>
  <si>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</si>
  <si>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</si>
  <si>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</si>
  <si>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</si>
  <si>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</si>
  <si>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</si>
  <si>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</si>
  <si>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</si>
  <si>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</si>
  <si>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</si>
  <si>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</si>
  <si>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</si>
  <si>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</si>
  <si>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</si>
  <si>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</si>
  <si>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</si>
  <si>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</si>
  <si>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</si>
  <si>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</si>
  <si>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</si>
  <si>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</si>
  <si>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</si>
  <si>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</si>
  <si>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</si>
  <si>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</si>
  <si>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</si>
  <si>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</si>
  <si>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</si>
  <si>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</si>
  <si>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</si>
  <si>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</si>
  <si>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</si>
  <si>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</si>
  <si>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</si>
  <si>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</si>
  <si>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</si>
  <si>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</si>
  <si>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</si>
  <si>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</si>
  <si>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</si>
  <si>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</si>
  <si>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</si>
  <si>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</si>
  <si>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</si>
  <si>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</si>
  <si>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</si>
  <si>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</si>
  <si>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</si>
  <si>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</si>
  <si>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</si>
  <si>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</si>
  <si>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</si>
  <si>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</si>
  <si>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</si>
  <si>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</si>
  <si>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</si>
  <si>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</si>
  <si>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</si>
  <si>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</si>
  <si>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</si>
  <si>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</si>
  <si>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</si>
  <si>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</si>
  <si>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</si>
  <si>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</si>
  <si>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</si>
  <si>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</si>
  <si>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</si>
  <si>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</si>
  <si>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</si>
  <si>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</si>
  <si>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</si>
  <si>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</si>
  <si>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</si>
  <si>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</si>
  <si>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</si>
  <si>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</si>
  <si>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</si>
  <si>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</si>
  <si>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</si>
  <si>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</si>
  <si>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</si>
  <si>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</si>
  <si>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</si>
  <si>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</si>
  <si>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</si>
  <si>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</si>
  <si>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</si>
  <si>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</si>
  <si>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</si>
  <si>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</si>
  <si>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</si>
  <si>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</si>
  <si>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</si>
  <si>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</si>
  <si>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</si>
  <si>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</si>
  <si>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</si>
  <si>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</si>
  <si>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</si>
  <si>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</si>
  <si>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</si>
  <si>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</si>
  <si>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</si>
  <si>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</si>
  <si>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</si>
  <si>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</si>
  <si>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</si>
  <si>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</si>
  <si>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</si>
  <si>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</si>
  <si>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</si>
  <si>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</si>
  <si>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</si>
  <si>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</si>
  <si>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</si>
  <si>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</si>
  <si>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</si>
  <si>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</si>
  <si>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</si>
  <si>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</si>
  <si>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</si>
  <si>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</si>
  <si>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</si>
  <si>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</si>
  <si>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</si>
  <si>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</si>
  <si>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</si>
  <si>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</si>
  <si>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</si>
  <si>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</si>
  <si>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</si>
  <si>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</si>
  <si>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</si>
  <si>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</si>
  <si>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 xml:space="preserve">MDF 18 MM </t>
  </si>
  <si>
    <t xml:space="preserve">SANTIAGO </t>
  </si>
  <si>
    <t>VICTOR RIVERO</t>
  </si>
  <si>
    <t>+56958788293</t>
  </si>
  <si>
    <t>FD</t>
  </si>
  <si>
    <t>THAI SAMOA TEAK 10845 MT</t>
  </si>
  <si>
    <t>PR2 / 2 DE 188 + 1 DE 182</t>
  </si>
  <si>
    <t>PR2 / 2 DE 165 + 1 DE 305</t>
  </si>
  <si>
    <t>HECHO POR: 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</si>
</sst>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20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3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2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21" fillId="9" borderId="0" xfId="0" applyFont="1" applyFill="1"/>
    <xf numFmtId="0" fontId="22" fillId="9" borderId="0" xfId="0" applyFont="1" applyFill="1"/>
    <xf numFmtId="0" fontId="23" fillId="9" borderId="0" xfId="0" applyFont="1" applyFill="1"/>
    <xf numFmtId="0" fontId="24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5" fillId="0" borderId="0" xfId="0" applyFont="1"/>
    <xf numFmtId="0" fontId="26" fillId="0" borderId="0" xfId="0" applyFont="1" applyAlignment="1">
      <alignment horizontal="left" indent="1"/>
    </xf>
    <xf numFmtId="0" fontId="27" fillId="0" borderId="0" xfId="0" applyFont="1" applyAlignment="1">
      <alignment horizontal="left"/>
    </xf>
    <xf numFmtId="0" fontId="26" fillId="3" borderId="0" xfId="0" applyFont="1" applyFill="1" applyAlignment="1">
      <alignment horizontal="left" indent="1"/>
    </xf>
    <xf numFmtId="0" fontId="28" fillId="3" borderId="0" xfId="0" applyFont="1" applyFill="1" applyAlignment="1">
      <alignment horizontal="left"/>
    </xf>
    <xf numFmtId="0" fontId="25" fillId="3" borderId="0" xfId="0" applyFont="1" applyFill="1"/>
    <xf numFmtId="0" fontId="25" fillId="0" borderId="0" xfId="0" applyFont="1" applyAlignment="1">
      <alignment horizontal="left" indent="1"/>
    </xf>
    <xf numFmtId="14" fontId="25" fillId="0" borderId="0" xfId="0" applyNumberFormat="1" applyFont="1" applyAlignment="1">
      <alignment horizontal="right" vertical="top"/>
    </xf>
    <xf numFmtId="14" fontId="26" fillId="0" borderId="0" xfId="0" applyNumberFormat="1" applyFont="1" applyAlignment="1">
      <alignment horizontal="left" indent="1"/>
    </xf>
    <xf numFmtId="14" fontId="27" fillId="0" borderId="0" xfId="0" applyNumberFormat="1" applyFont="1" applyAlignment="1">
      <alignment horizontal="left" wrapText="1" shrinkToFit="1"/>
    </xf>
    <xf numFmtId="0" fontId="27" fillId="0" borderId="0" xfId="0" applyFont="1" applyAlignment="1">
      <alignment horizontal="center"/>
    </xf>
    <xf numFmtId="0" fontId="27" fillId="0" borderId="18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27" fillId="0" borderId="2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7" fillId="3" borderId="0" xfId="0" applyFont="1" applyFill="1" applyAlignment="1">
      <alignment horizontal="left"/>
    </xf>
    <xf numFmtId="14" fontId="26" fillId="0" borderId="0" xfId="0" applyNumberFormat="1" applyFont="1" applyAlignment="1">
      <alignment horizontal="left" vertical="top" indent="1"/>
    </xf>
    <xf numFmtId="0" fontId="25" fillId="0" borderId="0" xfId="0" applyFont="1" applyAlignment="1">
      <alignment horizontal="left"/>
    </xf>
    <xf numFmtId="0" fontId="28" fillId="0" borderId="0" xfId="0" applyFont="1"/>
    <xf numFmtId="0" fontId="27" fillId="0" borderId="11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5" fillId="6" borderId="24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7" fillId="0" borderId="11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2" fillId="9" borderId="0" xfId="0" quotePrefix="1" applyFont="1" applyFill="1" applyAlignment="1">
      <alignment horizontal="left"/>
    </xf>
    <xf numFmtId="0" fontId="0" fillId="9" borderId="0" xfId="0" applyFill="1"/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1" fontId="19" fillId="0" borderId="27" xfId="0" applyNumberFormat="1" applyFont="1" applyBorder="1" applyAlignment="1">
      <alignment horizontal="center" vertical="center"/>
    </xf>
    <xf numFmtId="166" fontId="20" fillId="0" borderId="27" xfId="1" applyNumberFormat="1" applyFont="1" applyFill="1" applyBorder="1" applyAlignment="1">
      <alignment horizontal="center" vertical="center"/>
    </xf>
    <xf numFmtId="166" fontId="20" fillId="0" borderId="28" xfId="1" applyNumberFormat="1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42" fontId="10" fillId="0" borderId="0" xfId="3" applyFont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0" fontId="29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5" fillId="6" borderId="30" xfId="0" applyFont="1" applyFill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7" fillId="0" borderId="35" xfId="0" applyFont="1" applyBorder="1" applyAlignment="1">
      <alignment horizontal="center"/>
    </xf>
    <xf numFmtId="0" fontId="27" fillId="0" borderId="3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0" xfId="0" applyFont="1" applyBorder="1" applyAlignment="1">
      <alignment horizontal="center"/>
    </xf>
    <xf numFmtId="0" fontId="19" fillId="4" borderId="26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11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3" borderId="32" xfId="0" applyFont="1" applyFill="1" applyBorder="1" applyAlignment="1">
      <alignment horizontal="left" vertical="top" indent="28"/>
    </xf>
    <xf numFmtId="0" fontId="27" fillId="3" borderId="33" xfId="0" applyFont="1" applyFill="1" applyBorder="1" applyAlignment="1">
      <alignment horizontal="left" vertical="top" indent="28"/>
    </xf>
    <xf numFmtId="0" fontId="27" fillId="3" borderId="4" xfId="0" applyFont="1" applyFill="1" applyBorder="1" applyAlignment="1">
      <alignment horizontal="left" vertical="top" indent="28"/>
    </xf>
    <xf numFmtId="0" fontId="27" fillId="3" borderId="34" xfId="0" applyFont="1" applyFill="1" applyBorder="1" applyAlignment="1">
      <alignment horizontal="left" vertical="top" indent="28"/>
    </xf>
    <xf numFmtId="0" fontId="30" fillId="0" borderId="37" xfId="0" applyFont="1" applyBorder="1" applyAlignment="1">
      <alignment horizontal="center"/>
    </xf>
    <xf numFmtId="0" fontId="30" fillId="0" borderId="41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9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33049</xdr:colOff>
      <xdr:row>41</xdr:row>
      <xdr:rowOff>107</xdr:rowOff>
    </xdr:from>
    <xdr:to>
      <xdr:col>5</xdr:col>
      <xdr:colOff>1414409</xdr:colOff>
      <xdr:row>45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5689" y="5276315"/>
          <a:ext cx="6497035" cy="9607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</a:t>
          </a:r>
          <a:r>
            <a:rPr lang="es-CL" sz="1600" b="1" i="0" baseline="0"/>
            <a:t> ABONO. 450.000 </a:t>
          </a:r>
          <a:endParaRPr lang="es-CL" sz="14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52</xdr:row>
      <xdr:rowOff>0</xdr:rowOff>
    </xdr:from>
    <xdr:to>
      <xdr:col>4</xdr:col>
      <xdr:colOff>369336</xdr:colOff>
      <xdr:row>52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54</xdr:row>
      <xdr:rowOff>1</xdr:rowOff>
    </xdr:from>
    <xdr:to>
      <xdr:col>4</xdr:col>
      <xdr:colOff>349897</xdr:colOff>
      <xdr:row>54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35</xdr:row>
      <xdr:rowOff>76200</xdr:rowOff>
    </xdr:from>
    <xdr:to>
      <xdr:col>6</xdr:col>
      <xdr:colOff>19049</xdr:colOff>
      <xdr:row>36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100</xdr:row>
      <xdr:rowOff>0</xdr:rowOff>
    </xdr:from>
    <xdr:to>
      <xdr:col>6</xdr:col>
      <xdr:colOff>0</xdr:colOff>
      <xdr:row>101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96</xdr:row>
      <xdr:rowOff>0</xdr:rowOff>
    </xdr:from>
    <xdr:to>
      <xdr:col>6</xdr:col>
      <xdr:colOff>0</xdr:colOff>
      <xdr:row>97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93</xdr:row>
      <xdr:rowOff>228601</xdr:rowOff>
    </xdr:from>
    <xdr:to>
      <xdr:col>6</xdr:col>
      <xdr:colOff>0</xdr:colOff>
      <xdr:row>95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93</xdr:row>
      <xdr:rowOff>0</xdr:rowOff>
    </xdr:from>
    <xdr:to>
      <xdr:col>6</xdr:col>
      <xdr:colOff>0</xdr:colOff>
      <xdr:row>94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125</xdr:row>
      <xdr:rowOff>0</xdr:rowOff>
    </xdr:from>
    <xdr:to>
      <xdr:col>2</xdr:col>
      <xdr:colOff>38100</xdr:colOff>
      <xdr:row>126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125</xdr:row>
      <xdr:rowOff>0</xdr:rowOff>
    </xdr:from>
    <xdr:to>
      <xdr:col>2</xdr:col>
      <xdr:colOff>1019175</xdr:colOff>
      <xdr:row>126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125</xdr:row>
      <xdr:rowOff>0</xdr:rowOff>
    </xdr:from>
    <xdr:to>
      <xdr:col>3</xdr:col>
      <xdr:colOff>323850</xdr:colOff>
      <xdr:row>126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125</xdr:row>
      <xdr:rowOff>0</xdr:rowOff>
    </xdr:from>
    <xdr:to>
      <xdr:col>4</xdr:col>
      <xdr:colOff>257175</xdr:colOff>
      <xdr:row>126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125</xdr:row>
      <xdr:rowOff>0</xdr:rowOff>
    </xdr:from>
    <xdr:to>
      <xdr:col>5</xdr:col>
      <xdr:colOff>447675</xdr:colOff>
      <xdr:row>126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125</xdr:row>
      <xdr:rowOff>0</xdr:rowOff>
    </xdr:from>
    <xdr:to>
      <xdr:col>6</xdr:col>
      <xdr:colOff>0</xdr:colOff>
      <xdr:row>126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126</xdr:row>
      <xdr:rowOff>0</xdr:rowOff>
    </xdr:from>
    <xdr:to>
      <xdr:col>2</xdr:col>
      <xdr:colOff>304800</xdr:colOff>
      <xdr:row>127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126</xdr:row>
      <xdr:rowOff>0</xdr:rowOff>
    </xdr:from>
    <xdr:to>
      <xdr:col>2</xdr:col>
      <xdr:colOff>1276350</xdr:colOff>
      <xdr:row>127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126</xdr:row>
      <xdr:rowOff>0</xdr:rowOff>
    </xdr:from>
    <xdr:to>
      <xdr:col>3</xdr:col>
      <xdr:colOff>619125</xdr:colOff>
      <xdr:row>127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126</xdr:row>
      <xdr:rowOff>0</xdr:rowOff>
    </xdr:from>
    <xdr:to>
      <xdr:col>4</xdr:col>
      <xdr:colOff>523875</xdr:colOff>
      <xdr:row>127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126</xdr:row>
      <xdr:rowOff>0</xdr:rowOff>
    </xdr:from>
    <xdr:to>
      <xdr:col>5</xdr:col>
      <xdr:colOff>723900</xdr:colOff>
      <xdr:row>127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126</xdr:row>
      <xdr:rowOff>0</xdr:rowOff>
    </xdr:from>
    <xdr:to>
      <xdr:col>6</xdr:col>
      <xdr:colOff>0</xdr:colOff>
      <xdr:row>127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85</xdr:row>
      <xdr:rowOff>5714</xdr:rowOff>
    </xdr:from>
    <xdr:to>
      <xdr:col>6</xdr:col>
      <xdr:colOff>0</xdr:colOff>
      <xdr:row>87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ENCHAPADAS CON TAPACANTO PVC 0,4 MM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60</xdr:row>
      <xdr:rowOff>152400</xdr:rowOff>
    </xdr:from>
    <xdr:to>
      <xdr:col>6</xdr:col>
      <xdr:colOff>9524</xdr:colOff>
      <xdr:row>61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1175385</xdr:colOff>
      <xdr:row>128</xdr:row>
      <xdr:rowOff>20955</xdr:rowOff>
    </xdr:from>
    <xdr:to>
      <xdr:col>5</xdr:col>
      <xdr:colOff>2364105</xdr:colOff>
      <xdr:row>131</xdr:row>
      <xdr:rowOff>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75385" y="15784830"/>
          <a:ext cx="8189595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ENCHAPADAS CON TAPACANTO PVC 0,4 MM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560070</xdr:colOff>
      <xdr:row>92</xdr:row>
      <xdr:rowOff>41910</xdr:rowOff>
    </xdr:from>
    <xdr:to>
      <xdr:col>2</xdr:col>
      <xdr:colOff>14998</xdr:colOff>
      <xdr:row>97</xdr:row>
      <xdr:rowOff>139065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" y="848106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89535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304800</xdr:colOff>
      <xdr:row>135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8"/>
  <sheetViews>
    <sheetView topLeftCell="A13" zoomScale="89" zoomScaleNormal="89" workbookViewId="0">
      <selection activeCell="C32" sqref="C32:C40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38.109375" customWidth="1"/>
    <col min="4" max="4" width="12.33203125" customWidth="1"/>
    <col min="5" max="5" width="11.5546875" customWidth="1"/>
    <col min="6" max="6" width="34.3320312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>
        <v>10901</v>
      </c>
      <c r="E8" s="28"/>
      <c r="F8" s="34" t="s">
        <v>26</v>
      </c>
      <c r="G8" s="35">
        <v>4070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138</v>
      </c>
      <c r="D10" s="56"/>
      <c r="E10" s="56"/>
      <c r="F10" s="57" t="s">
        <v>27</v>
      </c>
      <c r="G10" s="58">
        <v>45415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45392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C13" s="109"/>
      <c r="D13" s="61"/>
      <c r="E13" s="61"/>
      <c r="F13" s="61" t="s">
        <v>124</v>
      </c>
      <c r="G13" s="64" t="s">
        <v>140</v>
      </c>
      <c r="H13" s="63"/>
      <c r="I13" s="1"/>
    </row>
    <row r="14" spans="1:17" ht="18" x14ac:dyDescent="0.35">
      <c r="A14" s="28"/>
      <c r="B14" s="60" t="s">
        <v>133</v>
      </c>
      <c r="C14" s="107"/>
      <c r="D14" s="61"/>
      <c r="E14" s="61"/>
      <c r="F14" s="61" t="s">
        <v>135</v>
      </c>
      <c r="G14" s="61"/>
      <c r="H14" s="63"/>
      <c r="I14" s="1"/>
    </row>
    <row r="15" spans="1:17" ht="20.399999999999999" x14ac:dyDescent="0.45">
      <c r="A15" s="28"/>
      <c r="B15" s="60" t="s">
        <v>17</v>
      </c>
      <c r="C15" s="108" t="s">
        <v>139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C16" s="109"/>
      <c r="D16" s="61"/>
      <c r="E16" s="61"/>
      <c r="F16" s="133" t="s">
        <v>18</v>
      </c>
      <c r="G16" s="133"/>
      <c r="H16" s="134"/>
      <c r="I16" s="1"/>
    </row>
    <row r="17" spans="1:16" ht="18.600000000000001" thickBot="1" x14ac:dyDescent="0.4">
      <c r="A17" s="28"/>
      <c r="B17" s="66" t="s">
        <v>3</v>
      </c>
      <c r="C17" s="72" t="s">
        <v>137</v>
      </c>
      <c r="D17" s="73"/>
      <c r="E17" s="67"/>
      <c r="F17" s="138"/>
      <c r="G17" s="138"/>
      <c r="H17" s="139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20.100000000000001" customHeight="1" x14ac:dyDescent="0.35">
      <c r="A19" s="28"/>
      <c r="B19" s="135" t="s">
        <v>19</v>
      </c>
      <c r="C19" s="136"/>
      <c r="D19" s="136"/>
      <c r="E19" s="136"/>
      <c r="F19" s="136"/>
      <c r="G19" s="136"/>
      <c r="H19" s="137"/>
      <c r="I19" s="1"/>
    </row>
    <row r="20" spans="1:16" ht="20.100000000000001" customHeight="1" thickBot="1" x14ac:dyDescent="0.4">
      <c r="A20" s="28"/>
      <c r="B20" s="115" t="s">
        <v>127</v>
      </c>
      <c r="C20" s="116" t="s">
        <v>20</v>
      </c>
      <c r="D20" s="116" t="s">
        <v>21</v>
      </c>
      <c r="E20" s="116" t="s">
        <v>8</v>
      </c>
      <c r="F20" s="116" t="s">
        <v>22</v>
      </c>
      <c r="G20" s="116" t="s">
        <v>23</v>
      </c>
      <c r="H20" s="117" t="s">
        <v>4</v>
      </c>
      <c r="I20" s="1"/>
      <c r="N20">
        <v>14000</v>
      </c>
    </row>
    <row r="21" spans="1:16" ht="20.100000000000001" customHeight="1" x14ac:dyDescent="0.35">
      <c r="A21" s="28"/>
      <c r="B21" s="110">
        <v>1</v>
      </c>
      <c r="C21" s="111" t="s">
        <v>60</v>
      </c>
      <c r="D21" s="112">
        <v>340</v>
      </c>
      <c r="E21" s="112">
        <v>545</v>
      </c>
      <c r="F21" s="111" t="s">
        <v>141</v>
      </c>
      <c r="G21" s="113">
        <v>19147</v>
      </c>
      <c r="H21" s="114">
        <f>G21*B21</f>
        <v>19147</v>
      </c>
      <c r="I21" s="1"/>
      <c r="K21" s="11">
        <f t="shared" ref="K21:L21" si="0">D21/1000</f>
        <v>0.34</v>
      </c>
      <c r="L21" s="14">
        <f t="shared" si="0"/>
        <v>0.54500000000000004</v>
      </c>
      <c r="M21" s="11">
        <f>K21*L21</f>
        <v>0.18530000000000002</v>
      </c>
      <c r="N21" s="11">
        <f>M21*N$20</f>
        <v>2594.2000000000003</v>
      </c>
      <c r="O21" s="14"/>
      <c r="P21" s="20"/>
    </row>
    <row r="22" spans="1:16" ht="20.100000000000001" customHeight="1" x14ac:dyDescent="0.35">
      <c r="A22" s="28"/>
      <c r="B22" s="110">
        <v>2</v>
      </c>
      <c r="C22" s="111" t="s">
        <v>60</v>
      </c>
      <c r="D22" s="112">
        <v>695</v>
      </c>
      <c r="E22" s="112">
        <v>270</v>
      </c>
      <c r="F22" s="111" t="s">
        <v>141</v>
      </c>
      <c r="G22" s="113">
        <v>18281</v>
      </c>
      <c r="H22" s="114">
        <f t="shared" ref="H22:H40" si="1">G22*B22</f>
        <v>36562</v>
      </c>
      <c r="I22" s="1"/>
      <c r="K22" s="11"/>
      <c r="L22" s="14"/>
      <c r="M22" s="11"/>
      <c r="N22" s="11"/>
      <c r="O22" s="14"/>
      <c r="P22" s="20"/>
    </row>
    <row r="23" spans="1:16" ht="20.100000000000001" customHeight="1" x14ac:dyDescent="0.35">
      <c r="A23" s="28"/>
      <c r="B23" s="110">
        <v>2</v>
      </c>
      <c r="C23" s="111" t="s">
        <v>60</v>
      </c>
      <c r="D23" s="112">
        <v>695</v>
      </c>
      <c r="E23" s="112">
        <v>345</v>
      </c>
      <c r="F23" s="111" t="s">
        <v>141</v>
      </c>
      <c r="G23" s="113">
        <v>22526</v>
      </c>
      <c r="H23" s="114">
        <f t="shared" si="1"/>
        <v>45052</v>
      </c>
      <c r="I23" s="1"/>
      <c r="K23" s="11"/>
      <c r="L23" s="14"/>
      <c r="M23" s="11"/>
      <c r="N23" s="11"/>
      <c r="O23" s="14"/>
      <c r="P23" s="20"/>
    </row>
    <row r="24" spans="1:16" ht="20.100000000000001" customHeight="1" x14ac:dyDescent="0.35">
      <c r="A24" s="28"/>
      <c r="B24" s="110">
        <v>1</v>
      </c>
      <c r="C24" s="111" t="s">
        <v>60</v>
      </c>
      <c r="D24" s="112">
        <v>695</v>
      </c>
      <c r="E24" s="112">
        <v>344</v>
      </c>
      <c r="F24" s="111" t="s">
        <v>141</v>
      </c>
      <c r="G24" s="113">
        <v>22469</v>
      </c>
      <c r="H24" s="114">
        <f t="shared" si="1"/>
        <v>22469</v>
      </c>
      <c r="I24" s="1"/>
      <c r="K24" s="11"/>
      <c r="L24" s="14"/>
      <c r="M24" s="11"/>
      <c r="N24" s="11"/>
      <c r="O24" s="14"/>
      <c r="P24" s="20"/>
    </row>
    <row r="25" spans="1:16" ht="20.100000000000001" customHeight="1" x14ac:dyDescent="0.35">
      <c r="A25" s="28"/>
      <c r="B25" s="110">
        <v>2</v>
      </c>
      <c r="C25" s="111" t="s">
        <v>60</v>
      </c>
      <c r="D25" s="112">
        <v>455</v>
      </c>
      <c r="E25" s="112">
        <v>298</v>
      </c>
      <c r="F25" s="111" t="s">
        <v>141</v>
      </c>
      <c r="G25" s="113">
        <v>14432</v>
      </c>
      <c r="H25" s="114">
        <f t="shared" si="1"/>
        <v>28864</v>
      </c>
      <c r="I25" s="1"/>
      <c r="K25" s="11"/>
      <c r="L25" s="14"/>
      <c r="M25" s="11"/>
      <c r="N25" s="11"/>
      <c r="O25" s="14"/>
      <c r="P25" s="20"/>
    </row>
    <row r="26" spans="1:16" ht="20.100000000000001" customHeight="1" x14ac:dyDescent="0.35">
      <c r="A26" s="28"/>
      <c r="B26" s="110">
        <v>1</v>
      </c>
      <c r="C26" s="111" t="s">
        <v>60</v>
      </c>
      <c r="D26" s="112">
        <v>340</v>
      </c>
      <c r="E26" s="112">
        <v>545</v>
      </c>
      <c r="F26" s="111" t="s">
        <v>141</v>
      </c>
      <c r="G26" s="113">
        <v>19147</v>
      </c>
      <c r="H26" s="114">
        <f t="shared" si="1"/>
        <v>19147</v>
      </c>
      <c r="I26" s="1"/>
      <c r="K26" s="11"/>
      <c r="L26" s="14"/>
      <c r="M26" s="11"/>
      <c r="N26" s="11"/>
      <c r="O26" s="14"/>
      <c r="P26" s="20"/>
    </row>
    <row r="27" spans="1:16" ht="20.100000000000001" customHeight="1" x14ac:dyDescent="0.35">
      <c r="A27" s="28"/>
      <c r="B27" s="110">
        <v>2</v>
      </c>
      <c r="C27" s="111" t="s">
        <v>60</v>
      </c>
      <c r="D27" s="112">
        <v>525</v>
      </c>
      <c r="E27" s="112">
        <v>298</v>
      </c>
      <c r="F27" s="111" t="s">
        <v>141</v>
      </c>
      <c r="G27" s="113">
        <v>16017</v>
      </c>
      <c r="H27" s="114">
        <f t="shared" si="1"/>
        <v>32034</v>
      </c>
      <c r="I27" s="1"/>
      <c r="K27" s="11"/>
      <c r="L27" s="14"/>
      <c r="M27" s="11"/>
      <c r="N27" s="11"/>
      <c r="O27" s="14"/>
      <c r="P27" s="20"/>
    </row>
    <row r="28" spans="1:16" ht="20.100000000000001" customHeight="1" x14ac:dyDescent="0.35">
      <c r="A28" s="28"/>
      <c r="B28" s="132">
        <v>1</v>
      </c>
      <c r="C28" s="111" t="s">
        <v>142</v>
      </c>
      <c r="D28" s="112">
        <v>620</v>
      </c>
      <c r="E28" s="112">
        <v>445</v>
      </c>
      <c r="F28" s="111" t="s">
        <v>141</v>
      </c>
      <c r="G28" s="113">
        <v>29983</v>
      </c>
      <c r="H28" s="114">
        <f t="shared" si="1"/>
        <v>29983</v>
      </c>
      <c r="I28" s="1"/>
      <c r="K28" s="11"/>
      <c r="L28" s="14"/>
      <c r="M28" s="11"/>
      <c r="N28" s="11"/>
      <c r="O28" s="14"/>
      <c r="P28" s="20"/>
    </row>
    <row r="29" spans="1:16" ht="20.100000000000001" customHeight="1" x14ac:dyDescent="0.35">
      <c r="A29" s="28"/>
      <c r="B29" s="110">
        <v>1</v>
      </c>
      <c r="C29" s="111" t="s">
        <v>60</v>
      </c>
      <c r="D29" s="112">
        <v>610</v>
      </c>
      <c r="E29" s="112">
        <v>146</v>
      </c>
      <c r="F29" s="111" t="s">
        <v>141</v>
      </c>
      <c r="G29" s="113">
        <v>10320</v>
      </c>
      <c r="H29" s="114">
        <f t="shared" si="1"/>
        <v>10320</v>
      </c>
      <c r="I29" s="1"/>
      <c r="K29" s="11"/>
      <c r="L29" s="14"/>
      <c r="M29" s="11"/>
      <c r="N29" s="11"/>
      <c r="O29" s="14"/>
      <c r="P29" s="20"/>
    </row>
    <row r="30" spans="1:16" ht="20.100000000000001" customHeight="1" x14ac:dyDescent="0.35">
      <c r="A30" s="28"/>
      <c r="B30" s="110">
        <v>3</v>
      </c>
      <c r="C30" s="111" t="s">
        <v>60</v>
      </c>
      <c r="D30" s="112">
        <v>685</v>
      </c>
      <c r="E30" s="112">
        <v>445</v>
      </c>
      <c r="F30" s="111" t="s">
        <v>141</v>
      </c>
      <c r="G30" s="113">
        <v>27847</v>
      </c>
      <c r="H30" s="114">
        <f t="shared" si="1"/>
        <v>83541</v>
      </c>
      <c r="I30" s="1"/>
      <c r="K30" s="11"/>
      <c r="L30" s="14"/>
      <c r="M30" s="11"/>
      <c r="N30" s="11"/>
      <c r="O30" s="14"/>
      <c r="P30" s="20"/>
    </row>
    <row r="31" spans="1:16" ht="20.100000000000001" customHeight="1" x14ac:dyDescent="0.35">
      <c r="A31" s="28"/>
      <c r="B31" s="132">
        <v>1</v>
      </c>
      <c r="C31" s="111" t="s">
        <v>143</v>
      </c>
      <c r="D31" s="112">
        <v>650</v>
      </c>
      <c r="E31" s="112">
        <v>445</v>
      </c>
      <c r="F31" s="111" t="s">
        <v>141</v>
      </c>
      <c r="G31" s="113">
        <v>35537</v>
      </c>
      <c r="H31" s="114">
        <f t="shared" si="1"/>
        <v>35537</v>
      </c>
      <c r="I31" s="1"/>
      <c r="K31" s="11"/>
      <c r="L31" s="14"/>
      <c r="M31" s="11"/>
      <c r="N31" s="11"/>
      <c r="O31" s="14"/>
      <c r="P31" s="20"/>
    </row>
    <row r="32" spans="1:16" ht="20.100000000000001" customHeight="1" x14ac:dyDescent="0.35">
      <c r="A32" s="28"/>
      <c r="B32" s="110">
        <v>2</v>
      </c>
      <c r="C32" s="111" t="s">
        <v>60</v>
      </c>
      <c r="D32" s="112">
        <v>685</v>
      </c>
      <c r="E32" s="112">
        <v>470</v>
      </c>
      <c r="F32" s="111" t="s">
        <v>141</v>
      </c>
      <c r="G32" s="113">
        <v>29243</v>
      </c>
      <c r="H32" s="114">
        <f t="shared" si="1"/>
        <v>58486</v>
      </c>
      <c r="I32" s="1"/>
      <c r="K32" s="11"/>
      <c r="L32" s="14"/>
      <c r="M32" s="11"/>
      <c r="N32" s="11"/>
      <c r="O32" s="14"/>
      <c r="P32" s="20"/>
    </row>
    <row r="33" spans="1:16" ht="20.100000000000001" customHeight="1" x14ac:dyDescent="0.35">
      <c r="A33" s="28"/>
      <c r="B33" s="110">
        <v>1</v>
      </c>
      <c r="C33" s="111" t="s">
        <v>60</v>
      </c>
      <c r="D33" s="112">
        <v>685</v>
      </c>
      <c r="E33" s="112">
        <v>545</v>
      </c>
      <c r="F33" s="111" t="s">
        <v>141</v>
      </c>
      <c r="G33" s="113">
        <v>33431</v>
      </c>
      <c r="H33" s="114">
        <f t="shared" si="1"/>
        <v>33431</v>
      </c>
      <c r="I33" s="1"/>
      <c r="K33" s="11"/>
      <c r="L33" s="14"/>
      <c r="M33" s="11"/>
      <c r="N33" s="11"/>
      <c r="O33" s="14"/>
      <c r="P33" s="20"/>
    </row>
    <row r="34" spans="1:16" ht="20.100000000000001" customHeight="1" x14ac:dyDescent="0.35">
      <c r="A34" s="28"/>
      <c r="B34" s="110">
        <v>2</v>
      </c>
      <c r="C34" s="111" t="s">
        <v>60</v>
      </c>
      <c r="D34" s="112">
        <v>750</v>
      </c>
      <c r="E34" s="112">
        <v>423</v>
      </c>
      <c r="F34" s="111" t="s">
        <v>141</v>
      </c>
      <c r="G34" s="113">
        <v>28707</v>
      </c>
      <c r="H34" s="114">
        <f t="shared" si="1"/>
        <v>57414</v>
      </c>
      <c r="I34" s="1"/>
      <c r="K34" s="11"/>
      <c r="L34" s="14"/>
      <c r="M34" s="11"/>
      <c r="N34" s="11"/>
      <c r="O34" s="14"/>
      <c r="P34" s="20"/>
    </row>
    <row r="35" spans="1:16" ht="20.100000000000001" customHeight="1" x14ac:dyDescent="0.35">
      <c r="A35" s="28"/>
      <c r="B35" s="110">
        <v>1</v>
      </c>
      <c r="C35" s="111" t="s">
        <v>60</v>
      </c>
      <c r="D35" s="112">
        <v>750</v>
      </c>
      <c r="E35" s="112">
        <v>425</v>
      </c>
      <c r="F35" s="111" t="s">
        <v>141</v>
      </c>
      <c r="G35" s="113">
        <v>28829</v>
      </c>
      <c r="H35" s="114">
        <f t="shared" si="1"/>
        <v>28829</v>
      </c>
      <c r="I35" s="1"/>
      <c r="K35" s="11"/>
      <c r="L35" s="14"/>
      <c r="M35" s="11"/>
      <c r="N35" s="11"/>
      <c r="O35" s="14"/>
      <c r="P35" s="20"/>
    </row>
    <row r="36" spans="1:16" ht="20.100000000000001" customHeight="1" x14ac:dyDescent="0.35">
      <c r="A36" s="28"/>
      <c r="B36" s="110">
        <v>2</v>
      </c>
      <c r="C36" s="111" t="s">
        <v>60</v>
      </c>
      <c r="D36" s="112">
        <v>750</v>
      </c>
      <c r="E36" s="112">
        <v>432</v>
      </c>
      <c r="F36" s="111" t="s">
        <v>141</v>
      </c>
      <c r="G36" s="113">
        <v>29254</v>
      </c>
      <c r="H36" s="114">
        <f t="shared" si="1"/>
        <v>58508</v>
      </c>
      <c r="I36" s="1"/>
      <c r="K36" s="11"/>
      <c r="L36" s="14"/>
      <c r="M36" s="11"/>
      <c r="N36" s="11"/>
      <c r="O36" s="14"/>
      <c r="P36" s="20"/>
    </row>
    <row r="37" spans="1:16" ht="20.100000000000001" customHeight="1" x14ac:dyDescent="0.35">
      <c r="A37" s="28"/>
      <c r="B37" s="110">
        <v>1</v>
      </c>
      <c r="C37" s="111" t="s">
        <v>60</v>
      </c>
      <c r="D37" s="112">
        <v>750</v>
      </c>
      <c r="E37" s="112">
        <v>430</v>
      </c>
      <c r="F37" s="111" t="s">
        <v>141</v>
      </c>
      <c r="G37" s="113">
        <v>29133</v>
      </c>
      <c r="H37" s="114">
        <f t="shared" si="1"/>
        <v>29133</v>
      </c>
      <c r="I37" s="1"/>
      <c r="K37" s="11"/>
      <c r="L37" s="14"/>
      <c r="M37" s="11"/>
      <c r="N37" s="11"/>
      <c r="O37" s="14"/>
      <c r="P37" s="20"/>
    </row>
    <row r="38" spans="1:16" ht="20.100000000000001" customHeight="1" x14ac:dyDescent="0.35">
      <c r="A38" s="28"/>
      <c r="B38" s="110">
        <v>1</v>
      </c>
      <c r="C38" s="111" t="s">
        <v>60</v>
      </c>
      <c r="D38" s="112">
        <v>325</v>
      </c>
      <c r="E38" s="112">
        <v>600</v>
      </c>
      <c r="F38" s="111" t="s">
        <v>141</v>
      </c>
      <c r="G38" s="113">
        <v>20093</v>
      </c>
      <c r="H38" s="114">
        <f t="shared" si="1"/>
        <v>20093</v>
      </c>
      <c r="I38" s="1"/>
      <c r="K38" s="11"/>
      <c r="L38" s="14"/>
      <c r="M38" s="11"/>
      <c r="N38" s="11"/>
      <c r="O38" s="14"/>
      <c r="P38" s="20"/>
    </row>
    <row r="39" spans="1:16" ht="20.100000000000001" customHeight="1" x14ac:dyDescent="0.35">
      <c r="A39" s="28"/>
      <c r="B39" s="110">
        <v>2</v>
      </c>
      <c r="C39" s="111" t="s">
        <v>60</v>
      </c>
      <c r="D39" s="112">
        <v>520</v>
      </c>
      <c r="E39" s="112">
        <v>298</v>
      </c>
      <c r="F39" s="111" t="s">
        <v>141</v>
      </c>
      <c r="G39" s="113">
        <v>15904</v>
      </c>
      <c r="H39" s="114">
        <f t="shared" si="1"/>
        <v>31808</v>
      </c>
      <c r="I39" s="1"/>
      <c r="K39" s="11"/>
      <c r="L39" s="14"/>
      <c r="M39" s="11"/>
      <c r="N39" s="11"/>
      <c r="O39" s="14"/>
      <c r="P39" s="20"/>
    </row>
    <row r="40" spans="1:16" ht="20.100000000000001" customHeight="1" x14ac:dyDescent="0.35">
      <c r="A40" s="28"/>
      <c r="B40" s="110">
        <v>2</v>
      </c>
      <c r="C40" s="111" t="s">
        <v>60</v>
      </c>
      <c r="D40" s="112">
        <v>1205</v>
      </c>
      <c r="E40" s="112">
        <v>298</v>
      </c>
      <c r="F40" s="111" t="s">
        <v>141</v>
      </c>
      <c r="G40" s="113">
        <v>31411</v>
      </c>
      <c r="H40" s="114">
        <f t="shared" si="1"/>
        <v>62822</v>
      </c>
      <c r="I40" s="1"/>
      <c r="K40" s="11"/>
      <c r="L40" s="14"/>
      <c r="M40" s="11"/>
      <c r="N40" s="11"/>
      <c r="O40" s="14"/>
      <c r="P40" s="20"/>
    </row>
    <row r="41" spans="1:16" ht="18" customHeight="1" x14ac:dyDescent="0.35">
      <c r="A41" s="28"/>
      <c r="B41" s="37"/>
      <c r="C41" s="37"/>
      <c r="D41" s="38"/>
      <c r="E41" s="38"/>
      <c r="F41" s="37"/>
      <c r="G41" s="39"/>
      <c r="H41" s="39"/>
      <c r="I41" s="1"/>
      <c r="K41" s="11"/>
      <c r="L41" s="14"/>
      <c r="M41" s="11"/>
      <c r="N41" s="11"/>
      <c r="O41" s="14"/>
      <c r="P41" s="20"/>
    </row>
    <row r="42" spans="1:16" ht="8.25" customHeight="1" thickBot="1" x14ac:dyDescent="0.4">
      <c r="A42" s="28"/>
      <c r="B42" s="40"/>
      <c r="C42" s="40"/>
      <c r="D42" s="40"/>
      <c r="E42" s="40"/>
      <c r="F42" s="40"/>
      <c r="G42" s="41"/>
      <c r="H42" s="41"/>
      <c r="I42" s="1"/>
    </row>
    <row r="43" spans="1:16" ht="18" x14ac:dyDescent="0.35">
      <c r="A43" s="28"/>
      <c r="B43" s="28"/>
      <c r="C43" s="28"/>
      <c r="D43" s="28"/>
      <c r="E43" s="28"/>
      <c r="F43" s="28"/>
      <c r="G43" s="42" t="s">
        <v>5</v>
      </c>
      <c r="H43" s="43">
        <f>SUM(H21:H42)</f>
        <v>743180</v>
      </c>
      <c r="I43" s="1"/>
    </row>
    <row r="44" spans="1:16" ht="18" x14ac:dyDescent="0.35">
      <c r="A44" s="28"/>
      <c r="B44" s="28"/>
      <c r="C44" s="28"/>
      <c r="D44" s="28"/>
      <c r="E44" s="28"/>
      <c r="F44" s="28"/>
      <c r="G44" s="44" t="s">
        <v>6</v>
      </c>
      <c r="H44" s="45"/>
      <c r="I44" s="1"/>
    </row>
    <row r="45" spans="1:16" ht="18.600000000000001" thickBot="1" x14ac:dyDescent="0.4">
      <c r="A45" s="28"/>
      <c r="B45" s="28"/>
      <c r="C45" s="28"/>
      <c r="D45" s="28"/>
      <c r="E45" s="28"/>
      <c r="F45" s="28"/>
      <c r="G45" s="46" t="s">
        <v>4</v>
      </c>
      <c r="H45" s="47">
        <f>H43+H44</f>
        <v>743180</v>
      </c>
      <c r="I45" s="1"/>
    </row>
    <row r="46" spans="1:16" ht="18" x14ac:dyDescent="0.35">
      <c r="A46" s="28"/>
      <c r="B46" s="28"/>
      <c r="C46" s="28"/>
      <c r="D46" s="28"/>
      <c r="E46" s="28"/>
      <c r="F46" s="28"/>
      <c r="G46" s="29"/>
      <c r="H46" s="48"/>
      <c r="I46" s="1"/>
    </row>
    <row r="47" spans="1:16" ht="18" x14ac:dyDescent="0.35">
      <c r="A47" s="28"/>
      <c r="B47" s="28"/>
      <c r="C47" s="28"/>
      <c r="D47" s="28"/>
      <c r="E47" s="28"/>
      <c r="F47" s="28"/>
      <c r="G47" s="28"/>
      <c r="H47" s="28"/>
      <c r="I47" s="1"/>
    </row>
    <row r="48" spans="1:16" ht="18" x14ac:dyDescent="0.35">
      <c r="A48" s="28"/>
      <c r="B48" s="49" t="s">
        <v>134</v>
      </c>
      <c r="C48" s="50"/>
      <c r="D48" s="51"/>
      <c r="E48" s="51"/>
      <c r="F48" s="40"/>
      <c r="G48" s="28"/>
      <c r="H48" s="28"/>
      <c r="I48" s="1"/>
    </row>
    <row r="49" spans="1:9" ht="18" x14ac:dyDescent="0.35">
      <c r="A49" s="28"/>
      <c r="B49" s="49" t="s">
        <v>119</v>
      </c>
      <c r="C49" s="50"/>
      <c r="D49" s="51"/>
      <c r="E49" s="51"/>
      <c r="F49" s="40"/>
      <c r="G49" s="28"/>
      <c r="H49" s="28"/>
      <c r="I49" s="1"/>
    </row>
    <row r="50" spans="1:9" ht="18" x14ac:dyDescent="0.35">
      <c r="A50" s="28"/>
      <c r="B50" s="28" t="s">
        <v>24</v>
      </c>
      <c r="C50" s="28"/>
      <c r="D50" s="28"/>
      <c r="E50" s="52" t="s">
        <v>25</v>
      </c>
      <c r="F50" s="28"/>
      <c r="G50" s="28"/>
      <c r="H50" s="28"/>
      <c r="I50" s="1"/>
    </row>
    <row r="51" spans="1:9" ht="18" x14ac:dyDescent="0.35">
      <c r="A51" s="28"/>
      <c r="B51" s="28"/>
      <c r="C51" s="28"/>
      <c r="D51" s="28"/>
      <c r="E51" s="52"/>
      <c r="F51" s="28"/>
      <c r="G51" s="28"/>
      <c r="H51" s="28"/>
      <c r="I51" s="1"/>
    </row>
    <row r="52" spans="1:9" ht="18" x14ac:dyDescent="0.35">
      <c r="A52" s="28"/>
      <c r="B52" s="30" t="s">
        <v>130</v>
      </c>
      <c r="C52" s="30"/>
      <c r="D52" s="30"/>
      <c r="E52" s="53"/>
      <c r="F52" s="28"/>
      <c r="G52" s="28"/>
      <c r="H52" s="28"/>
      <c r="I52" s="1"/>
    </row>
    <row r="53" spans="1:9" ht="18" x14ac:dyDescent="0.35">
      <c r="A53" s="28"/>
      <c r="B53" s="30"/>
      <c r="C53" s="30"/>
      <c r="D53" s="30"/>
      <c r="E53" s="53"/>
      <c r="F53" s="28"/>
      <c r="G53" s="28"/>
      <c r="H53" s="28"/>
      <c r="I53" s="1"/>
    </row>
    <row r="54" spans="1:9" ht="18" x14ac:dyDescent="0.35">
      <c r="A54" s="28"/>
      <c r="B54" s="30" t="s">
        <v>131</v>
      </c>
      <c r="C54" s="28"/>
      <c r="D54" s="28"/>
      <c r="E54" s="52"/>
      <c r="F54" s="28"/>
      <c r="G54" s="28"/>
      <c r="H54" s="28"/>
      <c r="I54" s="1"/>
    </row>
    <row r="55" spans="1:9" ht="15.6" x14ac:dyDescent="0.3">
      <c r="A55" s="1"/>
      <c r="B55" s="1"/>
      <c r="C55" s="1"/>
      <c r="D55" s="1"/>
      <c r="E55" s="22"/>
      <c r="F55" s="1"/>
      <c r="G55" s="1"/>
      <c r="H55" s="1"/>
      <c r="I55" s="1"/>
    </row>
    <row r="56" spans="1:9" ht="15.6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ht="15.6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ht="15.6" x14ac:dyDescent="0.3">
      <c r="C58" s="1"/>
    </row>
  </sheetData>
  <sortState xmlns:xlrd2="http://schemas.microsoft.com/office/spreadsheetml/2017/richdata2" ref="B59">
    <sortCondition sortBy="fontColor" ref="B59" dxfId="0"/>
  </sortState>
  <mergeCells count="3">
    <mergeCell ref="F16:H16"/>
    <mergeCell ref="B19:H19"/>
    <mergeCell ref="F17:H17"/>
  </mergeCells>
  <phoneticPr fontId="8" type="noConversion"/>
  <hyperlinks>
    <hyperlink ref="E5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0" t="s">
        <v>29</v>
      </c>
      <c r="C2" s="140"/>
      <c r="D2" s="140"/>
      <c r="E2" s="12"/>
      <c r="G2" s="140" t="s">
        <v>68</v>
      </c>
      <c r="H2" s="140"/>
      <c r="I2" s="140"/>
      <c r="P2" s="141" t="s">
        <v>56</v>
      </c>
      <c r="Q2" s="141"/>
      <c r="R2" s="141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41" t="s">
        <v>56</v>
      </c>
      <c r="M8" s="141"/>
      <c r="N8" s="141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6"/>
  <sheetViews>
    <sheetView tabSelected="1" topLeftCell="B51" zoomScaleNormal="100" workbookViewId="0">
      <selection activeCell="B61" sqref="B61:F90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42" t="s">
        <v>59</v>
      </c>
      <c r="L3" s="142"/>
      <c r="M3" s="142" t="s">
        <v>14</v>
      </c>
      <c r="N3" s="142"/>
    </row>
    <row r="4" spans="1:14" ht="15.75" customHeight="1" x14ac:dyDescent="0.4">
      <c r="A4" s="74"/>
      <c r="B4" s="74"/>
      <c r="C4" s="75" t="s">
        <v>26</v>
      </c>
      <c r="D4" s="76">
        <f>'4637'!G8</f>
        <v>4070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4">
      <c r="A5" s="74"/>
      <c r="B5" s="74"/>
      <c r="C5" s="77" t="s">
        <v>65</v>
      </c>
      <c r="D5" s="92" t="str">
        <f>'4637'!C10</f>
        <v>VICTOR RIVERO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3" t="str">
        <f>'4637'!F11</f>
        <v>FECHA LIMITE :</v>
      </c>
      <c r="D7" s="83"/>
      <c r="E7" s="74"/>
      <c r="F7" s="74" t="s">
        <v>144</v>
      </c>
      <c r="G7" s="28"/>
    </row>
    <row r="8" spans="1:14" ht="21" x14ac:dyDescent="0.4">
      <c r="A8" s="74"/>
      <c r="B8" s="74"/>
      <c r="C8" s="94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43" t="s">
        <v>59</v>
      </c>
      <c r="B10" s="143"/>
      <c r="C10" s="143"/>
      <c r="D10" s="143"/>
      <c r="E10" s="143"/>
      <c r="F10" s="143"/>
      <c r="G10" s="28"/>
    </row>
    <row r="11" spans="1:14" ht="21" x14ac:dyDescent="0.4">
      <c r="A11" s="74"/>
      <c r="B11" s="74"/>
      <c r="C11" s="95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6" t="s">
        <v>10</v>
      </c>
      <c r="C13" s="97" t="s">
        <v>11</v>
      </c>
      <c r="D13" s="98">
        <v>50</v>
      </c>
      <c r="E13" s="98">
        <v>-2</v>
      </c>
      <c r="F13" s="99" t="s">
        <v>107</v>
      </c>
      <c r="G13" s="28"/>
      <c r="J13" s="5" t="s">
        <v>7</v>
      </c>
      <c r="K13" s="5" t="s">
        <v>8</v>
      </c>
    </row>
    <row r="14" spans="1:14" ht="21" x14ac:dyDescent="0.4">
      <c r="A14" s="88" t="s">
        <v>136</v>
      </c>
      <c r="B14" s="100">
        <f t="shared" ref="B14" si="0">I14</f>
        <v>1</v>
      </c>
      <c r="C14" s="101"/>
      <c r="D14" s="102">
        <f>J14+D$13</f>
        <v>390</v>
      </c>
      <c r="E14" s="102">
        <f>K14+E$13</f>
        <v>543</v>
      </c>
      <c r="F14" s="103" t="str">
        <f t="shared" ref="F14" si="1">C65</f>
        <v>PR2</v>
      </c>
      <c r="G14" s="28"/>
      <c r="I14" s="3">
        <f>B65</f>
        <v>1</v>
      </c>
      <c r="J14" s="4">
        <f>D65</f>
        <v>340</v>
      </c>
      <c r="K14" s="4">
        <f>E65</f>
        <v>545</v>
      </c>
    </row>
    <row r="15" spans="1:14" ht="21" x14ac:dyDescent="0.4">
      <c r="A15" s="88"/>
      <c r="B15" s="100">
        <f t="shared" ref="B15:B17" si="2">I15</f>
        <v>2</v>
      </c>
      <c r="C15" s="101"/>
      <c r="D15" s="102">
        <f t="shared" ref="D15:D17" si="3">J15+D$13</f>
        <v>745</v>
      </c>
      <c r="E15" s="102">
        <f t="shared" ref="E15:E17" si="4">K15+E$13</f>
        <v>268</v>
      </c>
      <c r="F15" s="103" t="str">
        <f t="shared" ref="F15:F17" si="5">C66</f>
        <v>PR2</v>
      </c>
      <c r="G15" s="28"/>
      <c r="I15" s="3">
        <f t="shared" ref="I15:I17" si="6">B66</f>
        <v>2</v>
      </c>
      <c r="J15" s="4">
        <f t="shared" ref="J15:K15" si="7">D66</f>
        <v>695</v>
      </c>
      <c r="K15" s="4">
        <f t="shared" si="7"/>
        <v>270</v>
      </c>
    </row>
    <row r="16" spans="1:14" ht="21" x14ac:dyDescent="0.4">
      <c r="A16" s="88"/>
      <c r="B16" s="100">
        <f t="shared" si="2"/>
        <v>2</v>
      </c>
      <c r="C16" s="101"/>
      <c r="D16" s="102">
        <f t="shared" si="3"/>
        <v>745</v>
      </c>
      <c r="E16" s="102">
        <f t="shared" si="4"/>
        <v>343</v>
      </c>
      <c r="F16" s="103" t="str">
        <f t="shared" si="5"/>
        <v>PR2</v>
      </c>
      <c r="G16" s="28"/>
      <c r="I16" s="3">
        <f t="shared" si="6"/>
        <v>2</v>
      </c>
      <c r="J16" s="4">
        <f t="shared" ref="J16:K16" si="8">D67</f>
        <v>695</v>
      </c>
      <c r="K16" s="4">
        <f t="shared" si="8"/>
        <v>345</v>
      </c>
    </row>
    <row r="17" spans="1:11" ht="21.6" thickBot="1" x14ac:dyDescent="0.45">
      <c r="A17" s="88"/>
      <c r="B17" s="119">
        <f t="shared" si="2"/>
        <v>1</v>
      </c>
      <c r="C17" s="120"/>
      <c r="D17" s="121">
        <f t="shared" si="3"/>
        <v>745</v>
      </c>
      <c r="E17" s="121">
        <f t="shared" si="4"/>
        <v>342</v>
      </c>
      <c r="F17" s="122" t="str">
        <f t="shared" si="5"/>
        <v>PR2</v>
      </c>
      <c r="G17" s="28"/>
      <c r="I17" s="3">
        <f t="shared" si="6"/>
        <v>1</v>
      </c>
      <c r="J17" s="4">
        <f t="shared" ref="J17:K17" si="9">D68</f>
        <v>695</v>
      </c>
      <c r="K17" s="4">
        <f t="shared" si="9"/>
        <v>344</v>
      </c>
    </row>
    <row r="18" spans="1:11" ht="21.6" thickBot="1" x14ac:dyDescent="0.45">
      <c r="A18" s="88"/>
      <c r="B18" s="119">
        <f t="shared" ref="B18:B28" si="10">I18</f>
        <v>2</v>
      </c>
      <c r="C18" s="120"/>
      <c r="D18" s="121">
        <f t="shared" ref="D18:D28" si="11">J18+D$13</f>
        <v>505</v>
      </c>
      <c r="E18" s="121">
        <f t="shared" ref="E18:E28" si="12">K18+E$13</f>
        <v>296</v>
      </c>
      <c r="F18" s="122" t="str">
        <f t="shared" ref="F18:F28" si="13">C69</f>
        <v>PR2</v>
      </c>
      <c r="G18" s="28"/>
      <c r="I18" s="3">
        <f t="shared" ref="I18:I28" si="14">B69</f>
        <v>2</v>
      </c>
      <c r="J18" s="4">
        <f t="shared" ref="J18:J28" si="15">D69</f>
        <v>455</v>
      </c>
      <c r="K18" s="4">
        <f t="shared" ref="K18:K28" si="16">E69</f>
        <v>298</v>
      </c>
    </row>
    <row r="19" spans="1:11" ht="21.6" thickBot="1" x14ac:dyDescent="0.45">
      <c r="A19" s="88"/>
      <c r="B19" s="119">
        <f t="shared" si="10"/>
        <v>1</v>
      </c>
      <c r="C19" s="120"/>
      <c r="D19" s="121">
        <f t="shared" si="11"/>
        <v>390</v>
      </c>
      <c r="E19" s="121">
        <f t="shared" si="12"/>
        <v>543</v>
      </c>
      <c r="F19" s="122" t="str">
        <f t="shared" si="13"/>
        <v>PR2</v>
      </c>
      <c r="G19" s="28"/>
      <c r="I19" s="3">
        <f t="shared" si="14"/>
        <v>1</v>
      </c>
      <c r="J19" s="4">
        <f t="shared" si="15"/>
        <v>340</v>
      </c>
      <c r="K19" s="4">
        <f t="shared" si="16"/>
        <v>545</v>
      </c>
    </row>
    <row r="20" spans="1:11" ht="21.6" thickBot="1" x14ac:dyDescent="0.45">
      <c r="A20" s="88"/>
      <c r="B20" s="119">
        <f t="shared" si="10"/>
        <v>2</v>
      </c>
      <c r="C20" s="120"/>
      <c r="D20" s="121">
        <f t="shared" si="11"/>
        <v>575</v>
      </c>
      <c r="E20" s="121">
        <f t="shared" si="12"/>
        <v>296</v>
      </c>
      <c r="F20" s="122" t="str">
        <f t="shared" si="13"/>
        <v>PR2</v>
      </c>
      <c r="G20" s="28"/>
      <c r="I20" s="3">
        <f t="shared" si="14"/>
        <v>2</v>
      </c>
      <c r="J20" s="4">
        <f t="shared" si="15"/>
        <v>525</v>
      </c>
      <c r="K20" s="4">
        <f t="shared" si="16"/>
        <v>298</v>
      </c>
    </row>
    <row r="21" spans="1:11" ht="21.6" thickBot="1" x14ac:dyDescent="0.45">
      <c r="A21" s="88"/>
      <c r="B21" s="119">
        <f t="shared" si="10"/>
        <v>1</v>
      </c>
      <c r="C21" s="120"/>
      <c r="D21" s="121">
        <f t="shared" si="11"/>
        <v>670</v>
      </c>
      <c r="E21" s="121">
        <f t="shared" si="12"/>
        <v>443</v>
      </c>
      <c r="F21" s="122" t="str">
        <f t="shared" si="13"/>
        <v>PR2 / 2 DE 188 + 1 DE 182</v>
      </c>
      <c r="G21" s="28"/>
      <c r="I21" s="3">
        <f t="shared" si="14"/>
        <v>1</v>
      </c>
      <c r="J21" s="4">
        <f t="shared" si="15"/>
        <v>620</v>
      </c>
      <c r="K21" s="4">
        <f t="shared" si="16"/>
        <v>445</v>
      </c>
    </row>
    <row r="22" spans="1:11" ht="21.6" thickBot="1" x14ac:dyDescent="0.45">
      <c r="A22" s="88"/>
      <c r="B22" s="119">
        <f t="shared" si="10"/>
        <v>1</v>
      </c>
      <c r="C22" s="120"/>
      <c r="D22" s="121">
        <f t="shared" si="11"/>
        <v>660</v>
      </c>
      <c r="E22" s="121">
        <f t="shared" si="12"/>
        <v>144</v>
      </c>
      <c r="F22" s="122" t="str">
        <f t="shared" si="13"/>
        <v>PR2</v>
      </c>
      <c r="G22" s="28"/>
      <c r="I22" s="3">
        <f t="shared" si="14"/>
        <v>1</v>
      </c>
      <c r="J22" s="4">
        <f t="shared" si="15"/>
        <v>610</v>
      </c>
      <c r="K22" s="4">
        <f t="shared" si="16"/>
        <v>146</v>
      </c>
    </row>
    <row r="23" spans="1:11" ht="21.6" thickBot="1" x14ac:dyDescent="0.45">
      <c r="A23" s="88"/>
      <c r="B23" s="119">
        <f t="shared" si="10"/>
        <v>3</v>
      </c>
      <c r="C23" s="120"/>
      <c r="D23" s="121">
        <f t="shared" si="11"/>
        <v>735</v>
      </c>
      <c r="E23" s="121">
        <f t="shared" si="12"/>
        <v>443</v>
      </c>
      <c r="F23" s="122" t="str">
        <f t="shared" si="13"/>
        <v>PR2</v>
      </c>
      <c r="G23" s="28"/>
      <c r="I23" s="3">
        <f t="shared" si="14"/>
        <v>3</v>
      </c>
      <c r="J23" s="4">
        <f t="shared" si="15"/>
        <v>685</v>
      </c>
      <c r="K23" s="4">
        <f t="shared" si="16"/>
        <v>445</v>
      </c>
    </row>
    <row r="24" spans="1:11" ht="21.6" thickBot="1" x14ac:dyDescent="0.45">
      <c r="A24" s="88"/>
      <c r="B24" s="119">
        <f t="shared" si="10"/>
        <v>1</v>
      </c>
      <c r="C24" s="120"/>
      <c r="D24" s="121">
        <f t="shared" si="11"/>
        <v>700</v>
      </c>
      <c r="E24" s="121">
        <f t="shared" si="12"/>
        <v>443</v>
      </c>
      <c r="F24" s="122" t="str">
        <f t="shared" si="13"/>
        <v>PR2 / 2 DE 165 + 1 DE 305</v>
      </c>
      <c r="G24" s="28"/>
      <c r="I24" s="3">
        <f t="shared" si="14"/>
        <v>1</v>
      </c>
      <c r="J24" s="4">
        <f t="shared" si="15"/>
        <v>650</v>
      </c>
      <c r="K24" s="4">
        <f t="shared" si="16"/>
        <v>445</v>
      </c>
    </row>
    <row r="25" spans="1:11" ht="21.6" thickBot="1" x14ac:dyDescent="0.45">
      <c r="A25" s="88"/>
      <c r="B25" s="119">
        <f t="shared" si="10"/>
        <v>2</v>
      </c>
      <c r="C25" s="120"/>
      <c r="D25" s="121">
        <f t="shared" si="11"/>
        <v>735</v>
      </c>
      <c r="E25" s="121">
        <f t="shared" si="12"/>
        <v>468</v>
      </c>
      <c r="F25" s="122" t="str">
        <f t="shared" si="13"/>
        <v>PR2</v>
      </c>
      <c r="G25" s="28"/>
      <c r="I25" s="3">
        <f t="shared" si="14"/>
        <v>2</v>
      </c>
      <c r="J25" s="4">
        <f t="shared" si="15"/>
        <v>685</v>
      </c>
      <c r="K25" s="4">
        <f t="shared" si="16"/>
        <v>470</v>
      </c>
    </row>
    <row r="26" spans="1:11" ht="21.6" thickBot="1" x14ac:dyDescent="0.45">
      <c r="A26" s="88"/>
      <c r="B26" s="119">
        <f t="shared" si="10"/>
        <v>1</v>
      </c>
      <c r="C26" s="120"/>
      <c r="D26" s="121">
        <f t="shared" si="11"/>
        <v>735</v>
      </c>
      <c r="E26" s="121">
        <f t="shared" si="12"/>
        <v>543</v>
      </c>
      <c r="F26" s="122" t="str">
        <f t="shared" si="13"/>
        <v>PR2</v>
      </c>
      <c r="G26" s="28"/>
      <c r="I26" s="3">
        <f t="shared" si="14"/>
        <v>1</v>
      </c>
      <c r="J26" s="4">
        <f t="shared" si="15"/>
        <v>685</v>
      </c>
      <c r="K26" s="4">
        <f t="shared" si="16"/>
        <v>545</v>
      </c>
    </row>
    <row r="27" spans="1:11" ht="21.6" thickBot="1" x14ac:dyDescent="0.45">
      <c r="A27" s="88"/>
      <c r="B27" s="119">
        <f t="shared" si="10"/>
        <v>2</v>
      </c>
      <c r="C27" s="120"/>
      <c r="D27" s="121">
        <f t="shared" si="11"/>
        <v>800</v>
      </c>
      <c r="E27" s="121">
        <f t="shared" si="12"/>
        <v>421</v>
      </c>
      <c r="F27" s="122" t="str">
        <f t="shared" si="13"/>
        <v>PR2</v>
      </c>
      <c r="G27" s="28"/>
      <c r="I27" s="3">
        <f t="shared" si="14"/>
        <v>2</v>
      </c>
      <c r="J27" s="4">
        <f t="shared" si="15"/>
        <v>750</v>
      </c>
      <c r="K27" s="4">
        <f t="shared" si="16"/>
        <v>423</v>
      </c>
    </row>
    <row r="28" spans="1:11" ht="21.6" thickBot="1" x14ac:dyDescent="0.45">
      <c r="A28" s="88"/>
      <c r="B28" s="119">
        <f t="shared" si="10"/>
        <v>1</v>
      </c>
      <c r="C28" s="120"/>
      <c r="D28" s="121">
        <f t="shared" si="11"/>
        <v>800</v>
      </c>
      <c r="E28" s="121">
        <f t="shared" si="12"/>
        <v>423</v>
      </c>
      <c r="F28" s="122" t="str">
        <f t="shared" si="13"/>
        <v>PR2</v>
      </c>
      <c r="G28" s="28"/>
      <c r="I28" s="3">
        <f t="shared" si="14"/>
        <v>1</v>
      </c>
      <c r="J28" s="4">
        <f t="shared" si="15"/>
        <v>750</v>
      </c>
      <c r="K28" s="4">
        <f t="shared" si="16"/>
        <v>425</v>
      </c>
    </row>
    <row r="29" spans="1:11" ht="21.6" thickBot="1" x14ac:dyDescent="0.45">
      <c r="A29" s="88"/>
      <c r="B29" s="119">
        <f t="shared" ref="B29:B33" si="17">I29</f>
        <v>2</v>
      </c>
      <c r="C29" s="120"/>
      <c r="D29" s="121">
        <f t="shared" ref="D29:D33" si="18">J29+D$13</f>
        <v>800</v>
      </c>
      <c r="E29" s="121">
        <f t="shared" ref="E29:E33" si="19">K29+E$13</f>
        <v>430</v>
      </c>
      <c r="F29" s="122" t="str">
        <f t="shared" ref="F29:F33" si="20">C80</f>
        <v>PR2</v>
      </c>
      <c r="G29" s="28"/>
      <c r="I29" s="3">
        <f t="shared" ref="I29:I33" si="21">B80</f>
        <v>2</v>
      </c>
      <c r="J29" s="4">
        <f t="shared" ref="J29:J33" si="22">D80</f>
        <v>750</v>
      </c>
      <c r="K29" s="4">
        <f t="shared" ref="K29:K33" si="23">E80</f>
        <v>432</v>
      </c>
    </row>
    <row r="30" spans="1:11" ht="21.6" thickBot="1" x14ac:dyDescent="0.45">
      <c r="A30" s="88"/>
      <c r="B30" s="119">
        <f t="shared" si="17"/>
        <v>1</v>
      </c>
      <c r="C30" s="120"/>
      <c r="D30" s="121">
        <f t="shared" si="18"/>
        <v>800</v>
      </c>
      <c r="E30" s="121">
        <f t="shared" si="19"/>
        <v>428</v>
      </c>
      <c r="F30" s="122" t="str">
        <f t="shared" si="20"/>
        <v>PR2</v>
      </c>
      <c r="G30" s="28"/>
      <c r="I30" s="3">
        <f t="shared" si="21"/>
        <v>1</v>
      </c>
      <c r="J30" s="4">
        <f t="shared" si="22"/>
        <v>750</v>
      </c>
      <c r="K30" s="4">
        <f t="shared" si="23"/>
        <v>430</v>
      </c>
    </row>
    <row r="31" spans="1:11" ht="21.6" thickBot="1" x14ac:dyDescent="0.45">
      <c r="A31" s="88"/>
      <c r="B31" s="119">
        <f t="shared" si="17"/>
        <v>1</v>
      </c>
      <c r="C31" s="120"/>
      <c r="D31" s="121">
        <f t="shared" si="18"/>
        <v>375</v>
      </c>
      <c r="E31" s="121">
        <f t="shared" si="19"/>
        <v>598</v>
      </c>
      <c r="F31" s="122" t="str">
        <f t="shared" si="20"/>
        <v>PR2</v>
      </c>
      <c r="G31" s="28"/>
      <c r="I31" s="3">
        <f t="shared" si="21"/>
        <v>1</v>
      </c>
      <c r="J31" s="4">
        <f t="shared" si="22"/>
        <v>325</v>
      </c>
      <c r="K31" s="4">
        <f t="shared" si="23"/>
        <v>600</v>
      </c>
    </row>
    <row r="32" spans="1:11" ht="21.6" thickBot="1" x14ac:dyDescent="0.45">
      <c r="A32" s="88"/>
      <c r="B32" s="119">
        <f t="shared" si="17"/>
        <v>2</v>
      </c>
      <c r="C32" s="120"/>
      <c r="D32" s="121">
        <f t="shared" si="18"/>
        <v>570</v>
      </c>
      <c r="E32" s="121">
        <f t="shared" si="19"/>
        <v>296</v>
      </c>
      <c r="F32" s="122" t="str">
        <f t="shared" si="20"/>
        <v>PR2</v>
      </c>
      <c r="G32" s="28"/>
      <c r="I32" s="3">
        <f t="shared" si="21"/>
        <v>2</v>
      </c>
      <c r="J32" s="4">
        <f t="shared" si="22"/>
        <v>520</v>
      </c>
      <c r="K32" s="4">
        <f t="shared" si="23"/>
        <v>298</v>
      </c>
    </row>
    <row r="33" spans="1:11" ht="21.6" thickBot="1" x14ac:dyDescent="0.45">
      <c r="A33" s="88"/>
      <c r="B33" s="119">
        <f t="shared" si="17"/>
        <v>2</v>
      </c>
      <c r="C33" s="120"/>
      <c r="D33" s="121">
        <f t="shared" si="18"/>
        <v>1255</v>
      </c>
      <c r="E33" s="121">
        <f t="shared" si="19"/>
        <v>296</v>
      </c>
      <c r="F33" s="122" t="str">
        <f t="shared" si="20"/>
        <v>PR2</v>
      </c>
      <c r="G33" s="28"/>
      <c r="I33" s="3">
        <f t="shared" si="21"/>
        <v>2</v>
      </c>
      <c r="J33" s="4">
        <f t="shared" si="22"/>
        <v>1205</v>
      </c>
      <c r="K33" s="4">
        <f t="shared" si="23"/>
        <v>298</v>
      </c>
    </row>
    <row r="34" spans="1:11" ht="21" x14ac:dyDescent="0.4">
      <c r="A34" s="88"/>
      <c r="B34" s="151"/>
      <c r="C34" s="154"/>
      <c r="D34" s="151"/>
      <c r="E34" s="151"/>
      <c r="F34" s="151"/>
      <c r="G34" s="28"/>
      <c r="I34" s="155"/>
      <c r="J34" s="156"/>
      <c r="K34" s="156"/>
    </row>
    <row r="35" spans="1:11" ht="6.75" customHeight="1" x14ac:dyDescent="0.4">
      <c r="A35" s="74"/>
      <c r="B35" s="74"/>
      <c r="C35" s="74"/>
      <c r="D35" s="74"/>
      <c r="E35" s="74"/>
      <c r="F35" s="74"/>
      <c r="G35" s="28"/>
    </row>
    <row r="36" spans="1:11" ht="21" x14ac:dyDescent="0.4">
      <c r="A36" s="143" t="s">
        <v>14</v>
      </c>
      <c r="B36" s="143"/>
      <c r="C36" s="143"/>
      <c r="D36" s="143"/>
      <c r="E36" s="143"/>
      <c r="F36" s="143"/>
      <c r="G36" s="28"/>
    </row>
    <row r="37" spans="1:11" ht="10.5" customHeight="1" x14ac:dyDescent="0.4">
      <c r="A37" s="74"/>
      <c r="B37" s="74"/>
      <c r="C37" s="95"/>
      <c r="D37" s="74"/>
      <c r="E37" s="74"/>
      <c r="F37" s="74"/>
      <c r="G37" s="28"/>
    </row>
    <row r="38" spans="1:11" ht="21.6" thickBot="1" x14ac:dyDescent="0.45">
      <c r="A38" s="74"/>
      <c r="B38" s="74"/>
      <c r="C38" s="74"/>
      <c r="D38" s="84" t="s">
        <v>7</v>
      </c>
      <c r="E38" s="84" t="s">
        <v>8</v>
      </c>
      <c r="F38" s="74"/>
      <c r="G38" s="28"/>
    </row>
    <row r="39" spans="1:11" ht="21" x14ac:dyDescent="0.4">
      <c r="A39" s="84" t="s">
        <v>9</v>
      </c>
      <c r="B39" s="123" t="s">
        <v>10</v>
      </c>
      <c r="C39" s="124" t="s">
        <v>11</v>
      </c>
      <c r="D39" s="125">
        <v>40</v>
      </c>
      <c r="E39" s="125">
        <v>90</v>
      </c>
      <c r="F39" s="126" t="s">
        <v>107</v>
      </c>
      <c r="G39" s="28"/>
      <c r="J39" s="5" t="s">
        <v>7</v>
      </c>
      <c r="K39" s="5" t="s">
        <v>8</v>
      </c>
    </row>
    <row r="40" spans="1:11" ht="18.75" customHeight="1" x14ac:dyDescent="0.4">
      <c r="A40" s="88" t="s">
        <v>136</v>
      </c>
      <c r="B40" s="100">
        <f t="shared" ref="B40" si="24">I40</f>
        <v>1</v>
      </c>
      <c r="C40" s="101"/>
      <c r="D40" s="102">
        <f>J40+D$39</f>
        <v>380</v>
      </c>
      <c r="E40" s="102">
        <f t="shared" ref="E40" si="25">K40+E$39</f>
        <v>635</v>
      </c>
      <c r="F40" s="103" t="str">
        <f t="shared" ref="F40" si="26">C65</f>
        <v>PR2</v>
      </c>
      <c r="G40" s="28"/>
      <c r="I40" s="3">
        <f t="shared" ref="I40" si="27">B65</f>
        <v>1</v>
      </c>
      <c r="J40" s="4">
        <f>D65</f>
        <v>340</v>
      </c>
      <c r="K40" s="4">
        <f>E65</f>
        <v>545</v>
      </c>
    </row>
    <row r="41" spans="1:11" ht="18.75" customHeight="1" x14ac:dyDescent="0.4">
      <c r="A41" s="88"/>
      <c r="B41" s="100">
        <f t="shared" ref="B41:B43" si="28">I41</f>
        <v>2</v>
      </c>
      <c r="C41" s="101"/>
      <c r="D41" s="102">
        <f>J41+D$39</f>
        <v>735</v>
      </c>
      <c r="E41" s="102">
        <f>K41+E$39</f>
        <v>360</v>
      </c>
      <c r="F41" s="103" t="str">
        <f>C66</f>
        <v>PR2</v>
      </c>
      <c r="G41" s="28"/>
      <c r="I41" s="3">
        <f t="shared" ref="I41:I43" si="29">B66</f>
        <v>2</v>
      </c>
      <c r="J41" s="4">
        <f t="shared" ref="J41:K41" si="30">D66</f>
        <v>695</v>
      </c>
      <c r="K41" s="4">
        <f t="shared" si="30"/>
        <v>270</v>
      </c>
    </row>
    <row r="42" spans="1:11" ht="18.75" customHeight="1" x14ac:dyDescent="0.4">
      <c r="A42" s="88"/>
      <c r="B42" s="100">
        <f t="shared" si="28"/>
        <v>2</v>
      </c>
      <c r="C42" s="101"/>
      <c r="D42" s="102">
        <f>J42+D$39</f>
        <v>735</v>
      </c>
      <c r="E42" s="102">
        <f>K42+E$39</f>
        <v>435</v>
      </c>
      <c r="F42" s="103" t="str">
        <f>C67</f>
        <v>PR2</v>
      </c>
      <c r="G42" s="28"/>
      <c r="I42" s="3">
        <f t="shared" si="29"/>
        <v>2</v>
      </c>
      <c r="J42" s="4">
        <f t="shared" ref="J42:K42" si="31">D67</f>
        <v>695</v>
      </c>
      <c r="K42" s="4">
        <f t="shared" si="31"/>
        <v>345</v>
      </c>
    </row>
    <row r="43" spans="1:11" ht="18.75" customHeight="1" thickBot="1" x14ac:dyDescent="0.45">
      <c r="A43" s="88"/>
      <c r="B43" s="119">
        <f t="shared" si="28"/>
        <v>1</v>
      </c>
      <c r="C43" s="120"/>
      <c r="D43" s="121">
        <f>J43+D$39</f>
        <v>735</v>
      </c>
      <c r="E43" s="121">
        <f>K43+E$39</f>
        <v>434</v>
      </c>
      <c r="F43" s="122" t="str">
        <f>C68</f>
        <v>PR2</v>
      </c>
      <c r="G43" s="28"/>
      <c r="I43" s="3">
        <f t="shared" si="29"/>
        <v>1</v>
      </c>
      <c r="J43" s="4">
        <f t="shared" ref="J43:K43" si="32">D68</f>
        <v>695</v>
      </c>
      <c r="K43" s="4">
        <f t="shared" si="32"/>
        <v>344</v>
      </c>
    </row>
    <row r="44" spans="1:11" ht="18.75" customHeight="1" thickBot="1" x14ac:dyDescent="0.45">
      <c r="A44" s="88"/>
      <c r="B44" s="119">
        <f t="shared" ref="B44:B58" si="33">I44</f>
        <v>2</v>
      </c>
      <c r="C44" s="120"/>
      <c r="D44" s="121">
        <f t="shared" ref="D44:D58" si="34">J44+D$39</f>
        <v>495</v>
      </c>
      <c r="E44" s="121">
        <f t="shared" ref="E44:E58" si="35">K44+E$39</f>
        <v>388</v>
      </c>
      <c r="F44" s="122" t="str">
        <f t="shared" ref="F44:F58" si="36">C69</f>
        <v>PR2</v>
      </c>
      <c r="G44" s="28"/>
      <c r="I44" s="3">
        <f t="shared" ref="I44:I58" si="37">B69</f>
        <v>2</v>
      </c>
      <c r="J44" s="4">
        <f t="shared" ref="J44:J58" si="38">D69</f>
        <v>455</v>
      </c>
      <c r="K44" s="4">
        <f t="shared" ref="K44:K58" si="39">E69</f>
        <v>298</v>
      </c>
    </row>
    <row r="45" spans="1:11" ht="18.75" customHeight="1" thickBot="1" x14ac:dyDescent="0.45">
      <c r="A45" s="88"/>
      <c r="B45" s="119">
        <f t="shared" si="33"/>
        <v>1</v>
      </c>
      <c r="C45" s="120"/>
      <c r="D45" s="121">
        <f t="shared" si="34"/>
        <v>380</v>
      </c>
      <c r="E45" s="121">
        <f t="shared" si="35"/>
        <v>635</v>
      </c>
      <c r="F45" s="122" t="str">
        <f t="shared" si="36"/>
        <v>PR2</v>
      </c>
      <c r="G45" s="28"/>
      <c r="I45" s="3">
        <f t="shared" si="37"/>
        <v>1</v>
      </c>
      <c r="J45" s="4">
        <f t="shared" si="38"/>
        <v>340</v>
      </c>
      <c r="K45" s="4">
        <f t="shared" si="39"/>
        <v>545</v>
      </c>
    </row>
    <row r="46" spans="1:11" ht="18.75" customHeight="1" thickBot="1" x14ac:dyDescent="0.45">
      <c r="A46" s="88"/>
      <c r="B46" s="119">
        <f t="shared" si="33"/>
        <v>2</v>
      </c>
      <c r="C46" s="120"/>
      <c r="D46" s="121">
        <f t="shared" si="34"/>
        <v>565</v>
      </c>
      <c r="E46" s="121">
        <f t="shared" si="35"/>
        <v>388</v>
      </c>
      <c r="F46" s="122" t="str">
        <f t="shared" si="36"/>
        <v>PR2</v>
      </c>
      <c r="G46" s="28"/>
      <c r="I46" s="3">
        <f t="shared" si="37"/>
        <v>2</v>
      </c>
      <c r="J46" s="4">
        <f t="shared" si="38"/>
        <v>525</v>
      </c>
      <c r="K46" s="4">
        <f t="shared" si="39"/>
        <v>298</v>
      </c>
    </row>
    <row r="47" spans="1:11" ht="18.75" customHeight="1" thickBot="1" x14ac:dyDescent="0.45">
      <c r="A47" s="88"/>
      <c r="B47" s="119">
        <f t="shared" si="33"/>
        <v>1</v>
      </c>
      <c r="C47" s="120"/>
      <c r="D47" s="121">
        <f t="shared" si="34"/>
        <v>660</v>
      </c>
      <c r="E47" s="121">
        <f t="shared" si="35"/>
        <v>535</v>
      </c>
      <c r="F47" s="122" t="str">
        <f t="shared" si="36"/>
        <v>PR2 / 2 DE 188 + 1 DE 182</v>
      </c>
      <c r="G47" s="28"/>
      <c r="I47" s="3">
        <f t="shared" si="37"/>
        <v>1</v>
      </c>
      <c r="J47" s="4">
        <f t="shared" si="38"/>
        <v>620</v>
      </c>
      <c r="K47" s="4">
        <f t="shared" si="39"/>
        <v>445</v>
      </c>
    </row>
    <row r="48" spans="1:11" ht="18.75" customHeight="1" thickBot="1" x14ac:dyDescent="0.45">
      <c r="A48" s="88"/>
      <c r="B48" s="119">
        <f t="shared" si="33"/>
        <v>1</v>
      </c>
      <c r="C48" s="120"/>
      <c r="D48" s="121">
        <f t="shared" si="34"/>
        <v>650</v>
      </c>
      <c r="E48" s="121">
        <f t="shared" si="35"/>
        <v>236</v>
      </c>
      <c r="F48" s="122" t="str">
        <f t="shared" si="36"/>
        <v>PR2</v>
      </c>
      <c r="G48" s="28"/>
      <c r="I48" s="3">
        <f t="shared" si="37"/>
        <v>1</v>
      </c>
      <c r="J48" s="4">
        <f t="shared" si="38"/>
        <v>610</v>
      </c>
      <c r="K48" s="4">
        <f t="shared" si="39"/>
        <v>146</v>
      </c>
    </row>
    <row r="49" spans="1:11" ht="18.75" customHeight="1" thickBot="1" x14ac:dyDescent="0.45">
      <c r="A49" s="88"/>
      <c r="B49" s="119">
        <f t="shared" si="33"/>
        <v>3</v>
      </c>
      <c r="C49" s="120"/>
      <c r="D49" s="121">
        <f t="shared" si="34"/>
        <v>725</v>
      </c>
      <c r="E49" s="121">
        <f t="shared" si="35"/>
        <v>535</v>
      </c>
      <c r="F49" s="122" t="str">
        <f t="shared" si="36"/>
        <v>PR2</v>
      </c>
      <c r="G49" s="28"/>
      <c r="I49" s="3">
        <f t="shared" si="37"/>
        <v>3</v>
      </c>
      <c r="J49" s="4">
        <f t="shared" si="38"/>
        <v>685</v>
      </c>
      <c r="K49" s="4">
        <f t="shared" si="39"/>
        <v>445</v>
      </c>
    </row>
    <row r="50" spans="1:11" ht="18.75" customHeight="1" thickBot="1" x14ac:dyDescent="0.45">
      <c r="A50" s="88"/>
      <c r="B50" s="119">
        <f t="shared" si="33"/>
        <v>1</v>
      </c>
      <c r="C50" s="120"/>
      <c r="D50" s="121">
        <f t="shared" si="34"/>
        <v>690</v>
      </c>
      <c r="E50" s="121">
        <f t="shared" si="35"/>
        <v>535</v>
      </c>
      <c r="F50" s="122" t="str">
        <f t="shared" si="36"/>
        <v>PR2 / 2 DE 165 + 1 DE 305</v>
      </c>
      <c r="G50" s="28"/>
      <c r="I50" s="3">
        <f t="shared" si="37"/>
        <v>1</v>
      </c>
      <c r="J50" s="4">
        <f t="shared" si="38"/>
        <v>650</v>
      </c>
      <c r="K50" s="4">
        <f t="shared" si="39"/>
        <v>445</v>
      </c>
    </row>
    <row r="51" spans="1:11" ht="18.75" customHeight="1" thickBot="1" x14ac:dyDescent="0.45">
      <c r="A51" s="88"/>
      <c r="B51" s="119">
        <f t="shared" si="33"/>
        <v>2</v>
      </c>
      <c r="C51" s="120"/>
      <c r="D51" s="121">
        <f t="shared" si="34"/>
        <v>725</v>
      </c>
      <c r="E51" s="121">
        <f t="shared" si="35"/>
        <v>560</v>
      </c>
      <c r="F51" s="122" t="str">
        <f t="shared" si="36"/>
        <v>PR2</v>
      </c>
      <c r="G51" s="28"/>
      <c r="I51" s="3">
        <f t="shared" si="37"/>
        <v>2</v>
      </c>
      <c r="J51" s="4">
        <f t="shared" si="38"/>
        <v>685</v>
      </c>
      <c r="K51" s="4">
        <f t="shared" si="39"/>
        <v>470</v>
      </c>
    </row>
    <row r="52" spans="1:11" ht="18.75" customHeight="1" thickBot="1" x14ac:dyDescent="0.45">
      <c r="A52" s="88"/>
      <c r="B52" s="119">
        <f t="shared" si="33"/>
        <v>1</v>
      </c>
      <c r="C52" s="120"/>
      <c r="D52" s="121">
        <f t="shared" si="34"/>
        <v>725</v>
      </c>
      <c r="E52" s="121">
        <f t="shared" si="35"/>
        <v>635</v>
      </c>
      <c r="F52" s="122" t="str">
        <f t="shared" si="36"/>
        <v>PR2</v>
      </c>
      <c r="G52" s="28"/>
      <c r="I52" s="3">
        <f t="shared" si="37"/>
        <v>1</v>
      </c>
      <c r="J52" s="4">
        <f t="shared" si="38"/>
        <v>685</v>
      </c>
      <c r="K52" s="4">
        <f t="shared" si="39"/>
        <v>545</v>
      </c>
    </row>
    <row r="53" spans="1:11" ht="18.75" customHeight="1" thickBot="1" x14ac:dyDescent="0.45">
      <c r="A53" s="88"/>
      <c r="B53" s="119">
        <f t="shared" si="33"/>
        <v>2</v>
      </c>
      <c r="C53" s="120"/>
      <c r="D53" s="121">
        <f t="shared" si="34"/>
        <v>790</v>
      </c>
      <c r="E53" s="121">
        <f t="shared" si="35"/>
        <v>513</v>
      </c>
      <c r="F53" s="122" t="str">
        <f t="shared" si="36"/>
        <v>PR2</v>
      </c>
      <c r="G53" s="28"/>
      <c r="I53" s="3">
        <f t="shared" si="37"/>
        <v>2</v>
      </c>
      <c r="J53" s="4">
        <f t="shared" si="38"/>
        <v>750</v>
      </c>
      <c r="K53" s="4">
        <f t="shared" si="39"/>
        <v>423</v>
      </c>
    </row>
    <row r="54" spans="1:11" ht="18.75" customHeight="1" thickBot="1" x14ac:dyDescent="0.45">
      <c r="A54" s="88"/>
      <c r="B54" s="119">
        <f t="shared" si="33"/>
        <v>1</v>
      </c>
      <c r="C54" s="120"/>
      <c r="D54" s="121">
        <f t="shared" si="34"/>
        <v>790</v>
      </c>
      <c r="E54" s="121">
        <f t="shared" si="35"/>
        <v>515</v>
      </c>
      <c r="F54" s="122" t="str">
        <f t="shared" si="36"/>
        <v>PR2</v>
      </c>
      <c r="G54" s="28"/>
      <c r="I54" s="3">
        <f t="shared" si="37"/>
        <v>1</v>
      </c>
      <c r="J54" s="4">
        <f t="shared" si="38"/>
        <v>750</v>
      </c>
      <c r="K54" s="4">
        <f t="shared" si="39"/>
        <v>425</v>
      </c>
    </row>
    <row r="55" spans="1:11" ht="18.75" customHeight="1" thickBot="1" x14ac:dyDescent="0.45">
      <c r="A55" s="88"/>
      <c r="B55" s="119">
        <f t="shared" si="33"/>
        <v>2</v>
      </c>
      <c r="C55" s="120"/>
      <c r="D55" s="121">
        <f t="shared" si="34"/>
        <v>790</v>
      </c>
      <c r="E55" s="121">
        <f t="shared" si="35"/>
        <v>522</v>
      </c>
      <c r="F55" s="122" t="str">
        <f t="shared" si="36"/>
        <v>PR2</v>
      </c>
      <c r="G55" s="28"/>
      <c r="I55" s="3">
        <f t="shared" si="37"/>
        <v>2</v>
      </c>
      <c r="J55" s="4">
        <f t="shared" si="38"/>
        <v>750</v>
      </c>
      <c r="K55" s="4">
        <f t="shared" si="39"/>
        <v>432</v>
      </c>
    </row>
    <row r="56" spans="1:11" ht="18.75" customHeight="1" thickBot="1" x14ac:dyDescent="0.45">
      <c r="A56" s="88"/>
      <c r="B56" s="119">
        <f t="shared" si="33"/>
        <v>1</v>
      </c>
      <c r="C56" s="120"/>
      <c r="D56" s="121">
        <f t="shared" si="34"/>
        <v>790</v>
      </c>
      <c r="E56" s="121">
        <f t="shared" si="35"/>
        <v>520</v>
      </c>
      <c r="F56" s="122" t="str">
        <f t="shared" si="36"/>
        <v>PR2</v>
      </c>
      <c r="G56" s="28"/>
      <c r="I56" s="3">
        <f t="shared" si="37"/>
        <v>1</v>
      </c>
      <c r="J56" s="4">
        <f t="shared" si="38"/>
        <v>750</v>
      </c>
      <c r="K56" s="4">
        <f t="shared" si="39"/>
        <v>430</v>
      </c>
    </row>
    <row r="57" spans="1:11" ht="18.75" customHeight="1" thickBot="1" x14ac:dyDescent="0.45">
      <c r="A57" s="88"/>
      <c r="B57" s="119">
        <f t="shared" si="33"/>
        <v>1</v>
      </c>
      <c r="C57" s="120"/>
      <c r="D57" s="121">
        <f t="shared" si="34"/>
        <v>365</v>
      </c>
      <c r="E57" s="121">
        <f t="shared" si="35"/>
        <v>690</v>
      </c>
      <c r="F57" s="122" t="str">
        <f t="shared" si="36"/>
        <v>PR2</v>
      </c>
      <c r="G57" s="28"/>
      <c r="I57" s="3">
        <f t="shared" si="37"/>
        <v>1</v>
      </c>
      <c r="J57" s="4">
        <f t="shared" si="38"/>
        <v>325</v>
      </c>
      <c r="K57" s="4">
        <f t="shared" si="39"/>
        <v>600</v>
      </c>
    </row>
    <row r="58" spans="1:11" ht="18.75" customHeight="1" thickBot="1" x14ac:dyDescent="0.45">
      <c r="A58" s="88"/>
      <c r="B58" s="119">
        <f t="shared" si="33"/>
        <v>2</v>
      </c>
      <c r="C58" s="120"/>
      <c r="D58" s="121">
        <f t="shared" si="34"/>
        <v>560</v>
      </c>
      <c r="E58" s="121">
        <f t="shared" si="35"/>
        <v>388</v>
      </c>
      <c r="F58" s="122" t="str">
        <f t="shared" si="36"/>
        <v>PR2</v>
      </c>
      <c r="G58" s="28"/>
      <c r="I58" s="3">
        <f t="shared" si="37"/>
        <v>2</v>
      </c>
      <c r="J58" s="4">
        <f t="shared" si="38"/>
        <v>520</v>
      </c>
      <c r="K58" s="4">
        <f t="shared" si="39"/>
        <v>298</v>
      </c>
    </row>
    <row r="59" spans="1:11" ht="18.75" customHeight="1" thickBot="1" x14ac:dyDescent="0.45">
      <c r="A59" s="88"/>
      <c r="B59" s="119">
        <f t="shared" ref="B59" si="40">I59</f>
        <v>2</v>
      </c>
      <c r="C59" s="120"/>
      <c r="D59" s="121">
        <f t="shared" ref="D59" si="41">J59+D$39</f>
        <v>1245</v>
      </c>
      <c r="E59" s="121">
        <f t="shared" ref="E59" si="42">K59+E$39</f>
        <v>388</v>
      </c>
      <c r="F59" s="122" t="str">
        <f t="shared" ref="F59" si="43">C84</f>
        <v>PR2</v>
      </c>
      <c r="G59" s="28"/>
      <c r="I59" s="3">
        <f t="shared" ref="I59" si="44">B84</f>
        <v>2</v>
      </c>
      <c r="J59" s="4">
        <f t="shared" ref="J59" si="45">D84</f>
        <v>1205</v>
      </c>
      <c r="K59" s="4">
        <f t="shared" ref="K59" si="46">E84</f>
        <v>298</v>
      </c>
    </row>
    <row r="60" spans="1:11" ht="18.75" customHeight="1" x14ac:dyDescent="0.4">
      <c r="A60" s="88"/>
      <c r="B60" s="151"/>
      <c r="C60" s="154"/>
      <c r="D60" s="151"/>
      <c r="E60" s="151"/>
      <c r="F60" s="151"/>
      <c r="G60" s="28"/>
      <c r="I60" s="3"/>
      <c r="J60" s="4"/>
      <c r="K60" s="4"/>
    </row>
    <row r="61" spans="1:11" ht="21" x14ac:dyDescent="0.4">
      <c r="A61" s="88"/>
      <c r="B61" s="90"/>
      <c r="C61" s="90"/>
      <c r="D61" s="90"/>
      <c r="E61" s="90"/>
      <c r="F61" s="90"/>
      <c r="G61" s="28"/>
      <c r="I61" s="3"/>
      <c r="J61" s="4"/>
      <c r="K61" s="4"/>
    </row>
    <row r="62" spans="1:11" ht="21" x14ac:dyDescent="0.4">
      <c r="A62" s="84"/>
      <c r="B62" s="95"/>
      <c r="C62" s="95"/>
      <c r="D62" s="95"/>
      <c r="E62" s="95"/>
      <c r="F62" s="95"/>
      <c r="G62" s="28"/>
      <c r="I62" s="2"/>
      <c r="J62" s="2"/>
      <c r="K62" s="2"/>
    </row>
    <row r="63" spans="1:11" ht="10.5" customHeight="1" thickBot="1" x14ac:dyDescent="0.45">
      <c r="A63" s="74"/>
      <c r="B63" s="74"/>
      <c r="C63" s="74"/>
      <c r="D63" s="74"/>
      <c r="E63" s="74"/>
      <c r="F63" s="74"/>
      <c r="G63" s="28"/>
    </row>
    <row r="64" spans="1:11" ht="21" x14ac:dyDescent="0.4">
      <c r="A64" s="84" t="s">
        <v>9</v>
      </c>
      <c r="B64" s="104" t="s">
        <v>10</v>
      </c>
      <c r="C64" s="105" t="s">
        <v>107</v>
      </c>
      <c r="D64" s="105" t="s">
        <v>7</v>
      </c>
      <c r="E64" s="105" t="s">
        <v>8</v>
      </c>
      <c r="F64" s="106" t="s">
        <v>22</v>
      </c>
      <c r="G64" s="28"/>
    </row>
    <row r="65" spans="1:9" ht="21" x14ac:dyDescent="0.4">
      <c r="A65" s="88" t="s">
        <v>136</v>
      </c>
      <c r="B65" s="100">
        <f>'4637'!B21</f>
        <v>1</v>
      </c>
      <c r="C65" s="102" t="str">
        <f>'4637'!C21</f>
        <v>PR2</v>
      </c>
      <c r="D65" s="102">
        <f>'4637'!D21</f>
        <v>340</v>
      </c>
      <c r="E65" s="102">
        <f>'4637'!E21</f>
        <v>545</v>
      </c>
      <c r="F65" s="152" t="str">
        <f>'4637'!F21</f>
        <v>THAI SAMOA TEAK 10845 MT</v>
      </c>
      <c r="G65" s="28"/>
      <c r="H65" s="27">
        <f>D65*E65/1000000</f>
        <v>0.18529999999999999</v>
      </c>
      <c r="I65" s="27">
        <f>H65*B65</f>
        <v>0.18529999999999999</v>
      </c>
    </row>
    <row r="66" spans="1:9" ht="21" x14ac:dyDescent="0.4">
      <c r="A66" s="88"/>
      <c r="B66" s="100">
        <f>'4637'!B22</f>
        <v>2</v>
      </c>
      <c r="C66" s="102" t="str">
        <f>'4637'!C22</f>
        <v>PR2</v>
      </c>
      <c r="D66" s="102">
        <f>'4637'!D22</f>
        <v>695</v>
      </c>
      <c r="E66" s="102">
        <f>'4637'!E22</f>
        <v>270</v>
      </c>
      <c r="F66" s="152" t="str">
        <f>'4637'!F22</f>
        <v>THAI SAMOA TEAK 10845 MT</v>
      </c>
      <c r="G66" s="28"/>
      <c r="H66" s="27"/>
      <c r="I66" s="27"/>
    </row>
    <row r="67" spans="1:9" ht="21" x14ac:dyDescent="0.4">
      <c r="A67" s="88"/>
      <c r="B67" s="100">
        <f>'4637'!B23</f>
        <v>2</v>
      </c>
      <c r="C67" s="102" t="str">
        <f>'4637'!C23</f>
        <v>PR2</v>
      </c>
      <c r="D67" s="102">
        <f>'4637'!D23</f>
        <v>695</v>
      </c>
      <c r="E67" s="102">
        <f>'4637'!E23</f>
        <v>345</v>
      </c>
      <c r="F67" s="152" t="str">
        <f>'4637'!F23</f>
        <v>THAI SAMOA TEAK 10845 MT</v>
      </c>
      <c r="G67" s="28"/>
      <c r="H67" s="27"/>
      <c r="I67" s="27"/>
    </row>
    <row r="68" spans="1:9" ht="21.6" thickBot="1" x14ac:dyDescent="0.45">
      <c r="A68" s="88"/>
      <c r="B68" s="119">
        <f>'4637'!B24</f>
        <v>1</v>
      </c>
      <c r="C68" s="121" t="str">
        <f>'4637'!C24</f>
        <v>PR2</v>
      </c>
      <c r="D68" s="121">
        <f>'4637'!D24</f>
        <v>695</v>
      </c>
      <c r="E68" s="121">
        <f>'4637'!E24</f>
        <v>344</v>
      </c>
      <c r="F68" s="153" t="str">
        <f>'4637'!F24</f>
        <v>THAI SAMOA TEAK 10845 MT</v>
      </c>
      <c r="G68" s="28"/>
      <c r="H68" s="27"/>
      <c r="I68" s="27"/>
    </row>
    <row r="69" spans="1:9" ht="21.6" thickBot="1" x14ac:dyDescent="0.45">
      <c r="A69" s="88"/>
      <c r="B69" s="119">
        <f>'4637'!B25</f>
        <v>2</v>
      </c>
      <c r="C69" s="121" t="str">
        <f>'4637'!C25</f>
        <v>PR2</v>
      </c>
      <c r="D69" s="121">
        <f>'4637'!D25</f>
        <v>455</v>
      </c>
      <c r="E69" s="121">
        <f>'4637'!E25</f>
        <v>298</v>
      </c>
      <c r="F69" s="153" t="str">
        <f>'4637'!F25</f>
        <v>THAI SAMOA TEAK 10845 MT</v>
      </c>
      <c r="G69" s="28"/>
      <c r="H69" s="27"/>
      <c r="I69" s="27"/>
    </row>
    <row r="70" spans="1:9" ht="21.6" thickBot="1" x14ac:dyDescent="0.45">
      <c r="A70" s="88"/>
      <c r="B70" s="119">
        <f>'4637'!B26</f>
        <v>1</v>
      </c>
      <c r="C70" s="121" t="str">
        <f>'4637'!C26</f>
        <v>PR2</v>
      </c>
      <c r="D70" s="121">
        <f>'4637'!D26</f>
        <v>340</v>
      </c>
      <c r="E70" s="121">
        <f>'4637'!E26</f>
        <v>545</v>
      </c>
      <c r="F70" s="153" t="str">
        <f>'4637'!F26</f>
        <v>THAI SAMOA TEAK 10845 MT</v>
      </c>
      <c r="G70" s="28"/>
      <c r="H70" s="27"/>
      <c r="I70" s="27"/>
    </row>
    <row r="71" spans="1:9" ht="21.6" thickBot="1" x14ac:dyDescent="0.45">
      <c r="A71" s="88"/>
      <c r="B71" s="119">
        <f>'4637'!B27</f>
        <v>2</v>
      </c>
      <c r="C71" s="121" t="str">
        <f>'4637'!C27</f>
        <v>PR2</v>
      </c>
      <c r="D71" s="121">
        <f>'4637'!D27</f>
        <v>525</v>
      </c>
      <c r="E71" s="121">
        <f>'4637'!E27</f>
        <v>298</v>
      </c>
      <c r="F71" s="153" t="str">
        <f>'4637'!F27</f>
        <v>THAI SAMOA TEAK 10845 MT</v>
      </c>
      <c r="G71" s="28"/>
      <c r="H71" s="27"/>
      <c r="I71" s="27"/>
    </row>
    <row r="72" spans="1:9" ht="21.6" thickBot="1" x14ac:dyDescent="0.45">
      <c r="A72" s="88"/>
      <c r="B72" s="119">
        <f>'4637'!B28</f>
        <v>1</v>
      </c>
      <c r="C72" s="121" t="str">
        <f>'4637'!C28</f>
        <v>PR2 / 2 DE 188 + 1 DE 182</v>
      </c>
      <c r="D72" s="121">
        <f>'4637'!D28</f>
        <v>620</v>
      </c>
      <c r="E72" s="121">
        <f>'4637'!E28</f>
        <v>445</v>
      </c>
      <c r="F72" s="153" t="str">
        <f>'4637'!F28</f>
        <v>THAI SAMOA TEAK 10845 MT</v>
      </c>
      <c r="G72" s="28"/>
      <c r="H72" s="27"/>
      <c r="I72" s="27"/>
    </row>
    <row r="73" spans="1:9" ht="21.6" thickBot="1" x14ac:dyDescent="0.45">
      <c r="A73" s="88"/>
      <c r="B73" s="119">
        <f>'4637'!B29</f>
        <v>1</v>
      </c>
      <c r="C73" s="121" t="str">
        <f>'4637'!C29</f>
        <v>PR2</v>
      </c>
      <c r="D73" s="121">
        <f>'4637'!D29</f>
        <v>610</v>
      </c>
      <c r="E73" s="121">
        <f>'4637'!E29</f>
        <v>146</v>
      </c>
      <c r="F73" s="153" t="str">
        <f>'4637'!F29</f>
        <v>THAI SAMOA TEAK 10845 MT</v>
      </c>
      <c r="G73" s="28"/>
      <c r="H73" s="27"/>
      <c r="I73" s="27"/>
    </row>
    <row r="74" spans="1:9" ht="21.6" thickBot="1" x14ac:dyDescent="0.45">
      <c r="A74" s="88"/>
      <c r="B74" s="119">
        <f>'4637'!B30</f>
        <v>3</v>
      </c>
      <c r="C74" s="121" t="str">
        <f>'4637'!C30</f>
        <v>PR2</v>
      </c>
      <c r="D74" s="121">
        <f>'4637'!D30</f>
        <v>685</v>
      </c>
      <c r="E74" s="121">
        <f>'4637'!E30</f>
        <v>445</v>
      </c>
      <c r="F74" s="153" t="str">
        <f>'4637'!F30</f>
        <v>THAI SAMOA TEAK 10845 MT</v>
      </c>
      <c r="G74" s="28"/>
      <c r="H74" s="27"/>
      <c r="I74" s="27"/>
    </row>
    <row r="75" spans="1:9" ht="21.6" thickBot="1" x14ac:dyDescent="0.45">
      <c r="A75" s="88"/>
      <c r="B75" s="119">
        <f>'4637'!B31</f>
        <v>1</v>
      </c>
      <c r="C75" s="121" t="str">
        <f>'4637'!C31</f>
        <v>PR2 / 2 DE 165 + 1 DE 305</v>
      </c>
      <c r="D75" s="121">
        <f>'4637'!D31</f>
        <v>650</v>
      </c>
      <c r="E75" s="121">
        <f>'4637'!E31</f>
        <v>445</v>
      </c>
      <c r="F75" s="153" t="str">
        <f>'4637'!F31</f>
        <v>THAI SAMOA TEAK 10845 MT</v>
      </c>
      <c r="G75" s="28"/>
      <c r="H75" s="27"/>
      <c r="I75" s="27"/>
    </row>
    <row r="76" spans="1:9" ht="21.6" thickBot="1" x14ac:dyDescent="0.45">
      <c r="A76" s="88"/>
      <c r="B76" s="119">
        <f>'4637'!B32</f>
        <v>2</v>
      </c>
      <c r="C76" s="121" t="str">
        <f>'4637'!C32</f>
        <v>PR2</v>
      </c>
      <c r="D76" s="121">
        <f>'4637'!D32</f>
        <v>685</v>
      </c>
      <c r="E76" s="121">
        <f>'4637'!E32</f>
        <v>470</v>
      </c>
      <c r="F76" s="153" t="str">
        <f>'4637'!F32</f>
        <v>THAI SAMOA TEAK 10845 MT</v>
      </c>
      <c r="G76" s="28"/>
      <c r="H76" s="27"/>
      <c r="I76" s="27"/>
    </row>
    <row r="77" spans="1:9" ht="21.6" thickBot="1" x14ac:dyDescent="0.45">
      <c r="A77" s="88"/>
      <c r="B77" s="119">
        <f>'4637'!B33</f>
        <v>1</v>
      </c>
      <c r="C77" s="121" t="str">
        <f>'4637'!C33</f>
        <v>PR2</v>
      </c>
      <c r="D77" s="121">
        <f>'4637'!D33</f>
        <v>685</v>
      </c>
      <c r="E77" s="121">
        <f>'4637'!E33</f>
        <v>545</v>
      </c>
      <c r="F77" s="153" t="str">
        <f>'4637'!F33</f>
        <v>THAI SAMOA TEAK 10845 MT</v>
      </c>
      <c r="G77" s="28"/>
      <c r="H77" s="27"/>
      <c r="I77" s="27"/>
    </row>
    <row r="78" spans="1:9" ht="21.6" thickBot="1" x14ac:dyDescent="0.45">
      <c r="A78" s="88"/>
      <c r="B78" s="119">
        <f>'4637'!B34</f>
        <v>2</v>
      </c>
      <c r="C78" s="121" t="str">
        <f>'4637'!C34</f>
        <v>PR2</v>
      </c>
      <c r="D78" s="121">
        <f>'4637'!D34</f>
        <v>750</v>
      </c>
      <c r="E78" s="121">
        <f>'4637'!E34</f>
        <v>423</v>
      </c>
      <c r="F78" s="153" t="str">
        <f>'4637'!F34</f>
        <v>THAI SAMOA TEAK 10845 MT</v>
      </c>
      <c r="G78" s="28"/>
      <c r="H78" s="27"/>
      <c r="I78" s="27"/>
    </row>
    <row r="79" spans="1:9" ht="21.6" thickBot="1" x14ac:dyDescent="0.45">
      <c r="A79" s="88"/>
      <c r="B79" s="119">
        <f>'4637'!B35</f>
        <v>1</v>
      </c>
      <c r="C79" s="121" t="str">
        <f>'4637'!C35</f>
        <v>PR2</v>
      </c>
      <c r="D79" s="121">
        <f>'4637'!D35</f>
        <v>750</v>
      </c>
      <c r="E79" s="121">
        <f>'4637'!E35</f>
        <v>425</v>
      </c>
      <c r="F79" s="153" t="str">
        <f>'4637'!F35</f>
        <v>THAI SAMOA TEAK 10845 MT</v>
      </c>
      <c r="G79" s="28"/>
      <c r="H79" s="27"/>
      <c r="I79" s="27"/>
    </row>
    <row r="80" spans="1:9" ht="21.6" thickBot="1" x14ac:dyDescent="0.45">
      <c r="A80" s="88"/>
      <c r="B80" s="119">
        <f>'4637'!B36</f>
        <v>2</v>
      </c>
      <c r="C80" s="121" t="str">
        <f>'4637'!C36</f>
        <v>PR2</v>
      </c>
      <c r="D80" s="121">
        <f>'4637'!D36</f>
        <v>750</v>
      </c>
      <c r="E80" s="121">
        <f>'4637'!E36</f>
        <v>432</v>
      </c>
      <c r="F80" s="153" t="str">
        <f>'4637'!F36</f>
        <v>THAI SAMOA TEAK 10845 MT</v>
      </c>
      <c r="G80" s="28"/>
      <c r="H80" s="27"/>
      <c r="I80" s="27"/>
    </row>
    <row r="81" spans="1:9" ht="21.6" thickBot="1" x14ac:dyDescent="0.45">
      <c r="A81" s="88"/>
      <c r="B81" s="119">
        <f>'4637'!B37</f>
        <v>1</v>
      </c>
      <c r="C81" s="121" t="str">
        <f>'4637'!C37</f>
        <v>PR2</v>
      </c>
      <c r="D81" s="121">
        <f>'4637'!D37</f>
        <v>750</v>
      </c>
      <c r="E81" s="121">
        <f>'4637'!E37</f>
        <v>430</v>
      </c>
      <c r="F81" s="153" t="str">
        <f>'4637'!F37</f>
        <v>THAI SAMOA TEAK 10845 MT</v>
      </c>
      <c r="G81" s="28"/>
      <c r="H81" s="27"/>
      <c r="I81" s="27"/>
    </row>
    <row r="82" spans="1:9" ht="21.6" thickBot="1" x14ac:dyDescent="0.45">
      <c r="A82" s="88"/>
      <c r="B82" s="119">
        <f>'4637'!B38</f>
        <v>1</v>
      </c>
      <c r="C82" s="121" t="str">
        <f>'4637'!C38</f>
        <v>PR2</v>
      </c>
      <c r="D82" s="121">
        <f>'4637'!D38</f>
        <v>325</v>
      </c>
      <c r="E82" s="121">
        <f>'4637'!E38</f>
        <v>600</v>
      </c>
      <c r="F82" s="153" t="str">
        <f>'4637'!F38</f>
        <v>THAI SAMOA TEAK 10845 MT</v>
      </c>
      <c r="G82" s="28"/>
      <c r="H82" s="27"/>
      <c r="I82" s="27"/>
    </row>
    <row r="83" spans="1:9" ht="21.6" thickBot="1" x14ac:dyDescent="0.45">
      <c r="A83" s="88"/>
      <c r="B83" s="119">
        <f>'4637'!B39</f>
        <v>2</v>
      </c>
      <c r="C83" s="121" t="str">
        <f>'4637'!C39</f>
        <v>PR2</v>
      </c>
      <c r="D83" s="121">
        <f>'4637'!D39</f>
        <v>520</v>
      </c>
      <c r="E83" s="121">
        <f>'4637'!E39</f>
        <v>298</v>
      </c>
      <c r="F83" s="153" t="str">
        <f>'4637'!F39</f>
        <v>THAI SAMOA TEAK 10845 MT</v>
      </c>
      <c r="G83" s="28"/>
      <c r="H83" s="27"/>
      <c r="I83" s="27"/>
    </row>
    <row r="84" spans="1:9" ht="21.6" thickBot="1" x14ac:dyDescent="0.45">
      <c r="A84" s="88"/>
      <c r="B84" s="119">
        <f>'4637'!B40</f>
        <v>2</v>
      </c>
      <c r="C84" s="121" t="str">
        <f>'4637'!C40</f>
        <v>PR2</v>
      </c>
      <c r="D84" s="121">
        <f>'4637'!D40</f>
        <v>1205</v>
      </c>
      <c r="E84" s="121">
        <f>'4637'!E40</f>
        <v>298</v>
      </c>
      <c r="F84" s="153" t="str">
        <f>'4637'!F40</f>
        <v>THAI SAMOA TEAK 10845 MT</v>
      </c>
      <c r="G84" s="28"/>
      <c r="H84" s="27"/>
      <c r="I84" s="27"/>
    </row>
    <row r="85" spans="1:9" ht="21" x14ac:dyDescent="0.4">
      <c r="A85" s="88"/>
      <c r="B85" s="90"/>
      <c r="C85" s="90"/>
      <c r="D85" s="90"/>
      <c r="E85" s="90"/>
      <c r="F85" s="90"/>
      <c r="G85" s="28"/>
      <c r="H85" s="27"/>
      <c r="I85" s="27"/>
    </row>
    <row r="86" spans="1:9" ht="21" x14ac:dyDescent="0.4">
      <c r="A86" s="74"/>
      <c r="B86" s="90"/>
      <c r="C86" s="90"/>
      <c r="D86" s="90"/>
      <c r="E86" s="90"/>
      <c r="F86" s="90"/>
      <c r="G86" s="28"/>
      <c r="I86" s="27">
        <f>SUM(I65:I65)*2</f>
        <v>0.37059999999999998</v>
      </c>
    </row>
    <row r="87" spans="1:9" ht="21" x14ac:dyDescent="0.4">
      <c r="A87" s="74"/>
      <c r="B87" s="90"/>
      <c r="C87" s="90"/>
      <c r="D87" s="90"/>
      <c r="E87" s="90"/>
      <c r="F87" s="90"/>
      <c r="G87" s="28"/>
    </row>
    <row r="88" spans="1:9" ht="21" x14ac:dyDescent="0.4">
      <c r="A88" s="74"/>
      <c r="B88" s="90"/>
      <c r="C88" s="90"/>
      <c r="D88" s="90"/>
      <c r="E88" s="90"/>
      <c r="F88" s="90"/>
      <c r="G88" s="28"/>
    </row>
    <row r="89" spans="1:9" ht="21" x14ac:dyDescent="0.4">
      <c r="A89" s="74"/>
      <c r="B89" s="90"/>
      <c r="C89" s="90"/>
      <c r="D89" s="90"/>
      <c r="E89" s="90"/>
      <c r="F89" s="90"/>
      <c r="G89" s="28"/>
    </row>
    <row r="90" spans="1:9" ht="18" x14ac:dyDescent="0.35">
      <c r="A90" s="28"/>
      <c r="B90" s="54"/>
      <c r="C90" s="54"/>
      <c r="D90" s="54"/>
      <c r="E90" s="54"/>
      <c r="F90" s="54"/>
      <c r="G90" s="28"/>
    </row>
    <row r="91" spans="1:9" ht="18" x14ac:dyDescent="0.35">
      <c r="A91" s="28"/>
      <c r="B91" s="54"/>
      <c r="C91" s="54"/>
      <c r="D91" s="54"/>
      <c r="E91" s="54"/>
      <c r="F91" s="54"/>
      <c r="G91" s="28"/>
    </row>
    <row r="92" spans="1:9" ht="18" x14ac:dyDescent="0.35">
      <c r="A92" s="28"/>
      <c r="B92" s="54"/>
      <c r="C92" s="54"/>
      <c r="D92" s="54"/>
      <c r="E92" s="54"/>
      <c r="F92" s="54"/>
      <c r="G92" s="28"/>
    </row>
    <row r="93" spans="1:9" ht="21" x14ac:dyDescent="0.4">
      <c r="A93" s="74"/>
      <c r="B93" s="74"/>
      <c r="C93" s="74"/>
      <c r="D93" s="74"/>
      <c r="E93" s="74"/>
      <c r="F93" s="74"/>
      <c r="G93" s="28"/>
    </row>
    <row r="94" spans="1:9" ht="21" x14ac:dyDescent="0.4">
      <c r="A94" s="74"/>
      <c r="B94" s="74"/>
      <c r="C94" s="75" t="s">
        <v>26</v>
      </c>
      <c r="D94" s="76">
        <f>'4637'!G8</f>
        <v>4070</v>
      </c>
      <c r="E94" s="74"/>
      <c r="F94" s="74"/>
      <c r="G94" s="28"/>
    </row>
    <row r="95" spans="1:9" ht="17.25" customHeight="1" x14ac:dyDescent="0.4">
      <c r="A95" s="74"/>
      <c r="B95" s="74"/>
      <c r="C95" s="77" t="s">
        <v>65</v>
      </c>
      <c r="D95" s="78" t="str">
        <f>'4637'!C10</f>
        <v>VICTOR RIVERO</v>
      </c>
      <c r="E95" s="79"/>
      <c r="F95" s="79"/>
      <c r="G95" s="28"/>
    </row>
    <row r="96" spans="1:9" ht="4.5" customHeight="1" x14ac:dyDescent="0.4">
      <c r="A96" s="74"/>
      <c r="B96" s="74"/>
      <c r="C96" s="80"/>
      <c r="D96" s="81"/>
      <c r="E96" s="74"/>
      <c r="F96" s="74"/>
      <c r="G96" s="28"/>
    </row>
    <row r="97" spans="1:12" ht="21" x14ac:dyDescent="0.4">
      <c r="A97" s="74"/>
      <c r="B97" s="74"/>
      <c r="C97" s="82" t="str">
        <f>'4637'!F11</f>
        <v>FECHA LIMITE :</v>
      </c>
      <c r="D97" s="83"/>
      <c r="E97" s="74"/>
      <c r="F97" s="74"/>
      <c r="G97" s="28"/>
    </row>
    <row r="98" spans="1:12" ht="21" x14ac:dyDescent="0.4">
      <c r="A98" s="74"/>
      <c r="B98" s="74"/>
      <c r="C98" s="74"/>
      <c r="D98" s="74"/>
      <c r="E98" s="74"/>
      <c r="F98" s="74" t="s">
        <v>140</v>
      </c>
      <c r="G98" s="28"/>
    </row>
    <row r="99" spans="1:12" ht="21" x14ac:dyDescent="0.4">
      <c r="A99" s="74"/>
      <c r="B99" s="74"/>
      <c r="C99" s="74"/>
      <c r="D99" s="74"/>
      <c r="E99" s="74" t="str" cm="1">
        <f t="array" ref="E99:F99">'4637'!B17:C17</f>
        <v>CIUDAD:</v>
      </c>
      <c r="F99" s="74" t="str">
        <v xml:space="preserve">SANTIAGO </v>
      </c>
      <c r="G99" s="28"/>
    </row>
    <row r="100" spans="1:12" ht="21" x14ac:dyDescent="0.4">
      <c r="A100" s="74"/>
      <c r="B100" s="74"/>
      <c r="C100" s="74"/>
      <c r="D100" s="74"/>
      <c r="E100" s="74"/>
      <c r="F100" s="74"/>
      <c r="G100" s="28"/>
    </row>
    <row r="101" spans="1:12" ht="21" x14ac:dyDescent="0.4">
      <c r="A101" s="144" t="s">
        <v>66</v>
      </c>
      <c r="B101" s="143"/>
      <c r="C101" s="143"/>
      <c r="D101" s="143"/>
      <c r="E101" s="143"/>
      <c r="F101" s="143"/>
      <c r="G101" s="28"/>
    </row>
    <row r="102" spans="1:12" ht="21.6" thickBot="1" x14ac:dyDescent="0.45">
      <c r="A102" s="74"/>
      <c r="B102" s="74"/>
      <c r="C102" s="74"/>
      <c r="D102" s="74"/>
      <c r="E102" s="74"/>
      <c r="F102" s="74"/>
      <c r="G102" s="28"/>
    </row>
    <row r="103" spans="1:12" ht="15.75" customHeight="1" x14ac:dyDescent="0.4">
      <c r="A103" s="74"/>
      <c r="B103" s="145" t="s">
        <v>67</v>
      </c>
      <c r="C103" s="146"/>
      <c r="D103" s="147"/>
      <c r="E103" s="147"/>
      <c r="F103" s="148"/>
      <c r="G103" s="28"/>
      <c r="H103" s="24" t="s">
        <v>129</v>
      </c>
    </row>
    <row r="104" spans="1:12" s="10" customFormat="1" ht="16.5" customHeight="1" x14ac:dyDescent="0.4">
      <c r="A104" s="74"/>
      <c r="B104" s="127" t="s">
        <v>10</v>
      </c>
      <c r="C104" s="86" t="s">
        <v>11</v>
      </c>
      <c r="D104" s="87" t="s">
        <v>7</v>
      </c>
      <c r="E104" s="87" t="s">
        <v>8</v>
      </c>
      <c r="F104" s="128" t="s">
        <v>12</v>
      </c>
      <c r="G104" s="28"/>
      <c r="J104" s="10">
        <v>14000</v>
      </c>
    </row>
    <row r="105" spans="1:12" s="10" customFormat="1" ht="21" customHeight="1" x14ac:dyDescent="0.4">
      <c r="A105" s="88" t="s">
        <v>136</v>
      </c>
      <c r="B105" s="127">
        <f>'4637'!B21</f>
        <v>1</v>
      </c>
      <c r="C105" s="85" t="str">
        <f>'4637'!C21</f>
        <v>PR2</v>
      </c>
      <c r="D105" s="89">
        <f>'4637'!D21</f>
        <v>340</v>
      </c>
      <c r="E105" s="89">
        <f>'4637'!E21</f>
        <v>545</v>
      </c>
      <c r="F105" s="149" t="str">
        <f>'4637'!F21</f>
        <v>THAI SAMOA TEAK 10845 MT</v>
      </c>
      <c r="G105" s="28"/>
      <c r="H105" s="10">
        <f>D105*E105/1000000</f>
        <v>0.18529999999999999</v>
      </c>
      <c r="I105" s="10">
        <f>H105*B105</f>
        <v>0.18529999999999999</v>
      </c>
      <c r="J105" s="25">
        <f t="shared" ref="J105" si="47">I105*J$104</f>
        <v>2594.1999999999998</v>
      </c>
      <c r="L105" s="23">
        <v>12096</v>
      </c>
    </row>
    <row r="106" spans="1:12" s="10" customFormat="1" ht="21" customHeight="1" x14ac:dyDescent="0.4">
      <c r="A106" s="88"/>
      <c r="B106" s="127">
        <f>'4637'!B22</f>
        <v>2</v>
      </c>
      <c r="C106" s="85" t="str">
        <f>'4637'!C22</f>
        <v>PR2</v>
      </c>
      <c r="D106" s="89">
        <f>'4637'!D22</f>
        <v>695</v>
      </c>
      <c r="E106" s="89">
        <f>'4637'!E22</f>
        <v>270</v>
      </c>
      <c r="F106" s="149" t="str">
        <f>'4637'!F22</f>
        <v>THAI SAMOA TEAK 10845 MT</v>
      </c>
      <c r="G106" s="28"/>
      <c r="J106" s="25"/>
      <c r="L106" s="118"/>
    </row>
    <row r="107" spans="1:12" s="10" customFormat="1" ht="21" customHeight="1" x14ac:dyDescent="0.4">
      <c r="A107" s="88"/>
      <c r="B107" s="127">
        <f>'4637'!B23</f>
        <v>2</v>
      </c>
      <c r="C107" s="85" t="str">
        <f>'4637'!C23</f>
        <v>PR2</v>
      </c>
      <c r="D107" s="89">
        <f>'4637'!D23</f>
        <v>695</v>
      </c>
      <c r="E107" s="89">
        <f>'4637'!E23</f>
        <v>345</v>
      </c>
      <c r="F107" s="149" t="str">
        <f>'4637'!F23</f>
        <v>THAI SAMOA TEAK 10845 MT</v>
      </c>
      <c r="G107" s="28"/>
      <c r="J107" s="25"/>
      <c r="L107" s="118"/>
    </row>
    <row r="108" spans="1:12" s="10" customFormat="1" ht="21" customHeight="1" thickBot="1" x14ac:dyDescent="0.45">
      <c r="A108" s="88"/>
      <c r="B108" s="129">
        <f>'4637'!B24</f>
        <v>1</v>
      </c>
      <c r="C108" s="130" t="str">
        <f>'4637'!C24</f>
        <v>PR2</v>
      </c>
      <c r="D108" s="131">
        <f>'4637'!D24</f>
        <v>695</v>
      </c>
      <c r="E108" s="131">
        <f>'4637'!E24</f>
        <v>344</v>
      </c>
      <c r="F108" s="150" t="str">
        <f>'4637'!F24</f>
        <v>THAI SAMOA TEAK 10845 MT</v>
      </c>
      <c r="G108" s="28"/>
      <c r="J108" s="25"/>
      <c r="L108" s="118"/>
    </row>
    <row r="109" spans="1:12" s="10" customFormat="1" ht="21" customHeight="1" thickBot="1" x14ac:dyDescent="0.45">
      <c r="A109" s="88"/>
      <c r="B109" s="129">
        <f>'4637'!B25</f>
        <v>2</v>
      </c>
      <c r="C109" s="130" t="str">
        <f>'4637'!C25</f>
        <v>PR2</v>
      </c>
      <c r="D109" s="131">
        <f>'4637'!D25</f>
        <v>455</v>
      </c>
      <c r="E109" s="131">
        <f>'4637'!E25</f>
        <v>298</v>
      </c>
      <c r="F109" s="150" t="str">
        <f>'4637'!F25</f>
        <v>THAI SAMOA TEAK 10845 MT</v>
      </c>
      <c r="G109" s="28"/>
      <c r="J109" s="25"/>
      <c r="L109" s="118"/>
    </row>
    <row r="110" spans="1:12" s="10" customFormat="1" ht="21" customHeight="1" thickBot="1" x14ac:dyDescent="0.45">
      <c r="A110" s="88"/>
      <c r="B110" s="129">
        <f>'4637'!B26</f>
        <v>1</v>
      </c>
      <c r="C110" s="130" t="str">
        <f>'4637'!C26</f>
        <v>PR2</v>
      </c>
      <c r="D110" s="131">
        <f>'4637'!D26</f>
        <v>340</v>
      </c>
      <c r="E110" s="131">
        <f>'4637'!E26</f>
        <v>545</v>
      </c>
      <c r="F110" s="150" t="str">
        <f>'4637'!F26</f>
        <v>THAI SAMOA TEAK 10845 MT</v>
      </c>
      <c r="G110" s="28"/>
      <c r="J110" s="25"/>
      <c r="L110" s="118"/>
    </row>
    <row r="111" spans="1:12" s="10" customFormat="1" ht="21" customHeight="1" thickBot="1" x14ac:dyDescent="0.45">
      <c r="A111" s="88"/>
      <c r="B111" s="129">
        <f>'4637'!B27</f>
        <v>2</v>
      </c>
      <c r="C111" s="130" t="str">
        <f>'4637'!C27</f>
        <v>PR2</v>
      </c>
      <c r="D111" s="131">
        <f>'4637'!D27</f>
        <v>525</v>
      </c>
      <c r="E111" s="131">
        <f>'4637'!E27</f>
        <v>298</v>
      </c>
      <c r="F111" s="150" t="str">
        <f>'4637'!F27</f>
        <v>THAI SAMOA TEAK 10845 MT</v>
      </c>
      <c r="G111" s="28"/>
      <c r="J111" s="25"/>
      <c r="L111" s="118"/>
    </row>
    <row r="112" spans="1:12" s="10" customFormat="1" ht="21" customHeight="1" thickBot="1" x14ac:dyDescent="0.45">
      <c r="A112" s="88"/>
      <c r="B112" s="129">
        <f>'4637'!B28</f>
        <v>1</v>
      </c>
      <c r="C112" s="130" t="str">
        <f>'4637'!C28</f>
        <v>PR2 / 2 DE 188 + 1 DE 182</v>
      </c>
      <c r="D112" s="131">
        <f>'4637'!D28</f>
        <v>620</v>
      </c>
      <c r="E112" s="131">
        <f>'4637'!E28</f>
        <v>445</v>
      </c>
      <c r="F112" s="150" t="str">
        <f>'4637'!F28</f>
        <v>THAI SAMOA TEAK 10845 MT</v>
      </c>
      <c r="G112" s="28"/>
      <c r="J112" s="25"/>
      <c r="L112" s="118"/>
    </row>
    <row r="113" spans="1:12" s="10" customFormat="1" ht="21" customHeight="1" thickBot="1" x14ac:dyDescent="0.45">
      <c r="A113" s="88"/>
      <c r="B113" s="129">
        <f>'4637'!B29</f>
        <v>1</v>
      </c>
      <c r="C113" s="130" t="str">
        <f>'4637'!C29</f>
        <v>PR2</v>
      </c>
      <c r="D113" s="131">
        <f>'4637'!D29</f>
        <v>610</v>
      </c>
      <c r="E113" s="131">
        <f>'4637'!E29</f>
        <v>146</v>
      </c>
      <c r="F113" s="150" t="str">
        <f>'4637'!F29</f>
        <v>THAI SAMOA TEAK 10845 MT</v>
      </c>
      <c r="G113" s="28"/>
      <c r="J113" s="25"/>
      <c r="L113" s="118"/>
    </row>
    <row r="114" spans="1:12" s="10" customFormat="1" ht="21" customHeight="1" thickBot="1" x14ac:dyDescent="0.45">
      <c r="A114" s="88"/>
      <c r="B114" s="129">
        <f>'4637'!B30</f>
        <v>3</v>
      </c>
      <c r="C114" s="130" t="str">
        <f>'4637'!C30</f>
        <v>PR2</v>
      </c>
      <c r="D114" s="131">
        <f>'4637'!D30</f>
        <v>685</v>
      </c>
      <c r="E114" s="131">
        <f>'4637'!E30</f>
        <v>445</v>
      </c>
      <c r="F114" s="150" t="str">
        <f>'4637'!F30</f>
        <v>THAI SAMOA TEAK 10845 MT</v>
      </c>
      <c r="G114" s="28"/>
      <c r="J114" s="25"/>
      <c r="L114" s="118"/>
    </row>
    <row r="115" spans="1:12" s="10" customFormat="1" ht="21" customHeight="1" thickBot="1" x14ac:dyDescent="0.45">
      <c r="A115" s="88"/>
      <c r="B115" s="129">
        <f>'4637'!B31</f>
        <v>1</v>
      </c>
      <c r="C115" s="130" t="str">
        <f>'4637'!C31</f>
        <v>PR2 / 2 DE 165 + 1 DE 305</v>
      </c>
      <c r="D115" s="131">
        <f>'4637'!D31</f>
        <v>650</v>
      </c>
      <c r="E115" s="131">
        <f>'4637'!E31</f>
        <v>445</v>
      </c>
      <c r="F115" s="150" t="str">
        <f>'4637'!F31</f>
        <v>THAI SAMOA TEAK 10845 MT</v>
      </c>
      <c r="G115" s="28"/>
      <c r="J115" s="25"/>
      <c r="L115" s="118"/>
    </row>
    <row r="116" spans="1:12" s="10" customFormat="1" ht="21" customHeight="1" thickBot="1" x14ac:dyDescent="0.45">
      <c r="A116" s="88"/>
      <c r="B116" s="129">
        <f>'4637'!B32</f>
        <v>2</v>
      </c>
      <c r="C116" s="130" t="str">
        <f>'4637'!C32</f>
        <v>PR2</v>
      </c>
      <c r="D116" s="131">
        <f>'4637'!D32</f>
        <v>685</v>
      </c>
      <c r="E116" s="131">
        <f>'4637'!E32</f>
        <v>470</v>
      </c>
      <c r="F116" s="150" t="str">
        <f>'4637'!F32</f>
        <v>THAI SAMOA TEAK 10845 MT</v>
      </c>
      <c r="G116" s="28"/>
      <c r="J116" s="25"/>
      <c r="L116" s="118"/>
    </row>
    <row r="117" spans="1:12" s="10" customFormat="1" ht="21" customHeight="1" thickBot="1" x14ac:dyDescent="0.45">
      <c r="A117" s="88"/>
      <c r="B117" s="129">
        <f>'4637'!B33</f>
        <v>1</v>
      </c>
      <c r="C117" s="130" t="str">
        <f>'4637'!C33</f>
        <v>PR2</v>
      </c>
      <c r="D117" s="131">
        <f>'4637'!D33</f>
        <v>685</v>
      </c>
      <c r="E117" s="131">
        <f>'4637'!E33</f>
        <v>545</v>
      </c>
      <c r="F117" s="150" t="str">
        <f>'4637'!F33</f>
        <v>THAI SAMOA TEAK 10845 MT</v>
      </c>
      <c r="G117" s="28"/>
      <c r="J117" s="25"/>
      <c r="L117" s="118"/>
    </row>
    <row r="118" spans="1:12" s="10" customFormat="1" ht="21" customHeight="1" thickBot="1" x14ac:dyDescent="0.45">
      <c r="A118" s="88"/>
      <c r="B118" s="129">
        <f>'4637'!B34</f>
        <v>2</v>
      </c>
      <c r="C118" s="130" t="str">
        <f>'4637'!C34</f>
        <v>PR2</v>
      </c>
      <c r="D118" s="131">
        <f>'4637'!D34</f>
        <v>750</v>
      </c>
      <c r="E118" s="131">
        <f>'4637'!E34</f>
        <v>423</v>
      </c>
      <c r="F118" s="150" t="str">
        <f>'4637'!F34</f>
        <v>THAI SAMOA TEAK 10845 MT</v>
      </c>
      <c r="G118" s="28"/>
      <c r="J118" s="25"/>
      <c r="L118" s="118"/>
    </row>
    <row r="119" spans="1:12" s="10" customFormat="1" ht="21" customHeight="1" thickBot="1" x14ac:dyDescent="0.45">
      <c r="A119" s="88"/>
      <c r="B119" s="129">
        <f>'4637'!B35</f>
        <v>1</v>
      </c>
      <c r="C119" s="130" t="str">
        <f>'4637'!C35</f>
        <v>PR2</v>
      </c>
      <c r="D119" s="131">
        <f>'4637'!D35</f>
        <v>750</v>
      </c>
      <c r="E119" s="131">
        <f>'4637'!E35</f>
        <v>425</v>
      </c>
      <c r="F119" s="150" t="str">
        <f>'4637'!F35</f>
        <v>THAI SAMOA TEAK 10845 MT</v>
      </c>
      <c r="G119" s="28"/>
      <c r="J119" s="25"/>
      <c r="L119" s="118"/>
    </row>
    <row r="120" spans="1:12" s="10" customFormat="1" ht="21" customHeight="1" thickBot="1" x14ac:dyDescent="0.45">
      <c r="A120" s="88"/>
      <c r="B120" s="129">
        <f>'4637'!B36</f>
        <v>2</v>
      </c>
      <c r="C120" s="130" t="str">
        <f>'4637'!C36</f>
        <v>PR2</v>
      </c>
      <c r="D120" s="131">
        <f>'4637'!D36</f>
        <v>750</v>
      </c>
      <c r="E120" s="131">
        <f>'4637'!E36</f>
        <v>432</v>
      </c>
      <c r="F120" s="150" t="str">
        <f>'4637'!F36</f>
        <v>THAI SAMOA TEAK 10845 MT</v>
      </c>
      <c r="G120" s="28"/>
      <c r="J120" s="25"/>
      <c r="L120" s="118"/>
    </row>
    <row r="121" spans="1:12" s="10" customFormat="1" ht="21" customHeight="1" thickBot="1" x14ac:dyDescent="0.45">
      <c r="A121" s="88"/>
      <c r="B121" s="129">
        <f>'4637'!B37</f>
        <v>1</v>
      </c>
      <c r="C121" s="130" t="str">
        <f>'4637'!C37</f>
        <v>PR2</v>
      </c>
      <c r="D121" s="131">
        <f>'4637'!D37</f>
        <v>750</v>
      </c>
      <c r="E121" s="131">
        <f>'4637'!E37</f>
        <v>430</v>
      </c>
      <c r="F121" s="150" t="str">
        <f>'4637'!F37</f>
        <v>THAI SAMOA TEAK 10845 MT</v>
      </c>
      <c r="G121" s="28"/>
      <c r="J121" s="25"/>
      <c r="L121" s="118"/>
    </row>
    <row r="122" spans="1:12" s="10" customFormat="1" ht="21" customHeight="1" thickBot="1" x14ac:dyDescent="0.45">
      <c r="A122" s="88"/>
      <c r="B122" s="129">
        <f>'4637'!B38</f>
        <v>1</v>
      </c>
      <c r="C122" s="130" t="str">
        <f>'4637'!C38</f>
        <v>PR2</v>
      </c>
      <c r="D122" s="131">
        <f>'4637'!D38</f>
        <v>325</v>
      </c>
      <c r="E122" s="131">
        <f>'4637'!E38</f>
        <v>600</v>
      </c>
      <c r="F122" s="150" t="str">
        <f>'4637'!F38</f>
        <v>THAI SAMOA TEAK 10845 MT</v>
      </c>
      <c r="G122" s="28"/>
      <c r="J122" s="25"/>
      <c r="L122" s="118"/>
    </row>
    <row r="123" spans="1:12" s="10" customFormat="1" ht="21" customHeight="1" thickBot="1" x14ac:dyDescent="0.45">
      <c r="A123" s="88"/>
      <c r="B123" s="129">
        <f>'4637'!B39</f>
        <v>2</v>
      </c>
      <c r="C123" s="130" t="str">
        <f>'4637'!C39</f>
        <v>PR2</v>
      </c>
      <c r="D123" s="131">
        <f>'4637'!D39</f>
        <v>520</v>
      </c>
      <c r="E123" s="131">
        <f>'4637'!E39</f>
        <v>298</v>
      </c>
      <c r="F123" s="150" t="str">
        <f>'4637'!F39</f>
        <v>THAI SAMOA TEAK 10845 MT</v>
      </c>
      <c r="G123" s="28"/>
      <c r="J123" s="25"/>
      <c r="L123" s="118"/>
    </row>
    <row r="124" spans="1:12" s="10" customFormat="1" ht="21" customHeight="1" thickBot="1" x14ac:dyDescent="0.45">
      <c r="A124" s="88"/>
      <c r="B124" s="129">
        <f>'4637'!B40</f>
        <v>2</v>
      </c>
      <c r="C124" s="130" t="str">
        <f>'4637'!C40</f>
        <v>PR2</v>
      </c>
      <c r="D124" s="131">
        <f>'4637'!D40</f>
        <v>1205</v>
      </c>
      <c r="E124" s="131">
        <f>'4637'!E40</f>
        <v>298</v>
      </c>
      <c r="F124" s="150" t="str">
        <f>'4637'!F40</f>
        <v>THAI SAMOA TEAK 10845 MT</v>
      </c>
      <c r="G124" s="28"/>
      <c r="J124" s="25"/>
      <c r="L124" s="118"/>
    </row>
    <row r="125" spans="1:12" s="10" customFormat="1" ht="15" customHeight="1" x14ac:dyDescent="0.4">
      <c r="A125" s="88"/>
      <c r="B125" s="84"/>
      <c r="C125" s="84"/>
      <c r="D125" s="84"/>
      <c r="E125" s="84"/>
      <c r="F125" s="84"/>
      <c r="G125" s="28"/>
    </row>
    <row r="126" spans="1:12" ht="21" x14ac:dyDescent="0.4">
      <c r="A126" s="90"/>
      <c r="B126" s="90"/>
      <c r="C126" s="74"/>
      <c r="D126" s="90"/>
      <c r="E126" s="90"/>
      <c r="F126" s="80"/>
      <c r="G126" s="28"/>
    </row>
    <row r="127" spans="1:12" ht="21" x14ac:dyDescent="0.4">
      <c r="A127" s="90"/>
      <c r="B127" s="90"/>
      <c r="C127" s="74"/>
      <c r="D127" s="90"/>
      <c r="E127" s="90"/>
      <c r="F127" s="90"/>
      <c r="G127" s="28"/>
      <c r="I127" s="10">
        <f>SUM(I105:I105)</f>
        <v>0.18529999999999999</v>
      </c>
      <c r="J127" s="26">
        <f>SUM(J105:J105)</f>
        <v>2594.1999999999998</v>
      </c>
    </row>
    <row r="128" spans="1:12" ht="21" x14ac:dyDescent="0.4">
      <c r="A128" s="74"/>
      <c r="B128" s="74"/>
      <c r="C128" s="74"/>
      <c r="D128" s="74"/>
      <c r="E128" s="74"/>
      <c r="F128" s="74"/>
      <c r="G128" s="28"/>
    </row>
    <row r="129" spans="1:7" ht="21" x14ac:dyDescent="0.4">
      <c r="A129" s="74"/>
      <c r="B129" s="74"/>
      <c r="C129" s="74"/>
      <c r="D129" s="74"/>
      <c r="E129" s="74"/>
      <c r="F129" s="74"/>
      <c r="G129" s="28"/>
    </row>
    <row r="130" spans="1:7" ht="21" x14ac:dyDescent="0.4">
      <c r="A130" s="74"/>
      <c r="B130" s="74"/>
      <c r="C130" s="74"/>
      <c r="D130" s="74"/>
      <c r="E130" s="74"/>
      <c r="F130" s="74"/>
      <c r="G130" s="28"/>
    </row>
    <row r="131" spans="1:7" ht="15" customHeight="1" x14ac:dyDescent="0.4">
      <c r="A131" s="74"/>
      <c r="B131" s="74"/>
      <c r="C131" s="74"/>
      <c r="D131" s="74"/>
      <c r="E131" s="74"/>
      <c r="F131" s="74"/>
      <c r="G131" s="28"/>
    </row>
    <row r="132" spans="1:7" ht="21" x14ac:dyDescent="0.4">
      <c r="A132" s="74"/>
      <c r="B132" s="74"/>
      <c r="C132" s="74"/>
      <c r="D132" s="74"/>
      <c r="E132" s="74"/>
      <c r="F132" s="74"/>
      <c r="G132" s="28"/>
    </row>
    <row r="133" spans="1:7" ht="21" x14ac:dyDescent="0.4">
      <c r="A133" s="90"/>
      <c r="B133" s="91"/>
      <c r="C133" s="74"/>
      <c r="D133" s="74"/>
      <c r="E133" s="74"/>
      <c r="F133" s="74"/>
      <c r="G133" s="28"/>
    </row>
    <row r="134" spans="1:7" ht="18" x14ac:dyDescent="0.35">
      <c r="A134" s="28"/>
      <c r="B134" s="28"/>
      <c r="C134" s="28"/>
      <c r="D134" s="28"/>
      <c r="E134" s="28"/>
      <c r="F134" s="28"/>
      <c r="G134" s="28"/>
    </row>
    <row r="135" spans="1:7" ht="18" x14ac:dyDescent="0.35">
      <c r="A135" s="28"/>
      <c r="B135" s="28"/>
      <c r="C135" s="28"/>
      <c r="D135" s="28"/>
      <c r="E135" s="28"/>
      <c r="F135" s="28"/>
      <c r="G135" s="28"/>
    </row>
    <row r="136" spans="1:7" ht="18" x14ac:dyDescent="0.35">
      <c r="A136" s="28"/>
      <c r="B136" s="28"/>
      <c r="C136" s="28"/>
      <c r="D136" s="28"/>
      <c r="E136" s="28"/>
      <c r="F136" s="28"/>
      <c r="G136" s="28"/>
    </row>
  </sheetData>
  <mergeCells count="6">
    <mergeCell ref="M3:N3"/>
    <mergeCell ref="A36:F36"/>
    <mergeCell ref="A10:F10"/>
    <mergeCell ref="A101:F101"/>
    <mergeCell ref="B103:F103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2024-05-08T13:50:24Z</cp:lastPrinted>
  <dcterms:created xsi:type="dcterms:W3CDTF">2013-03-19T12:54:14Z</dcterms:created>
  <dcterms:modified xsi:type="dcterms:W3CDTF">2024-05-08T13:51:07Z</dcterms:modified>
</cp:coreProperties>
</file>