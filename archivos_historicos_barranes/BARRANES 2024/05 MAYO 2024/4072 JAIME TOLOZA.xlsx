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5 MAYO 2024\"/>
    </mc:Choice>
  </mc:AlternateContent>
  <xr:revisionPtr revIDLastSave="0" documentId="13_ncr:1_{20FED493-0FA3-4986-BD4F-A6CD34A8154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'4637'!$B$1:$H$42</definedName>
    <definedName name="_xlnm.Print_Area" localSheetId="2">CUBIERTA!$A$47:$F$72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3" l="1"/>
  <c r="B18" i="3"/>
  <c r="E18" i="3"/>
  <c r="E17" i="3"/>
  <c r="D17" i="3"/>
  <c r="B17" i="3"/>
  <c r="K18" i="3"/>
  <c r="K17" i="3"/>
  <c r="J18" i="3"/>
  <c r="J17" i="3"/>
  <c r="I18" i="3"/>
  <c r="I17" i="3"/>
  <c r="B36" i="3"/>
  <c r="I27" i="3" s="1"/>
  <c r="B27" i="3" s="1"/>
  <c r="C36" i="3"/>
  <c r="F27" i="3" s="1"/>
  <c r="D36" i="3"/>
  <c r="J27" i="3" s="1"/>
  <c r="D27" i="3" s="1"/>
  <c r="E36" i="3"/>
  <c r="K27" i="3" s="1"/>
  <c r="E27" i="3" s="1"/>
  <c r="F36" i="3"/>
  <c r="B37" i="3"/>
  <c r="I28" i="3" s="1"/>
  <c r="B28" i="3" s="1"/>
  <c r="C37" i="3"/>
  <c r="F28" i="3" s="1"/>
  <c r="D37" i="3"/>
  <c r="J28" i="3" s="1"/>
  <c r="D28" i="3" s="1"/>
  <c r="E37" i="3"/>
  <c r="K28" i="3" s="1"/>
  <c r="E28" i="3" s="1"/>
  <c r="F37" i="3"/>
  <c r="B62" i="3"/>
  <c r="C62" i="3"/>
  <c r="D62" i="3"/>
  <c r="E62" i="3"/>
  <c r="F62" i="3"/>
  <c r="B63" i="3"/>
  <c r="C63" i="3"/>
  <c r="D63" i="3"/>
  <c r="E63" i="3"/>
  <c r="F63" i="3"/>
  <c r="H23" i="4" l="1"/>
  <c r="H24" i="4"/>
  <c r="B35" i="3" l="1"/>
  <c r="I26" i="3" s="1"/>
  <c r="B26" i="3" s="1"/>
  <c r="C35" i="3"/>
  <c r="F26" i="3" s="1"/>
  <c r="D35" i="3"/>
  <c r="J26" i="3" s="1"/>
  <c r="D26" i="3" s="1"/>
  <c r="E35" i="3"/>
  <c r="K26" i="3" s="1"/>
  <c r="E26" i="3" s="1"/>
  <c r="F35" i="3"/>
  <c r="B61" i="3"/>
  <c r="C61" i="3"/>
  <c r="D61" i="3"/>
  <c r="E61" i="3"/>
  <c r="F61" i="3"/>
  <c r="H22" i="4"/>
  <c r="H21" i="4"/>
  <c r="K15" i="3" l="1"/>
  <c r="E15" i="3" s="1"/>
  <c r="J15" i="3"/>
  <c r="D15" i="3" s="1"/>
  <c r="I15" i="3"/>
  <c r="B15" i="3" s="1"/>
  <c r="F15" i="3"/>
  <c r="E54" i="3" l="1" a="1"/>
  <c r="E54" i="3" s="1"/>
  <c r="L21" i="4" l="1"/>
  <c r="K21" i="4"/>
  <c r="H30" i="4" l="1"/>
  <c r="M21" i="4"/>
  <c r="N21" i="4" s="1"/>
  <c r="B34" i="3" l="1"/>
  <c r="I25" i="3" s="1"/>
  <c r="B25" i="3" s="1"/>
  <c r="C34" i="3"/>
  <c r="F25" i="3" s="1"/>
  <c r="D34" i="3"/>
  <c r="E34" i="3"/>
  <c r="K25" i="3" s="1"/>
  <c r="E25" i="3" s="1"/>
  <c r="F34" i="3"/>
  <c r="B60" i="3"/>
  <c r="C60" i="3"/>
  <c r="D60" i="3"/>
  <c r="E60" i="3"/>
  <c r="F60" i="3"/>
  <c r="H34" i="3" l="1"/>
  <c r="I34" i="3" s="1"/>
  <c r="J25" i="3"/>
  <c r="D25" i="3" s="1"/>
  <c r="H60" i="3"/>
  <c r="I60" i="3" s="1"/>
  <c r="J14" i="3"/>
  <c r="D14" i="3" s="1"/>
  <c r="I14" i="3"/>
  <c r="B14" i="3" s="1"/>
  <c r="F14" i="3"/>
  <c r="K14" i="3"/>
  <c r="E14" i="3" s="1"/>
  <c r="I66" i="3" l="1"/>
  <c r="I40" i="3"/>
  <c r="J60" i="3"/>
  <c r="N5" i="3"/>
  <c r="J66" i="3" l="1"/>
  <c r="M5" i="3"/>
  <c r="L5" i="3"/>
  <c r="K5" i="3"/>
  <c r="C52" i="3" l="1"/>
  <c r="C7" i="3"/>
  <c r="D50" i="3"/>
  <c r="D5" i="3"/>
  <c r="D49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<sst xmlns="http://schemas.openxmlformats.org/spreadsheetml/2006/main" count="268" uniqueCount="151">
  <si>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</si>
  <si>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</si>
  <si>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</si>
  <si>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</si>
  <si>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</si>
  <si>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</si>
  <si>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</si>
  <si>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</si>
  <si>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</si>
  <si>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</si>
  <si>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</si>
  <si>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</si>
  <si>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</si>
  <si>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</si>
  <si>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</si>
  <si>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</si>
  <si>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</si>
  <si>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</si>
  <si>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</si>
  <si>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</si>
  <si>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</si>
  <si>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</si>
  <si>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</si>
  <si>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</si>
  <si>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</si>
  <si>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</si>
  <si>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</si>
  <si>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</si>
  <si>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</si>
  <si>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</si>
  <si>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</si>
  <si>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</si>
  <si>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</si>
  <si>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</si>
  <si>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</si>
  <si>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</si>
  <si>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</si>
  <si>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</si>
  <si>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</si>
  <si>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</si>
  <si>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</si>
  <si>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</si>
  <si>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</si>
  <si>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</si>
  <si>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</si>
  <si>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</si>
  <si>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</si>
  <si>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</si>
  <si>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</si>
  <si>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</si>
  <si>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</si>
  <si>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</si>
  <si>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</si>
  <si>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</si>
  <si>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</si>
  <si>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</si>
  <si>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</si>
  <si>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</si>
  <si>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</si>
  <si>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</si>
  <si>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</si>
  <si>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</si>
  <si>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</si>
  <si>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</si>
  <si>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</si>
  <si>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</si>
  <si>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</si>
  <si>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</si>
  <si>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</si>
  <si>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</si>
  <si>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</si>
  <si>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</si>
  <si>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</si>
  <si>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</si>
  <si>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</si>
  <si>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</si>
  <si>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</si>
  <si>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</si>
  <si>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</si>
  <si>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</si>
  <si>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</si>
  <si>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</si>
  <si>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</si>
  <si>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</si>
  <si>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</si>
  <si>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</si>
  <si>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</si>
  <si>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</si>
  <si>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</si>
  <si>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</si>
  <si>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</si>
  <si>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</si>
  <si>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</si>
  <si>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</si>
  <si>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</si>
  <si>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</si>
  <si>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</si>
  <si>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</si>
  <si>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</si>
  <si>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</si>
  <si>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</si>
  <si>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</si>
  <si>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</si>
  <si>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</si>
  <si>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</si>
  <si>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</si>
  <si>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</si>
  <si>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</si>
  <si>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</si>
  <si>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</si>
  <si>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</si>
  <si>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</si>
  <si>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</si>
  <si>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</si>
  <si>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</si>
  <si>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</si>
  <si>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</si>
  <si>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</si>
  <si>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</si>
  <si>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</si>
  <si>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</si>
  <si>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</si>
  <si>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</si>
  <si>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</si>
  <si>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</si>
  <si>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</si>
  <si>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</si>
  <si>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</si>
  <si>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</si>
  <si>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</si>
  <si>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</si>
  <si>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</si>
  <si>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</si>
  <si>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</si>
  <si>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</si>
  <si>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</si>
  <si>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</si>
  <si>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</si>
  <si>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</si>
  <si>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</si>
  <si>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</si>
  <si>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MELAMIL 18MM</t>
  </si>
  <si>
    <t>SE USÓ ALTERNATIVA DE MERINO</t>
  </si>
  <si>
    <t>N° 10951</t>
  </si>
  <si>
    <t>JAIME TOLOZA</t>
  </si>
  <si>
    <t>5699989 7164</t>
  </si>
  <si>
    <t>CUB CON RESPALDO FRENTE 90° R8</t>
  </si>
  <si>
    <t>CENEFA R8 1V</t>
  </si>
  <si>
    <t>GREY SLATE 4142-60</t>
  </si>
  <si>
    <t>MDF 18MM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</si>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</sst>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42" fontId="10" fillId="0" borderId="0" xfId="3" applyFont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  <xf numFmtId="0" fontId="28" fillId="0" borderId="0" xfId="2" quotePrefix="1" applyFont="1" applyFill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2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26</xdr:row>
      <xdr:rowOff>107</xdr:rowOff>
    </xdr:from>
    <xdr:to>
      <xdr:col>5</xdr:col>
      <xdr:colOff>1422971</xdr:colOff>
      <xdr:row>30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ABONO $ 125.000.-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37</xdr:row>
      <xdr:rowOff>0</xdr:rowOff>
    </xdr:from>
    <xdr:to>
      <xdr:col>4</xdr:col>
      <xdr:colOff>369336</xdr:colOff>
      <xdr:row>37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39</xdr:row>
      <xdr:rowOff>1</xdr:rowOff>
    </xdr:from>
    <xdr:to>
      <xdr:col>4</xdr:col>
      <xdr:colOff>349897</xdr:colOff>
      <xdr:row>39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20</xdr:row>
      <xdr:rowOff>76200</xdr:rowOff>
    </xdr:from>
    <xdr:to>
      <xdr:col>6</xdr:col>
      <xdr:colOff>19049</xdr:colOff>
      <xdr:row>21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6</xdr:col>
      <xdr:colOff>0</xdr:colOff>
      <xdr:row>56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48</xdr:row>
      <xdr:rowOff>228601</xdr:rowOff>
    </xdr:from>
    <xdr:to>
      <xdr:col>6</xdr:col>
      <xdr:colOff>0</xdr:colOff>
      <xdr:row>50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38100</xdr:colOff>
      <xdr:row>65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64</xdr:row>
      <xdr:rowOff>0</xdr:rowOff>
    </xdr:from>
    <xdr:to>
      <xdr:col>2</xdr:col>
      <xdr:colOff>1019175</xdr:colOff>
      <xdr:row>65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64</xdr:row>
      <xdr:rowOff>0</xdr:rowOff>
    </xdr:from>
    <xdr:to>
      <xdr:col>3</xdr:col>
      <xdr:colOff>323850</xdr:colOff>
      <xdr:row>65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0</xdr:rowOff>
    </xdr:from>
    <xdr:to>
      <xdr:col>4</xdr:col>
      <xdr:colOff>257175</xdr:colOff>
      <xdr:row>65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0</xdr:rowOff>
    </xdr:from>
    <xdr:to>
      <xdr:col>5</xdr:col>
      <xdr:colOff>447675</xdr:colOff>
      <xdr:row>65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0</xdr:rowOff>
    </xdr:from>
    <xdr:to>
      <xdr:col>6</xdr:col>
      <xdr:colOff>0</xdr:colOff>
      <xdr:row>65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304800</xdr:colOff>
      <xdr:row>66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65</xdr:row>
      <xdr:rowOff>0</xdr:rowOff>
    </xdr:from>
    <xdr:to>
      <xdr:col>2</xdr:col>
      <xdr:colOff>1276350</xdr:colOff>
      <xdr:row>66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65</xdr:row>
      <xdr:rowOff>0</xdr:rowOff>
    </xdr:from>
    <xdr:to>
      <xdr:col>3</xdr:col>
      <xdr:colOff>619125</xdr:colOff>
      <xdr:row>66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0</xdr:rowOff>
    </xdr:from>
    <xdr:to>
      <xdr:col>4</xdr:col>
      <xdr:colOff>523875</xdr:colOff>
      <xdr:row>66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0</xdr:rowOff>
    </xdr:from>
    <xdr:to>
      <xdr:col>5</xdr:col>
      <xdr:colOff>723900</xdr:colOff>
      <xdr:row>66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0</xdr:rowOff>
    </xdr:from>
    <xdr:to>
      <xdr:col>6</xdr:col>
      <xdr:colOff>0</xdr:colOff>
      <xdr:row>66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39</xdr:row>
      <xdr:rowOff>5714</xdr:rowOff>
    </xdr:from>
    <xdr:to>
      <xdr:col>6</xdr:col>
      <xdr:colOff>0</xdr:colOff>
      <xdr:row>41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CUBIERTAS CORTAR A LA MEDIDA Y ENCHAPAR SIN REGRUESO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29</xdr:row>
      <xdr:rowOff>152400</xdr:rowOff>
    </xdr:from>
    <xdr:to>
      <xdr:col>6</xdr:col>
      <xdr:colOff>9524</xdr:colOff>
      <xdr:row>30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67</xdr:row>
      <xdr:rowOff>28575</xdr:rowOff>
    </xdr:from>
    <xdr:to>
      <xdr:col>5</xdr:col>
      <xdr:colOff>2386965</xdr:colOff>
      <xdr:row>70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CUBIERTAS CORTAR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ENCHAPAR SIN REGRUESO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48</xdr:row>
      <xdr:rowOff>22860</xdr:rowOff>
    </xdr:from>
    <xdr:to>
      <xdr:col>1</xdr:col>
      <xdr:colOff>672223</xdr:colOff>
      <xdr:row>53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304800</xdr:colOff>
      <xdr:row>74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opLeftCell="A5" zoomScale="89" zoomScaleNormal="89" workbookViewId="0">
      <selection activeCell="H29" sqref="H29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143</v>
      </c>
      <c r="E8" s="28"/>
      <c r="F8" s="34" t="s">
        <v>26</v>
      </c>
      <c r="G8" s="35">
        <v>4072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144</v>
      </c>
      <c r="D10" s="56"/>
      <c r="E10" s="56"/>
      <c r="F10" s="57" t="s">
        <v>27</v>
      </c>
      <c r="G10" s="58">
        <v>45425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45429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42" t="s">
        <v>145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6" t="s">
        <v>18</v>
      </c>
      <c r="G16" s="126"/>
      <c r="H16" s="127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1"/>
      <c r="G17" s="131"/>
      <c r="H17" s="132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8" t="s">
        <v>19</v>
      </c>
      <c r="C19" s="129"/>
      <c r="D19" s="129"/>
      <c r="E19" s="129"/>
      <c r="F19" s="129"/>
      <c r="G19" s="129"/>
      <c r="H19" s="130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0">
        <v>1</v>
      </c>
      <c r="C21" s="121" t="s">
        <v>146</v>
      </c>
      <c r="D21" s="124">
        <v>1535</v>
      </c>
      <c r="E21" s="124">
        <v>520</v>
      </c>
      <c r="F21" s="121" t="s">
        <v>148</v>
      </c>
      <c r="G21" s="122"/>
      <c r="H21" s="123">
        <f t="shared" ref="H21" si="0">G21*B21</f>
        <v>0</v>
      </c>
      <c r="I21" s="1"/>
      <c r="K21" s="11">
        <f t="shared" ref="K21:L21" si="1">D21/1000</f>
        <v>1.5349999999999999</v>
      </c>
      <c r="L21" s="14">
        <f t="shared" si="1"/>
        <v>0.52</v>
      </c>
      <c r="M21" s="11">
        <f>K21*L21</f>
        <v>0.79820000000000002</v>
      </c>
      <c r="N21" s="11">
        <f>M21*N$20</f>
        <v>11174.800000000001</v>
      </c>
      <c r="O21" s="14"/>
      <c r="P21" s="20"/>
    </row>
    <row r="22" spans="1:16" ht="19.5" customHeight="1" x14ac:dyDescent="0.35">
      <c r="A22" s="28"/>
      <c r="B22" s="120">
        <v>1</v>
      </c>
      <c r="C22" s="121" t="s">
        <v>146</v>
      </c>
      <c r="D22" s="124">
        <v>2080</v>
      </c>
      <c r="E22" s="124">
        <v>520</v>
      </c>
      <c r="F22" s="121" t="s">
        <v>148</v>
      </c>
      <c r="G22" s="122"/>
      <c r="H22" s="123">
        <f t="shared" ref="H22" si="2">G22*B22</f>
        <v>0</v>
      </c>
      <c r="I22" s="1"/>
      <c r="K22" s="11"/>
      <c r="L22" s="14"/>
      <c r="M22" s="11"/>
      <c r="N22" s="11"/>
      <c r="O22" s="14"/>
      <c r="P22" s="20"/>
    </row>
    <row r="23" spans="1:16" ht="19.5" customHeight="1" x14ac:dyDescent="0.35">
      <c r="A23" s="28"/>
      <c r="B23" s="120">
        <v>1</v>
      </c>
      <c r="C23" s="121" t="s">
        <v>147</v>
      </c>
      <c r="D23" s="124">
        <v>2200</v>
      </c>
      <c r="E23" s="124">
        <v>100</v>
      </c>
      <c r="F23" s="121" t="s">
        <v>148</v>
      </c>
      <c r="G23" s="122"/>
      <c r="H23" s="123">
        <f t="shared" ref="H23:H24" si="3">G23*B23</f>
        <v>0</v>
      </c>
      <c r="I23" s="1"/>
      <c r="K23" s="11"/>
      <c r="L23" s="14"/>
      <c r="M23" s="11"/>
      <c r="N23" s="11"/>
      <c r="O23" s="14"/>
      <c r="P23" s="20"/>
    </row>
    <row r="24" spans="1:16" ht="19.5" customHeight="1" x14ac:dyDescent="0.35">
      <c r="A24" s="28"/>
      <c r="B24" s="120">
        <v>1</v>
      </c>
      <c r="C24" s="121" t="s">
        <v>147</v>
      </c>
      <c r="D24" s="124">
        <v>1500</v>
      </c>
      <c r="E24" s="124">
        <v>100</v>
      </c>
      <c r="F24" s="121" t="s">
        <v>148</v>
      </c>
      <c r="G24" s="122"/>
      <c r="H24" s="123">
        <f t="shared" si="3"/>
        <v>0</v>
      </c>
      <c r="I24" s="1"/>
      <c r="K24" s="11"/>
      <c r="L24" s="14"/>
      <c r="M24" s="11"/>
      <c r="N24" s="11"/>
      <c r="O24" s="14"/>
      <c r="P24" s="20"/>
    </row>
    <row r="25" spans="1:16" ht="19.5" customHeight="1" x14ac:dyDescent="0.35">
      <c r="A25" s="28"/>
      <c r="B25" s="143"/>
      <c r="C25" s="143"/>
      <c r="D25" s="144"/>
      <c r="E25" s="144"/>
      <c r="F25" s="143"/>
      <c r="G25" s="145"/>
      <c r="H25" s="145"/>
      <c r="I25" s="1"/>
      <c r="K25" s="11"/>
      <c r="L25" s="14"/>
      <c r="M25" s="11"/>
      <c r="N25" s="11"/>
      <c r="O25" s="14"/>
      <c r="P25" s="20"/>
    </row>
    <row r="26" spans="1:16" ht="18" customHeight="1" x14ac:dyDescent="0.35">
      <c r="A26" s="28"/>
      <c r="B26" s="37"/>
      <c r="C26" s="37"/>
      <c r="D26" s="38"/>
      <c r="E26" s="38"/>
      <c r="F26" s="37"/>
      <c r="G26" s="39"/>
      <c r="H26" s="39"/>
      <c r="I26" s="1"/>
      <c r="K26" s="11"/>
      <c r="L26" s="14"/>
      <c r="M26" s="11"/>
      <c r="N26" s="11"/>
      <c r="O26" s="14"/>
      <c r="P26" s="20"/>
    </row>
    <row r="27" spans="1:16" ht="8.25" customHeight="1" thickBot="1" x14ac:dyDescent="0.4">
      <c r="A27" s="28"/>
      <c r="B27" s="40"/>
      <c r="C27" s="40"/>
      <c r="D27" s="40"/>
      <c r="E27" s="40"/>
      <c r="F27" s="40"/>
      <c r="G27" s="41"/>
      <c r="H27" s="41"/>
      <c r="I27" s="1"/>
    </row>
    <row r="28" spans="1:16" ht="18" x14ac:dyDescent="0.35">
      <c r="A28" s="28"/>
      <c r="B28" s="28"/>
      <c r="C28" s="28"/>
      <c r="D28" s="28"/>
      <c r="E28" s="28"/>
      <c r="F28" s="28"/>
      <c r="G28" s="42" t="s">
        <v>5</v>
      </c>
      <c r="H28" s="43">
        <v>250000</v>
      </c>
      <c r="I28" s="1"/>
    </row>
    <row r="29" spans="1:16" ht="18" x14ac:dyDescent="0.35">
      <c r="A29" s="28"/>
      <c r="B29" s="28"/>
      <c r="C29" s="28"/>
      <c r="D29" s="28"/>
      <c r="E29" s="28"/>
      <c r="F29" s="28"/>
      <c r="G29" s="44" t="s">
        <v>6</v>
      </c>
      <c r="H29" s="45"/>
      <c r="I29" s="1"/>
    </row>
    <row r="30" spans="1:16" ht="18.600000000000001" thickBot="1" x14ac:dyDescent="0.4">
      <c r="A30" s="28"/>
      <c r="B30" s="28"/>
      <c r="C30" s="28"/>
      <c r="D30" s="28"/>
      <c r="E30" s="28"/>
      <c r="F30" s="28"/>
      <c r="G30" s="46" t="s">
        <v>4</v>
      </c>
      <c r="H30" s="47">
        <f>H28+H29</f>
        <v>250000</v>
      </c>
      <c r="I30" s="1"/>
    </row>
    <row r="31" spans="1:16" ht="18" x14ac:dyDescent="0.35">
      <c r="A31" s="28"/>
      <c r="B31" s="28"/>
      <c r="C31" s="28"/>
      <c r="D31" s="28"/>
      <c r="E31" s="28"/>
      <c r="F31" s="28"/>
      <c r="G31" s="29"/>
      <c r="H31" s="48"/>
      <c r="I31" s="1"/>
    </row>
    <row r="32" spans="1:16" ht="18" x14ac:dyDescent="0.35">
      <c r="A32" s="28"/>
      <c r="B32" s="28"/>
      <c r="C32" s="28"/>
      <c r="D32" s="28"/>
      <c r="E32" s="28"/>
      <c r="F32" s="28"/>
      <c r="G32" s="28"/>
      <c r="H32" s="28"/>
      <c r="I32" s="1"/>
    </row>
    <row r="33" spans="1:9" ht="18" x14ac:dyDescent="0.35">
      <c r="A33" s="28"/>
      <c r="B33" s="49" t="s">
        <v>134</v>
      </c>
      <c r="C33" s="50"/>
      <c r="D33" s="51"/>
      <c r="E33" s="51"/>
      <c r="F33" s="40"/>
      <c r="G33" s="28" t="s">
        <v>142</v>
      </c>
      <c r="H33" s="28"/>
      <c r="I33" s="1"/>
    </row>
    <row r="34" spans="1:9" ht="18" x14ac:dyDescent="0.35">
      <c r="A34" s="28"/>
      <c r="B34" s="49" t="s">
        <v>119</v>
      </c>
      <c r="C34" s="50"/>
      <c r="D34" s="51"/>
      <c r="E34" s="51"/>
      <c r="F34" s="40"/>
      <c r="G34" s="28"/>
      <c r="H34" s="28"/>
      <c r="I34" s="1"/>
    </row>
    <row r="35" spans="1:9" ht="18" x14ac:dyDescent="0.35">
      <c r="A35" s="28"/>
      <c r="B35" s="28" t="s">
        <v>24</v>
      </c>
      <c r="C35" s="28"/>
      <c r="D35" s="28"/>
      <c r="E35" s="52" t="s">
        <v>25</v>
      </c>
      <c r="F35" s="28"/>
      <c r="G35" s="28"/>
      <c r="H35" s="28"/>
      <c r="I35" s="1"/>
    </row>
    <row r="36" spans="1:9" ht="18" x14ac:dyDescent="0.35">
      <c r="A36" s="28"/>
      <c r="B36" s="28"/>
      <c r="C36" s="28"/>
      <c r="D36" s="28"/>
      <c r="E36" s="52"/>
      <c r="F36" s="28"/>
      <c r="G36" s="28"/>
      <c r="H36" s="28"/>
      <c r="I36" s="1"/>
    </row>
    <row r="37" spans="1:9" ht="18" x14ac:dyDescent="0.35">
      <c r="A37" s="28"/>
      <c r="B37" s="30" t="s">
        <v>130</v>
      </c>
      <c r="C37" s="30"/>
      <c r="D37" s="30"/>
      <c r="E37" s="53"/>
      <c r="F37" s="28"/>
      <c r="G37" s="28"/>
      <c r="H37" s="28"/>
      <c r="I37" s="1"/>
    </row>
    <row r="38" spans="1:9" ht="18" x14ac:dyDescent="0.35">
      <c r="A38" s="28"/>
      <c r="B38" s="30"/>
      <c r="C38" s="30"/>
      <c r="D38" s="30"/>
      <c r="E38" s="53"/>
      <c r="F38" s="28"/>
      <c r="G38" s="28"/>
      <c r="H38" s="28"/>
      <c r="I38" s="1"/>
    </row>
    <row r="39" spans="1:9" ht="18" x14ac:dyDescent="0.35">
      <c r="A39" s="28"/>
      <c r="B39" s="30" t="s">
        <v>131</v>
      </c>
      <c r="C39" s="28"/>
      <c r="D39" s="28"/>
      <c r="E39" s="52"/>
      <c r="F39" s="28"/>
      <c r="G39" s="28"/>
      <c r="H39" s="28"/>
      <c r="I39" s="1"/>
    </row>
    <row r="40" spans="1:9" ht="15.6" x14ac:dyDescent="0.3">
      <c r="A40" s="1"/>
      <c r="B40" s="1"/>
      <c r="C40" s="1"/>
      <c r="D40" s="1"/>
      <c r="E40" s="22"/>
      <c r="F40" s="1"/>
      <c r="G40" s="1"/>
      <c r="H40" s="1"/>
      <c r="I40" s="1"/>
    </row>
    <row r="41" spans="1:9" ht="15.6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5.6" x14ac:dyDescent="0.3">
      <c r="C43" s="1"/>
    </row>
  </sheetData>
  <sortState xmlns:xlrd2="http://schemas.microsoft.com/office/spreadsheetml/2017/richdata2" ref="B44">
    <sortCondition sortBy="fontColor" ref="B44" dxfId="0"/>
  </sortState>
  <mergeCells count="3">
    <mergeCell ref="F16:H16"/>
    <mergeCell ref="B19:H19"/>
    <mergeCell ref="F17:H17"/>
  </mergeCells>
  <phoneticPr fontId="8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3" t="s">
        <v>29</v>
      </c>
      <c r="C2" s="133"/>
      <c r="D2" s="133"/>
      <c r="E2" s="12"/>
      <c r="G2" s="133" t="s">
        <v>68</v>
      </c>
      <c r="H2" s="133"/>
      <c r="I2" s="133"/>
      <c r="P2" s="134" t="s">
        <v>56</v>
      </c>
      <c r="Q2" s="134"/>
      <c r="R2" s="134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4" t="s">
        <v>56</v>
      </c>
      <c r="M8" s="134"/>
      <c r="N8" s="134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5"/>
  <sheetViews>
    <sheetView tabSelected="1" topLeftCell="A39" zoomScaleNormal="100" workbookViewId="0">
      <selection activeCell="A47" sqref="A47:F72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5" t="s">
        <v>59</v>
      </c>
      <c r="L3" s="135"/>
      <c r="M3" s="135" t="s">
        <v>14</v>
      </c>
      <c r="N3" s="135"/>
    </row>
    <row r="4" spans="1:14" ht="15.75" customHeight="1" x14ac:dyDescent="0.4">
      <c r="A4" s="74"/>
      <c r="B4" s="74"/>
      <c r="C4" s="75" t="s">
        <v>26</v>
      </c>
      <c r="D4" s="76">
        <f>'4637'!G8</f>
        <v>4072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JAIME TOLOZA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6" t="s">
        <v>59</v>
      </c>
      <c r="B10" s="136"/>
      <c r="C10" s="136"/>
      <c r="D10" s="136"/>
      <c r="E10" s="136"/>
      <c r="F10" s="136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-30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149</v>
      </c>
      <c r="B14" s="101">
        <f t="shared" ref="B14" si="0">I14</f>
        <v>1</v>
      </c>
      <c r="C14" s="102"/>
      <c r="D14" s="103">
        <f>J14+D$13</f>
        <v>1585</v>
      </c>
      <c r="E14" s="103">
        <f>K14+E$13</f>
        <v>490</v>
      </c>
      <c r="F14" s="118" t="str">
        <f t="shared" ref="F14" si="1">C34</f>
        <v>CUB CON RESPALDO FRENTE 90° R8</v>
      </c>
      <c r="G14" s="28"/>
      <c r="I14" s="3">
        <f>B34</f>
        <v>1</v>
      </c>
      <c r="J14" s="4">
        <f>D34</f>
        <v>1535</v>
      </c>
      <c r="K14" s="4">
        <f>E34</f>
        <v>520</v>
      </c>
    </row>
    <row r="15" spans="1:14" ht="21.6" thickBot="1" x14ac:dyDescent="0.45">
      <c r="A15" s="114"/>
      <c r="B15" s="101">
        <f t="shared" ref="B15" si="2">I15</f>
        <v>1</v>
      </c>
      <c r="C15" s="102"/>
      <c r="D15" s="103">
        <f t="shared" ref="D15" si="3">J15+D$13</f>
        <v>2130</v>
      </c>
      <c r="E15" s="103">
        <f t="shared" ref="E15" si="4">K15+E$13</f>
        <v>490</v>
      </c>
      <c r="F15" s="118" t="str">
        <f>C35</f>
        <v>CUB CON RESPALDO FRENTE 90° R8</v>
      </c>
      <c r="G15" s="28"/>
      <c r="I15" s="3">
        <f>B35</f>
        <v>1</v>
      </c>
      <c r="J15" s="4">
        <f t="shared" ref="J15:K15" si="5">D35</f>
        <v>2080</v>
      </c>
      <c r="K15" s="4">
        <f t="shared" si="5"/>
        <v>520</v>
      </c>
    </row>
    <row r="16" spans="1:14" ht="21" x14ac:dyDescent="0.4">
      <c r="A16" s="84" t="s">
        <v>9</v>
      </c>
      <c r="B16" s="97" t="s">
        <v>10</v>
      </c>
      <c r="C16" s="98" t="s">
        <v>11</v>
      </c>
      <c r="D16" s="99">
        <v>50</v>
      </c>
      <c r="E16" s="99"/>
      <c r="F16" s="100" t="s">
        <v>107</v>
      </c>
      <c r="G16" s="28"/>
      <c r="J16" s="5" t="s">
        <v>7</v>
      </c>
      <c r="K16" s="5" t="s">
        <v>8</v>
      </c>
    </row>
    <row r="17" spans="1:11" ht="21" x14ac:dyDescent="0.4">
      <c r="A17" s="114" t="s">
        <v>141</v>
      </c>
      <c r="B17" s="103">
        <f>I17</f>
        <v>1</v>
      </c>
      <c r="C17" s="102"/>
      <c r="D17" s="103">
        <f>J17+D16</f>
        <v>2250</v>
      </c>
      <c r="E17" s="103">
        <f>K17</f>
        <v>100</v>
      </c>
      <c r="F17" s="117" t="s">
        <v>147</v>
      </c>
      <c r="G17" s="28"/>
      <c r="I17" s="149">
        <f>I27</f>
        <v>1</v>
      </c>
      <c r="J17" s="148">
        <f>J27</f>
        <v>2200</v>
      </c>
      <c r="K17" s="148">
        <f>K27</f>
        <v>100</v>
      </c>
    </row>
    <row r="18" spans="1:11" ht="21" x14ac:dyDescent="0.4">
      <c r="A18" s="114"/>
      <c r="B18" s="103">
        <f>I18</f>
        <v>1</v>
      </c>
      <c r="C18" s="102"/>
      <c r="D18" s="103">
        <f>J18+D16</f>
        <v>1550</v>
      </c>
      <c r="E18" s="103">
        <f>K18</f>
        <v>100</v>
      </c>
      <c r="F18" s="117" t="s">
        <v>147</v>
      </c>
      <c r="G18" s="28"/>
      <c r="I18" s="149">
        <f>I28</f>
        <v>1</v>
      </c>
      <c r="J18" s="148">
        <f>J28</f>
        <v>1500</v>
      </c>
      <c r="K18" s="148">
        <f>K28</f>
        <v>100</v>
      </c>
    </row>
    <row r="19" spans="1:11" ht="21" x14ac:dyDescent="0.4">
      <c r="A19" s="89"/>
      <c r="B19" s="91"/>
      <c r="C19" s="110"/>
      <c r="D19" s="91"/>
      <c r="E19" s="91"/>
      <c r="F19" s="91"/>
      <c r="G19" s="28"/>
      <c r="I19" s="2"/>
      <c r="J19" s="2"/>
      <c r="K19" s="2"/>
    </row>
    <row r="20" spans="1:11" ht="6.75" customHeight="1" x14ac:dyDescent="0.4">
      <c r="A20" s="74"/>
      <c r="B20" s="74"/>
      <c r="C20" s="74"/>
      <c r="D20" s="74"/>
      <c r="E20" s="74"/>
      <c r="F20" s="74"/>
      <c r="G20" s="28"/>
    </row>
    <row r="21" spans="1:11" ht="21" x14ac:dyDescent="0.4">
      <c r="A21" s="136" t="s">
        <v>14</v>
      </c>
      <c r="B21" s="136"/>
      <c r="C21" s="136"/>
      <c r="D21" s="136"/>
      <c r="E21" s="136"/>
      <c r="F21" s="136"/>
      <c r="G21" s="28"/>
    </row>
    <row r="22" spans="1:11" ht="10.5" customHeight="1" x14ac:dyDescent="0.4">
      <c r="A22" s="74"/>
      <c r="B22" s="74"/>
      <c r="C22" s="96"/>
      <c r="D22" s="74"/>
      <c r="E22" s="74"/>
      <c r="F22" s="74"/>
      <c r="G22" s="28"/>
    </row>
    <row r="23" spans="1:11" ht="21" x14ac:dyDescent="0.4">
      <c r="A23" s="74"/>
      <c r="B23" s="74"/>
      <c r="C23" s="74"/>
      <c r="D23" s="84" t="s">
        <v>7</v>
      </c>
      <c r="E23" s="84" t="s">
        <v>8</v>
      </c>
      <c r="F23" s="74"/>
      <c r="G23" s="28"/>
    </row>
    <row r="24" spans="1:11" ht="21" x14ac:dyDescent="0.4">
      <c r="A24" s="84" t="s">
        <v>9</v>
      </c>
      <c r="B24" s="104" t="s">
        <v>10</v>
      </c>
      <c r="C24" s="104" t="s">
        <v>11</v>
      </c>
      <c r="D24" s="105">
        <v>40</v>
      </c>
      <c r="E24" s="105">
        <v>130</v>
      </c>
      <c r="F24" s="104" t="s">
        <v>107</v>
      </c>
      <c r="G24" s="28"/>
      <c r="J24" s="5" t="s">
        <v>7</v>
      </c>
      <c r="K24" s="5" t="s">
        <v>8</v>
      </c>
    </row>
    <row r="25" spans="1:11" ht="18.75" customHeight="1" x14ac:dyDescent="0.4">
      <c r="A25" s="114"/>
      <c r="B25" s="103">
        <f t="shared" ref="B25" si="6">I25</f>
        <v>1</v>
      </c>
      <c r="C25" s="102"/>
      <c r="D25" s="103">
        <f>J25+D$24</f>
        <v>1575</v>
      </c>
      <c r="E25" s="103">
        <f t="shared" ref="E25" si="7">K25+E$24</f>
        <v>650</v>
      </c>
      <c r="F25" s="117" t="str">
        <f t="shared" ref="F25" si="8">C34</f>
        <v>CUB CON RESPALDO FRENTE 90° R8</v>
      </c>
      <c r="G25" s="28"/>
      <c r="I25" s="3">
        <f t="shared" ref="I25" si="9">B34</f>
        <v>1</v>
      </c>
      <c r="J25" s="4">
        <f>D34</f>
        <v>1535</v>
      </c>
      <c r="K25" s="4">
        <f>E34</f>
        <v>520</v>
      </c>
    </row>
    <row r="26" spans="1:11" ht="18.75" customHeight="1" x14ac:dyDescent="0.4">
      <c r="A26" s="114"/>
      <c r="B26" s="103">
        <f t="shared" ref="B26" si="10">I26</f>
        <v>1</v>
      </c>
      <c r="C26" s="102"/>
      <c r="D26" s="103">
        <f t="shared" ref="D26" si="11">J26+D$24</f>
        <v>2120</v>
      </c>
      <c r="E26" s="103">
        <f t="shared" ref="E26" si="12">K26+E$24</f>
        <v>650</v>
      </c>
      <c r="F26" s="117" t="str">
        <f>C35</f>
        <v>CUB CON RESPALDO FRENTE 90° R8</v>
      </c>
      <c r="G26" s="28"/>
      <c r="I26" s="3">
        <f>B35</f>
        <v>1</v>
      </c>
      <c r="J26" s="4">
        <f t="shared" ref="J26:K26" si="13">D35</f>
        <v>2080</v>
      </c>
      <c r="K26" s="4">
        <f t="shared" si="13"/>
        <v>520</v>
      </c>
    </row>
    <row r="27" spans="1:11" ht="18.75" customHeight="1" x14ac:dyDescent="0.4">
      <c r="A27" s="114"/>
      <c r="B27" s="103">
        <f t="shared" ref="B27:B28" si="14">I27</f>
        <v>1</v>
      </c>
      <c r="C27" s="102"/>
      <c r="D27" s="103">
        <f t="shared" ref="D27:D28" si="15">J27+D$24</f>
        <v>2240</v>
      </c>
      <c r="E27" s="103">
        <f>K27+60</f>
        <v>160</v>
      </c>
      <c r="F27" s="117" t="str">
        <f t="shared" ref="F27:F28" si="16">C36</f>
        <v>CENEFA R8 1V</v>
      </c>
      <c r="G27" s="28"/>
      <c r="I27" s="3">
        <f t="shared" ref="I27:I28" si="17">B36</f>
        <v>1</v>
      </c>
      <c r="J27" s="4">
        <f t="shared" ref="J27:J28" si="18">D36</f>
        <v>2200</v>
      </c>
      <c r="K27" s="4">
        <f t="shared" ref="K27:K28" si="19">E36</f>
        <v>100</v>
      </c>
    </row>
    <row r="28" spans="1:11" ht="18.75" customHeight="1" x14ac:dyDescent="0.4">
      <c r="A28" s="114"/>
      <c r="B28" s="103">
        <f t="shared" si="14"/>
        <v>1</v>
      </c>
      <c r="C28" s="102"/>
      <c r="D28" s="103">
        <f t="shared" si="15"/>
        <v>1540</v>
      </c>
      <c r="E28" s="103">
        <f>K28+60</f>
        <v>160</v>
      </c>
      <c r="F28" s="117" t="str">
        <f t="shared" si="16"/>
        <v>CENEFA R8 1V</v>
      </c>
      <c r="G28" s="28"/>
      <c r="I28" s="3">
        <f t="shared" si="17"/>
        <v>1</v>
      </c>
      <c r="J28" s="4">
        <f t="shared" si="18"/>
        <v>1500</v>
      </c>
      <c r="K28" s="4">
        <f t="shared" si="19"/>
        <v>100</v>
      </c>
    </row>
    <row r="29" spans="1:11" ht="18.75" customHeight="1" x14ac:dyDescent="0.4">
      <c r="A29" s="114"/>
      <c r="B29" s="91"/>
      <c r="C29" s="110"/>
      <c r="D29" s="91"/>
      <c r="E29" s="91"/>
      <c r="F29" s="91"/>
      <c r="G29" s="28"/>
      <c r="I29" s="115"/>
      <c r="J29" s="2"/>
      <c r="K29" s="2"/>
    </row>
    <row r="30" spans="1:11" ht="21" x14ac:dyDescent="0.4">
      <c r="A30" s="89"/>
      <c r="B30" s="91"/>
      <c r="C30" s="91"/>
      <c r="D30" s="91"/>
      <c r="E30" s="91"/>
      <c r="F30" s="91"/>
      <c r="G30" s="28"/>
      <c r="I30" s="2"/>
      <c r="J30" s="2"/>
      <c r="K30" s="2"/>
    </row>
    <row r="31" spans="1:11" ht="21" x14ac:dyDescent="0.4">
      <c r="A31" s="84"/>
      <c r="B31" s="96"/>
      <c r="C31" s="96"/>
      <c r="D31" s="96"/>
      <c r="E31" s="96"/>
      <c r="F31" s="96"/>
      <c r="G31" s="28"/>
      <c r="I31" s="2"/>
      <c r="J31" s="2"/>
      <c r="K31" s="2"/>
    </row>
    <row r="32" spans="1:11" ht="10.5" customHeight="1" thickBot="1" x14ac:dyDescent="0.45">
      <c r="A32" s="74"/>
      <c r="B32" s="74"/>
      <c r="C32" s="74"/>
      <c r="D32" s="74"/>
      <c r="E32" s="74"/>
      <c r="F32" s="74"/>
      <c r="G32" s="28"/>
    </row>
    <row r="33" spans="1:9" ht="21" x14ac:dyDescent="0.4">
      <c r="A33" s="84" t="s">
        <v>9</v>
      </c>
      <c r="B33" s="106" t="s">
        <v>10</v>
      </c>
      <c r="C33" s="107" t="s">
        <v>107</v>
      </c>
      <c r="D33" s="107" t="s">
        <v>7</v>
      </c>
      <c r="E33" s="107" t="s">
        <v>8</v>
      </c>
      <c r="F33" s="108" t="s">
        <v>22</v>
      </c>
      <c r="G33" s="28"/>
    </row>
    <row r="34" spans="1:9" ht="21" x14ac:dyDescent="0.4">
      <c r="A34" s="114" t="s">
        <v>150</v>
      </c>
      <c r="B34" s="101">
        <f>'4637'!B21</f>
        <v>1</v>
      </c>
      <c r="C34" s="4" t="str">
        <f>'4637'!C21</f>
        <v>CUB CON RESPALDO FRENTE 90° R8</v>
      </c>
      <c r="D34" s="103">
        <f>'4637'!D21</f>
        <v>1535</v>
      </c>
      <c r="E34" s="103">
        <f>'4637'!E21</f>
        <v>520</v>
      </c>
      <c r="F34" s="119" t="str">
        <f>'4637'!F21</f>
        <v>GREY SLATE 4142-60</v>
      </c>
      <c r="G34" s="28"/>
      <c r="H34" s="27">
        <f>D34*E34/1000000</f>
        <v>0.79820000000000002</v>
      </c>
      <c r="I34" s="27">
        <f>H34*B34</f>
        <v>0.79820000000000002</v>
      </c>
    </row>
    <row r="35" spans="1:9" ht="21" x14ac:dyDescent="0.4">
      <c r="A35" s="114"/>
      <c r="B35" s="101">
        <f>'4637'!B22</f>
        <v>1</v>
      </c>
      <c r="C35" s="4" t="str">
        <f>'4637'!C22</f>
        <v>CUB CON RESPALDO FRENTE 90° R8</v>
      </c>
      <c r="D35" s="103">
        <f>'4637'!D22</f>
        <v>2080</v>
      </c>
      <c r="E35" s="103">
        <f>'4637'!E22</f>
        <v>520</v>
      </c>
      <c r="F35" s="119" t="str">
        <f>'4637'!F22</f>
        <v>GREY SLATE 4142-60</v>
      </c>
      <c r="G35" s="28"/>
      <c r="H35" s="27"/>
      <c r="I35" s="27"/>
    </row>
    <row r="36" spans="1:9" ht="21" x14ac:dyDescent="0.4">
      <c r="A36" s="114" t="s">
        <v>141</v>
      </c>
      <c r="B36" s="101">
        <f>'4637'!B23</f>
        <v>1</v>
      </c>
      <c r="C36" s="4" t="str">
        <f>'4637'!C23</f>
        <v>CENEFA R8 1V</v>
      </c>
      <c r="D36" s="103">
        <f>'4637'!D23</f>
        <v>2200</v>
      </c>
      <c r="E36" s="103">
        <f>'4637'!E23</f>
        <v>100</v>
      </c>
      <c r="F36" s="119" t="str">
        <f>'4637'!F23</f>
        <v>GREY SLATE 4142-60</v>
      </c>
      <c r="G36" s="28"/>
      <c r="H36" s="27"/>
      <c r="I36" s="27"/>
    </row>
    <row r="37" spans="1:9" ht="21" x14ac:dyDescent="0.4">
      <c r="A37" s="114"/>
      <c r="B37" s="101">
        <f>'4637'!B24</f>
        <v>1</v>
      </c>
      <c r="C37" s="4" t="str">
        <f>'4637'!C24</f>
        <v>CENEFA R8 1V</v>
      </c>
      <c r="D37" s="103">
        <f>'4637'!D24</f>
        <v>1500</v>
      </c>
      <c r="E37" s="103">
        <f>'4637'!E24</f>
        <v>100</v>
      </c>
      <c r="F37" s="119" t="str">
        <f>'4637'!F24</f>
        <v>GREY SLATE 4142-60</v>
      </c>
      <c r="G37" s="28"/>
      <c r="H37" s="27"/>
      <c r="I37" s="27"/>
    </row>
    <row r="38" spans="1:9" ht="21" x14ac:dyDescent="0.4">
      <c r="A38" s="114"/>
      <c r="B38" s="147"/>
      <c r="C38" s="148"/>
      <c r="D38" s="147"/>
      <c r="E38" s="147"/>
      <c r="F38" s="148"/>
      <c r="G38" s="28"/>
      <c r="H38" s="27"/>
      <c r="I38" s="27"/>
    </row>
    <row r="39" spans="1:9" ht="21" x14ac:dyDescent="0.4">
      <c r="A39" s="89"/>
      <c r="B39" s="91"/>
      <c r="C39" s="91"/>
      <c r="D39" s="91"/>
      <c r="E39" s="91"/>
      <c r="F39" s="91"/>
      <c r="G39" s="28"/>
      <c r="H39" s="27"/>
      <c r="I39" s="27"/>
    </row>
    <row r="40" spans="1:9" ht="21" x14ac:dyDescent="0.4">
      <c r="A40" s="74"/>
      <c r="B40" s="91"/>
      <c r="C40" s="91"/>
      <c r="D40" s="91"/>
      <c r="E40" s="91"/>
      <c r="F40" s="91"/>
      <c r="G40" s="28"/>
      <c r="I40" s="27">
        <f>SUM(I34:I34)*2</f>
        <v>1.5964</v>
      </c>
    </row>
    <row r="41" spans="1:9" ht="21" x14ac:dyDescent="0.4">
      <c r="A41" s="74"/>
      <c r="B41" s="91"/>
      <c r="C41" s="91"/>
      <c r="D41" s="91"/>
      <c r="E41" s="91"/>
      <c r="F41" s="91"/>
      <c r="G41" s="28"/>
    </row>
    <row r="42" spans="1:9" ht="21" x14ac:dyDescent="0.4">
      <c r="A42" s="74"/>
      <c r="B42" s="91"/>
      <c r="C42" s="91"/>
      <c r="D42" s="91"/>
      <c r="E42" s="91"/>
      <c r="F42" s="91"/>
      <c r="G42" s="28"/>
    </row>
    <row r="43" spans="1:9" ht="21" x14ac:dyDescent="0.4">
      <c r="A43" s="74"/>
      <c r="B43" s="91"/>
      <c r="C43" s="91"/>
      <c r="D43" s="91"/>
      <c r="E43" s="91"/>
      <c r="F43" s="91"/>
      <c r="G43" s="28"/>
    </row>
    <row r="44" spans="1:9" ht="21" x14ac:dyDescent="0.4">
      <c r="A44" s="74"/>
      <c r="B44" s="91"/>
      <c r="C44" s="91"/>
      <c r="D44" s="91"/>
      <c r="E44" s="91"/>
      <c r="F44" s="91"/>
      <c r="G44" s="28"/>
    </row>
    <row r="45" spans="1:9" ht="18" x14ac:dyDescent="0.35">
      <c r="A45" s="28"/>
      <c r="B45" s="54"/>
      <c r="C45" s="54"/>
      <c r="D45" s="54"/>
      <c r="E45" s="54"/>
      <c r="F45" s="54"/>
      <c r="G45" s="28"/>
    </row>
    <row r="46" spans="1:9" ht="18" x14ac:dyDescent="0.35">
      <c r="A46" s="28"/>
      <c r="B46" s="54"/>
      <c r="C46" s="54"/>
      <c r="D46" s="54"/>
      <c r="E46" s="54"/>
      <c r="F46" s="54"/>
      <c r="G46" s="28"/>
    </row>
    <row r="47" spans="1:9" ht="18" x14ac:dyDescent="0.35">
      <c r="A47" s="28"/>
      <c r="B47" s="54"/>
      <c r="C47" s="54"/>
      <c r="D47" s="54"/>
      <c r="E47" s="54"/>
      <c r="F47" s="54"/>
      <c r="G47" s="28"/>
    </row>
    <row r="48" spans="1:9" ht="21" x14ac:dyDescent="0.4">
      <c r="A48" s="74"/>
      <c r="B48" s="74"/>
      <c r="C48" s="74"/>
      <c r="D48" s="74"/>
      <c r="E48" s="74"/>
      <c r="F48" s="74"/>
      <c r="G48" s="28"/>
    </row>
    <row r="49" spans="1:12" ht="21" x14ac:dyDescent="0.4">
      <c r="A49" s="74"/>
      <c r="B49" s="74"/>
      <c r="C49" s="75" t="s">
        <v>26</v>
      </c>
      <c r="D49" s="76">
        <f>'4637'!G8</f>
        <v>4072</v>
      </c>
      <c r="E49" s="74"/>
      <c r="F49" s="74"/>
      <c r="G49" s="28"/>
    </row>
    <row r="50" spans="1:12" ht="17.25" customHeight="1" x14ac:dyDescent="0.4">
      <c r="A50" s="74"/>
      <c r="B50" s="74"/>
      <c r="C50" s="77" t="s">
        <v>65</v>
      </c>
      <c r="D50" s="78" t="str">
        <f>'4637'!C10</f>
        <v>JAIME TOLOZA</v>
      </c>
      <c r="E50" s="79"/>
      <c r="F50" s="79"/>
      <c r="G50" s="28"/>
    </row>
    <row r="51" spans="1:12" ht="4.5" customHeight="1" x14ac:dyDescent="0.4">
      <c r="A51" s="74"/>
      <c r="B51" s="74"/>
      <c r="C51" s="80"/>
      <c r="D51" s="81"/>
      <c r="E51" s="74"/>
      <c r="F51" s="74"/>
      <c r="G51" s="28"/>
    </row>
    <row r="52" spans="1:12" ht="21" x14ac:dyDescent="0.4">
      <c r="A52" s="74"/>
      <c r="B52" s="74"/>
      <c r="C52" s="82" t="str">
        <f>'4637'!F11</f>
        <v>FECHA LIMITE :</v>
      </c>
      <c r="D52" s="83"/>
      <c r="E52" s="74"/>
      <c r="F52" s="74"/>
      <c r="G52" s="28"/>
    </row>
    <row r="53" spans="1:12" ht="21" x14ac:dyDescent="0.4">
      <c r="A53" s="74"/>
      <c r="B53" s="74"/>
      <c r="C53" s="74"/>
      <c r="D53" s="74"/>
      <c r="E53" s="74" t="s">
        <v>137</v>
      </c>
      <c r="F53" s="74" t="s">
        <v>138</v>
      </c>
      <c r="G53" s="28"/>
    </row>
    <row r="54" spans="1:12" ht="21" x14ac:dyDescent="0.4">
      <c r="A54" s="74"/>
      <c r="B54" s="74"/>
      <c r="C54" s="74"/>
      <c r="D54" s="74"/>
      <c r="E54" s="74" t="str" cm="1">
        <f t="array" ref="E54:F54">'4637'!B17:C17</f>
        <v>CIUDAD:</v>
      </c>
      <c r="F54" s="74" t="str">
        <v>SANTIAGO</v>
      </c>
      <c r="G54" s="28"/>
    </row>
    <row r="55" spans="1:12" ht="21" x14ac:dyDescent="0.4">
      <c r="A55" s="74"/>
      <c r="B55" s="74"/>
      <c r="C55" s="74"/>
      <c r="D55" s="74"/>
      <c r="E55" s="74"/>
      <c r="F55" s="74"/>
      <c r="G55" s="28"/>
    </row>
    <row r="56" spans="1:12" ht="21" x14ac:dyDescent="0.4">
      <c r="A56" s="137" t="s">
        <v>66</v>
      </c>
      <c r="B56" s="136"/>
      <c r="C56" s="136"/>
      <c r="D56" s="136"/>
      <c r="E56" s="136"/>
      <c r="F56" s="136"/>
      <c r="G56" s="28"/>
    </row>
    <row r="57" spans="1:12" ht="21" x14ac:dyDescent="0.4">
      <c r="A57" s="74"/>
      <c r="B57" s="74"/>
      <c r="C57" s="74"/>
      <c r="D57" s="74"/>
      <c r="E57" s="74"/>
      <c r="F57" s="74"/>
      <c r="G57" s="28"/>
    </row>
    <row r="58" spans="1:12" ht="18.600000000000001" customHeight="1" x14ac:dyDescent="0.4">
      <c r="A58" s="74"/>
      <c r="B58" s="138" t="s">
        <v>67</v>
      </c>
      <c r="C58" s="139"/>
      <c r="D58" s="140"/>
      <c r="E58" s="140"/>
      <c r="F58" s="141"/>
      <c r="G58" s="28"/>
      <c r="H58" s="24" t="s">
        <v>129</v>
      </c>
    </row>
    <row r="59" spans="1:12" s="10" customFormat="1" ht="16.5" customHeight="1" x14ac:dyDescent="0.4">
      <c r="A59" s="74"/>
      <c r="B59" s="85" t="s">
        <v>10</v>
      </c>
      <c r="C59" s="86" t="s">
        <v>11</v>
      </c>
      <c r="D59" s="87" t="s">
        <v>7</v>
      </c>
      <c r="E59" s="87" t="s">
        <v>8</v>
      </c>
      <c r="F59" s="88" t="s">
        <v>12</v>
      </c>
      <c r="G59" s="28"/>
      <c r="J59" s="10">
        <v>14000</v>
      </c>
    </row>
    <row r="60" spans="1:12" s="10" customFormat="1" ht="21" customHeight="1" x14ac:dyDescent="0.4">
      <c r="A60" s="146" t="s">
        <v>149</v>
      </c>
      <c r="B60" s="85">
        <f>'4637'!B21</f>
        <v>1</v>
      </c>
      <c r="C60" s="116" t="str">
        <f>'4637'!C21</f>
        <v>CUB CON RESPALDO FRENTE 90° R8</v>
      </c>
      <c r="D60" s="90">
        <f>'4637'!D21</f>
        <v>1535</v>
      </c>
      <c r="E60" s="90">
        <f>'4637'!E21</f>
        <v>520</v>
      </c>
      <c r="F60" s="116" t="str">
        <f>'4637'!F21</f>
        <v>GREY SLATE 4142-60</v>
      </c>
      <c r="G60" s="28"/>
      <c r="H60" s="10">
        <f>D60*E60/1000000</f>
        <v>0.79820000000000002</v>
      </c>
      <c r="I60" s="10">
        <f>H60*B60</f>
        <v>0.79820000000000002</v>
      </c>
      <c r="J60" s="25">
        <f t="shared" ref="J60" si="20">I60*J$59</f>
        <v>11174.800000000001</v>
      </c>
      <c r="L60" s="23">
        <v>12096</v>
      </c>
    </row>
    <row r="61" spans="1:12" s="10" customFormat="1" ht="21" customHeight="1" x14ac:dyDescent="0.4">
      <c r="A61" s="114"/>
      <c r="B61" s="85">
        <f>'4637'!B22</f>
        <v>1</v>
      </c>
      <c r="C61" s="116" t="str">
        <f>'4637'!C22</f>
        <v>CUB CON RESPALDO FRENTE 90° R8</v>
      </c>
      <c r="D61" s="90">
        <f>'4637'!D22</f>
        <v>2080</v>
      </c>
      <c r="E61" s="90">
        <f>'4637'!E22</f>
        <v>520</v>
      </c>
      <c r="F61" s="116" t="str">
        <f>'4637'!F22</f>
        <v>GREY SLATE 4142-60</v>
      </c>
      <c r="G61" s="28"/>
      <c r="J61" s="25"/>
      <c r="L61" s="125"/>
    </row>
    <row r="62" spans="1:12" s="10" customFormat="1" ht="21" customHeight="1" x14ac:dyDescent="0.4">
      <c r="A62" s="114" t="s">
        <v>141</v>
      </c>
      <c r="B62" s="85">
        <f>'4637'!B23</f>
        <v>1</v>
      </c>
      <c r="C62" s="116" t="str">
        <f>'4637'!C23</f>
        <v>CENEFA R8 1V</v>
      </c>
      <c r="D62" s="90">
        <f>'4637'!D23</f>
        <v>2200</v>
      </c>
      <c r="E62" s="90">
        <f>'4637'!E23</f>
        <v>100</v>
      </c>
      <c r="F62" s="116" t="str">
        <f>'4637'!F23</f>
        <v>GREY SLATE 4142-60</v>
      </c>
      <c r="G62" s="28"/>
      <c r="J62" s="25"/>
      <c r="L62" s="125"/>
    </row>
    <row r="63" spans="1:12" s="10" customFormat="1" ht="21" customHeight="1" x14ac:dyDescent="0.4">
      <c r="A63" s="114"/>
      <c r="B63" s="85">
        <f>'4637'!B24</f>
        <v>1</v>
      </c>
      <c r="C63" s="116" t="str">
        <f>'4637'!C24</f>
        <v>CENEFA R8 1V</v>
      </c>
      <c r="D63" s="90">
        <f>'4637'!D24</f>
        <v>1500</v>
      </c>
      <c r="E63" s="90">
        <f>'4637'!E24</f>
        <v>100</v>
      </c>
      <c r="F63" s="116" t="str">
        <f>'4637'!F24</f>
        <v>GREY SLATE 4142-60</v>
      </c>
      <c r="G63" s="28"/>
      <c r="J63" s="25"/>
      <c r="L63" s="125"/>
    </row>
    <row r="64" spans="1:12" s="10" customFormat="1" ht="15" customHeight="1" x14ac:dyDescent="0.4">
      <c r="A64" s="89"/>
      <c r="B64" s="84"/>
      <c r="C64" s="84"/>
      <c r="D64" s="84"/>
      <c r="E64" s="84"/>
      <c r="F64" s="84"/>
      <c r="G64" s="28"/>
    </row>
    <row r="65" spans="1:10" ht="21" x14ac:dyDescent="0.4">
      <c r="A65" s="91"/>
      <c r="B65" s="91"/>
      <c r="C65" s="74"/>
      <c r="D65" s="91"/>
      <c r="E65" s="91"/>
      <c r="F65" s="80"/>
      <c r="G65" s="28"/>
    </row>
    <row r="66" spans="1:10" ht="21" x14ac:dyDescent="0.4">
      <c r="A66" s="91"/>
      <c r="B66" s="91"/>
      <c r="C66" s="74"/>
      <c r="D66" s="91"/>
      <c r="E66" s="91"/>
      <c r="F66" s="91"/>
      <c r="G66" s="28"/>
      <c r="I66" s="10">
        <f>SUM(I60:I60)</f>
        <v>0.79820000000000002</v>
      </c>
      <c r="J66" s="26">
        <f>SUM(J60:J60)</f>
        <v>11174.800000000001</v>
      </c>
    </row>
    <row r="67" spans="1:10" ht="21" x14ac:dyDescent="0.4">
      <c r="A67" s="74"/>
      <c r="B67" s="74"/>
      <c r="C67" s="74"/>
      <c r="D67" s="74"/>
      <c r="E67" s="74"/>
      <c r="F67" s="74"/>
      <c r="G67" s="28"/>
    </row>
    <row r="68" spans="1:10" ht="21" x14ac:dyDescent="0.4">
      <c r="A68" s="74"/>
      <c r="B68" s="74"/>
      <c r="C68" s="74"/>
      <c r="D68" s="74"/>
      <c r="E68" s="74"/>
      <c r="F68" s="74"/>
      <c r="G68" s="28"/>
    </row>
    <row r="69" spans="1:10" ht="21" x14ac:dyDescent="0.4">
      <c r="A69" s="74"/>
      <c r="B69" s="74"/>
      <c r="C69" s="74"/>
      <c r="D69" s="74"/>
      <c r="E69" s="74"/>
      <c r="F69" s="74"/>
      <c r="G69" s="28"/>
    </row>
    <row r="70" spans="1:10" ht="15" customHeight="1" x14ac:dyDescent="0.4">
      <c r="A70" s="74"/>
      <c r="B70" s="74"/>
      <c r="C70" s="74"/>
      <c r="D70" s="74"/>
      <c r="E70" s="74"/>
      <c r="F70" s="74"/>
      <c r="G70" s="28"/>
    </row>
    <row r="71" spans="1:10" ht="21" x14ac:dyDescent="0.4">
      <c r="A71" s="74"/>
      <c r="B71" s="74"/>
      <c r="C71" s="74"/>
      <c r="D71" s="74"/>
      <c r="E71" s="74"/>
      <c r="F71" s="74"/>
      <c r="G71" s="28"/>
    </row>
    <row r="72" spans="1:10" ht="21" x14ac:dyDescent="0.4">
      <c r="A72" s="91"/>
      <c r="B72" s="92"/>
      <c r="C72" s="74"/>
      <c r="D72" s="74"/>
      <c r="E72" s="74"/>
      <c r="F72" s="74"/>
      <c r="G72" s="28"/>
    </row>
    <row r="73" spans="1:10" ht="18" x14ac:dyDescent="0.35">
      <c r="A73" s="28"/>
      <c r="B73" s="28"/>
      <c r="C73" s="28"/>
      <c r="D73" s="28"/>
      <c r="E73" s="28"/>
      <c r="F73" s="28"/>
      <c r="G73" s="28"/>
    </row>
    <row r="74" spans="1:10" ht="18" x14ac:dyDescent="0.35">
      <c r="A74" s="28"/>
      <c r="B74" s="28"/>
      <c r="C74" s="28"/>
      <c r="D74" s="28"/>
      <c r="E74" s="28"/>
      <c r="F74" s="28"/>
      <c r="G74" s="28"/>
    </row>
    <row r="75" spans="1:10" ht="18" x14ac:dyDescent="0.35">
      <c r="A75" s="28"/>
      <c r="B75" s="28"/>
      <c r="C75" s="28"/>
      <c r="D75" s="28"/>
      <c r="E75" s="28"/>
      <c r="F75" s="28"/>
      <c r="G75" s="28"/>
    </row>
  </sheetData>
  <mergeCells count="6">
    <mergeCell ref="M3:N3"/>
    <mergeCell ref="A21:F21"/>
    <mergeCell ref="A10:F10"/>
    <mergeCell ref="A56:F56"/>
    <mergeCell ref="B58:F58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2024-05-13T19:52:25Z</cp:lastPrinted>
  <dcterms:created xsi:type="dcterms:W3CDTF">2013-03-19T12:54:14Z</dcterms:created>
  <dcterms:modified xsi:type="dcterms:W3CDTF">2024-05-13T19:52:41Z</dcterms:modified>
</cp:coreProperties>
</file>