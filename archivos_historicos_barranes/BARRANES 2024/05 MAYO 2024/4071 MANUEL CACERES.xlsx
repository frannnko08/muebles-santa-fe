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5 MAYO 2024\"/>
    </mc:Choice>
  </mc:AlternateContent>
  <xr:revisionPtr revIDLastSave="0" documentId="13_ncr:1_{D083C5FD-4E79-4CC1-900B-12C732A3774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'4637'!$B$1:$H$39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3" i="3"/>
  <c r="C53" i="3"/>
  <c r="D53" i="3"/>
  <c r="E53" i="3"/>
  <c r="F53" i="3"/>
  <c r="H22" i="4"/>
  <c r="H21" i="4"/>
  <c r="K15" i="3" l="1"/>
  <c r="E15" i="3" s="1"/>
  <c r="J15" i="3"/>
  <c r="D15" i="3" s="1"/>
  <c r="I15" i="3"/>
  <c r="B15" i="3" s="1"/>
  <c r="F15" i="3"/>
  <c r="E46" i="3" l="1" a="1"/>
  <c r="E46" i="3" s="1"/>
  <c r="L21" i="4" l="1"/>
  <c r="K21" i="4"/>
  <c r="H27" i="4" l="1"/>
  <c r="M21" i="4"/>
  <c r="N21" i="4" s="1"/>
  <c r="B29" i="3" l="1"/>
  <c r="I22" i="3" s="1"/>
  <c r="B22" i="3" s="1"/>
  <c r="C29" i="3"/>
  <c r="F22" i="3" s="1"/>
  <c r="D29" i="3"/>
  <c r="E29" i="3"/>
  <c r="K22" i="3" s="1"/>
  <c r="E22" i="3" s="1"/>
  <c r="F29" i="3"/>
  <c r="B52" i="3"/>
  <c r="C52" i="3"/>
  <c r="D52" i="3"/>
  <c r="E52" i="3"/>
  <c r="F52" i="3"/>
  <c r="H29" i="3" l="1"/>
  <c r="I29" i="3" s="1"/>
  <c r="J22" i="3"/>
  <c r="D22" i="3" s="1"/>
  <c r="H52" i="3"/>
  <c r="I52" i="3" s="1"/>
  <c r="J14" i="3"/>
  <c r="D14" i="3" s="1"/>
  <c r="I14" i="3"/>
  <c r="B14" i="3" s="1"/>
  <c r="F14" i="3"/>
  <c r="K14" i="3"/>
  <c r="E14" i="3" s="1"/>
  <c r="I56" i="3" l="1"/>
  <c r="I32" i="3"/>
  <c r="J52" i="3"/>
  <c r="N5" i="3"/>
  <c r="J56" i="3" l="1"/>
  <c r="M5" i="3"/>
  <c r="L5" i="3"/>
  <c r="K5" i="3"/>
  <c r="C44" i="3" l="1"/>
  <c r="C7" i="3"/>
  <c r="D42" i="3"/>
  <c r="D5" i="3"/>
  <c r="D41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<sst xmlns="http://schemas.openxmlformats.org/spreadsheetml/2006/main" count="255" uniqueCount="149">
  <si>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</si>
  <si>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</si>
  <si>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</si>
  <si>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</si>
  <si>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</si>
  <si>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</si>
  <si>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</si>
  <si>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</si>
  <si>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</si>
  <si>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</si>
  <si>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</si>
  <si>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</si>
  <si>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</si>
  <si>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</si>
  <si>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</si>
  <si>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</si>
  <si>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</si>
  <si>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</si>
  <si>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</si>
  <si>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</si>
  <si>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</si>
  <si>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</si>
  <si>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</si>
  <si>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</si>
  <si>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</si>
  <si>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</si>
  <si>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</si>
  <si>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</si>
  <si>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</si>
  <si>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</si>
  <si>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</si>
  <si>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</si>
  <si>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</si>
  <si>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</si>
  <si>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</si>
  <si>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</si>
  <si>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</si>
  <si>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</si>
  <si>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</si>
  <si>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</si>
  <si>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</si>
  <si>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</si>
  <si>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</si>
  <si>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</si>
  <si>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</si>
  <si>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</si>
  <si>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</si>
  <si>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</si>
  <si>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</si>
  <si>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</si>
  <si>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</si>
  <si>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</si>
  <si>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</si>
  <si>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</si>
  <si>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</si>
  <si>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</si>
  <si>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</si>
  <si>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</si>
  <si>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</si>
  <si>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</si>
  <si>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</si>
  <si>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</si>
  <si>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</si>
  <si>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</si>
  <si>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</si>
  <si>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</si>
  <si>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</si>
  <si>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</si>
  <si>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</si>
  <si>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</si>
  <si>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</si>
  <si>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</si>
  <si>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</si>
  <si>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</si>
  <si>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</si>
  <si>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</si>
  <si>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</si>
  <si>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</si>
  <si>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</si>
  <si>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</si>
  <si>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</si>
  <si>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</si>
  <si>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</si>
  <si>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</si>
  <si>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</si>
  <si>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</si>
  <si>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</si>
  <si>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</si>
  <si>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</si>
  <si>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</si>
  <si>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</si>
  <si>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</si>
  <si>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</si>
  <si>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</si>
  <si>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</si>
  <si>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</si>
  <si>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</si>
  <si>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</si>
  <si>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</si>
  <si>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</si>
  <si>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</si>
  <si>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</si>
  <si>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</si>
  <si>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</si>
  <si>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</si>
  <si>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</si>
  <si>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</si>
  <si>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</si>
  <si>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</si>
  <si>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</si>
  <si>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</si>
  <si>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</si>
  <si>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</si>
  <si>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</si>
  <si>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</si>
  <si>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</si>
  <si>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</si>
  <si>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</si>
  <si>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</si>
  <si>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</si>
  <si>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</si>
  <si>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</si>
  <si>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</si>
  <si>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</si>
  <si>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</si>
  <si>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</si>
  <si>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</si>
  <si>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</si>
  <si>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</si>
  <si>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</si>
  <si>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</si>
  <si>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</si>
  <si>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</si>
  <si>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</si>
  <si>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</si>
  <si>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</si>
  <si>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</si>
  <si>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</si>
  <si>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</si>
  <si>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</si>
  <si>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</si>
  <si>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MANUEL CACERES</t>
  </si>
  <si>
    <t>RUBY BRILLO</t>
  </si>
  <si>
    <t xml:space="preserve">PR8 </t>
  </si>
  <si>
    <t>CORTAR 2 DE 347</t>
  </si>
  <si>
    <t>CORTAR 2 DE 272</t>
  </si>
  <si>
    <t>MELAMIL 18MM</t>
  </si>
  <si>
    <t>N°</t>
  </si>
  <si>
    <t>SE USÓ ALTERNATIVA DE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</si>
</sst>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8" fillId="0" borderId="0" xfId="2" quotePrefix="1" applyFont="1" applyFill="1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42" fontId="10" fillId="0" borderId="0" xfId="3" applyFont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23</xdr:row>
      <xdr:rowOff>107</xdr:rowOff>
    </xdr:from>
    <xdr:to>
      <xdr:col>5</xdr:col>
      <xdr:colOff>1422971</xdr:colOff>
      <xdr:row>27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ABONO $ 30.000.-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34</xdr:row>
      <xdr:rowOff>0</xdr:rowOff>
    </xdr:from>
    <xdr:to>
      <xdr:col>4</xdr:col>
      <xdr:colOff>369336</xdr:colOff>
      <xdr:row>34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36</xdr:row>
      <xdr:rowOff>1</xdr:rowOff>
    </xdr:from>
    <xdr:to>
      <xdr:col>4</xdr:col>
      <xdr:colOff>349897</xdr:colOff>
      <xdr:row>36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17</xdr:row>
      <xdr:rowOff>76200</xdr:rowOff>
    </xdr:from>
    <xdr:to>
      <xdr:col>6</xdr:col>
      <xdr:colOff>19049</xdr:colOff>
      <xdr:row>18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6</xdr:col>
      <xdr:colOff>0</xdr:colOff>
      <xdr:row>48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228601</xdr:rowOff>
    </xdr:from>
    <xdr:to>
      <xdr:col>6</xdr:col>
      <xdr:colOff>0</xdr:colOff>
      <xdr:row>42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54</xdr:row>
      <xdr:rowOff>0</xdr:rowOff>
    </xdr:from>
    <xdr:to>
      <xdr:col>3</xdr:col>
      <xdr:colOff>323850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31</xdr:row>
      <xdr:rowOff>5714</xdr:rowOff>
    </xdr:from>
    <xdr:to>
      <xdr:col>6</xdr:col>
      <xdr:colOff>0</xdr:colOff>
      <xdr:row>33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FRENTES A LA MEDIDA SIN ENCHAPAR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24</xdr:row>
      <xdr:rowOff>152400</xdr:rowOff>
    </xdr:from>
    <xdr:to>
      <xdr:col>6</xdr:col>
      <xdr:colOff>9524</xdr:colOff>
      <xdr:row>25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57</xdr:row>
      <xdr:rowOff>28575</xdr:rowOff>
    </xdr:from>
    <xdr:to>
      <xdr:col>5</xdr:col>
      <xdr:colOff>2386965</xdr:colOff>
      <xdr:row>60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FRENTES A LA MEDIDA SIN ENCHAPAR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40</xdr:row>
      <xdr:rowOff>22860</xdr:rowOff>
    </xdr:from>
    <xdr:to>
      <xdr:col>1</xdr:col>
      <xdr:colOff>672223</xdr:colOff>
      <xdr:row>45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304800</xdr:colOff>
      <xdr:row>64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opLeftCell="A16" zoomScale="89" zoomScaleNormal="89" workbookViewId="0">
      <selection activeCell="F21" sqref="F21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147</v>
      </c>
      <c r="E8" s="28"/>
      <c r="F8" s="34" t="s">
        <v>26</v>
      </c>
      <c r="G8" s="35">
        <v>4071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141</v>
      </c>
      <c r="D10" s="56"/>
      <c r="E10" s="56"/>
      <c r="F10" s="57" t="s">
        <v>27</v>
      </c>
      <c r="G10" s="58">
        <v>45404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45407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0">
        <v>56984514974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7" t="s">
        <v>18</v>
      </c>
      <c r="G16" s="127"/>
      <c r="H16" s="128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2"/>
      <c r="G17" s="132"/>
      <c r="H17" s="133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9" t="s">
        <v>19</v>
      </c>
      <c r="C19" s="130"/>
      <c r="D19" s="130"/>
      <c r="E19" s="130"/>
      <c r="F19" s="130"/>
      <c r="G19" s="130"/>
      <c r="H19" s="131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1">
        <v>1</v>
      </c>
      <c r="C21" s="122" t="s">
        <v>143</v>
      </c>
      <c r="D21" s="125">
        <v>698</v>
      </c>
      <c r="E21" s="125">
        <v>598</v>
      </c>
      <c r="F21" s="122" t="s">
        <v>142</v>
      </c>
      <c r="G21" s="123"/>
      <c r="H21" s="124">
        <f t="shared" ref="H21" si="0">G21*B21</f>
        <v>0</v>
      </c>
      <c r="I21" s="1"/>
      <c r="K21" s="11">
        <f t="shared" ref="K21:L21" si="1">D21/1000</f>
        <v>0.69799999999999995</v>
      </c>
      <c r="L21" s="14">
        <f t="shared" si="1"/>
        <v>0.59799999999999998</v>
      </c>
      <c r="M21" s="11">
        <f>K21*L21</f>
        <v>0.41740399999999994</v>
      </c>
      <c r="N21" s="11">
        <f>M21*N$20</f>
        <v>5843.655999999999</v>
      </c>
      <c r="O21" s="14"/>
      <c r="P21" s="20"/>
    </row>
    <row r="22" spans="1:16" ht="19.5" customHeight="1" x14ac:dyDescent="0.35">
      <c r="A22" s="28"/>
      <c r="B22" s="121">
        <v>1</v>
      </c>
      <c r="C22" s="122" t="s">
        <v>143</v>
      </c>
      <c r="D22" s="125">
        <v>548</v>
      </c>
      <c r="E22" s="125">
        <v>608</v>
      </c>
      <c r="F22" s="122" t="s">
        <v>142</v>
      </c>
      <c r="G22" s="123"/>
      <c r="H22" s="124">
        <f t="shared" ref="H22" si="2">G22*B22</f>
        <v>0</v>
      </c>
      <c r="I22" s="1"/>
      <c r="K22" s="11"/>
      <c r="L22" s="14"/>
      <c r="M22" s="11"/>
      <c r="N22" s="11"/>
      <c r="O22" s="14"/>
      <c r="P22" s="20"/>
    </row>
    <row r="23" spans="1:16" ht="18" customHeight="1" x14ac:dyDescent="0.35">
      <c r="A23" s="28"/>
      <c r="B23" s="37"/>
      <c r="C23" s="37"/>
      <c r="D23" s="38"/>
      <c r="E23" s="38"/>
      <c r="F23" s="37"/>
      <c r="G23" s="39"/>
      <c r="H23" s="39"/>
      <c r="I23" s="1"/>
      <c r="K23" s="11"/>
      <c r="L23" s="14"/>
      <c r="M23" s="11"/>
      <c r="N23" s="11"/>
      <c r="O23" s="14"/>
      <c r="P23" s="20"/>
    </row>
    <row r="24" spans="1:16" ht="8.25" customHeight="1" thickBot="1" x14ac:dyDescent="0.4">
      <c r="A24" s="28"/>
      <c r="B24" s="40"/>
      <c r="C24" s="40"/>
      <c r="D24" s="40"/>
      <c r="E24" s="40"/>
      <c r="F24" s="40"/>
      <c r="G24" s="41"/>
      <c r="H24" s="41"/>
      <c r="I24" s="1"/>
    </row>
    <row r="25" spans="1:16" ht="18" x14ac:dyDescent="0.35">
      <c r="A25" s="28"/>
      <c r="B25" s="28"/>
      <c r="C25" s="28"/>
      <c r="D25" s="28"/>
      <c r="E25" s="28"/>
      <c r="F25" s="28"/>
      <c r="G25" s="42" t="s">
        <v>5</v>
      </c>
      <c r="H25" s="43">
        <v>50000</v>
      </c>
      <c r="I25" s="1"/>
    </row>
    <row r="26" spans="1:16" ht="18" x14ac:dyDescent="0.35">
      <c r="A26" s="28"/>
      <c r="B26" s="28"/>
      <c r="C26" s="28"/>
      <c r="D26" s="28"/>
      <c r="E26" s="28"/>
      <c r="F26" s="28"/>
      <c r="G26" s="44" t="s">
        <v>6</v>
      </c>
      <c r="H26" s="45"/>
      <c r="I26" s="1"/>
    </row>
    <row r="27" spans="1:16" ht="18.600000000000001" thickBot="1" x14ac:dyDescent="0.4">
      <c r="A27" s="28"/>
      <c r="B27" s="28"/>
      <c r="C27" s="28"/>
      <c r="D27" s="28"/>
      <c r="E27" s="28"/>
      <c r="F27" s="28"/>
      <c r="G27" s="46" t="s">
        <v>4</v>
      </c>
      <c r="H27" s="47">
        <f>H25+H26</f>
        <v>50000</v>
      </c>
      <c r="I27" s="1"/>
    </row>
    <row r="28" spans="1:16" ht="18" x14ac:dyDescent="0.35">
      <c r="A28" s="28"/>
      <c r="B28" s="28"/>
      <c r="C28" s="28"/>
      <c r="D28" s="28"/>
      <c r="E28" s="28"/>
      <c r="F28" s="28"/>
      <c r="G28" s="29"/>
      <c r="H28" s="48"/>
      <c r="I28" s="1"/>
    </row>
    <row r="29" spans="1:16" ht="18" x14ac:dyDescent="0.35">
      <c r="A29" s="28"/>
      <c r="B29" s="28"/>
      <c r="C29" s="28"/>
      <c r="D29" s="28"/>
      <c r="E29" s="28"/>
      <c r="F29" s="28"/>
      <c r="G29" s="28"/>
      <c r="H29" s="28"/>
      <c r="I29" s="1"/>
    </row>
    <row r="30" spans="1:16" ht="18" x14ac:dyDescent="0.35">
      <c r="A30" s="28"/>
      <c r="B30" s="49" t="s">
        <v>134</v>
      </c>
      <c r="C30" s="50"/>
      <c r="D30" s="51"/>
      <c r="E30" s="51"/>
      <c r="F30" s="40"/>
      <c r="G30" s="28" t="s">
        <v>148</v>
      </c>
      <c r="H30" s="28"/>
      <c r="I30" s="1"/>
    </row>
    <row r="31" spans="1:16" ht="18" x14ac:dyDescent="0.35">
      <c r="A31" s="28"/>
      <c r="B31" s="49" t="s">
        <v>119</v>
      </c>
      <c r="C31" s="50"/>
      <c r="D31" s="51"/>
      <c r="E31" s="51"/>
      <c r="F31" s="40"/>
      <c r="G31" s="28"/>
      <c r="H31" s="28"/>
      <c r="I31" s="1"/>
    </row>
    <row r="32" spans="1:16" ht="18" x14ac:dyDescent="0.35">
      <c r="A32" s="28"/>
      <c r="B32" s="28" t="s">
        <v>24</v>
      </c>
      <c r="C32" s="28"/>
      <c r="D32" s="28"/>
      <c r="E32" s="52" t="s">
        <v>25</v>
      </c>
      <c r="F32" s="28"/>
      <c r="G32" s="28"/>
      <c r="H32" s="28"/>
      <c r="I32" s="1"/>
    </row>
    <row r="33" spans="1:9" ht="18" x14ac:dyDescent="0.35">
      <c r="A33" s="28"/>
      <c r="B33" s="28"/>
      <c r="C33" s="28"/>
      <c r="D33" s="28"/>
      <c r="E33" s="52"/>
      <c r="F33" s="28"/>
      <c r="G33" s="28"/>
      <c r="H33" s="28"/>
      <c r="I33" s="1"/>
    </row>
    <row r="34" spans="1:9" ht="18" x14ac:dyDescent="0.35">
      <c r="A34" s="28"/>
      <c r="B34" s="30" t="s">
        <v>130</v>
      </c>
      <c r="C34" s="30"/>
      <c r="D34" s="30"/>
      <c r="E34" s="53"/>
      <c r="F34" s="28"/>
      <c r="G34" s="28"/>
      <c r="H34" s="28"/>
      <c r="I34" s="1"/>
    </row>
    <row r="35" spans="1:9" ht="18" x14ac:dyDescent="0.35">
      <c r="A35" s="28"/>
      <c r="B35" s="30"/>
      <c r="C35" s="30"/>
      <c r="D35" s="30"/>
      <c r="E35" s="53"/>
      <c r="F35" s="28"/>
      <c r="G35" s="28"/>
      <c r="H35" s="28"/>
      <c r="I35" s="1"/>
    </row>
    <row r="36" spans="1:9" ht="18" x14ac:dyDescent="0.35">
      <c r="A36" s="28"/>
      <c r="B36" s="30" t="s">
        <v>131</v>
      </c>
      <c r="C36" s="28"/>
      <c r="D36" s="28"/>
      <c r="E36" s="52"/>
      <c r="F36" s="28"/>
      <c r="G36" s="28"/>
      <c r="H36" s="28"/>
      <c r="I36" s="1"/>
    </row>
    <row r="37" spans="1:9" ht="15.6" x14ac:dyDescent="0.3">
      <c r="A37" s="1"/>
      <c r="B37" s="1"/>
      <c r="C37" s="1"/>
      <c r="D37" s="1"/>
      <c r="E37" s="22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C40" s="1"/>
    </row>
  </sheetData>
  <sortState xmlns:xlrd2="http://schemas.microsoft.com/office/spreadsheetml/2017/richdata2" ref="B41">
    <sortCondition sortBy="fontColor" ref="B41" dxfId="0"/>
  </sortState>
  <mergeCells count="3">
    <mergeCell ref="F16:H16"/>
    <mergeCell ref="B19:H19"/>
    <mergeCell ref="F17:H17"/>
  </mergeCells>
  <phoneticPr fontId="8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4" t="s">
        <v>29</v>
      </c>
      <c r="C2" s="134"/>
      <c r="D2" s="134"/>
      <c r="E2" s="12"/>
      <c r="G2" s="134" t="s">
        <v>68</v>
      </c>
      <c r="H2" s="134"/>
      <c r="I2" s="134"/>
      <c r="P2" s="135" t="s">
        <v>56</v>
      </c>
      <c r="Q2" s="135"/>
      <c r="R2" s="135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5" t="s">
        <v>56</v>
      </c>
      <c r="M8" s="135"/>
      <c r="N8" s="135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5"/>
  <sheetViews>
    <sheetView tabSelected="1" zoomScaleNormal="100" workbookViewId="0">
      <selection sqref="A1:G35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6" t="s">
        <v>59</v>
      </c>
      <c r="L3" s="136"/>
      <c r="M3" s="136" t="s">
        <v>14</v>
      </c>
      <c r="N3" s="136"/>
    </row>
    <row r="4" spans="1:14" ht="15.75" customHeight="1" x14ac:dyDescent="0.4">
      <c r="A4" s="74"/>
      <c r="B4" s="74"/>
      <c r="C4" s="75" t="s">
        <v>26</v>
      </c>
      <c r="D4" s="76">
        <f>'4637'!G8</f>
        <v>4071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MANUEL CACERES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7" t="s">
        <v>59</v>
      </c>
      <c r="B10" s="137"/>
      <c r="C10" s="137"/>
      <c r="D10" s="137"/>
      <c r="E10" s="137"/>
      <c r="F10" s="137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-2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146</v>
      </c>
      <c r="B14" s="101">
        <f t="shared" ref="B14" si="0">I14</f>
        <v>1</v>
      </c>
      <c r="C14" s="102" t="s">
        <v>144</v>
      </c>
      <c r="D14" s="103">
        <f>J14+D$13</f>
        <v>748</v>
      </c>
      <c r="E14" s="103">
        <f>K14+E$13</f>
        <v>596</v>
      </c>
      <c r="F14" s="118" t="str">
        <f t="shared" ref="F14" si="1">C29</f>
        <v xml:space="preserve">PR8 </v>
      </c>
      <c r="G14" s="28"/>
      <c r="I14" s="3">
        <f>B29</f>
        <v>1</v>
      </c>
      <c r="J14" s="4">
        <f>D29</f>
        <v>698</v>
      </c>
      <c r="K14" s="4">
        <f>E29</f>
        <v>598</v>
      </c>
    </row>
    <row r="15" spans="1:14" ht="21" x14ac:dyDescent="0.4">
      <c r="A15" s="114"/>
      <c r="B15" s="101">
        <f t="shared" ref="B15" si="2">I15</f>
        <v>1</v>
      </c>
      <c r="C15" s="102" t="s">
        <v>145</v>
      </c>
      <c r="D15" s="103">
        <f t="shared" ref="D15" si="3">J15+D$13</f>
        <v>598</v>
      </c>
      <c r="E15" s="103">
        <f t="shared" ref="E15" si="4">K15+E$13</f>
        <v>606</v>
      </c>
      <c r="F15" s="118" t="str">
        <f>C30</f>
        <v xml:space="preserve">PR8 </v>
      </c>
      <c r="G15" s="28"/>
      <c r="I15" s="3">
        <f>B30</f>
        <v>1</v>
      </c>
      <c r="J15" s="4">
        <f t="shared" ref="J15:K15" si="5">D30</f>
        <v>548</v>
      </c>
      <c r="K15" s="4">
        <f t="shared" si="5"/>
        <v>608</v>
      </c>
    </row>
    <row r="16" spans="1:14" ht="21" x14ac:dyDescent="0.4">
      <c r="A16" s="89"/>
      <c r="B16" s="91"/>
      <c r="C16" s="110"/>
      <c r="D16" s="91"/>
      <c r="E16" s="91"/>
      <c r="F16" s="91"/>
      <c r="G16" s="28"/>
      <c r="I16" s="2"/>
      <c r="J16" s="2"/>
      <c r="K16" s="2"/>
    </row>
    <row r="17" spans="1:11" ht="6.75" customHeight="1" x14ac:dyDescent="0.4">
      <c r="A17" s="74"/>
      <c r="B17" s="74"/>
      <c r="C17" s="74"/>
      <c r="D17" s="74"/>
      <c r="E17" s="74"/>
      <c r="F17" s="74"/>
      <c r="G17" s="28"/>
    </row>
    <row r="18" spans="1:11" ht="21" x14ac:dyDescent="0.4">
      <c r="A18" s="137" t="s">
        <v>14</v>
      </c>
      <c r="B18" s="137"/>
      <c r="C18" s="137"/>
      <c r="D18" s="137"/>
      <c r="E18" s="137"/>
      <c r="F18" s="137"/>
      <c r="G18" s="28"/>
    </row>
    <row r="19" spans="1:11" ht="10.5" customHeight="1" x14ac:dyDescent="0.4">
      <c r="A19" s="74"/>
      <c r="B19" s="74"/>
      <c r="C19" s="96"/>
      <c r="D19" s="74"/>
      <c r="E19" s="74"/>
      <c r="F19" s="74"/>
      <c r="G19" s="28"/>
    </row>
    <row r="20" spans="1:11" ht="21" x14ac:dyDescent="0.4">
      <c r="A20" s="74"/>
      <c r="B20" s="74"/>
      <c r="C20" s="74"/>
      <c r="D20" s="84" t="s">
        <v>7</v>
      </c>
      <c r="E20" s="84" t="s">
        <v>8</v>
      </c>
      <c r="F20" s="74"/>
      <c r="G20" s="28"/>
    </row>
    <row r="21" spans="1:11" ht="21" x14ac:dyDescent="0.4">
      <c r="A21" s="84" t="s">
        <v>9</v>
      </c>
      <c r="B21" s="104" t="s">
        <v>10</v>
      </c>
      <c r="C21" s="104" t="s">
        <v>11</v>
      </c>
      <c r="D21" s="105">
        <v>40</v>
      </c>
      <c r="E21" s="105">
        <v>90</v>
      </c>
      <c r="F21" s="104" t="s">
        <v>107</v>
      </c>
      <c r="G21" s="28"/>
      <c r="J21" s="5" t="s">
        <v>7</v>
      </c>
      <c r="K21" s="5" t="s">
        <v>8</v>
      </c>
    </row>
    <row r="22" spans="1:11" ht="18.75" customHeight="1" x14ac:dyDescent="0.4">
      <c r="A22" s="114" t="s">
        <v>146</v>
      </c>
      <c r="B22" s="103">
        <f t="shared" ref="B22" si="6">I22</f>
        <v>1</v>
      </c>
      <c r="C22" s="102"/>
      <c r="D22" s="103">
        <f>J22+D$21</f>
        <v>738</v>
      </c>
      <c r="E22" s="103">
        <f t="shared" ref="E22" si="7">K22+E$21</f>
        <v>688</v>
      </c>
      <c r="F22" s="117" t="str">
        <f t="shared" ref="F22" si="8">C29</f>
        <v xml:space="preserve">PR8 </v>
      </c>
      <c r="G22" s="28"/>
      <c r="I22" s="3">
        <f t="shared" ref="I22" si="9">B29</f>
        <v>1</v>
      </c>
      <c r="J22" s="4">
        <f>D29</f>
        <v>698</v>
      </c>
      <c r="K22" s="4">
        <f>E29</f>
        <v>598</v>
      </c>
    </row>
    <row r="23" spans="1:11" ht="18.75" customHeight="1" x14ac:dyDescent="0.4">
      <c r="A23" s="114"/>
      <c r="B23" s="103">
        <f t="shared" ref="B23" si="10">I23</f>
        <v>1</v>
      </c>
      <c r="C23" s="102"/>
      <c r="D23" s="103">
        <f t="shared" ref="D23" si="11">J23+D$21</f>
        <v>588</v>
      </c>
      <c r="E23" s="103">
        <f t="shared" ref="E23" si="12">K23+E$21</f>
        <v>698</v>
      </c>
      <c r="F23" s="117" t="str">
        <f>C30</f>
        <v xml:space="preserve">PR8 </v>
      </c>
      <c r="G23" s="28"/>
      <c r="I23" s="3">
        <f>B30</f>
        <v>1</v>
      </c>
      <c r="J23" s="4">
        <f t="shared" ref="J23:K23" si="13">D30</f>
        <v>548</v>
      </c>
      <c r="K23" s="4">
        <f t="shared" si="13"/>
        <v>608</v>
      </c>
    </row>
    <row r="24" spans="1:11" ht="18.75" customHeight="1" x14ac:dyDescent="0.4">
      <c r="A24" s="114"/>
      <c r="B24" s="91"/>
      <c r="C24" s="110"/>
      <c r="D24" s="91"/>
      <c r="E24" s="91"/>
      <c r="F24" s="91"/>
      <c r="G24" s="28"/>
      <c r="I24" s="115"/>
      <c r="J24" s="2"/>
      <c r="K24" s="2"/>
    </row>
    <row r="25" spans="1:11" ht="21" x14ac:dyDescent="0.4">
      <c r="A25" s="89"/>
      <c r="B25" s="91"/>
      <c r="C25" s="91"/>
      <c r="D25" s="91"/>
      <c r="E25" s="91"/>
      <c r="F25" s="91"/>
      <c r="G25" s="28"/>
      <c r="I25" s="2"/>
      <c r="J25" s="2"/>
      <c r="K25" s="2"/>
    </row>
    <row r="26" spans="1:11" ht="21" x14ac:dyDescent="0.4">
      <c r="A26" s="84"/>
      <c r="B26" s="96"/>
      <c r="C26" s="96"/>
      <c r="D26" s="96"/>
      <c r="E26" s="96"/>
      <c r="F26" s="96"/>
      <c r="G26" s="28"/>
      <c r="I26" s="2"/>
      <c r="J26" s="2"/>
      <c r="K26" s="2"/>
    </row>
    <row r="27" spans="1:11" ht="10.5" customHeight="1" thickBot="1" x14ac:dyDescent="0.45">
      <c r="A27" s="74"/>
      <c r="B27" s="74"/>
      <c r="C27" s="74"/>
      <c r="D27" s="74"/>
      <c r="E27" s="74"/>
      <c r="F27" s="74"/>
      <c r="G27" s="28"/>
    </row>
    <row r="28" spans="1:11" ht="21" x14ac:dyDescent="0.4">
      <c r="A28" s="84" t="s">
        <v>9</v>
      </c>
      <c r="B28" s="106" t="s">
        <v>10</v>
      </c>
      <c r="C28" s="107" t="s">
        <v>107</v>
      </c>
      <c r="D28" s="107" t="s">
        <v>7</v>
      </c>
      <c r="E28" s="107" t="s">
        <v>8</v>
      </c>
      <c r="F28" s="108" t="s">
        <v>22</v>
      </c>
      <c r="G28" s="28"/>
    </row>
    <row r="29" spans="1:11" ht="21" x14ac:dyDescent="0.4">
      <c r="A29" s="114" t="s">
        <v>146</v>
      </c>
      <c r="B29" s="101">
        <f>'4637'!B21</f>
        <v>1</v>
      </c>
      <c r="C29" s="4" t="str">
        <f>'4637'!C21</f>
        <v xml:space="preserve">PR8 </v>
      </c>
      <c r="D29" s="103">
        <f>'4637'!D21</f>
        <v>698</v>
      </c>
      <c r="E29" s="103">
        <f>'4637'!E21</f>
        <v>598</v>
      </c>
      <c r="F29" s="119" t="str">
        <f>'4637'!F21</f>
        <v>RUBY BRILLO</v>
      </c>
      <c r="G29" s="28"/>
      <c r="H29" s="27">
        <f>D29*E29/1000000</f>
        <v>0.417404</v>
      </c>
      <c r="I29" s="27">
        <f>H29*B29</f>
        <v>0.417404</v>
      </c>
    </row>
    <row r="30" spans="1:11" ht="21" x14ac:dyDescent="0.4">
      <c r="A30" s="114"/>
      <c r="B30" s="101">
        <f>'4637'!B22</f>
        <v>1</v>
      </c>
      <c r="C30" s="4" t="str">
        <f>'4637'!C22</f>
        <v xml:space="preserve">PR8 </v>
      </c>
      <c r="D30" s="103">
        <f>'4637'!D22</f>
        <v>548</v>
      </c>
      <c r="E30" s="103">
        <f>'4637'!E22</f>
        <v>608</v>
      </c>
      <c r="F30" s="119" t="str">
        <f>'4637'!F22</f>
        <v>RUBY BRILLO</v>
      </c>
      <c r="G30" s="28"/>
      <c r="H30" s="27"/>
      <c r="I30" s="27"/>
    </row>
    <row r="31" spans="1:11" ht="21" x14ac:dyDescent="0.4">
      <c r="A31" s="89"/>
      <c r="B31" s="91"/>
      <c r="C31" s="91"/>
      <c r="D31" s="91"/>
      <c r="E31" s="91"/>
      <c r="F31" s="91"/>
      <c r="G31" s="28"/>
      <c r="H31" s="27"/>
      <c r="I31" s="27"/>
    </row>
    <row r="32" spans="1:11" ht="21" x14ac:dyDescent="0.4">
      <c r="A32" s="74"/>
      <c r="B32" s="91"/>
      <c r="C32" s="91"/>
      <c r="D32" s="91"/>
      <c r="E32" s="91"/>
      <c r="F32" s="91"/>
      <c r="G32" s="28"/>
      <c r="I32" s="27">
        <f>SUM(I29:I29)*2</f>
        <v>0.83480799999999999</v>
      </c>
    </row>
    <row r="33" spans="1:7" ht="21" x14ac:dyDescent="0.4">
      <c r="A33" s="74"/>
      <c r="B33" s="91"/>
      <c r="C33" s="91"/>
      <c r="D33" s="91"/>
      <c r="E33" s="91"/>
      <c r="F33" s="91"/>
      <c r="G33" s="28"/>
    </row>
    <row r="34" spans="1:7" ht="21" x14ac:dyDescent="0.4">
      <c r="A34" s="74"/>
      <c r="B34" s="91"/>
      <c r="C34" s="91"/>
      <c r="D34" s="91"/>
      <c r="E34" s="91"/>
      <c r="F34" s="91"/>
      <c r="G34" s="28"/>
    </row>
    <row r="35" spans="1:7" ht="21" x14ac:dyDescent="0.4">
      <c r="A35" s="74"/>
      <c r="B35" s="91"/>
      <c r="C35" s="91"/>
      <c r="D35" s="91"/>
      <c r="E35" s="91"/>
      <c r="F35" s="91"/>
      <c r="G35" s="28"/>
    </row>
    <row r="36" spans="1:7" ht="21" x14ac:dyDescent="0.4">
      <c r="A36" s="74"/>
      <c r="B36" s="91"/>
      <c r="C36" s="91"/>
      <c r="D36" s="91"/>
      <c r="E36" s="91"/>
      <c r="F36" s="91"/>
      <c r="G36" s="28"/>
    </row>
    <row r="37" spans="1:7" ht="18" x14ac:dyDescent="0.35">
      <c r="A37" s="28"/>
      <c r="B37" s="54"/>
      <c r="C37" s="54"/>
      <c r="D37" s="54"/>
      <c r="E37" s="54"/>
      <c r="F37" s="54"/>
      <c r="G37" s="28"/>
    </row>
    <row r="38" spans="1:7" ht="18" x14ac:dyDescent="0.35">
      <c r="A38" s="28"/>
      <c r="B38" s="54"/>
      <c r="C38" s="54"/>
      <c r="D38" s="54"/>
      <c r="E38" s="54"/>
      <c r="F38" s="54"/>
      <c r="G38" s="28"/>
    </row>
    <row r="39" spans="1:7" ht="18" x14ac:dyDescent="0.35">
      <c r="A39" s="28"/>
      <c r="B39" s="54"/>
      <c r="C39" s="54"/>
      <c r="D39" s="54"/>
      <c r="E39" s="54"/>
      <c r="F39" s="54"/>
      <c r="G39" s="28"/>
    </row>
    <row r="40" spans="1:7" ht="21" x14ac:dyDescent="0.4">
      <c r="A40" s="74"/>
      <c r="B40" s="74"/>
      <c r="C40" s="74"/>
      <c r="D40" s="74"/>
      <c r="E40" s="74"/>
      <c r="F40" s="74"/>
      <c r="G40" s="28"/>
    </row>
    <row r="41" spans="1:7" ht="21" x14ac:dyDescent="0.4">
      <c r="A41" s="74"/>
      <c r="B41" s="74"/>
      <c r="C41" s="75" t="s">
        <v>26</v>
      </c>
      <c r="D41" s="76">
        <f>'4637'!G8</f>
        <v>4071</v>
      </c>
      <c r="E41" s="74"/>
      <c r="F41" s="74"/>
      <c r="G41" s="28"/>
    </row>
    <row r="42" spans="1:7" ht="17.25" customHeight="1" x14ac:dyDescent="0.4">
      <c r="A42" s="74"/>
      <c r="B42" s="74"/>
      <c r="C42" s="77" t="s">
        <v>65</v>
      </c>
      <c r="D42" s="78" t="str">
        <f>'4637'!C10</f>
        <v>MANUEL CACERES</v>
      </c>
      <c r="E42" s="79"/>
      <c r="F42" s="79"/>
      <c r="G42" s="28"/>
    </row>
    <row r="43" spans="1:7" ht="4.5" customHeight="1" x14ac:dyDescent="0.4">
      <c r="A43" s="74"/>
      <c r="B43" s="74"/>
      <c r="C43" s="80"/>
      <c r="D43" s="81"/>
      <c r="E43" s="74"/>
      <c r="F43" s="74"/>
      <c r="G43" s="28"/>
    </row>
    <row r="44" spans="1:7" ht="21" x14ac:dyDescent="0.4">
      <c r="A44" s="74"/>
      <c r="B44" s="74"/>
      <c r="C44" s="82" t="str">
        <f>'4637'!F11</f>
        <v>FECHA LIMITE :</v>
      </c>
      <c r="D44" s="83"/>
      <c r="E44" s="74"/>
      <c r="F44" s="74"/>
      <c r="G44" s="28"/>
    </row>
    <row r="45" spans="1:7" ht="21" x14ac:dyDescent="0.4">
      <c r="A45" s="74"/>
      <c r="B45" s="74"/>
      <c r="C45" s="74"/>
      <c r="D45" s="74"/>
      <c r="E45" s="74" t="s">
        <v>137</v>
      </c>
      <c r="F45" s="74" t="s">
        <v>138</v>
      </c>
      <c r="G45" s="28"/>
    </row>
    <row r="46" spans="1:7" ht="21" x14ac:dyDescent="0.4">
      <c r="A46" s="74"/>
      <c r="B46" s="74"/>
      <c r="C46" s="74"/>
      <c r="D46" s="74"/>
      <c r="E46" s="74" t="str" cm="1">
        <f t="array" ref="E46:F46">'4637'!B17:C17</f>
        <v>CIUDAD:</v>
      </c>
      <c r="F46" s="74" t="str">
        <v>SANTIAGO</v>
      </c>
      <c r="G46" s="28"/>
    </row>
    <row r="47" spans="1:7" ht="21" x14ac:dyDescent="0.4">
      <c r="A47" s="74"/>
      <c r="B47" s="74"/>
      <c r="C47" s="74"/>
      <c r="D47" s="74"/>
      <c r="E47" s="74"/>
      <c r="F47" s="74"/>
      <c r="G47" s="28"/>
    </row>
    <row r="48" spans="1:7" ht="21" x14ac:dyDescent="0.4">
      <c r="A48" s="138" t="s">
        <v>66</v>
      </c>
      <c r="B48" s="137"/>
      <c r="C48" s="137"/>
      <c r="D48" s="137"/>
      <c r="E48" s="137"/>
      <c r="F48" s="137"/>
      <c r="G48" s="28"/>
    </row>
    <row r="49" spans="1:12" ht="21" x14ac:dyDescent="0.4">
      <c r="A49" s="74"/>
      <c r="B49" s="74"/>
      <c r="C49" s="74"/>
      <c r="D49" s="74"/>
      <c r="E49" s="74"/>
      <c r="F49" s="74"/>
      <c r="G49" s="28"/>
    </row>
    <row r="50" spans="1:12" ht="18.600000000000001" customHeight="1" x14ac:dyDescent="0.4">
      <c r="A50" s="74"/>
      <c r="B50" s="139" t="s">
        <v>67</v>
      </c>
      <c r="C50" s="140"/>
      <c r="D50" s="141"/>
      <c r="E50" s="141"/>
      <c r="F50" s="142"/>
      <c r="G50" s="28"/>
      <c r="H50" s="24" t="s">
        <v>129</v>
      </c>
    </row>
    <row r="51" spans="1:12" s="10" customFormat="1" ht="16.5" customHeight="1" x14ac:dyDescent="0.4">
      <c r="A51" s="74"/>
      <c r="B51" s="85" t="s">
        <v>10</v>
      </c>
      <c r="C51" s="86" t="s">
        <v>11</v>
      </c>
      <c r="D51" s="87" t="s">
        <v>7</v>
      </c>
      <c r="E51" s="87" t="s">
        <v>8</v>
      </c>
      <c r="F51" s="88" t="s">
        <v>12</v>
      </c>
      <c r="G51" s="28"/>
      <c r="J51" s="10">
        <v>14000</v>
      </c>
    </row>
    <row r="52" spans="1:12" s="10" customFormat="1" ht="21" customHeight="1" x14ac:dyDescent="0.4">
      <c r="A52" s="114" t="s">
        <v>146</v>
      </c>
      <c r="B52" s="85">
        <f>'4637'!B21</f>
        <v>1</v>
      </c>
      <c r="C52" s="116" t="str">
        <f>'4637'!C21</f>
        <v xml:space="preserve">PR8 </v>
      </c>
      <c r="D52" s="90">
        <f>'4637'!D21</f>
        <v>698</v>
      </c>
      <c r="E52" s="90">
        <f>'4637'!E21</f>
        <v>598</v>
      </c>
      <c r="F52" s="116" t="str">
        <f>'4637'!F21</f>
        <v>RUBY BRILLO</v>
      </c>
      <c r="G52" s="28"/>
      <c r="H52" s="10">
        <f>D52*E52/1000000</f>
        <v>0.417404</v>
      </c>
      <c r="I52" s="10">
        <f>H52*B52</f>
        <v>0.417404</v>
      </c>
      <c r="J52" s="25">
        <f t="shared" ref="J52" si="14">I52*J$51</f>
        <v>5843.6559999999999</v>
      </c>
      <c r="L52" s="23">
        <v>12096</v>
      </c>
    </row>
    <row r="53" spans="1:12" s="10" customFormat="1" ht="21" customHeight="1" x14ac:dyDescent="0.4">
      <c r="A53" s="114"/>
      <c r="B53" s="85">
        <f>'4637'!B22</f>
        <v>1</v>
      </c>
      <c r="C53" s="116" t="str">
        <f>'4637'!C22</f>
        <v xml:space="preserve">PR8 </v>
      </c>
      <c r="D53" s="90">
        <f>'4637'!D22</f>
        <v>548</v>
      </c>
      <c r="E53" s="90">
        <f>'4637'!E22</f>
        <v>608</v>
      </c>
      <c r="F53" s="116" t="str">
        <f>'4637'!F22</f>
        <v>RUBY BRILLO</v>
      </c>
      <c r="G53" s="28"/>
      <c r="J53" s="25"/>
      <c r="L53" s="126"/>
    </row>
    <row r="54" spans="1:12" s="10" customFormat="1" ht="15" customHeight="1" x14ac:dyDescent="0.4">
      <c r="A54" s="89"/>
      <c r="B54" s="84"/>
      <c r="C54" s="84"/>
      <c r="D54" s="84"/>
      <c r="E54" s="84"/>
      <c r="F54" s="84"/>
      <c r="G54" s="28"/>
    </row>
    <row r="55" spans="1:12" ht="21" x14ac:dyDescent="0.4">
      <c r="A55" s="91"/>
      <c r="B55" s="91"/>
      <c r="C55" s="74"/>
      <c r="D55" s="91"/>
      <c r="E55" s="91"/>
      <c r="F55" s="80"/>
      <c r="G55" s="28"/>
    </row>
    <row r="56" spans="1:12" ht="21" x14ac:dyDescent="0.4">
      <c r="A56" s="91"/>
      <c r="B56" s="91"/>
      <c r="C56" s="74"/>
      <c r="D56" s="91"/>
      <c r="E56" s="91"/>
      <c r="F56" s="91"/>
      <c r="G56" s="28"/>
      <c r="I56" s="10">
        <f>SUM(I52:I52)</f>
        <v>0.417404</v>
      </c>
      <c r="J56" s="26">
        <f>SUM(J52:J52)</f>
        <v>5843.6559999999999</v>
      </c>
    </row>
    <row r="57" spans="1:12" ht="21" x14ac:dyDescent="0.4">
      <c r="A57" s="74"/>
      <c r="B57" s="74"/>
      <c r="C57" s="74"/>
      <c r="D57" s="74"/>
      <c r="E57" s="74"/>
      <c r="F57" s="74"/>
      <c r="G57" s="28"/>
    </row>
    <row r="58" spans="1:12" ht="21" x14ac:dyDescent="0.4">
      <c r="A58" s="74"/>
      <c r="B58" s="74"/>
      <c r="C58" s="74"/>
      <c r="D58" s="74"/>
      <c r="E58" s="74"/>
      <c r="F58" s="74"/>
      <c r="G58" s="28"/>
    </row>
    <row r="59" spans="1:12" ht="21" x14ac:dyDescent="0.4">
      <c r="A59" s="74"/>
      <c r="B59" s="74"/>
      <c r="C59" s="74"/>
      <c r="D59" s="74"/>
      <c r="E59" s="74"/>
      <c r="F59" s="74"/>
      <c r="G59" s="28"/>
    </row>
    <row r="60" spans="1:12" ht="15" customHeight="1" x14ac:dyDescent="0.4">
      <c r="A60" s="74"/>
      <c r="B60" s="74"/>
      <c r="C60" s="74"/>
      <c r="D60" s="74"/>
      <c r="E60" s="74"/>
      <c r="F60" s="74"/>
      <c r="G60" s="28"/>
    </row>
    <row r="61" spans="1:12" ht="21" x14ac:dyDescent="0.4">
      <c r="A61" s="74"/>
      <c r="B61" s="74"/>
      <c r="C61" s="74"/>
      <c r="D61" s="74"/>
      <c r="E61" s="74"/>
      <c r="F61" s="74"/>
      <c r="G61" s="28"/>
    </row>
    <row r="62" spans="1:12" ht="21" x14ac:dyDescent="0.4">
      <c r="A62" s="91"/>
      <c r="B62" s="92"/>
      <c r="C62" s="74"/>
      <c r="D62" s="74"/>
      <c r="E62" s="74"/>
      <c r="F62" s="74"/>
      <c r="G62" s="28"/>
    </row>
    <row r="63" spans="1:12" ht="18" x14ac:dyDescent="0.35">
      <c r="A63" s="28"/>
      <c r="B63" s="28"/>
      <c r="C63" s="28"/>
      <c r="D63" s="28"/>
      <c r="E63" s="28"/>
      <c r="F63" s="28"/>
      <c r="G63" s="28"/>
    </row>
    <row r="64" spans="1:12" ht="18" x14ac:dyDescent="0.35">
      <c r="A64" s="28"/>
      <c r="B64" s="28"/>
      <c r="C64" s="28"/>
      <c r="D64" s="28"/>
      <c r="E64" s="28"/>
      <c r="F64" s="28"/>
      <c r="G64" s="28"/>
    </row>
    <row r="65" spans="1:7" ht="18" x14ac:dyDescent="0.35">
      <c r="A65" s="28"/>
      <c r="B65" s="28"/>
      <c r="C65" s="28"/>
      <c r="D65" s="28"/>
      <c r="E65" s="28"/>
      <c r="F65" s="28"/>
      <c r="G65" s="28"/>
    </row>
  </sheetData>
  <mergeCells count="6">
    <mergeCell ref="M3:N3"/>
    <mergeCell ref="A18:F18"/>
    <mergeCell ref="A10:F10"/>
    <mergeCell ref="A48:F48"/>
    <mergeCell ref="B50:F50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2024-05-13T19:24:43Z</cp:lastPrinted>
  <dcterms:created xsi:type="dcterms:W3CDTF">2013-03-19T12:54:14Z</dcterms:created>
  <dcterms:modified xsi:type="dcterms:W3CDTF">2024-05-13T19:25:09Z</dcterms:modified>
</cp:coreProperties>
</file>