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942CF11A-AE80-4668-A1C2-BB58D903B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'4637'!$B$1:$H$44</definedName>
    <definedName name="_xlnm.Print_Area" localSheetId="2">CUBIERTA!$A$1:$F$49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E17" i="3" s="1"/>
  <c r="F18" i="3"/>
  <c r="I18" i="3"/>
  <c r="B18" i="3" s="1"/>
  <c r="J18" i="3"/>
  <c r="D18" i="3" s="1"/>
  <c r="K18" i="3"/>
  <c r="E18" i="3" s="1"/>
  <c r="F19" i="3"/>
  <c r="I19" i="3"/>
  <c r="B19" i="3" s="1"/>
  <c r="J19" i="3"/>
  <c r="D19" i="3" s="1"/>
  <c r="K19" i="3"/>
  <c r="E19" i="3" s="1"/>
  <c r="B40" i="3"/>
  <c r="I28" i="3" s="1"/>
  <c r="B28" i="3" s="1"/>
  <c r="C40" i="3"/>
  <c r="F28" i="3" s="1"/>
  <c r="D40" i="3"/>
  <c r="J28" i="3" s="1"/>
  <c r="D28" i="3" s="1"/>
  <c r="E40" i="3"/>
  <c r="K28" i="3" s="1"/>
  <c r="E28" i="3" s="1"/>
  <c r="F40" i="3"/>
  <c r="B41" i="3"/>
  <c r="I29" i="3" s="1"/>
  <c r="B29" i="3" s="1"/>
  <c r="C41" i="3"/>
  <c r="F29" i="3" s="1"/>
  <c r="D41" i="3"/>
  <c r="J29" i="3" s="1"/>
  <c r="D29" i="3" s="1"/>
  <c r="E41" i="3"/>
  <c r="K29" i="3" s="1"/>
  <c r="E29" i="3" s="1"/>
  <c r="F41" i="3"/>
  <c r="B42" i="3"/>
  <c r="I30" i="3" s="1"/>
  <c r="B30" i="3" s="1"/>
  <c r="C42" i="3"/>
  <c r="F30" i="3" s="1"/>
  <c r="D42" i="3"/>
  <c r="J30" i="3" s="1"/>
  <c r="D30" i="3" s="1"/>
  <c r="E42" i="3"/>
  <c r="K30" i="3" s="1"/>
  <c r="E30" i="3" s="1"/>
  <c r="F42" i="3"/>
  <c r="B43" i="3"/>
  <c r="I31" i="3" s="1"/>
  <c r="B31" i="3" s="1"/>
  <c r="C43" i="3"/>
  <c r="F31" i="3" s="1"/>
  <c r="D43" i="3"/>
  <c r="J31" i="3" s="1"/>
  <c r="D31" i="3" s="1"/>
  <c r="E43" i="3"/>
  <c r="K31" i="3" s="1"/>
  <c r="E31" i="3" s="1"/>
  <c r="F43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39" i="3"/>
  <c r="I15" i="3" s="1"/>
  <c r="B15" i="3" s="1"/>
  <c r="C39" i="3"/>
  <c r="F15" i="3" s="1"/>
  <c r="D39" i="3"/>
  <c r="J15" i="3" s="1"/>
  <c r="D15" i="3" s="1"/>
  <c r="E39" i="3"/>
  <c r="K15" i="3" s="1"/>
  <c r="E15" i="3" s="1"/>
  <c r="F39" i="3"/>
  <c r="B66" i="3"/>
  <c r="C66" i="3"/>
  <c r="D66" i="3"/>
  <c r="E66" i="3"/>
  <c r="F66" i="3"/>
  <c r="K27" i="3" l="1"/>
  <c r="E27" i="3" s="1"/>
  <c r="J27" i="3"/>
  <c r="D27" i="3" s="1"/>
  <c r="I27" i="3"/>
  <c r="B27" i="3" s="1"/>
  <c r="F27" i="3"/>
  <c r="E59" i="3" l="1" a="1"/>
  <c r="E59" i="3" s="1"/>
  <c r="L21" i="4" l="1"/>
  <c r="K21" i="4"/>
  <c r="H32" i="4" l="1"/>
  <c r="M21" i="4"/>
  <c r="N21" i="4" s="1"/>
  <c r="B38" i="3" l="1"/>
  <c r="I26" i="3" s="1"/>
  <c r="B26" i="3" s="1"/>
  <c r="C38" i="3"/>
  <c r="F26" i="3" s="1"/>
  <c r="D38" i="3"/>
  <c r="E38" i="3"/>
  <c r="K26" i="3" s="1"/>
  <c r="E26" i="3" s="1"/>
  <c r="F38" i="3"/>
  <c r="B65" i="3"/>
  <c r="C65" i="3"/>
  <c r="D65" i="3"/>
  <c r="E65" i="3"/>
  <c r="F65" i="3"/>
  <c r="H38" i="3" l="1"/>
  <c r="I38" i="3" s="1"/>
  <c r="J26" i="3"/>
  <c r="D26" i="3" s="1"/>
  <c r="H65" i="3"/>
  <c r="I65" i="3" s="1"/>
  <c r="J14" i="3"/>
  <c r="D14" i="3" s="1"/>
  <c r="I14" i="3"/>
  <c r="B14" i="3" s="1"/>
  <c r="F14" i="3"/>
  <c r="K14" i="3"/>
  <c r="E14" i="3" s="1"/>
  <c r="I74" i="3" l="1"/>
  <c r="I45" i="3"/>
  <c r="J65" i="3"/>
  <c r="N5" i="3"/>
  <c r="J74" i="3" l="1"/>
  <c r="M5" i="3"/>
  <c r="L5" i="3"/>
  <c r="K5" i="3"/>
  <c r="C57" i="3" l="1"/>
  <c r="C7" i="3"/>
  <c r="D55" i="3"/>
  <c r="D5" i="3"/>
  <c r="D54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<sst xmlns="http://schemas.openxmlformats.org/spreadsheetml/2006/main" count="260" uniqueCount="147">
  <si>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</si>
  <si>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</si>
  <si>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</si>
  <si>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</si>
  <si>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</si>
  <si>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</si>
  <si>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</si>
  <si>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</si>
  <si>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</si>
  <si>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</si>
  <si>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</si>
  <si>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</si>
  <si>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</si>
  <si>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</si>
  <si>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</si>
  <si>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</si>
  <si>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</si>
  <si>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</si>
  <si>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</si>
  <si>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</si>
  <si>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</si>
  <si>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</si>
  <si>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</si>
  <si>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</si>
  <si>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</si>
  <si>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</si>
  <si>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</si>
  <si>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</si>
  <si>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</si>
  <si>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</si>
  <si>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</si>
  <si>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</si>
  <si>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</si>
  <si>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</si>
  <si>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</si>
  <si>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</si>
  <si>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</si>
  <si>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</si>
  <si>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</si>
  <si>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</si>
  <si>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</si>
  <si>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</si>
  <si>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</si>
  <si>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</si>
  <si>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</si>
  <si>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</si>
  <si>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</si>
  <si>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</si>
  <si>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</si>
  <si>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</si>
  <si>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</si>
  <si>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</si>
  <si>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</si>
  <si>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</si>
  <si>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</si>
  <si>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</si>
  <si>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</si>
  <si>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</si>
  <si>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</si>
  <si>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</si>
  <si>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</si>
  <si>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</si>
  <si>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</si>
  <si>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</si>
  <si>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</si>
  <si>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</si>
  <si>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</si>
  <si>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</si>
  <si>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</si>
  <si>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</si>
  <si>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</si>
  <si>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</si>
  <si>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</si>
  <si>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</si>
  <si>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</si>
  <si>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</si>
  <si>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</si>
  <si>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</si>
  <si>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</si>
  <si>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</si>
  <si>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</si>
  <si>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</si>
  <si>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</si>
  <si>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</si>
  <si>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</si>
  <si>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</si>
  <si>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</si>
  <si>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</si>
  <si>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</si>
  <si>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</si>
  <si>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</si>
  <si>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</si>
  <si>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</si>
  <si>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</si>
  <si>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</si>
  <si>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</si>
  <si>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</si>
  <si>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</si>
  <si>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</si>
  <si>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</si>
  <si>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</si>
  <si>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</si>
  <si>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</si>
  <si>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</si>
  <si>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</si>
  <si>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</si>
  <si>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</si>
  <si>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</si>
  <si>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</si>
  <si>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</si>
  <si>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</si>
  <si>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</si>
  <si>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</si>
  <si>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</si>
  <si>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</si>
  <si>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</si>
  <si>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</si>
  <si>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</si>
  <si>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</si>
  <si>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</si>
  <si>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</si>
  <si>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</si>
  <si>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</si>
  <si>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</si>
  <si>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</si>
  <si>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</si>
  <si>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</si>
  <si>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</si>
  <si>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</si>
  <si>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</si>
  <si>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</si>
  <si>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</si>
  <si>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</si>
  <si>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</si>
  <si>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</si>
  <si>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</si>
  <si>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</si>
  <si>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</si>
  <si>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</si>
  <si>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</si>
  <si>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</si>
  <si>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SE USÓ ALTERNATIVA DE MERINO</t>
  </si>
  <si>
    <t>N° 10963</t>
  </si>
  <si>
    <t>ISABEL FARIAS</t>
  </si>
  <si>
    <t>NATURAL ELM 1499 MT</t>
  </si>
  <si>
    <t>PR6 / 3 FRENTES DE 230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</si>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</sst>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28" fillId="0" borderId="0" xfId="2" quotePrefix="1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28</xdr:row>
      <xdr:rowOff>107</xdr:rowOff>
    </xdr:from>
    <xdr:to>
      <xdr:col>5</xdr:col>
      <xdr:colOff>1422971</xdr:colOff>
      <xdr:row>32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$ 130.000.- 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39</xdr:row>
      <xdr:rowOff>0</xdr:rowOff>
    </xdr:from>
    <xdr:to>
      <xdr:col>4</xdr:col>
      <xdr:colOff>369336</xdr:colOff>
      <xdr:row>39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41</xdr:row>
      <xdr:rowOff>1</xdr:rowOff>
    </xdr:from>
    <xdr:to>
      <xdr:col>4</xdr:col>
      <xdr:colOff>349897</xdr:colOff>
      <xdr:row>41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21</xdr:row>
      <xdr:rowOff>76200</xdr:rowOff>
    </xdr:from>
    <xdr:to>
      <xdr:col>6</xdr:col>
      <xdr:colOff>19049</xdr:colOff>
      <xdr:row>22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6</xdr:col>
      <xdr:colOff>0</xdr:colOff>
      <xdr:row>61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228601</xdr:rowOff>
    </xdr:from>
    <xdr:to>
      <xdr:col>6</xdr:col>
      <xdr:colOff>0</xdr:colOff>
      <xdr:row>55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2</xdr:col>
      <xdr:colOff>38100</xdr:colOff>
      <xdr:row>73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72</xdr:row>
      <xdr:rowOff>0</xdr:rowOff>
    </xdr:from>
    <xdr:to>
      <xdr:col>2</xdr:col>
      <xdr:colOff>1019175</xdr:colOff>
      <xdr:row>73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72</xdr:row>
      <xdr:rowOff>0</xdr:rowOff>
    </xdr:from>
    <xdr:to>
      <xdr:col>3</xdr:col>
      <xdr:colOff>323850</xdr:colOff>
      <xdr:row>73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72</xdr:row>
      <xdr:rowOff>0</xdr:rowOff>
    </xdr:from>
    <xdr:to>
      <xdr:col>4</xdr:col>
      <xdr:colOff>257175</xdr:colOff>
      <xdr:row>73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72</xdr:row>
      <xdr:rowOff>0</xdr:rowOff>
    </xdr:from>
    <xdr:to>
      <xdr:col>5</xdr:col>
      <xdr:colOff>447675</xdr:colOff>
      <xdr:row>73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72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304800</xdr:colOff>
      <xdr:row>74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73</xdr:row>
      <xdr:rowOff>0</xdr:rowOff>
    </xdr:from>
    <xdr:to>
      <xdr:col>2</xdr:col>
      <xdr:colOff>1276350</xdr:colOff>
      <xdr:row>74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73</xdr:row>
      <xdr:rowOff>0</xdr:rowOff>
    </xdr:from>
    <xdr:to>
      <xdr:col>3</xdr:col>
      <xdr:colOff>619125</xdr:colOff>
      <xdr:row>74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73</xdr:row>
      <xdr:rowOff>0</xdr:rowOff>
    </xdr:from>
    <xdr:to>
      <xdr:col>4</xdr:col>
      <xdr:colOff>523875</xdr:colOff>
      <xdr:row>74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73</xdr:row>
      <xdr:rowOff>0</xdr:rowOff>
    </xdr:from>
    <xdr:to>
      <xdr:col>5</xdr:col>
      <xdr:colOff>723900</xdr:colOff>
      <xdr:row>74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73</xdr:row>
      <xdr:rowOff>0</xdr:rowOff>
    </xdr:from>
    <xdr:to>
      <xdr:col>6</xdr:col>
      <xdr:colOff>0</xdr:colOff>
      <xdr:row>74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44</xdr:row>
      <xdr:rowOff>5714</xdr:rowOff>
    </xdr:from>
    <xdr:to>
      <xdr:col>6</xdr:col>
      <xdr:colOff>0</xdr:colOff>
      <xdr:row>46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ENCHAPADAS, SON PARA INSTALACION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33</xdr:row>
      <xdr:rowOff>152400</xdr:rowOff>
    </xdr:from>
    <xdr:to>
      <xdr:col>6</xdr:col>
      <xdr:colOff>9524</xdr:colOff>
      <xdr:row>34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75</xdr:row>
      <xdr:rowOff>28575</xdr:rowOff>
    </xdr:from>
    <xdr:to>
      <xdr:col>5</xdr:col>
      <xdr:colOff>2386965</xdr:colOff>
      <xdr:row>78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 A LA MEDIDA Y ENCHAPADAS,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INSTALAR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53</xdr:row>
      <xdr:rowOff>22860</xdr:rowOff>
    </xdr:from>
    <xdr:to>
      <xdr:col>1</xdr:col>
      <xdr:colOff>672223</xdr:colOff>
      <xdr:row>58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304800</xdr:colOff>
      <xdr:row>82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abSelected="1" topLeftCell="A16" zoomScale="89" zoomScaleNormal="89" workbookViewId="0">
      <selection activeCell="H31" sqref="H3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4076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45439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45441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5">
        <v>56996723363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4" t="s">
        <v>18</v>
      </c>
      <c r="G16" s="134"/>
      <c r="H16" s="135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9"/>
      <c r="G17" s="139"/>
      <c r="H17" s="140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6" t="s">
        <v>19</v>
      </c>
      <c r="C19" s="137"/>
      <c r="D19" s="137"/>
      <c r="E19" s="137"/>
      <c r="F19" s="137"/>
      <c r="G19" s="137"/>
      <c r="H19" s="138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0">
        <v>2</v>
      </c>
      <c r="C21" s="121" t="s">
        <v>61</v>
      </c>
      <c r="D21" s="124">
        <v>700</v>
      </c>
      <c r="E21" s="124">
        <v>400</v>
      </c>
      <c r="F21" s="121" t="s">
        <v>144</v>
      </c>
      <c r="G21" s="122"/>
      <c r="H21" s="123"/>
      <c r="I21" s="1"/>
      <c r="K21" s="11">
        <f t="shared" ref="K21:L21" si="0">D21/1000</f>
        <v>0.7</v>
      </c>
      <c r="L21" s="14">
        <f t="shared" si="0"/>
        <v>0.4</v>
      </c>
      <c r="M21" s="11">
        <f>K21*L21</f>
        <v>0.27999999999999997</v>
      </c>
      <c r="N21" s="11">
        <f>M21*N$20</f>
        <v>3919.9999999999995</v>
      </c>
      <c r="O21" s="14"/>
      <c r="P21" s="20"/>
    </row>
    <row r="22" spans="1:16" ht="19.5" customHeight="1" x14ac:dyDescent="0.35">
      <c r="A22" s="28"/>
      <c r="B22" s="120">
        <v>1</v>
      </c>
      <c r="C22" s="121" t="s">
        <v>61</v>
      </c>
      <c r="D22" s="124">
        <v>700</v>
      </c>
      <c r="E22" s="124">
        <v>350</v>
      </c>
      <c r="F22" s="121" t="s">
        <v>144</v>
      </c>
      <c r="G22" s="122"/>
      <c r="H22" s="123"/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0">
        <v>1</v>
      </c>
      <c r="C23" s="121" t="s">
        <v>145</v>
      </c>
      <c r="D23" s="124">
        <v>700</v>
      </c>
      <c r="E23" s="124">
        <v>350</v>
      </c>
      <c r="F23" s="121" t="s">
        <v>144</v>
      </c>
      <c r="G23" s="122"/>
      <c r="H23" s="123"/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20">
        <v>1</v>
      </c>
      <c r="C24" s="121" t="s">
        <v>61</v>
      </c>
      <c r="D24" s="124">
        <v>80</v>
      </c>
      <c r="E24" s="124">
        <v>600</v>
      </c>
      <c r="F24" s="121" t="s">
        <v>144</v>
      </c>
      <c r="G24" s="122"/>
      <c r="H24" s="123"/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20">
        <v>1</v>
      </c>
      <c r="C25" s="121" t="s">
        <v>61</v>
      </c>
      <c r="D25" s="124">
        <v>700</v>
      </c>
      <c r="E25" s="124">
        <v>370</v>
      </c>
      <c r="F25" s="121" t="s">
        <v>144</v>
      </c>
      <c r="G25" s="122"/>
      <c r="H25" s="123"/>
      <c r="I25" s="1"/>
      <c r="K25" s="11"/>
      <c r="L25" s="14"/>
      <c r="M25" s="11"/>
      <c r="N25" s="11"/>
      <c r="O25" s="14"/>
      <c r="P25" s="20"/>
    </row>
    <row r="26" spans="1:16" ht="19.5" customHeight="1" x14ac:dyDescent="0.35">
      <c r="A26" s="28"/>
      <c r="B26" s="120">
        <v>1</v>
      </c>
      <c r="C26" s="121" t="s">
        <v>61</v>
      </c>
      <c r="D26" s="124">
        <v>520</v>
      </c>
      <c r="E26" s="124">
        <v>608</v>
      </c>
      <c r="F26" s="121" t="s">
        <v>144</v>
      </c>
      <c r="G26" s="122"/>
      <c r="H26" s="123"/>
      <c r="I26" s="1"/>
      <c r="K26" s="11"/>
      <c r="L26" s="14"/>
      <c r="M26" s="11"/>
      <c r="N26" s="11"/>
      <c r="O26" s="14"/>
      <c r="P26" s="20"/>
    </row>
    <row r="27" spans="1:16" ht="19.5" customHeight="1" x14ac:dyDescent="0.35">
      <c r="A27" s="28"/>
      <c r="B27" s="126"/>
      <c r="C27" s="126"/>
      <c r="D27" s="127"/>
      <c r="E27" s="127"/>
      <c r="F27" s="126"/>
      <c r="G27" s="128"/>
      <c r="H27" s="128"/>
      <c r="I27" s="1"/>
      <c r="K27" s="11"/>
      <c r="L27" s="14"/>
      <c r="M27" s="11"/>
      <c r="N27" s="11"/>
      <c r="O27" s="14"/>
      <c r="P27" s="20"/>
    </row>
    <row r="28" spans="1:16" ht="18" customHeight="1" x14ac:dyDescent="0.35">
      <c r="A28" s="28"/>
      <c r="B28" s="37"/>
      <c r="C28" s="37"/>
      <c r="D28" s="38"/>
      <c r="E28" s="38"/>
      <c r="F28" s="37"/>
      <c r="G28" s="39"/>
      <c r="H28" s="39"/>
      <c r="I28" s="1"/>
      <c r="K28" s="11"/>
      <c r="L28" s="14"/>
      <c r="M28" s="11"/>
      <c r="N28" s="11"/>
      <c r="O28" s="14"/>
      <c r="P28" s="20"/>
    </row>
    <row r="29" spans="1:16" ht="8.25" customHeight="1" thickBot="1" x14ac:dyDescent="0.4">
      <c r="A29" s="28"/>
      <c r="B29" s="40"/>
      <c r="C29" s="40"/>
      <c r="D29" s="40"/>
      <c r="E29" s="40"/>
      <c r="F29" s="40"/>
      <c r="G29" s="41"/>
      <c r="H29" s="41"/>
      <c r="I29" s="1"/>
    </row>
    <row r="30" spans="1:16" ht="18" x14ac:dyDescent="0.35">
      <c r="A30" s="28"/>
      <c r="B30" s="28"/>
      <c r="C30" s="28"/>
      <c r="D30" s="28"/>
      <c r="E30" s="28"/>
      <c r="F30" s="28"/>
      <c r="G30" s="42" t="s">
        <v>5</v>
      </c>
      <c r="H30" s="43">
        <v>292571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44" t="s">
        <v>6</v>
      </c>
      <c r="H31" s="45"/>
      <c r="I31" s="1"/>
    </row>
    <row r="32" spans="1:16" ht="18.600000000000001" thickBot="1" x14ac:dyDescent="0.4">
      <c r="A32" s="28"/>
      <c r="B32" s="28"/>
      <c r="C32" s="28"/>
      <c r="D32" s="28"/>
      <c r="E32" s="28"/>
      <c r="F32" s="28"/>
      <c r="G32" s="46" t="s">
        <v>4</v>
      </c>
      <c r="H32" s="47">
        <f>H30+H31</f>
        <v>292571</v>
      </c>
      <c r="I32" s="1"/>
    </row>
    <row r="33" spans="1:9" ht="18" x14ac:dyDescent="0.35">
      <c r="A33" s="28"/>
      <c r="B33" s="28"/>
      <c r="C33" s="28"/>
      <c r="D33" s="28"/>
      <c r="E33" s="28"/>
      <c r="F33" s="28"/>
      <c r="G33" s="29"/>
      <c r="H33" s="48"/>
      <c r="I33" s="1"/>
    </row>
    <row r="34" spans="1:9" ht="18" x14ac:dyDescent="0.35">
      <c r="A34" s="28"/>
      <c r="B34" s="28"/>
      <c r="C34" s="28"/>
      <c r="D34" s="28"/>
      <c r="E34" s="28"/>
      <c r="F34" s="28"/>
      <c r="G34" s="28"/>
      <c r="H34" s="28"/>
      <c r="I34" s="1"/>
    </row>
    <row r="35" spans="1:9" ht="18" x14ac:dyDescent="0.35">
      <c r="A35" s="28"/>
      <c r="B35" s="49" t="s">
        <v>134</v>
      </c>
      <c r="C35" s="50"/>
      <c r="D35" s="51"/>
      <c r="E35" s="51"/>
      <c r="F35" s="40"/>
      <c r="G35" s="28" t="s">
        <v>141</v>
      </c>
      <c r="H35" s="28"/>
      <c r="I35" s="1"/>
    </row>
    <row r="36" spans="1:9" ht="18" x14ac:dyDescent="0.35">
      <c r="A36" s="28"/>
      <c r="B36" s="49" t="s">
        <v>119</v>
      </c>
      <c r="C36" s="50"/>
      <c r="D36" s="51"/>
      <c r="E36" s="51"/>
      <c r="F36" s="40"/>
      <c r="G36" s="28"/>
      <c r="H36" s="28"/>
      <c r="I36" s="1"/>
    </row>
    <row r="37" spans="1:9" ht="18" x14ac:dyDescent="0.35">
      <c r="A37" s="28"/>
      <c r="B37" s="28" t="s">
        <v>24</v>
      </c>
      <c r="C37" s="28"/>
      <c r="D37" s="28"/>
      <c r="E37" s="52" t="s">
        <v>25</v>
      </c>
      <c r="F37" s="28"/>
      <c r="G37" s="28"/>
      <c r="H37" s="28"/>
      <c r="I37" s="1"/>
    </row>
    <row r="38" spans="1:9" ht="18" x14ac:dyDescent="0.35">
      <c r="A38" s="28"/>
      <c r="B38" s="28"/>
      <c r="C38" s="28"/>
      <c r="D38" s="28"/>
      <c r="E38" s="52"/>
      <c r="F38" s="28"/>
      <c r="G38" s="28"/>
      <c r="H38" s="28"/>
      <c r="I38" s="1"/>
    </row>
    <row r="39" spans="1:9" ht="18" x14ac:dyDescent="0.35">
      <c r="A39" s="28"/>
      <c r="B39" s="30" t="s">
        <v>130</v>
      </c>
      <c r="C39" s="30"/>
      <c r="D39" s="30"/>
      <c r="E39" s="53"/>
      <c r="F39" s="28"/>
      <c r="G39" s="28"/>
      <c r="H39" s="28"/>
      <c r="I39" s="1"/>
    </row>
    <row r="40" spans="1:9" ht="18" x14ac:dyDescent="0.35">
      <c r="A40" s="28"/>
      <c r="B40" s="30"/>
      <c r="C40" s="30"/>
      <c r="D40" s="30"/>
      <c r="E40" s="53"/>
      <c r="F40" s="28"/>
      <c r="G40" s="28"/>
      <c r="H40" s="28"/>
      <c r="I40" s="1"/>
    </row>
    <row r="41" spans="1:9" ht="18" x14ac:dyDescent="0.35">
      <c r="A41" s="28"/>
      <c r="B41" s="30" t="s">
        <v>131</v>
      </c>
      <c r="C41" s="28"/>
      <c r="D41" s="28"/>
      <c r="E41" s="52"/>
      <c r="F41" s="28"/>
      <c r="G41" s="28"/>
      <c r="H41" s="28"/>
      <c r="I41" s="1"/>
    </row>
    <row r="42" spans="1:9" ht="15.6" x14ac:dyDescent="0.3">
      <c r="A42" s="1"/>
      <c r="B42" s="1"/>
      <c r="C42" s="1"/>
      <c r="D42" s="1"/>
      <c r="E42" s="22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5.6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5.6" x14ac:dyDescent="0.3">
      <c r="C45" s="1"/>
    </row>
  </sheetData>
  <sortState xmlns:xlrd2="http://schemas.microsoft.com/office/spreadsheetml/2017/richdata2" ref="B46">
    <sortCondition sortBy="fontColor" ref="B46" dxfId="0"/>
  </sortState>
  <mergeCells count="3">
    <mergeCell ref="F16:H16"/>
    <mergeCell ref="B19:H19"/>
    <mergeCell ref="F17:H17"/>
  </mergeCells>
  <phoneticPr fontId="8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29</v>
      </c>
      <c r="C2" s="141"/>
      <c r="D2" s="141"/>
      <c r="E2" s="12"/>
      <c r="G2" s="141" t="s">
        <v>68</v>
      </c>
      <c r="H2" s="141"/>
      <c r="I2" s="141"/>
      <c r="P2" s="142" t="s">
        <v>56</v>
      </c>
      <c r="Q2" s="142"/>
      <c r="R2" s="142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2" t="s">
        <v>56</v>
      </c>
      <c r="M8" s="142"/>
      <c r="N8" s="142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"/>
  <sheetViews>
    <sheetView zoomScaleNormal="100" workbookViewId="0">
      <selection sqref="A1:F49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3" t="s">
        <v>59</v>
      </c>
      <c r="L3" s="143"/>
      <c r="M3" s="143" t="s">
        <v>14</v>
      </c>
      <c r="N3" s="143"/>
    </row>
    <row r="4" spans="1:14" ht="15.75" customHeight="1" x14ac:dyDescent="0.4">
      <c r="A4" s="74"/>
      <c r="B4" s="74"/>
      <c r="C4" s="75" t="s">
        <v>26</v>
      </c>
      <c r="D4" s="76">
        <f>'4637'!G8</f>
        <v>4076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ISABEL FARIAS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4" t="s">
        <v>59</v>
      </c>
      <c r="B10" s="144"/>
      <c r="C10" s="144"/>
      <c r="D10" s="144"/>
      <c r="E10" s="144"/>
      <c r="F10" s="144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146</v>
      </c>
      <c r="B14" s="101">
        <f t="shared" ref="B14" si="0">I14</f>
        <v>2</v>
      </c>
      <c r="C14" s="102"/>
      <c r="D14" s="103">
        <f>J14+D$13</f>
        <v>750</v>
      </c>
      <c r="E14" s="103">
        <f>K14+E$13</f>
        <v>398</v>
      </c>
      <c r="F14" s="118" t="str">
        <f t="shared" ref="F14:F15" si="1">C38</f>
        <v>PR6</v>
      </c>
      <c r="G14" s="28"/>
      <c r="I14" s="3">
        <f>B38</f>
        <v>2</v>
      </c>
      <c r="J14" s="4">
        <f>D38</f>
        <v>700</v>
      </c>
      <c r="K14" s="4">
        <f>E38</f>
        <v>400</v>
      </c>
    </row>
    <row r="15" spans="1:14" ht="21" x14ac:dyDescent="0.4">
      <c r="A15" s="114"/>
      <c r="B15" s="101">
        <f t="shared" ref="B15" si="2">I15</f>
        <v>1</v>
      </c>
      <c r="C15" s="102"/>
      <c r="D15" s="103">
        <f>J15+D$13</f>
        <v>750</v>
      </c>
      <c r="E15" s="103">
        <f>K15+E$13</f>
        <v>348</v>
      </c>
      <c r="F15" s="118" t="str">
        <f t="shared" si="1"/>
        <v>PR6</v>
      </c>
      <c r="G15" s="28"/>
      <c r="I15" s="3">
        <f>B39</f>
        <v>1</v>
      </c>
      <c r="J15" s="4">
        <f>D39</f>
        <v>700</v>
      </c>
      <c r="K15" s="4">
        <f>E39</f>
        <v>350</v>
      </c>
    </row>
    <row r="16" spans="1:14" ht="21" x14ac:dyDescent="0.4">
      <c r="A16" s="114"/>
      <c r="B16" s="101">
        <f t="shared" ref="B16:B19" si="3">I16</f>
        <v>1</v>
      </c>
      <c r="C16" s="102"/>
      <c r="D16" s="103">
        <f t="shared" ref="D16:D19" si="4">J16+D$13</f>
        <v>750</v>
      </c>
      <c r="E16" s="103">
        <f t="shared" ref="E16:E19" si="5">K16+E$13</f>
        <v>348</v>
      </c>
      <c r="F16" s="118" t="str">
        <f t="shared" ref="F16:F19" si="6">C40</f>
        <v>PR6 / 3 FRENTES DE 230</v>
      </c>
      <c r="G16" s="28"/>
      <c r="I16" s="3">
        <f t="shared" ref="I16:I19" si="7">B40</f>
        <v>1</v>
      </c>
      <c r="J16" s="4">
        <f t="shared" ref="J16:K16" si="8">D40</f>
        <v>700</v>
      </c>
      <c r="K16" s="4">
        <f t="shared" si="8"/>
        <v>350</v>
      </c>
    </row>
    <row r="17" spans="1:11" ht="21" x14ac:dyDescent="0.4">
      <c r="A17" s="114"/>
      <c r="B17" s="101">
        <f t="shared" si="3"/>
        <v>1</v>
      </c>
      <c r="C17" s="102"/>
      <c r="D17" s="103">
        <f t="shared" si="4"/>
        <v>130</v>
      </c>
      <c r="E17" s="103">
        <f t="shared" si="5"/>
        <v>598</v>
      </c>
      <c r="F17" s="118" t="str">
        <f t="shared" si="6"/>
        <v>PR6</v>
      </c>
      <c r="G17" s="28"/>
      <c r="I17" s="3">
        <f t="shared" si="7"/>
        <v>1</v>
      </c>
      <c r="J17" s="4">
        <f t="shared" ref="J17:K17" si="9">D41</f>
        <v>80</v>
      </c>
      <c r="K17" s="4">
        <f t="shared" si="9"/>
        <v>600</v>
      </c>
    </row>
    <row r="18" spans="1:11" ht="21" x14ac:dyDescent="0.4">
      <c r="A18" s="114"/>
      <c r="B18" s="101">
        <f t="shared" si="3"/>
        <v>1</v>
      </c>
      <c r="C18" s="102"/>
      <c r="D18" s="103">
        <f t="shared" si="4"/>
        <v>750</v>
      </c>
      <c r="E18" s="103">
        <f t="shared" si="5"/>
        <v>368</v>
      </c>
      <c r="F18" s="118" t="str">
        <f t="shared" si="6"/>
        <v>PR6</v>
      </c>
      <c r="G18" s="28"/>
      <c r="I18" s="3">
        <f t="shared" si="7"/>
        <v>1</v>
      </c>
      <c r="J18" s="4">
        <f t="shared" ref="J18:K18" si="10">D42</f>
        <v>700</v>
      </c>
      <c r="K18" s="4">
        <f t="shared" si="10"/>
        <v>370</v>
      </c>
    </row>
    <row r="19" spans="1:11" ht="21" x14ac:dyDescent="0.4">
      <c r="A19" s="114"/>
      <c r="B19" s="101">
        <f t="shared" si="3"/>
        <v>1</v>
      </c>
      <c r="C19" s="102"/>
      <c r="D19" s="103">
        <f t="shared" si="4"/>
        <v>570</v>
      </c>
      <c r="E19" s="103">
        <f t="shared" si="5"/>
        <v>606</v>
      </c>
      <c r="F19" s="118" t="str">
        <f t="shared" si="6"/>
        <v>PR6</v>
      </c>
      <c r="G19" s="28"/>
      <c r="I19" s="3">
        <f t="shared" si="7"/>
        <v>1</v>
      </c>
      <c r="J19" s="4">
        <f t="shared" ref="J19:K19" si="11">D43</f>
        <v>520</v>
      </c>
      <c r="K19" s="4">
        <f t="shared" si="11"/>
        <v>608</v>
      </c>
    </row>
    <row r="20" spans="1:11" ht="21" x14ac:dyDescent="0.4">
      <c r="A20" s="89"/>
      <c r="B20" s="91"/>
      <c r="C20" s="110"/>
      <c r="D20" s="91"/>
      <c r="E20" s="91"/>
      <c r="F20" s="91"/>
      <c r="G20" s="28"/>
      <c r="I20" s="2"/>
      <c r="J20" s="2"/>
      <c r="K20" s="2"/>
    </row>
    <row r="21" spans="1:11" ht="6.75" customHeight="1" x14ac:dyDescent="0.4">
      <c r="A21" s="74"/>
      <c r="B21" s="74"/>
      <c r="C21" s="74"/>
      <c r="D21" s="74"/>
      <c r="E21" s="74"/>
      <c r="F21" s="74"/>
      <c r="G21" s="28"/>
    </row>
    <row r="22" spans="1:11" ht="21" x14ac:dyDescent="0.4">
      <c r="A22" s="144" t="s">
        <v>14</v>
      </c>
      <c r="B22" s="144"/>
      <c r="C22" s="144"/>
      <c r="D22" s="144"/>
      <c r="E22" s="144"/>
      <c r="F22" s="144"/>
      <c r="G22" s="28"/>
    </row>
    <row r="23" spans="1:11" ht="10.5" customHeight="1" x14ac:dyDescent="0.4">
      <c r="A23" s="74"/>
      <c r="B23" s="74"/>
      <c r="C23" s="96"/>
      <c r="D23" s="74"/>
      <c r="E23" s="74"/>
      <c r="F23" s="74"/>
      <c r="G23" s="28"/>
    </row>
    <row r="24" spans="1:11" ht="21" x14ac:dyDescent="0.4">
      <c r="A24" s="74"/>
      <c r="B24" s="74"/>
      <c r="C24" s="74"/>
      <c r="D24" s="84" t="s">
        <v>7</v>
      </c>
      <c r="E24" s="84" t="s">
        <v>8</v>
      </c>
      <c r="F24" s="74"/>
      <c r="G24" s="28"/>
    </row>
    <row r="25" spans="1:11" ht="21" x14ac:dyDescent="0.4">
      <c r="A25" s="84" t="s">
        <v>9</v>
      </c>
      <c r="B25" s="104" t="s">
        <v>10</v>
      </c>
      <c r="C25" s="104" t="s">
        <v>11</v>
      </c>
      <c r="D25" s="105">
        <v>40</v>
      </c>
      <c r="E25" s="105">
        <v>90</v>
      </c>
      <c r="F25" s="104" t="s">
        <v>107</v>
      </c>
      <c r="G25" s="28"/>
      <c r="J25" s="5" t="s">
        <v>7</v>
      </c>
      <c r="K25" s="5" t="s">
        <v>8</v>
      </c>
    </row>
    <row r="26" spans="1:11" ht="18.75" customHeight="1" x14ac:dyDescent="0.4">
      <c r="A26" s="114"/>
      <c r="B26" s="103">
        <f t="shared" ref="B26" si="12">I26</f>
        <v>2</v>
      </c>
      <c r="C26" s="102"/>
      <c r="D26" s="103">
        <f>J26+D$25</f>
        <v>740</v>
      </c>
      <c r="E26" s="103">
        <f t="shared" ref="E26" si="13">K26+E$25</f>
        <v>490</v>
      </c>
      <c r="F26" s="117" t="str">
        <f t="shared" ref="F26" si="14">C38</f>
        <v>PR6</v>
      </c>
      <c r="G26" s="28"/>
      <c r="I26" s="3">
        <f t="shared" ref="I26" si="15">B38</f>
        <v>2</v>
      </c>
      <c r="J26" s="4">
        <f>D38</f>
        <v>700</v>
      </c>
      <c r="K26" s="4">
        <f>E38</f>
        <v>400</v>
      </c>
    </row>
    <row r="27" spans="1:11" ht="18.75" customHeight="1" x14ac:dyDescent="0.4">
      <c r="A27" s="114"/>
      <c r="B27" s="103">
        <f t="shared" ref="B27" si="16">I27</f>
        <v>1</v>
      </c>
      <c r="C27" s="102"/>
      <c r="D27" s="103">
        <f>J27+D$25</f>
        <v>740</v>
      </c>
      <c r="E27" s="103">
        <f t="shared" ref="E27" si="17">K27+E$25</f>
        <v>440</v>
      </c>
      <c r="F27" s="117" t="str">
        <f t="shared" ref="F27" si="18">C39</f>
        <v>PR6</v>
      </c>
      <c r="G27" s="28"/>
      <c r="I27" s="3">
        <f t="shared" ref="I27" si="19">B39</f>
        <v>1</v>
      </c>
      <c r="J27" s="4">
        <f>D39</f>
        <v>700</v>
      </c>
      <c r="K27" s="4">
        <f>E39</f>
        <v>350</v>
      </c>
    </row>
    <row r="28" spans="1:11" ht="18.75" customHeight="1" x14ac:dyDescent="0.4">
      <c r="A28" s="114"/>
      <c r="B28" s="103">
        <f t="shared" ref="B28:B31" si="20">I28</f>
        <v>1</v>
      </c>
      <c r="C28" s="102"/>
      <c r="D28" s="103">
        <f t="shared" ref="D28:D31" si="21">J28+D$25</f>
        <v>740</v>
      </c>
      <c r="E28" s="103">
        <f t="shared" ref="E28:E31" si="22">K28+E$25</f>
        <v>440</v>
      </c>
      <c r="F28" s="117" t="str">
        <f t="shared" ref="F28:F31" si="23">C40</f>
        <v>PR6 / 3 FRENTES DE 230</v>
      </c>
      <c r="G28" s="28"/>
      <c r="I28" s="3">
        <f t="shared" ref="I28:I31" si="24">B40</f>
        <v>1</v>
      </c>
      <c r="J28" s="4">
        <f t="shared" ref="J28:K28" si="25">D40</f>
        <v>700</v>
      </c>
      <c r="K28" s="4">
        <f t="shared" si="25"/>
        <v>350</v>
      </c>
    </row>
    <row r="29" spans="1:11" ht="18.75" customHeight="1" x14ac:dyDescent="0.4">
      <c r="A29" s="114"/>
      <c r="B29" s="103">
        <f t="shared" si="20"/>
        <v>1</v>
      </c>
      <c r="C29" s="102"/>
      <c r="D29" s="103">
        <f t="shared" si="21"/>
        <v>120</v>
      </c>
      <c r="E29" s="103">
        <f t="shared" si="22"/>
        <v>690</v>
      </c>
      <c r="F29" s="117" t="str">
        <f t="shared" si="23"/>
        <v>PR6</v>
      </c>
      <c r="G29" s="28"/>
      <c r="I29" s="3">
        <f t="shared" si="24"/>
        <v>1</v>
      </c>
      <c r="J29" s="4">
        <f t="shared" ref="J29:K29" si="26">D41</f>
        <v>80</v>
      </c>
      <c r="K29" s="4">
        <f t="shared" si="26"/>
        <v>600</v>
      </c>
    </row>
    <row r="30" spans="1:11" ht="18.75" customHeight="1" x14ac:dyDescent="0.4">
      <c r="A30" s="114"/>
      <c r="B30" s="103">
        <f t="shared" si="20"/>
        <v>1</v>
      </c>
      <c r="C30" s="102"/>
      <c r="D30" s="103">
        <f t="shared" si="21"/>
        <v>740</v>
      </c>
      <c r="E30" s="103">
        <f t="shared" si="22"/>
        <v>460</v>
      </c>
      <c r="F30" s="117" t="str">
        <f t="shared" si="23"/>
        <v>PR6</v>
      </c>
      <c r="G30" s="28"/>
      <c r="I30" s="3">
        <f t="shared" si="24"/>
        <v>1</v>
      </c>
      <c r="J30" s="4">
        <f t="shared" ref="J30:K30" si="27">D42</f>
        <v>700</v>
      </c>
      <c r="K30" s="4">
        <f t="shared" si="27"/>
        <v>370</v>
      </c>
    </row>
    <row r="31" spans="1:11" ht="18.75" customHeight="1" x14ac:dyDescent="0.4">
      <c r="A31" s="114"/>
      <c r="B31" s="103">
        <f t="shared" si="20"/>
        <v>1</v>
      </c>
      <c r="C31" s="102"/>
      <c r="D31" s="103">
        <f t="shared" si="21"/>
        <v>560</v>
      </c>
      <c r="E31" s="103">
        <f t="shared" si="22"/>
        <v>698</v>
      </c>
      <c r="F31" s="117" t="str">
        <f t="shared" si="23"/>
        <v>PR6</v>
      </c>
      <c r="G31" s="28"/>
      <c r="I31" s="3">
        <f t="shared" si="24"/>
        <v>1</v>
      </c>
      <c r="J31" s="4">
        <f t="shared" ref="J31:K31" si="28">D43</f>
        <v>520</v>
      </c>
      <c r="K31" s="4">
        <f t="shared" si="28"/>
        <v>608</v>
      </c>
    </row>
    <row r="32" spans="1:11" ht="18.75" customHeight="1" x14ac:dyDescent="0.4">
      <c r="A32" s="114"/>
      <c r="B32" s="91"/>
      <c r="C32" s="110"/>
      <c r="D32" s="91"/>
      <c r="E32" s="91"/>
      <c r="F32" s="133"/>
      <c r="G32" s="28"/>
      <c r="I32" s="115"/>
      <c r="J32" s="2"/>
      <c r="K32" s="2"/>
    </row>
    <row r="33" spans="1:11" ht="18.75" customHeight="1" x14ac:dyDescent="0.4">
      <c r="A33" s="114"/>
      <c r="B33" s="91"/>
      <c r="C33" s="110"/>
      <c r="D33" s="91"/>
      <c r="E33" s="91"/>
      <c r="F33" s="91"/>
      <c r="G33" s="28"/>
      <c r="I33" s="115"/>
      <c r="J33" s="2"/>
      <c r="K33" s="2"/>
    </row>
    <row r="34" spans="1:11" ht="21" x14ac:dyDescent="0.4">
      <c r="A34" s="89"/>
      <c r="B34" s="91"/>
      <c r="C34" s="91"/>
      <c r="D34" s="91"/>
      <c r="E34" s="91"/>
      <c r="F34" s="91"/>
      <c r="G34" s="28"/>
      <c r="I34" s="2"/>
      <c r="J34" s="2"/>
      <c r="K34" s="2"/>
    </row>
    <row r="35" spans="1:11" ht="21" x14ac:dyDescent="0.4">
      <c r="A35" s="84"/>
      <c r="B35" s="96"/>
      <c r="C35" s="96"/>
      <c r="D35" s="96"/>
      <c r="E35" s="96"/>
      <c r="F35" s="96"/>
      <c r="G35" s="28"/>
      <c r="I35" s="2"/>
      <c r="J35" s="2"/>
      <c r="K35" s="2"/>
    </row>
    <row r="36" spans="1:11" ht="10.5" customHeight="1" thickBot="1" x14ac:dyDescent="0.45">
      <c r="A36" s="74"/>
      <c r="B36" s="74"/>
      <c r="C36" s="74"/>
      <c r="D36" s="74"/>
      <c r="E36" s="74"/>
      <c r="F36" s="74"/>
      <c r="G36" s="28"/>
    </row>
    <row r="37" spans="1:11" ht="21" x14ac:dyDescent="0.4">
      <c r="A37" s="84" t="s">
        <v>9</v>
      </c>
      <c r="B37" s="106" t="s">
        <v>10</v>
      </c>
      <c r="C37" s="107" t="s">
        <v>107</v>
      </c>
      <c r="D37" s="107" t="s">
        <v>7</v>
      </c>
      <c r="E37" s="107" t="s">
        <v>8</v>
      </c>
      <c r="F37" s="108" t="s">
        <v>22</v>
      </c>
      <c r="G37" s="28"/>
    </row>
    <row r="38" spans="1:11" ht="21" x14ac:dyDescent="0.4">
      <c r="A38" s="114" t="s">
        <v>146</v>
      </c>
      <c r="B38" s="101">
        <f>'4637'!B21</f>
        <v>2</v>
      </c>
      <c r="C38" s="4" t="str">
        <f>'4637'!C21</f>
        <v>PR6</v>
      </c>
      <c r="D38" s="103">
        <f>'4637'!D21</f>
        <v>700</v>
      </c>
      <c r="E38" s="103">
        <f>'4637'!E21</f>
        <v>400</v>
      </c>
      <c r="F38" s="119" t="str">
        <f>'4637'!F21</f>
        <v>NATURAL ELM 1499 MT</v>
      </c>
      <c r="G38" s="28"/>
      <c r="H38" s="27">
        <f>D38*E38/1000000</f>
        <v>0.28000000000000003</v>
      </c>
      <c r="I38" s="27">
        <f>H38*B38</f>
        <v>0.56000000000000005</v>
      </c>
    </row>
    <row r="39" spans="1:11" ht="21" x14ac:dyDescent="0.4">
      <c r="A39" s="114"/>
      <c r="B39" s="101">
        <f>'4637'!B22</f>
        <v>1</v>
      </c>
      <c r="C39" s="4" t="str">
        <f>'4637'!C22</f>
        <v>PR6</v>
      </c>
      <c r="D39" s="103">
        <f>'4637'!D22</f>
        <v>700</v>
      </c>
      <c r="E39" s="103">
        <f>'4637'!E22</f>
        <v>350</v>
      </c>
      <c r="F39" s="119" t="str">
        <f>'4637'!F22</f>
        <v>NATURAL ELM 1499 MT</v>
      </c>
      <c r="G39" s="28"/>
      <c r="H39" s="27"/>
      <c r="I39" s="27"/>
    </row>
    <row r="40" spans="1:11" ht="21" x14ac:dyDescent="0.4">
      <c r="A40" s="114"/>
      <c r="B40" s="101">
        <f>'4637'!B23</f>
        <v>1</v>
      </c>
      <c r="C40" s="4" t="str">
        <f>'4637'!C23</f>
        <v>PR6 / 3 FRENTES DE 230</v>
      </c>
      <c r="D40" s="103">
        <f>'4637'!D23</f>
        <v>700</v>
      </c>
      <c r="E40" s="103">
        <f>'4637'!E23</f>
        <v>350</v>
      </c>
      <c r="F40" s="119" t="str">
        <f>'4637'!F23</f>
        <v>NATURAL ELM 1499 MT</v>
      </c>
      <c r="G40" s="28"/>
      <c r="H40" s="27"/>
      <c r="I40" s="27"/>
    </row>
    <row r="41" spans="1:11" ht="21" x14ac:dyDescent="0.4">
      <c r="A41" s="114"/>
      <c r="B41" s="101">
        <f>'4637'!B24</f>
        <v>1</v>
      </c>
      <c r="C41" s="4" t="str">
        <f>'4637'!C24</f>
        <v>PR6</v>
      </c>
      <c r="D41" s="103">
        <f>'4637'!D24</f>
        <v>80</v>
      </c>
      <c r="E41" s="103">
        <f>'4637'!E24</f>
        <v>600</v>
      </c>
      <c r="F41" s="119" t="str">
        <f>'4637'!F24</f>
        <v>NATURAL ELM 1499 MT</v>
      </c>
      <c r="G41" s="28"/>
      <c r="H41" s="27"/>
      <c r="I41" s="27"/>
    </row>
    <row r="42" spans="1:11" ht="21" x14ac:dyDescent="0.4">
      <c r="A42" s="114"/>
      <c r="B42" s="101">
        <f>'4637'!B25</f>
        <v>1</v>
      </c>
      <c r="C42" s="4" t="str">
        <f>'4637'!C25</f>
        <v>PR6</v>
      </c>
      <c r="D42" s="103">
        <f>'4637'!D25</f>
        <v>700</v>
      </c>
      <c r="E42" s="103">
        <f>'4637'!E25</f>
        <v>370</v>
      </c>
      <c r="F42" s="119" t="str">
        <f>'4637'!F25</f>
        <v>NATURAL ELM 1499 MT</v>
      </c>
      <c r="G42" s="28"/>
      <c r="H42" s="27"/>
      <c r="I42" s="27"/>
    </row>
    <row r="43" spans="1:11" ht="21" x14ac:dyDescent="0.4">
      <c r="A43" s="114"/>
      <c r="B43" s="101">
        <f>'4637'!B26</f>
        <v>1</v>
      </c>
      <c r="C43" s="4" t="str">
        <f>'4637'!C26</f>
        <v>PR6</v>
      </c>
      <c r="D43" s="103">
        <f>'4637'!D26</f>
        <v>520</v>
      </c>
      <c r="E43" s="103">
        <f>'4637'!E26</f>
        <v>608</v>
      </c>
      <c r="F43" s="119" t="str">
        <f>'4637'!F26</f>
        <v>NATURAL ELM 1499 MT</v>
      </c>
      <c r="G43" s="28"/>
      <c r="H43" s="27"/>
      <c r="I43" s="27"/>
    </row>
    <row r="44" spans="1:11" ht="21" x14ac:dyDescent="0.4">
      <c r="A44" s="89"/>
      <c r="B44" s="91"/>
      <c r="C44" s="91"/>
      <c r="D44" s="91"/>
      <c r="E44" s="91"/>
      <c r="F44" s="91"/>
      <c r="G44" s="28"/>
      <c r="H44" s="27"/>
      <c r="I44" s="27"/>
    </row>
    <row r="45" spans="1:11" ht="21" x14ac:dyDescent="0.4">
      <c r="A45" s="74"/>
      <c r="B45" s="91"/>
      <c r="C45" s="91"/>
      <c r="D45" s="91"/>
      <c r="E45" s="91"/>
      <c r="F45" s="91"/>
      <c r="G45" s="28"/>
      <c r="I45" s="27">
        <f>SUM(I38:I38)*2</f>
        <v>1.1200000000000001</v>
      </c>
    </row>
    <row r="46" spans="1:11" ht="21" x14ac:dyDescent="0.4">
      <c r="A46" s="74"/>
      <c r="B46" s="91"/>
      <c r="C46" s="91"/>
      <c r="D46" s="91"/>
      <c r="E46" s="91"/>
      <c r="F46" s="91"/>
      <c r="G46" s="28"/>
    </row>
    <row r="47" spans="1:11" ht="21" x14ac:dyDescent="0.4">
      <c r="A47" s="74"/>
      <c r="B47" s="91"/>
      <c r="C47" s="91"/>
      <c r="D47" s="91"/>
      <c r="E47" s="91"/>
      <c r="F47" s="91"/>
      <c r="G47" s="28"/>
    </row>
    <row r="48" spans="1:11" ht="21" x14ac:dyDescent="0.4">
      <c r="A48" s="74"/>
      <c r="B48" s="91"/>
      <c r="C48" s="91"/>
      <c r="D48" s="91"/>
      <c r="E48" s="91"/>
      <c r="F48" s="91"/>
      <c r="G48" s="28"/>
    </row>
    <row r="49" spans="1:10" ht="21" x14ac:dyDescent="0.4">
      <c r="A49" s="74"/>
      <c r="B49" s="91"/>
      <c r="C49" s="91"/>
      <c r="D49" s="91"/>
      <c r="E49" s="91"/>
      <c r="F49" s="91"/>
      <c r="G49" s="28"/>
    </row>
    <row r="50" spans="1:10" ht="18" x14ac:dyDescent="0.35">
      <c r="A50" s="28"/>
      <c r="B50" s="54"/>
      <c r="C50" s="54"/>
      <c r="D50" s="54"/>
      <c r="E50" s="54"/>
      <c r="F50" s="54"/>
      <c r="G50" s="28"/>
    </row>
    <row r="51" spans="1:10" ht="18" x14ac:dyDescent="0.35">
      <c r="A51" s="28"/>
      <c r="B51" s="54"/>
      <c r="C51" s="54"/>
      <c r="D51" s="54"/>
      <c r="E51" s="54"/>
      <c r="F51" s="54"/>
      <c r="G51" s="28"/>
    </row>
    <row r="52" spans="1:10" ht="18" x14ac:dyDescent="0.35">
      <c r="A52" s="28"/>
      <c r="B52" s="54"/>
      <c r="C52" s="54"/>
      <c r="D52" s="54"/>
      <c r="E52" s="54"/>
      <c r="F52" s="54"/>
      <c r="G52" s="28"/>
    </row>
    <row r="53" spans="1:10" ht="21" x14ac:dyDescent="0.4">
      <c r="A53" s="74"/>
      <c r="B53" s="74"/>
      <c r="C53" s="74"/>
      <c r="D53" s="74"/>
      <c r="E53" s="74"/>
      <c r="F53" s="74"/>
      <c r="G53" s="28"/>
    </row>
    <row r="54" spans="1:10" ht="21" x14ac:dyDescent="0.4">
      <c r="A54" s="74"/>
      <c r="B54" s="74"/>
      <c r="C54" s="75" t="s">
        <v>26</v>
      </c>
      <c r="D54" s="76">
        <f>'4637'!G8</f>
        <v>4076</v>
      </c>
      <c r="E54" s="74"/>
      <c r="F54" s="74"/>
      <c r="G54" s="28"/>
    </row>
    <row r="55" spans="1:10" ht="17.25" customHeight="1" x14ac:dyDescent="0.4">
      <c r="A55" s="74"/>
      <c r="B55" s="74"/>
      <c r="C55" s="77" t="s">
        <v>65</v>
      </c>
      <c r="D55" s="78" t="str">
        <f>'4637'!C10</f>
        <v>ISABEL FARIAS</v>
      </c>
      <c r="E55" s="79"/>
      <c r="F55" s="79"/>
      <c r="G55" s="28"/>
    </row>
    <row r="56" spans="1:10" ht="4.5" customHeight="1" x14ac:dyDescent="0.4">
      <c r="A56" s="74"/>
      <c r="B56" s="74"/>
      <c r="C56" s="80"/>
      <c r="D56" s="81"/>
      <c r="E56" s="74"/>
      <c r="F56" s="74"/>
      <c r="G56" s="28"/>
    </row>
    <row r="57" spans="1:10" ht="21" x14ac:dyDescent="0.4">
      <c r="A57" s="74"/>
      <c r="B57" s="74"/>
      <c r="C57" s="82" t="str">
        <f>'4637'!F11</f>
        <v>FECHA LIMITE :</v>
      </c>
      <c r="D57" s="83"/>
      <c r="E57" s="74"/>
      <c r="F57" s="74"/>
      <c r="G57" s="28"/>
    </row>
    <row r="58" spans="1:10" ht="21" x14ac:dyDescent="0.4">
      <c r="A58" s="74"/>
      <c r="B58" s="74"/>
      <c r="C58" s="74"/>
      <c r="D58" s="74"/>
      <c r="E58" s="74" t="s">
        <v>137</v>
      </c>
      <c r="F58" s="74" t="s">
        <v>138</v>
      </c>
      <c r="G58" s="28"/>
    </row>
    <row r="59" spans="1:10" ht="21" x14ac:dyDescent="0.4">
      <c r="A59" s="74"/>
      <c r="B59" s="74"/>
      <c r="C59" s="74"/>
      <c r="D59" s="74"/>
      <c r="E59" s="74" t="str" cm="1">
        <f t="array" ref="E59:F59">'4637'!B17:C17</f>
        <v>CIUDAD:</v>
      </c>
      <c r="F59" s="74" t="str">
        <v>SANTIAGO</v>
      </c>
      <c r="G59" s="28"/>
    </row>
    <row r="60" spans="1:10" ht="21" x14ac:dyDescent="0.4">
      <c r="A60" s="74"/>
      <c r="B60" s="74"/>
      <c r="C60" s="74"/>
      <c r="D60" s="74"/>
      <c r="E60" s="74"/>
      <c r="F60" s="74"/>
      <c r="G60" s="28"/>
    </row>
    <row r="61" spans="1:10" ht="21" x14ac:dyDescent="0.4">
      <c r="A61" s="145" t="s">
        <v>66</v>
      </c>
      <c r="B61" s="144"/>
      <c r="C61" s="144"/>
      <c r="D61" s="144"/>
      <c r="E61" s="144"/>
      <c r="F61" s="144"/>
      <c r="G61" s="28"/>
    </row>
    <row r="62" spans="1:10" ht="21" x14ac:dyDescent="0.4">
      <c r="A62" s="74"/>
      <c r="B62" s="74"/>
      <c r="C62" s="74"/>
      <c r="D62" s="74"/>
      <c r="E62" s="74"/>
      <c r="F62" s="74"/>
      <c r="G62" s="28"/>
    </row>
    <row r="63" spans="1:10" ht="18.600000000000001" customHeight="1" x14ac:dyDescent="0.4">
      <c r="A63" s="74"/>
      <c r="B63" s="146" t="s">
        <v>67</v>
      </c>
      <c r="C63" s="147"/>
      <c r="D63" s="148"/>
      <c r="E63" s="148"/>
      <c r="F63" s="149"/>
      <c r="G63" s="28"/>
      <c r="H63" s="24" t="s">
        <v>129</v>
      </c>
    </row>
    <row r="64" spans="1:10" s="10" customFormat="1" ht="16.5" customHeight="1" x14ac:dyDescent="0.4">
      <c r="A64" s="74"/>
      <c r="B64" s="85" t="s">
        <v>10</v>
      </c>
      <c r="C64" s="86" t="s">
        <v>11</v>
      </c>
      <c r="D64" s="87" t="s">
        <v>7</v>
      </c>
      <c r="E64" s="87" t="s">
        <v>8</v>
      </c>
      <c r="F64" s="88" t="s">
        <v>12</v>
      </c>
      <c r="G64" s="28"/>
      <c r="J64" s="10">
        <v>14000</v>
      </c>
    </row>
    <row r="65" spans="1:12" s="10" customFormat="1" ht="21" customHeight="1" x14ac:dyDescent="0.4">
      <c r="A65" s="132" t="s">
        <v>146</v>
      </c>
      <c r="B65" s="85">
        <f>'4637'!B21</f>
        <v>2</v>
      </c>
      <c r="C65" s="116" t="str">
        <f>'4637'!C21</f>
        <v>PR6</v>
      </c>
      <c r="D65" s="90">
        <f>'4637'!D21</f>
        <v>700</v>
      </c>
      <c r="E65" s="90">
        <f>'4637'!E21</f>
        <v>400</v>
      </c>
      <c r="F65" s="116" t="str">
        <f>'4637'!F21</f>
        <v>NATURAL ELM 1499 MT</v>
      </c>
      <c r="G65" s="28"/>
      <c r="H65" s="10">
        <f>D65*E65/1000000</f>
        <v>0.28000000000000003</v>
      </c>
      <c r="I65" s="10">
        <f>H65*B65</f>
        <v>0.56000000000000005</v>
      </c>
      <c r="J65" s="25">
        <f t="shared" ref="J65" si="29">I65*J$64</f>
        <v>7840.0000000000009</v>
      </c>
      <c r="L65" s="23">
        <v>12096</v>
      </c>
    </row>
    <row r="66" spans="1:12" s="10" customFormat="1" ht="21" customHeight="1" x14ac:dyDescent="0.4">
      <c r="A66" s="129"/>
      <c r="B66" s="85">
        <f>'4637'!B22</f>
        <v>1</v>
      </c>
      <c r="C66" s="116" t="str">
        <f>'4637'!C22</f>
        <v>PR6</v>
      </c>
      <c r="D66" s="90">
        <f>'4637'!D22</f>
        <v>700</v>
      </c>
      <c r="E66" s="90">
        <f>'4637'!E22</f>
        <v>350</v>
      </c>
      <c r="F66" s="116" t="str">
        <f>'4637'!F22</f>
        <v>NATURAL ELM 1499 MT</v>
      </c>
      <c r="G66" s="28"/>
      <c r="J66" s="25"/>
      <c r="L66" s="131"/>
    </row>
    <row r="67" spans="1:12" s="10" customFormat="1" ht="21" customHeight="1" x14ac:dyDescent="0.4">
      <c r="A67" s="129"/>
      <c r="B67" s="85">
        <f>'4637'!B23</f>
        <v>1</v>
      </c>
      <c r="C67" s="116" t="str">
        <f>'4637'!C23</f>
        <v>PR6 / 3 FRENTES DE 230</v>
      </c>
      <c r="D67" s="90">
        <f>'4637'!D23</f>
        <v>700</v>
      </c>
      <c r="E67" s="90">
        <f>'4637'!E23</f>
        <v>350</v>
      </c>
      <c r="F67" s="116" t="str">
        <f>'4637'!F23</f>
        <v>NATURAL ELM 1499 MT</v>
      </c>
      <c r="G67" s="28"/>
      <c r="J67" s="25"/>
      <c r="L67" s="131"/>
    </row>
    <row r="68" spans="1:12" s="10" customFormat="1" ht="21" customHeight="1" x14ac:dyDescent="0.4">
      <c r="A68" s="129"/>
      <c r="B68" s="85">
        <f>'4637'!B24</f>
        <v>1</v>
      </c>
      <c r="C68" s="116" t="str">
        <f>'4637'!C24</f>
        <v>PR6</v>
      </c>
      <c r="D68" s="90">
        <f>'4637'!D24</f>
        <v>80</v>
      </c>
      <c r="E68" s="90">
        <f>'4637'!E24</f>
        <v>600</v>
      </c>
      <c r="F68" s="116" t="str">
        <f>'4637'!F24</f>
        <v>NATURAL ELM 1499 MT</v>
      </c>
      <c r="G68" s="28"/>
      <c r="J68" s="25"/>
      <c r="L68" s="131"/>
    </row>
    <row r="69" spans="1:12" s="10" customFormat="1" ht="21" customHeight="1" x14ac:dyDescent="0.4">
      <c r="A69" s="129"/>
      <c r="B69" s="85">
        <f>'4637'!B25</f>
        <v>1</v>
      </c>
      <c r="C69" s="116" t="str">
        <f>'4637'!C25</f>
        <v>PR6</v>
      </c>
      <c r="D69" s="90">
        <f>'4637'!D25</f>
        <v>700</v>
      </c>
      <c r="E69" s="90">
        <f>'4637'!E25</f>
        <v>370</v>
      </c>
      <c r="F69" s="116" t="str">
        <f>'4637'!F25</f>
        <v>NATURAL ELM 1499 MT</v>
      </c>
      <c r="G69" s="28"/>
      <c r="J69" s="25"/>
      <c r="L69" s="131"/>
    </row>
    <row r="70" spans="1:12" s="10" customFormat="1" ht="21" customHeight="1" x14ac:dyDescent="0.4">
      <c r="A70" s="129"/>
      <c r="B70" s="85">
        <f>'4637'!B26</f>
        <v>1</v>
      </c>
      <c r="C70" s="116" t="str">
        <f>'4637'!C26</f>
        <v>PR6</v>
      </c>
      <c r="D70" s="90">
        <f>'4637'!D26</f>
        <v>520</v>
      </c>
      <c r="E70" s="90">
        <f>'4637'!E26</f>
        <v>608</v>
      </c>
      <c r="F70" s="116" t="str">
        <f>'4637'!F26</f>
        <v>NATURAL ELM 1499 MT</v>
      </c>
      <c r="G70" s="28"/>
      <c r="J70" s="25"/>
      <c r="L70" s="131"/>
    </row>
    <row r="71" spans="1:12" s="10" customFormat="1" ht="21" customHeight="1" x14ac:dyDescent="0.4">
      <c r="A71" s="129"/>
      <c r="B71" s="84"/>
      <c r="C71" s="130"/>
      <c r="D71" s="84"/>
      <c r="E71" s="84"/>
      <c r="F71" s="130"/>
      <c r="G71" s="28"/>
      <c r="J71" s="25"/>
      <c r="L71" s="131"/>
    </row>
    <row r="72" spans="1:12" s="10" customFormat="1" ht="21" customHeight="1" x14ac:dyDescent="0.4">
      <c r="A72" s="129"/>
      <c r="B72" s="84"/>
      <c r="C72" s="130"/>
      <c r="D72" s="84"/>
      <c r="E72" s="84"/>
      <c r="F72" s="130"/>
      <c r="G72" s="28"/>
      <c r="J72" s="25"/>
      <c r="L72" s="131"/>
    </row>
    <row r="73" spans="1:12" ht="21" x14ac:dyDescent="0.4">
      <c r="A73" s="91"/>
      <c r="B73" s="91"/>
      <c r="C73" s="74"/>
      <c r="D73" s="91"/>
      <c r="E73" s="91"/>
      <c r="F73" s="80"/>
      <c r="G73" s="28"/>
    </row>
    <row r="74" spans="1:12" ht="21" x14ac:dyDescent="0.4">
      <c r="A74" s="91"/>
      <c r="B74" s="91"/>
      <c r="C74" s="74"/>
      <c r="D74" s="91"/>
      <c r="E74" s="91"/>
      <c r="F74" s="91"/>
      <c r="G74" s="28"/>
      <c r="I74" s="10">
        <f>SUM(I65:I65)</f>
        <v>0.56000000000000005</v>
      </c>
      <c r="J74" s="26">
        <f>SUM(J65:J65)</f>
        <v>7840.0000000000009</v>
      </c>
    </row>
    <row r="75" spans="1:12" ht="21" x14ac:dyDescent="0.4">
      <c r="A75" s="74"/>
      <c r="B75" s="74"/>
      <c r="C75" s="74"/>
      <c r="D75" s="74"/>
      <c r="E75" s="74"/>
      <c r="F75" s="74"/>
      <c r="G75" s="28"/>
    </row>
    <row r="76" spans="1:12" ht="21" x14ac:dyDescent="0.4">
      <c r="A76" s="74"/>
      <c r="B76" s="74"/>
      <c r="C76" s="74"/>
      <c r="D76" s="74"/>
      <c r="E76" s="74"/>
      <c r="F76" s="74"/>
      <c r="G76" s="28"/>
    </row>
    <row r="77" spans="1:12" ht="21" x14ac:dyDescent="0.4">
      <c r="A77" s="74"/>
      <c r="B77" s="74"/>
      <c r="C77" s="74"/>
      <c r="D77" s="74"/>
      <c r="E77" s="74"/>
      <c r="F77" s="74"/>
      <c r="G77" s="28"/>
    </row>
    <row r="78" spans="1:12" ht="15" customHeight="1" x14ac:dyDescent="0.4">
      <c r="A78" s="74"/>
      <c r="B78" s="74"/>
      <c r="C78" s="74"/>
      <c r="D78" s="74"/>
      <c r="E78" s="74"/>
      <c r="F78" s="74"/>
      <c r="G78" s="28"/>
    </row>
    <row r="79" spans="1:12" ht="21" x14ac:dyDescent="0.4">
      <c r="A79" s="74"/>
      <c r="B79" s="74"/>
      <c r="C79" s="74"/>
      <c r="D79" s="74"/>
      <c r="E79" s="74"/>
      <c r="F79" s="74"/>
      <c r="G79" s="28"/>
    </row>
    <row r="80" spans="1:12" ht="21" x14ac:dyDescent="0.4">
      <c r="A80" s="91"/>
      <c r="B80" s="92"/>
      <c r="C80" s="74"/>
      <c r="D80" s="74"/>
      <c r="E80" s="74"/>
      <c r="F80" s="74"/>
      <c r="G80" s="28"/>
    </row>
    <row r="81" spans="1:7" ht="18" x14ac:dyDescent="0.35">
      <c r="A81" s="28"/>
      <c r="B81" s="28"/>
      <c r="C81" s="28"/>
      <c r="D81" s="28"/>
      <c r="E81" s="28"/>
      <c r="F81" s="28"/>
      <c r="G81" s="28"/>
    </row>
    <row r="82" spans="1:7" ht="18" x14ac:dyDescent="0.35">
      <c r="A82" s="28"/>
      <c r="B82" s="28"/>
      <c r="C82" s="28"/>
      <c r="D82" s="28"/>
      <c r="E82" s="28"/>
      <c r="F82" s="28"/>
      <c r="G82" s="28"/>
    </row>
    <row r="83" spans="1:7" ht="18" x14ac:dyDescent="0.35">
      <c r="A83" s="28"/>
      <c r="B83" s="28"/>
      <c r="C83" s="28"/>
      <c r="D83" s="28"/>
      <c r="E83" s="28"/>
      <c r="F83" s="28"/>
      <c r="G83" s="28"/>
    </row>
  </sheetData>
  <mergeCells count="6">
    <mergeCell ref="M3:N3"/>
    <mergeCell ref="A22:F22"/>
    <mergeCell ref="A10:F10"/>
    <mergeCell ref="A61:F61"/>
    <mergeCell ref="B63:F63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2024-05-27T14:05:28Z</cp:lastPrinted>
  <dcterms:created xsi:type="dcterms:W3CDTF">2013-03-19T12:54:14Z</dcterms:created>
  <dcterms:modified xsi:type="dcterms:W3CDTF">2024-05-27T18:59:26Z</dcterms:modified>
</cp:coreProperties>
</file>