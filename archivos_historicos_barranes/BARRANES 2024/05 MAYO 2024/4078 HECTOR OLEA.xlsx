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F6CC851D-8980-4E6B-8EFA-05DA0D697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CUBIERTA!$A$2:$F$70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3" l="1"/>
  <c r="I37" i="3" s="1"/>
  <c r="B37" i="3" s="1"/>
  <c r="C56" i="3"/>
  <c r="F37" i="3" s="1"/>
  <c r="D56" i="3"/>
  <c r="J37" i="3" s="1"/>
  <c r="D37" i="3" s="1"/>
  <c r="E56" i="3"/>
  <c r="K37" i="3" s="1"/>
  <c r="E37" i="3" s="1"/>
  <c r="F56" i="3"/>
  <c r="B57" i="3"/>
  <c r="I38" i="3" s="1"/>
  <c r="B38" i="3" s="1"/>
  <c r="C57" i="3"/>
  <c r="F38" i="3" s="1"/>
  <c r="D57" i="3"/>
  <c r="J38" i="3" s="1"/>
  <c r="D38" i="3" s="1"/>
  <c r="E57" i="3"/>
  <c r="K38" i="3" s="1"/>
  <c r="E38" i="3" s="1"/>
  <c r="F57" i="3"/>
  <c r="B58" i="3"/>
  <c r="I39" i="3" s="1"/>
  <c r="B39" i="3" s="1"/>
  <c r="C58" i="3"/>
  <c r="F39" i="3" s="1"/>
  <c r="D58" i="3"/>
  <c r="J39" i="3" s="1"/>
  <c r="D39" i="3" s="1"/>
  <c r="E58" i="3"/>
  <c r="K39" i="3" s="1"/>
  <c r="E39" i="3" s="1"/>
  <c r="F58" i="3"/>
  <c r="B59" i="3"/>
  <c r="I40" i="3" s="1"/>
  <c r="B40" i="3" s="1"/>
  <c r="C59" i="3"/>
  <c r="F40" i="3" s="1"/>
  <c r="D59" i="3"/>
  <c r="J40" i="3" s="1"/>
  <c r="D40" i="3" s="1"/>
  <c r="E59" i="3"/>
  <c r="K40" i="3" s="1"/>
  <c r="E40" i="3" s="1"/>
  <c r="F59" i="3"/>
  <c r="B60" i="3"/>
  <c r="I41" i="3" s="1"/>
  <c r="B41" i="3" s="1"/>
  <c r="C60" i="3"/>
  <c r="F41" i="3" s="1"/>
  <c r="D60" i="3"/>
  <c r="J41" i="3" s="1"/>
  <c r="D41" i="3" s="1"/>
  <c r="E60" i="3"/>
  <c r="K41" i="3" s="1"/>
  <c r="E41" i="3" s="1"/>
  <c r="F60" i="3"/>
  <c r="B61" i="3"/>
  <c r="I42" i="3" s="1"/>
  <c r="B42" i="3" s="1"/>
  <c r="C61" i="3"/>
  <c r="F42" i="3" s="1"/>
  <c r="D61" i="3"/>
  <c r="J42" i="3" s="1"/>
  <c r="D42" i="3" s="1"/>
  <c r="E61" i="3"/>
  <c r="K42" i="3" s="1"/>
  <c r="E42" i="3" s="1"/>
  <c r="F61" i="3"/>
  <c r="B62" i="3"/>
  <c r="I43" i="3" s="1"/>
  <c r="B43" i="3" s="1"/>
  <c r="C62" i="3"/>
  <c r="F43" i="3" s="1"/>
  <c r="D62" i="3"/>
  <c r="J43" i="3" s="1"/>
  <c r="D43" i="3" s="1"/>
  <c r="E62" i="3"/>
  <c r="K43" i="3" s="1"/>
  <c r="E43" i="3" s="1"/>
  <c r="F62" i="3"/>
  <c r="B63" i="3"/>
  <c r="I44" i="3" s="1"/>
  <c r="B44" i="3" s="1"/>
  <c r="C63" i="3"/>
  <c r="F44" i="3" s="1"/>
  <c r="D63" i="3"/>
  <c r="J44" i="3" s="1"/>
  <c r="D44" i="3" s="1"/>
  <c r="E63" i="3"/>
  <c r="K44" i="3" s="1"/>
  <c r="E44" i="3" s="1"/>
  <c r="F63" i="3"/>
  <c r="B64" i="3"/>
  <c r="I45" i="3" s="1"/>
  <c r="B45" i="3" s="1"/>
  <c r="C64" i="3"/>
  <c r="F45" i="3" s="1"/>
  <c r="D64" i="3"/>
  <c r="J45" i="3" s="1"/>
  <c r="D45" i="3" s="1"/>
  <c r="E64" i="3"/>
  <c r="K45" i="3" s="1"/>
  <c r="E45" i="3" s="1"/>
  <c r="F64" i="3"/>
  <c r="B65" i="3"/>
  <c r="I46" i="3" s="1"/>
  <c r="B46" i="3" s="1"/>
  <c r="C65" i="3"/>
  <c r="F46" i="3" s="1"/>
  <c r="D65" i="3"/>
  <c r="J46" i="3" s="1"/>
  <c r="D46" i="3" s="1"/>
  <c r="E65" i="3"/>
  <c r="K46" i="3" s="1"/>
  <c r="E46" i="3" s="1"/>
  <c r="F65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53" i="3"/>
  <c r="C53" i="3"/>
  <c r="D53" i="3"/>
  <c r="E53" i="3"/>
  <c r="F53" i="3"/>
  <c r="B54" i="3"/>
  <c r="C54" i="3"/>
  <c r="D54" i="3"/>
  <c r="E54" i="3"/>
  <c r="F54" i="3"/>
  <c r="B55" i="3"/>
  <c r="C55" i="3"/>
  <c r="D55" i="3"/>
  <c r="E55" i="3"/>
  <c r="F55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K24" i="3" l="1"/>
  <c r="E24" i="3" s="1"/>
  <c r="J20" i="3"/>
  <c r="D20" i="3" s="1"/>
  <c r="K19" i="3"/>
  <c r="E19" i="3" s="1"/>
  <c r="I25" i="3"/>
  <c r="B25" i="3" s="1"/>
  <c r="I17" i="3"/>
  <c r="B17" i="3" s="1"/>
  <c r="K22" i="3"/>
  <c r="E22" i="3" s="1"/>
  <c r="J24" i="3"/>
  <c r="D24" i="3" s="1"/>
  <c r="I21" i="3"/>
  <c r="B21" i="3" s="1"/>
  <c r="J19" i="3"/>
  <c r="D19" i="3" s="1"/>
  <c r="J23" i="3"/>
  <c r="D23" i="3" s="1"/>
  <c r="K26" i="3"/>
  <c r="E26" i="3" s="1"/>
  <c r="K23" i="3"/>
  <c r="E23" i="3" s="1"/>
  <c r="K20" i="3"/>
  <c r="E20" i="3" s="1"/>
  <c r="K18" i="3"/>
  <c r="E18" i="3" s="1"/>
  <c r="K25" i="3"/>
  <c r="E25" i="3" s="1"/>
  <c r="K21" i="3"/>
  <c r="E21" i="3" s="1"/>
  <c r="K17" i="3"/>
  <c r="E17" i="3" s="1"/>
  <c r="J26" i="3"/>
  <c r="D26" i="3" s="1"/>
  <c r="J25" i="3"/>
  <c r="D25" i="3" s="1"/>
  <c r="J22" i="3"/>
  <c r="D22" i="3" s="1"/>
  <c r="J21" i="3"/>
  <c r="D21" i="3" s="1"/>
  <c r="J18" i="3"/>
  <c r="D18" i="3" s="1"/>
  <c r="J17" i="3"/>
  <c r="D17" i="3" s="1"/>
  <c r="I26" i="3"/>
  <c r="B26" i="3" s="1"/>
  <c r="I24" i="3"/>
  <c r="B24" i="3" s="1"/>
  <c r="I23" i="3"/>
  <c r="B23" i="3" s="1"/>
  <c r="I22" i="3"/>
  <c r="B22" i="3" s="1"/>
  <c r="I20" i="3"/>
  <c r="B20" i="3" s="1"/>
  <c r="I19" i="3"/>
  <c r="B19" i="3" s="1"/>
  <c r="I18" i="3"/>
  <c r="B18" i="3" s="1"/>
  <c r="F26" i="3"/>
  <c r="F25" i="3"/>
  <c r="F24" i="3"/>
  <c r="F23" i="3"/>
  <c r="F22" i="3"/>
  <c r="F21" i="3"/>
  <c r="F20" i="3"/>
  <c r="F19" i="3"/>
  <c r="F18" i="3"/>
  <c r="F17" i="3"/>
  <c r="K36" i="3"/>
  <c r="E36" i="3" s="1"/>
  <c r="K16" i="3"/>
  <c r="E16" i="3" s="1"/>
  <c r="J36" i="3"/>
  <c r="D36" i="3" s="1"/>
  <c r="J16" i="3"/>
  <c r="D16" i="3" s="1"/>
  <c r="F36" i="3"/>
  <c r="F16" i="3"/>
  <c r="I36" i="3"/>
  <c r="B36" i="3" s="1"/>
  <c r="I16" i="3"/>
  <c r="B16" i="3" s="1"/>
  <c r="K35" i="3"/>
  <c r="E35" i="3" s="1"/>
  <c r="K15" i="3"/>
  <c r="E15" i="3" s="1"/>
  <c r="J35" i="3"/>
  <c r="D35" i="3" s="1"/>
  <c r="J15" i="3"/>
  <c r="D15" i="3" s="1"/>
  <c r="F35" i="3"/>
  <c r="F15" i="3"/>
  <c r="I35" i="3"/>
  <c r="B35" i="3" s="1"/>
  <c r="I15" i="3"/>
  <c r="B15" i="3" s="1"/>
  <c r="K34" i="3"/>
  <c r="E34" i="3" s="1"/>
  <c r="K14" i="3"/>
  <c r="E14" i="3" s="1"/>
  <c r="J34" i="3"/>
  <c r="D34" i="3" s="1"/>
  <c r="J14" i="3"/>
  <c r="D14" i="3" s="1"/>
  <c r="F34" i="3"/>
  <c r="F14" i="3"/>
  <c r="I34" i="3"/>
  <c r="B34" i="3" s="1"/>
  <c r="I14" i="3"/>
  <c r="B14" i="3" s="1"/>
  <c r="E80" i="3" l="1" a="1"/>
  <c r="E80" i="3" s="1"/>
  <c r="L21" i="4" l="1"/>
  <c r="K21" i="4"/>
  <c r="H39" i="4" l="1"/>
  <c r="M21" i="4"/>
  <c r="N21" i="4" s="1"/>
  <c r="B52" i="3" l="1"/>
  <c r="I33" i="3" s="1"/>
  <c r="B33" i="3" s="1"/>
  <c r="C52" i="3"/>
  <c r="F33" i="3" s="1"/>
  <c r="D52" i="3"/>
  <c r="E52" i="3"/>
  <c r="K33" i="3" s="1"/>
  <c r="E33" i="3" s="1"/>
  <c r="F52" i="3"/>
  <c r="B86" i="3"/>
  <c r="C86" i="3"/>
  <c r="D86" i="3"/>
  <c r="E86" i="3"/>
  <c r="F86" i="3"/>
  <c r="H52" i="3" l="1"/>
  <c r="I52" i="3" s="1"/>
  <c r="J33" i="3"/>
  <c r="D33" i="3" s="1"/>
  <c r="H86" i="3"/>
  <c r="I86" i="3" s="1"/>
  <c r="J13" i="3"/>
  <c r="D13" i="3" s="1"/>
  <c r="I13" i="3"/>
  <c r="B13" i="3" s="1"/>
  <c r="F13" i="3"/>
  <c r="K13" i="3"/>
  <c r="E13" i="3" s="1"/>
  <c r="I102" i="3" l="1"/>
  <c r="I67" i="3"/>
  <c r="J86" i="3"/>
  <c r="N4" i="3"/>
  <c r="J102" i="3" l="1"/>
  <c r="M4" i="3"/>
  <c r="L4" i="3"/>
  <c r="K4" i="3"/>
  <c r="C78" i="3" l="1"/>
  <c r="C6" i="3"/>
  <c r="D76" i="3"/>
  <c r="D4" i="3"/>
  <c r="D75" i="3"/>
  <c r="D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<sst xmlns="http://schemas.openxmlformats.org/spreadsheetml/2006/main" count="274" uniqueCount="142">
  <si>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</si>
  <si>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</si>
  <si>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</si>
  <si>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</si>
  <si>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</si>
  <si>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</si>
  <si>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</si>
  <si>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</si>
  <si>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</si>
  <si>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</si>
  <si>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</si>
  <si>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</si>
  <si>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</si>
  <si>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</si>
  <si>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</si>
  <si>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</si>
  <si>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</si>
  <si>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</si>
  <si>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</si>
  <si>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</si>
  <si>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</si>
  <si>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</si>
  <si>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</si>
  <si>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</si>
  <si>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</si>
  <si>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</si>
  <si>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</si>
  <si>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</si>
  <si>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</si>
  <si>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</si>
  <si>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</si>
  <si>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</si>
  <si>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</si>
  <si>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</si>
  <si>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</si>
  <si>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</si>
  <si>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</si>
  <si>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</si>
  <si>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</si>
  <si>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</si>
  <si>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</si>
  <si>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</si>
  <si>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</si>
  <si>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</si>
  <si>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</si>
  <si>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</si>
  <si>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</si>
  <si>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</si>
  <si>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</si>
  <si>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</si>
  <si>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</si>
  <si>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</si>
  <si>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</si>
  <si>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</si>
  <si>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</si>
  <si>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</si>
  <si>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</si>
  <si>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</si>
  <si>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</si>
  <si>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</si>
  <si>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</si>
  <si>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</si>
  <si>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</si>
  <si>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</si>
  <si>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</si>
  <si>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</si>
  <si>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</si>
  <si>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</si>
  <si>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</si>
  <si>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</si>
  <si>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</si>
  <si>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</si>
  <si>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</si>
  <si>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</si>
  <si>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</si>
  <si>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</si>
  <si>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</si>
  <si>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</si>
  <si>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</si>
  <si>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</si>
  <si>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</si>
  <si>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</si>
  <si>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</si>
  <si>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</si>
  <si>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</si>
  <si>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</si>
  <si>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</si>
  <si>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</si>
  <si>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</si>
  <si>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</si>
  <si>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</si>
  <si>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</si>
  <si>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</si>
  <si>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</si>
  <si>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</si>
  <si>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</si>
  <si>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</si>
  <si>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</si>
  <si>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</si>
  <si>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</si>
  <si>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</si>
  <si>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</si>
  <si>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</si>
  <si>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</si>
  <si>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</si>
  <si>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</si>
  <si>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</si>
  <si>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</si>
  <si>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</si>
  <si>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</si>
  <si>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</si>
  <si>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</si>
  <si>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</si>
  <si>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</si>
  <si>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</si>
  <si>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</si>
  <si>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</si>
  <si>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</si>
  <si>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</si>
  <si>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</si>
  <si>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</si>
  <si>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</si>
  <si>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</si>
  <si>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</si>
  <si>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</si>
  <si>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</si>
  <si>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</si>
  <si>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</si>
  <si>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</si>
  <si>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</si>
  <si>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</si>
  <si>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</si>
  <si>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</si>
  <si>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</si>
  <si>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</si>
  <si>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 xml:space="preserve">SANTIAGO </t>
  </si>
  <si>
    <t>FD</t>
  </si>
  <si>
    <t>HECHO POR: FD</t>
  </si>
  <si>
    <t>HECTOR OLEA</t>
  </si>
  <si>
    <t>+569 7789 7360</t>
  </si>
  <si>
    <t>GRAFITO 2174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</si>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</sst>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0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3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2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21" fillId="9" borderId="0" xfId="0" applyFont="1" applyFill="1"/>
    <xf numFmtId="0" fontId="22" fillId="9" borderId="0" xfId="0" applyFont="1" applyFill="1"/>
    <xf numFmtId="0" fontId="23" fillId="9" borderId="0" xfId="0" applyFont="1" applyFill="1"/>
    <xf numFmtId="0" fontId="24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 indent="1"/>
    </xf>
    <xf numFmtId="0" fontId="27" fillId="0" borderId="0" xfId="0" applyFont="1" applyAlignment="1">
      <alignment horizontal="left"/>
    </xf>
    <xf numFmtId="0" fontId="26" fillId="3" borderId="0" xfId="0" applyFont="1" applyFill="1" applyAlignment="1">
      <alignment horizontal="left" indent="1"/>
    </xf>
    <xf numFmtId="0" fontId="28" fillId="3" borderId="0" xfId="0" applyFont="1" applyFill="1" applyAlignment="1">
      <alignment horizontal="left"/>
    </xf>
    <xf numFmtId="0" fontId="25" fillId="3" borderId="0" xfId="0" applyFont="1" applyFill="1"/>
    <xf numFmtId="0" fontId="25" fillId="0" borderId="0" xfId="0" applyFont="1" applyAlignment="1">
      <alignment horizontal="left" indent="1"/>
    </xf>
    <xf numFmtId="14" fontId="25" fillId="0" borderId="0" xfId="0" applyNumberFormat="1" applyFont="1" applyAlignment="1">
      <alignment horizontal="right" vertical="top"/>
    </xf>
    <xf numFmtId="14" fontId="26" fillId="0" borderId="0" xfId="0" applyNumberFormat="1" applyFont="1" applyAlignment="1">
      <alignment horizontal="left" indent="1"/>
    </xf>
    <xf numFmtId="14" fontId="27" fillId="0" borderId="0" xfId="0" applyNumberFormat="1" applyFont="1" applyAlignment="1">
      <alignment horizontal="left" wrapText="1" shrinkToFit="1"/>
    </xf>
    <xf numFmtId="0" fontId="27" fillId="0" borderId="0" xfId="0" applyFont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7" fillId="0" borderId="2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7" fillId="3" borderId="0" xfId="0" applyFont="1" applyFill="1" applyAlignment="1">
      <alignment horizontal="left"/>
    </xf>
    <xf numFmtId="14" fontId="26" fillId="0" borderId="0" xfId="0" applyNumberFormat="1" applyFont="1" applyAlignment="1">
      <alignment horizontal="left" vertical="top" indent="1"/>
    </xf>
    <xf numFmtId="0" fontId="25" fillId="0" borderId="0" xfId="0" applyFont="1" applyAlignment="1">
      <alignment horizontal="left"/>
    </xf>
    <xf numFmtId="0" fontId="28" fillId="0" borderId="0" xfId="0" applyFont="1"/>
    <xf numFmtId="0" fontId="27" fillId="0" borderId="1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5" fillId="6" borderId="24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5" fillId="9" borderId="0" xfId="2" quotePrefix="1" applyFill="1"/>
    <xf numFmtId="0" fontId="0" fillId="9" borderId="0" xfId="0" applyFill="1"/>
    <xf numFmtId="0" fontId="19" fillId="0" borderId="26" xfId="0" applyFont="1" applyBorder="1" applyAlignment="1">
      <alignment horizontal="center" vertical="center"/>
    </xf>
    <xf numFmtId="166" fontId="20" fillId="0" borderId="26" xfId="1" applyNumberFormat="1" applyFont="1" applyFill="1" applyBorder="1" applyAlignment="1">
      <alignment horizontal="center" vertical="center"/>
    </xf>
    <xf numFmtId="166" fontId="20" fillId="0" borderId="27" xfId="1" applyNumberFormat="1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5" fillId="6" borderId="29" xfId="0" applyFont="1" applyFill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4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31" fillId="0" borderId="0" xfId="2" quotePrefix="1" applyFont="1" applyFill="1" applyBorder="1" applyAlignment="1">
      <alignment horizontal="left"/>
    </xf>
    <xf numFmtId="0" fontId="14" fillId="0" borderId="14" xfId="0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3" borderId="31" xfId="0" applyFont="1" applyFill="1" applyBorder="1" applyAlignment="1">
      <alignment horizontal="left" vertical="top" indent="28"/>
    </xf>
    <xf numFmtId="0" fontId="27" fillId="3" borderId="32" xfId="0" applyFont="1" applyFill="1" applyBorder="1" applyAlignment="1">
      <alignment horizontal="left" vertical="top" indent="28"/>
    </xf>
    <xf numFmtId="0" fontId="27" fillId="3" borderId="4" xfId="0" applyFont="1" applyFill="1" applyBorder="1" applyAlignment="1">
      <alignment horizontal="left" vertical="top" indent="28"/>
    </xf>
    <xf numFmtId="0" fontId="27" fillId="3" borderId="33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35</xdr:row>
      <xdr:rowOff>107</xdr:rowOff>
    </xdr:from>
    <xdr:to>
      <xdr:col>5</xdr:col>
      <xdr:colOff>1414409</xdr:colOff>
      <xdr:row>39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 190.000.-, SALDO $ 273.203.-</a:t>
          </a:r>
          <a:endParaRPr lang="es-CL" sz="14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5</xdr:row>
      <xdr:rowOff>9525</xdr:rowOff>
    </xdr:from>
    <xdr:to>
      <xdr:col>5</xdr:col>
      <xdr:colOff>3600449</xdr:colOff>
      <xdr:row>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3</xdr:row>
      <xdr:rowOff>28574</xdr:rowOff>
    </xdr:from>
    <xdr:to>
      <xdr:col>6</xdr:col>
      <xdr:colOff>0</xdr:colOff>
      <xdr:row>4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1</xdr:row>
      <xdr:rowOff>180974</xdr:rowOff>
    </xdr:from>
    <xdr:to>
      <xdr:col>6</xdr:col>
      <xdr:colOff>1</xdr:colOff>
      <xdr:row>3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13334</xdr:colOff>
      <xdr:row>29</xdr:row>
      <xdr:rowOff>175260</xdr:rowOff>
    </xdr:from>
    <xdr:to>
      <xdr:col>6</xdr:col>
      <xdr:colOff>3809</xdr:colOff>
      <xdr:row>30</xdr:row>
      <xdr:rowOff>194310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24914" y="6880860"/>
          <a:ext cx="8410575" cy="2476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6</xdr:col>
      <xdr:colOff>0</xdr:colOff>
      <xdr:row>9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6</xdr:col>
      <xdr:colOff>0</xdr:colOff>
      <xdr:row>82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6</xdr:col>
      <xdr:colOff>0</xdr:colOff>
      <xdr:row>78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74</xdr:row>
      <xdr:rowOff>228601</xdr:rowOff>
    </xdr:from>
    <xdr:to>
      <xdr:col>6</xdr:col>
      <xdr:colOff>0</xdr:colOff>
      <xdr:row>76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6</xdr:col>
      <xdr:colOff>0</xdr:colOff>
      <xdr:row>75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100</xdr:row>
      <xdr:rowOff>0</xdr:rowOff>
    </xdr:from>
    <xdr:to>
      <xdr:col>2</xdr:col>
      <xdr:colOff>38100</xdr:colOff>
      <xdr:row>101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100</xdr:row>
      <xdr:rowOff>0</xdr:rowOff>
    </xdr:from>
    <xdr:to>
      <xdr:col>2</xdr:col>
      <xdr:colOff>1019175</xdr:colOff>
      <xdr:row>101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100</xdr:row>
      <xdr:rowOff>0</xdr:rowOff>
    </xdr:from>
    <xdr:to>
      <xdr:col>3</xdr:col>
      <xdr:colOff>323850</xdr:colOff>
      <xdr:row>101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100</xdr:row>
      <xdr:rowOff>0</xdr:rowOff>
    </xdr:from>
    <xdr:to>
      <xdr:col>4</xdr:col>
      <xdr:colOff>257175</xdr:colOff>
      <xdr:row>101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100</xdr:row>
      <xdr:rowOff>0</xdr:rowOff>
    </xdr:from>
    <xdr:to>
      <xdr:col>5</xdr:col>
      <xdr:colOff>447675</xdr:colOff>
      <xdr:row>101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100</xdr:row>
      <xdr:rowOff>0</xdr:rowOff>
    </xdr:from>
    <xdr:to>
      <xdr:col>6</xdr:col>
      <xdr:colOff>0</xdr:colOff>
      <xdr:row>101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304800</xdr:colOff>
      <xdr:row>102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101</xdr:row>
      <xdr:rowOff>0</xdr:rowOff>
    </xdr:from>
    <xdr:to>
      <xdr:col>2</xdr:col>
      <xdr:colOff>1276350</xdr:colOff>
      <xdr:row>102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101</xdr:row>
      <xdr:rowOff>0</xdr:rowOff>
    </xdr:from>
    <xdr:to>
      <xdr:col>3</xdr:col>
      <xdr:colOff>619125</xdr:colOff>
      <xdr:row>102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101</xdr:row>
      <xdr:rowOff>0</xdr:rowOff>
    </xdr:from>
    <xdr:to>
      <xdr:col>4</xdr:col>
      <xdr:colOff>523875</xdr:colOff>
      <xdr:row>102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101</xdr:row>
      <xdr:rowOff>0</xdr:rowOff>
    </xdr:from>
    <xdr:to>
      <xdr:col>5</xdr:col>
      <xdr:colOff>723900</xdr:colOff>
      <xdr:row>102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101</xdr:row>
      <xdr:rowOff>0</xdr:rowOff>
    </xdr:from>
    <xdr:to>
      <xdr:col>6</xdr:col>
      <xdr:colOff>0</xdr:colOff>
      <xdr:row>102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66</xdr:row>
      <xdr:rowOff>5714</xdr:rowOff>
    </xdr:from>
    <xdr:to>
      <xdr:col>6</xdr:col>
      <xdr:colOff>0</xdr:colOff>
      <xdr:row>68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47</xdr:row>
      <xdr:rowOff>152400</xdr:rowOff>
    </xdr:from>
    <xdr:to>
      <xdr:col>6</xdr:col>
      <xdr:colOff>9524</xdr:colOff>
      <xdr:row>48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1175385</xdr:colOff>
      <xdr:row>103</xdr:row>
      <xdr:rowOff>20955</xdr:rowOff>
    </xdr:from>
    <xdr:to>
      <xdr:col>5</xdr:col>
      <xdr:colOff>2364105</xdr:colOff>
      <xdr:row>106</xdr:row>
      <xdr:rowOff>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75385" y="15784830"/>
          <a:ext cx="8189595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560070</xdr:colOff>
      <xdr:row>73</xdr:row>
      <xdr:rowOff>41910</xdr:rowOff>
    </xdr:from>
    <xdr:to>
      <xdr:col>2</xdr:col>
      <xdr:colOff>14998</xdr:colOff>
      <xdr:row>78</xdr:row>
      <xdr:rowOff>139065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848106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</xdr:row>
      <xdr:rowOff>202713</xdr:rowOff>
    </xdr:from>
    <xdr:to>
      <xdr:col>1</xdr:col>
      <xdr:colOff>661035</xdr:colOff>
      <xdr:row>7</xdr:row>
      <xdr:rowOff>89535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19050</xdr:rowOff>
    </xdr:from>
    <xdr:to>
      <xdr:col>6</xdr:col>
      <xdr:colOff>0</xdr:colOff>
      <xdr:row>7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304800</xdr:colOff>
      <xdr:row>110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topLeftCell="A18" zoomScale="89" zoomScaleNormal="89" workbookViewId="0">
      <selection activeCell="L30" sqref="L30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38.109375" customWidth="1"/>
    <col min="4" max="4" width="12.33203125" customWidth="1"/>
    <col min="5" max="5" width="11.5546875" customWidth="1"/>
    <col min="6" max="6" width="34.3320312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7"/>
      <c r="B1" s="27"/>
      <c r="C1" s="27"/>
      <c r="D1" s="27"/>
      <c r="E1" s="27"/>
      <c r="F1" s="27"/>
      <c r="G1" s="27"/>
      <c r="H1" s="27"/>
      <c r="I1" s="1"/>
    </row>
    <row r="2" spans="1:17" ht="18" x14ac:dyDescent="0.35">
      <c r="A2" s="27"/>
      <c r="B2" s="27"/>
      <c r="C2" s="27"/>
      <c r="D2" s="27"/>
      <c r="E2" s="27"/>
      <c r="F2" s="29" t="s">
        <v>116</v>
      </c>
      <c r="G2" s="27"/>
      <c r="H2" s="27"/>
      <c r="I2" s="1"/>
    </row>
    <row r="3" spans="1:17" ht="18" x14ac:dyDescent="0.35">
      <c r="A3" s="27"/>
      <c r="B3" s="27"/>
      <c r="C3" s="27"/>
      <c r="D3" s="27"/>
      <c r="E3" s="27"/>
      <c r="F3" s="27" t="s">
        <v>117</v>
      </c>
      <c r="G3" s="27"/>
      <c r="H3" s="27"/>
      <c r="I3" s="1"/>
    </row>
    <row r="4" spans="1:17" ht="18" x14ac:dyDescent="0.35">
      <c r="A4" s="27"/>
      <c r="B4" s="27"/>
      <c r="C4" s="27"/>
      <c r="D4" s="27"/>
      <c r="E4" s="27"/>
      <c r="F4" s="27" t="s">
        <v>118</v>
      </c>
      <c r="G4" s="27"/>
      <c r="H4" s="27"/>
      <c r="I4" s="1"/>
    </row>
    <row r="5" spans="1:17" ht="18" x14ac:dyDescent="0.35">
      <c r="A5" s="27"/>
      <c r="B5" s="27"/>
      <c r="C5" s="27"/>
      <c r="D5" s="27"/>
      <c r="E5" s="27"/>
      <c r="F5" s="27" t="s">
        <v>0</v>
      </c>
      <c r="G5" s="27"/>
      <c r="H5" s="27"/>
      <c r="I5" s="1"/>
    </row>
    <row r="6" spans="1:17" ht="18" x14ac:dyDescent="0.35">
      <c r="A6" s="27"/>
      <c r="B6" s="27"/>
      <c r="C6" s="27"/>
      <c r="D6" s="27"/>
      <c r="E6" s="27"/>
      <c r="F6" s="27" t="s">
        <v>15</v>
      </c>
      <c r="G6" s="27"/>
      <c r="H6" s="27"/>
      <c r="I6" s="1"/>
    </row>
    <row r="7" spans="1:17" ht="18.600000000000001" thickBot="1" x14ac:dyDescent="0.4">
      <c r="A7" s="27"/>
      <c r="B7" s="27"/>
      <c r="C7" s="27"/>
      <c r="D7" s="27"/>
      <c r="E7" s="27"/>
      <c r="F7" s="27" t="s">
        <v>13</v>
      </c>
      <c r="G7" s="27"/>
      <c r="H7" s="27"/>
      <c r="I7" s="1"/>
    </row>
    <row r="8" spans="1:17" ht="18.600000000000001" thickBot="1" x14ac:dyDescent="0.4">
      <c r="A8" s="27"/>
      <c r="B8" s="30" t="s">
        <v>16</v>
      </c>
      <c r="C8" s="31"/>
      <c r="D8" s="32">
        <v>10969</v>
      </c>
      <c r="E8" s="27"/>
      <c r="F8" s="33" t="s">
        <v>26</v>
      </c>
      <c r="G8" s="34">
        <v>4078</v>
      </c>
      <c r="H8" s="27"/>
      <c r="I8" s="1"/>
    </row>
    <row r="9" spans="1:17" ht="18.600000000000001" thickBot="1" x14ac:dyDescent="0.4">
      <c r="A9" s="27"/>
      <c r="B9" s="27"/>
      <c r="C9" s="27"/>
      <c r="D9" s="27"/>
      <c r="E9" s="27"/>
      <c r="F9" s="27"/>
      <c r="G9" s="35"/>
      <c r="H9" s="27"/>
      <c r="I9" s="1"/>
    </row>
    <row r="10" spans="1:17" ht="18" x14ac:dyDescent="0.35">
      <c r="A10" s="27"/>
      <c r="B10" s="54" t="s">
        <v>131</v>
      </c>
      <c r="C10" s="67" t="s">
        <v>138</v>
      </c>
      <c r="D10" s="55"/>
      <c r="E10" s="55"/>
      <c r="F10" s="56" t="s">
        <v>27</v>
      </c>
      <c r="G10" s="57">
        <v>45441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7"/>
      <c r="B11" s="59" t="s">
        <v>2</v>
      </c>
      <c r="C11" s="68"/>
      <c r="D11" s="60"/>
      <c r="E11" s="60"/>
      <c r="F11" s="60" t="s">
        <v>120</v>
      </c>
      <c r="G11" s="61">
        <v>45448</v>
      </c>
      <c r="H11" s="62"/>
      <c r="I11" s="1"/>
    </row>
    <row r="12" spans="1:17" ht="20.399999999999999" x14ac:dyDescent="0.45">
      <c r="A12" s="27"/>
      <c r="B12" s="59" t="s">
        <v>125</v>
      </c>
      <c r="C12" s="69"/>
      <c r="D12" s="60"/>
      <c r="E12" s="60"/>
      <c r="F12" s="60" t="s">
        <v>28</v>
      </c>
      <c r="G12" s="63"/>
      <c r="H12" s="62"/>
      <c r="I12" s="1"/>
    </row>
    <row r="13" spans="1:17" ht="18" x14ac:dyDescent="0.35">
      <c r="A13" s="27"/>
      <c r="B13" s="59" t="s">
        <v>124</v>
      </c>
      <c r="C13" s="107"/>
      <c r="D13" s="60"/>
      <c r="E13" s="60"/>
      <c r="F13" s="60" t="s">
        <v>123</v>
      </c>
      <c r="G13" s="63" t="s">
        <v>136</v>
      </c>
      <c r="H13" s="62"/>
      <c r="I13" s="1"/>
    </row>
    <row r="14" spans="1:17" ht="18" x14ac:dyDescent="0.35">
      <c r="A14" s="27"/>
      <c r="B14" s="59" t="s">
        <v>132</v>
      </c>
      <c r="C14" s="106"/>
      <c r="D14" s="60"/>
      <c r="E14" s="60"/>
      <c r="F14" s="60" t="s">
        <v>134</v>
      </c>
      <c r="G14" s="60"/>
      <c r="H14" s="62"/>
      <c r="I14" s="1"/>
    </row>
    <row r="15" spans="1:17" ht="18" x14ac:dyDescent="0.35">
      <c r="A15" s="27"/>
      <c r="B15" s="59" t="s">
        <v>17</v>
      </c>
      <c r="C15" s="134" t="s">
        <v>139</v>
      </c>
      <c r="D15" s="70"/>
      <c r="E15" s="60"/>
      <c r="F15" s="64" t="s">
        <v>73</v>
      </c>
      <c r="G15" s="64" t="s">
        <v>127</v>
      </c>
      <c r="H15" s="62"/>
      <c r="I15" s="1"/>
    </row>
    <row r="16" spans="1:17" ht="18" x14ac:dyDescent="0.35">
      <c r="A16" s="27"/>
      <c r="B16" s="59" t="s">
        <v>1</v>
      </c>
      <c r="C16" s="107"/>
      <c r="D16" s="60"/>
      <c r="E16" s="60"/>
      <c r="F16" s="138" t="s">
        <v>18</v>
      </c>
      <c r="G16" s="138"/>
      <c r="H16" s="139"/>
      <c r="I16" s="1"/>
    </row>
    <row r="17" spans="1:16" ht="18.600000000000001" thickBot="1" x14ac:dyDescent="0.4">
      <c r="A17" s="27"/>
      <c r="B17" s="65" t="s">
        <v>3</v>
      </c>
      <c r="C17" s="71" t="s">
        <v>135</v>
      </c>
      <c r="D17" s="72"/>
      <c r="E17" s="66"/>
      <c r="F17" s="143"/>
      <c r="G17" s="143"/>
      <c r="H17" s="144"/>
      <c r="I17" s="1"/>
    </row>
    <row r="18" spans="1:16" ht="18.600000000000001" thickBot="1" x14ac:dyDescent="0.4">
      <c r="A18" s="27"/>
      <c r="B18" s="27"/>
      <c r="C18" s="27"/>
      <c r="D18" s="27"/>
      <c r="E18" s="27"/>
      <c r="F18" s="27"/>
      <c r="G18" s="27"/>
      <c r="H18" s="27"/>
      <c r="I18" s="1"/>
    </row>
    <row r="19" spans="1:16" ht="20.100000000000001" customHeight="1" x14ac:dyDescent="0.35">
      <c r="A19" s="27"/>
      <c r="B19" s="140" t="s">
        <v>19</v>
      </c>
      <c r="C19" s="141"/>
      <c r="D19" s="141"/>
      <c r="E19" s="141"/>
      <c r="F19" s="141"/>
      <c r="G19" s="141"/>
      <c r="H19" s="142"/>
      <c r="I19" s="1"/>
    </row>
    <row r="20" spans="1:16" ht="20.100000000000001" customHeight="1" thickBot="1" x14ac:dyDescent="0.4">
      <c r="A20" s="27"/>
      <c r="B20" s="111" t="s">
        <v>126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20.100000000000001" customHeight="1" thickBot="1" x14ac:dyDescent="0.4">
      <c r="A21" s="27"/>
      <c r="B21" s="135">
        <v>2</v>
      </c>
      <c r="C21" s="108" t="s">
        <v>61</v>
      </c>
      <c r="D21" s="136">
        <v>345</v>
      </c>
      <c r="E21" s="136">
        <v>597</v>
      </c>
      <c r="F21" s="108" t="s">
        <v>140</v>
      </c>
      <c r="G21" s="109"/>
      <c r="H21" s="110"/>
      <c r="I21" s="1"/>
      <c r="K21" s="11">
        <f t="shared" ref="K21:L21" si="0">D21/1000</f>
        <v>0.34499999999999997</v>
      </c>
      <c r="L21" s="14">
        <f t="shared" si="0"/>
        <v>0.59699999999999998</v>
      </c>
      <c r="M21" s="11">
        <f>K21*L21</f>
        <v>0.20596499999999998</v>
      </c>
      <c r="N21" s="11">
        <f>M21*N$20</f>
        <v>2883.5099999999998</v>
      </c>
      <c r="O21" s="14"/>
      <c r="P21" s="20"/>
    </row>
    <row r="22" spans="1:16" ht="20.100000000000001" customHeight="1" thickBot="1" x14ac:dyDescent="0.4">
      <c r="A22" s="27"/>
      <c r="B22" s="135">
        <v>1</v>
      </c>
      <c r="C22" s="108" t="s">
        <v>61</v>
      </c>
      <c r="D22" s="136">
        <v>720</v>
      </c>
      <c r="E22" s="136">
        <v>197</v>
      </c>
      <c r="F22" s="108" t="s">
        <v>140</v>
      </c>
      <c r="G22" s="109"/>
      <c r="H22" s="110"/>
      <c r="I22" s="1"/>
      <c r="K22" s="11"/>
      <c r="L22" s="14"/>
      <c r="M22" s="11"/>
      <c r="N22" s="11"/>
      <c r="O22" s="14"/>
      <c r="P22" s="20"/>
    </row>
    <row r="23" spans="1:16" ht="20.100000000000001" customHeight="1" thickBot="1" x14ac:dyDescent="0.4">
      <c r="A23" s="27"/>
      <c r="B23" s="135">
        <v>2</v>
      </c>
      <c r="C23" s="108" t="s">
        <v>61</v>
      </c>
      <c r="D23" s="136">
        <v>60</v>
      </c>
      <c r="E23" s="136">
        <v>597</v>
      </c>
      <c r="F23" s="108" t="s">
        <v>140</v>
      </c>
      <c r="G23" s="109"/>
      <c r="H23" s="110"/>
      <c r="I23" s="1"/>
      <c r="K23" s="11"/>
      <c r="L23" s="14"/>
      <c r="M23" s="11"/>
      <c r="N23" s="11"/>
      <c r="O23" s="14"/>
      <c r="P23" s="20"/>
    </row>
    <row r="24" spans="1:16" ht="20.100000000000001" customHeight="1" thickBot="1" x14ac:dyDescent="0.4">
      <c r="A24" s="27"/>
      <c r="B24" s="135">
        <v>4</v>
      </c>
      <c r="C24" s="108" t="s">
        <v>61</v>
      </c>
      <c r="D24" s="136">
        <v>345</v>
      </c>
      <c r="E24" s="136">
        <v>677</v>
      </c>
      <c r="F24" s="108" t="s">
        <v>140</v>
      </c>
      <c r="G24" s="109"/>
      <c r="H24" s="110"/>
      <c r="I24" s="1"/>
      <c r="K24" s="11"/>
      <c r="L24" s="14"/>
      <c r="M24" s="11"/>
      <c r="N24" s="11"/>
      <c r="O24" s="14"/>
      <c r="P24" s="20"/>
    </row>
    <row r="25" spans="1:16" ht="20.100000000000001" customHeight="1" thickBot="1" x14ac:dyDescent="0.4">
      <c r="A25" s="27"/>
      <c r="B25" s="135">
        <v>4</v>
      </c>
      <c r="C25" s="108" t="s">
        <v>61</v>
      </c>
      <c r="D25" s="136">
        <v>345</v>
      </c>
      <c r="E25" s="136">
        <v>577</v>
      </c>
      <c r="F25" s="108" t="s">
        <v>140</v>
      </c>
      <c r="G25" s="109"/>
      <c r="H25" s="110"/>
      <c r="I25" s="1"/>
      <c r="K25" s="11"/>
      <c r="L25" s="14"/>
      <c r="M25" s="11"/>
      <c r="N25" s="11"/>
      <c r="O25" s="14"/>
      <c r="P25" s="20"/>
    </row>
    <row r="26" spans="1:16" ht="20.100000000000001" customHeight="1" thickBot="1" x14ac:dyDescent="0.4">
      <c r="A26" s="27"/>
      <c r="B26" s="135">
        <v>2</v>
      </c>
      <c r="C26" s="108" t="s">
        <v>61</v>
      </c>
      <c r="D26" s="136">
        <v>720</v>
      </c>
      <c r="E26" s="136">
        <v>397</v>
      </c>
      <c r="F26" s="108" t="s">
        <v>140</v>
      </c>
      <c r="G26" s="109"/>
      <c r="H26" s="110"/>
      <c r="I26" s="1"/>
      <c r="K26" s="11"/>
      <c r="L26" s="14"/>
      <c r="M26" s="11"/>
      <c r="N26" s="11"/>
      <c r="O26" s="14"/>
      <c r="P26" s="20"/>
    </row>
    <row r="27" spans="1:16" ht="20.100000000000001" customHeight="1" thickBot="1" x14ac:dyDescent="0.4">
      <c r="A27" s="27"/>
      <c r="B27" s="135">
        <v>2</v>
      </c>
      <c r="C27" s="108" t="s">
        <v>61</v>
      </c>
      <c r="D27" s="136">
        <v>345</v>
      </c>
      <c r="E27" s="136">
        <v>437</v>
      </c>
      <c r="F27" s="108" t="s">
        <v>140</v>
      </c>
      <c r="G27" s="109"/>
      <c r="H27" s="110"/>
      <c r="I27" s="1"/>
      <c r="K27" s="11"/>
      <c r="L27" s="14"/>
      <c r="M27" s="11"/>
      <c r="N27" s="11"/>
      <c r="O27" s="14"/>
      <c r="P27" s="20"/>
    </row>
    <row r="28" spans="1:16" ht="20.100000000000001" customHeight="1" thickBot="1" x14ac:dyDescent="0.4">
      <c r="A28" s="27"/>
      <c r="B28" s="135">
        <v>4</v>
      </c>
      <c r="C28" s="108" t="s">
        <v>61</v>
      </c>
      <c r="D28" s="136">
        <v>640</v>
      </c>
      <c r="E28" s="136">
        <v>597</v>
      </c>
      <c r="F28" s="108" t="s">
        <v>140</v>
      </c>
      <c r="G28" s="109"/>
      <c r="H28" s="110"/>
      <c r="I28" s="1"/>
      <c r="K28" s="11"/>
      <c r="L28" s="14"/>
      <c r="M28" s="11"/>
      <c r="N28" s="11"/>
      <c r="O28" s="14"/>
      <c r="P28" s="20"/>
    </row>
    <row r="29" spans="1:16" ht="20.100000000000001" customHeight="1" thickBot="1" x14ac:dyDescent="0.4">
      <c r="A29" s="27"/>
      <c r="B29" s="135">
        <v>1</v>
      </c>
      <c r="C29" s="108" t="s">
        <v>61</v>
      </c>
      <c r="D29" s="136">
        <v>247</v>
      </c>
      <c r="E29" s="136">
        <v>647</v>
      </c>
      <c r="F29" s="108" t="s">
        <v>140</v>
      </c>
      <c r="G29" s="109"/>
      <c r="H29" s="110"/>
      <c r="I29" s="1"/>
      <c r="K29" s="11"/>
      <c r="L29" s="14"/>
      <c r="M29" s="11"/>
      <c r="N29" s="11"/>
      <c r="O29" s="14"/>
      <c r="P29" s="20"/>
    </row>
    <row r="30" spans="1:16" ht="20.100000000000001" customHeight="1" thickBot="1" x14ac:dyDescent="0.4">
      <c r="A30" s="27"/>
      <c r="B30" s="135">
        <v>1</v>
      </c>
      <c r="C30" s="108" t="s">
        <v>61</v>
      </c>
      <c r="D30" s="136">
        <v>50</v>
      </c>
      <c r="E30" s="136">
        <v>390</v>
      </c>
      <c r="F30" s="108" t="s">
        <v>140</v>
      </c>
      <c r="G30" s="109"/>
      <c r="H30" s="110"/>
      <c r="I30" s="1"/>
      <c r="K30" s="11"/>
      <c r="L30" s="14"/>
      <c r="M30" s="11"/>
      <c r="N30" s="11"/>
      <c r="O30" s="14"/>
      <c r="P30" s="20"/>
    </row>
    <row r="31" spans="1:16" ht="20.100000000000001" customHeight="1" thickBot="1" x14ac:dyDescent="0.4">
      <c r="A31" s="27"/>
      <c r="B31" s="135">
        <v>1</v>
      </c>
      <c r="C31" s="108" t="s">
        <v>61</v>
      </c>
      <c r="D31" s="136">
        <v>2030</v>
      </c>
      <c r="E31" s="136">
        <v>297</v>
      </c>
      <c r="F31" s="108" t="s">
        <v>140</v>
      </c>
      <c r="G31" s="109"/>
      <c r="H31" s="110"/>
      <c r="I31" s="1"/>
      <c r="K31" s="11"/>
      <c r="L31" s="14"/>
      <c r="M31" s="11"/>
      <c r="N31" s="11"/>
      <c r="O31" s="14"/>
      <c r="P31" s="20"/>
    </row>
    <row r="32" spans="1:16" ht="20.100000000000001" customHeight="1" thickBot="1" x14ac:dyDescent="0.4">
      <c r="A32" s="27"/>
      <c r="B32" s="135">
        <v>1</v>
      </c>
      <c r="C32" s="108" t="s">
        <v>61</v>
      </c>
      <c r="D32" s="136">
        <v>377</v>
      </c>
      <c r="E32" s="136">
        <v>927</v>
      </c>
      <c r="F32" s="108" t="s">
        <v>140</v>
      </c>
      <c r="G32" s="109"/>
      <c r="H32" s="110"/>
      <c r="I32" s="1"/>
      <c r="K32" s="11"/>
      <c r="L32" s="14"/>
      <c r="M32" s="11"/>
      <c r="N32" s="11"/>
      <c r="O32" s="14"/>
      <c r="P32" s="20"/>
    </row>
    <row r="33" spans="1:16" ht="20.100000000000001" customHeight="1" thickBot="1" x14ac:dyDescent="0.4">
      <c r="A33" s="27"/>
      <c r="B33" s="135">
        <v>1</v>
      </c>
      <c r="C33" s="108" t="s">
        <v>61</v>
      </c>
      <c r="D33" s="136">
        <v>2180</v>
      </c>
      <c r="E33" s="136">
        <v>105</v>
      </c>
      <c r="F33" s="108" t="s">
        <v>140</v>
      </c>
      <c r="G33" s="109"/>
      <c r="H33" s="110"/>
      <c r="I33" s="1"/>
      <c r="K33" s="11"/>
      <c r="L33" s="14"/>
      <c r="M33" s="11"/>
      <c r="N33" s="11"/>
      <c r="O33" s="14"/>
      <c r="P33" s="20"/>
    </row>
    <row r="34" spans="1:16" ht="20.100000000000001" customHeight="1" thickBot="1" x14ac:dyDescent="0.4">
      <c r="A34" s="27"/>
      <c r="B34" s="135">
        <v>1</v>
      </c>
      <c r="C34" s="108" t="s">
        <v>61</v>
      </c>
      <c r="D34" s="136">
        <v>900</v>
      </c>
      <c r="E34" s="136">
        <v>105</v>
      </c>
      <c r="F34" s="108" t="s">
        <v>140</v>
      </c>
      <c r="G34" s="109"/>
      <c r="H34" s="110"/>
      <c r="I34" s="1"/>
      <c r="K34" s="11"/>
      <c r="L34" s="14"/>
      <c r="M34" s="11"/>
      <c r="N34" s="11"/>
      <c r="O34" s="14"/>
      <c r="P34" s="20"/>
    </row>
    <row r="35" spans="1:16" ht="18" customHeight="1" x14ac:dyDescent="0.35">
      <c r="A35" s="27"/>
      <c r="B35" s="36"/>
      <c r="C35" s="36"/>
      <c r="D35" s="37"/>
      <c r="E35" s="37"/>
      <c r="F35" s="36"/>
      <c r="G35" s="38"/>
      <c r="H35" s="38"/>
      <c r="I35" s="1"/>
      <c r="K35" s="11"/>
      <c r="L35" s="14"/>
      <c r="M35" s="11"/>
      <c r="N35" s="11"/>
      <c r="O35" s="14"/>
      <c r="P35" s="20"/>
    </row>
    <row r="36" spans="1:16" ht="8.25" customHeight="1" thickBot="1" x14ac:dyDescent="0.4">
      <c r="A36" s="27"/>
      <c r="B36" s="39"/>
      <c r="C36" s="39"/>
      <c r="D36" s="39"/>
      <c r="E36" s="39"/>
      <c r="F36" s="39"/>
      <c r="G36" s="40"/>
      <c r="H36" s="40"/>
      <c r="I36" s="1"/>
    </row>
    <row r="37" spans="1:16" ht="18" x14ac:dyDescent="0.35">
      <c r="A37" s="27"/>
      <c r="B37" s="27"/>
      <c r="C37" s="27"/>
      <c r="D37" s="27"/>
      <c r="E37" s="27"/>
      <c r="F37" s="27"/>
      <c r="G37" s="41" t="s">
        <v>5</v>
      </c>
      <c r="H37" s="42">
        <v>463203</v>
      </c>
      <c r="I37" s="1"/>
    </row>
    <row r="38" spans="1:16" ht="18" x14ac:dyDescent="0.35">
      <c r="A38" s="27"/>
      <c r="B38" s="27"/>
      <c r="C38" s="27"/>
      <c r="D38" s="27"/>
      <c r="E38" s="27"/>
      <c r="F38" s="27"/>
      <c r="G38" s="43" t="s">
        <v>6</v>
      </c>
      <c r="H38" s="44"/>
      <c r="I38" s="1"/>
    </row>
    <row r="39" spans="1:16" ht="18.600000000000001" thickBot="1" x14ac:dyDescent="0.4">
      <c r="A39" s="27"/>
      <c r="B39" s="27"/>
      <c r="C39" s="27"/>
      <c r="D39" s="27"/>
      <c r="E39" s="27"/>
      <c r="F39" s="27"/>
      <c r="G39" s="45" t="s">
        <v>4</v>
      </c>
      <c r="H39" s="46">
        <f>H37+H38</f>
        <v>463203</v>
      </c>
      <c r="I39" s="1"/>
    </row>
    <row r="40" spans="1:16" ht="18" x14ac:dyDescent="0.35">
      <c r="A40" s="27"/>
      <c r="B40" s="27"/>
      <c r="C40" s="27"/>
      <c r="D40" s="27"/>
      <c r="E40" s="27"/>
      <c r="F40" s="27"/>
      <c r="G40" s="28"/>
      <c r="H40" s="47"/>
      <c r="I40" s="1"/>
    </row>
    <row r="41" spans="1:16" ht="18" x14ac:dyDescent="0.35">
      <c r="A41" s="27"/>
      <c r="B41" s="27"/>
      <c r="C41" s="27"/>
      <c r="D41" s="27"/>
      <c r="E41" s="27"/>
      <c r="F41" s="27"/>
      <c r="G41" s="27"/>
      <c r="H41" s="27"/>
      <c r="I41" s="1"/>
    </row>
    <row r="42" spans="1:16" ht="18" x14ac:dyDescent="0.35">
      <c r="A42" s="27"/>
      <c r="B42" s="48" t="s">
        <v>133</v>
      </c>
      <c r="C42" s="49"/>
      <c r="D42" s="50"/>
      <c r="E42" s="50"/>
      <c r="F42" s="39"/>
      <c r="G42" s="27"/>
      <c r="H42" s="27"/>
      <c r="I42" s="1"/>
    </row>
    <row r="43" spans="1:16" ht="18" x14ac:dyDescent="0.35">
      <c r="A43" s="27"/>
      <c r="B43" s="48" t="s">
        <v>119</v>
      </c>
      <c r="C43" s="49"/>
      <c r="D43" s="50"/>
      <c r="E43" s="50"/>
      <c r="F43" s="39"/>
      <c r="G43" s="27"/>
      <c r="H43" s="27"/>
      <c r="I43" s="1"/>
    </row>
    <row r="44" spans="1:16" ht="18" x14ac:dyDescent="0.35">
      <c r="A44" s="27"/>
      <c r="B44" s="27" t="s">
        <v>24</v>
      </c>
      <c r="C44" s="27"/>
      <c r="D44" s="27"/>
      <c r="E44" s="51" t="s">
        <v>25</v>
      </c>
      <c r="F44" s="27"/>
      <c r="G44" s="27"/>
      <c r="H44" s="27"/>
      <c r="I44" s="1"/>
    </row>
    <row r="45" spans="1:16" ht="18" x14ac:dyDescent="0.35">
      <c r="A45" s="27"/>
      <c r="B45" s="27"/>
      <c r="C45" s="27"/>
      <c r="D45" s="27"/>
      <c r="E45" s="51"/>
      <c r="F45" s="27"/>
      <c r="G45" s="27"/>
      <c r="H45" s="27"/>
      <c r="I45" s="1"/>
    </row>
    <row r="46" spans="1:16" ht="18" x14ac:dyDescent="0.35">
      <c r="A46" s="27"/>
      <c r="B46" s="29" t="s">
        <v>129</v>
      </c>
      <c r="C46" s="29"/>
      <c r="D46" s="29"/>
      <c r="E46" s="52"/>
      <c r="F46" s="27"/>
      <c r="G46" s="27"/>
      <c r="H46" s="27"/>
      <c r="I46" s="1"/>
    </row>
    <row r="47" spans="1:16" ht="18" x14ac:dyDescent="0.35">
      <c r="A47" s="27"/>
      <c r="B47" s="29"/>
      <c r="C47" s="29"/>
      <c r="D47" s="29"/>
      <c r="E47" s="52"/>
      <c r="F47" s="27"/>
      <c r="G47" s="27"/>
      <c r="H47" s="27"/>
      <c r="I47" s="1"/>
    </row>
    <row r="48" spans="1:16" ht="18" x14ac:dyDescent="0.35">
      <c r="A48" s="27"/>
      <c r="B48" s="29" t="s">
        <v>130</v>
      </c>
      <c r="C48" s="27"/>
      <c r="D48" s="27"/>
      <c r="E48" s="51"/>
      <c r="F48" s="27"/>
      <c r="G48" s="27"/>
      <c r="H48" s="27"/>
      <c r="I48" s="1"/>
    </row>
    <row r="49" spans="1:9" ht="15.6" x14ac:dyDescent="0.3">
      <c r="A49" s="1"/>
      <c r="B49" s="1"/>
      <c r="C49" s="1"/>
      <c r="D49" s="1"/>
      <c r="E49" s="21"/>
      <c r="F49" s="1"/>
      <c r="G49" s="1"/>
      <c r="H49" s="1"/>
      <c r="I49" s="1"/>
    </row>
    <row r="50" spans="1:9" ht="15.6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ht="15.6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3">
    <mergeCell ref="F16:H16"/>
    <mergeCell ref="B19:H19"/>
    <mergeCell ref="F17:H17"/>
  </mergeCells>
  <phoneticPr fontId="8" type="noConversion"/>
  <hyperlinks>
    <hyperlink ref="E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5" t="s">
        <v>29</v>
      </c>
      <c r="C2" s="145"/>
      <c r="D2" s="145"/>
      <c r="E2" s="12"/>
      <c r="G2" s="145" t="s">
        <v>68</v>
      </c>
      <c r="H2" s="145"/>
      <c r="I2" s="145"/>
      <c r="P2" s="146" t="s">
        <v>56</v>
      </c>
      <c r="Q2" s="146"/>
      <c r="R2" s="146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6" t="s">
        <v>56</v>
      </c>
      <c r="M8" s="146"/>
      <c r="N8" s="146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1"/>
  <sheetViews>
    <sheetView zoomScaleNormal="100" workbookViewId="0">
      <selection activeCell="A2" sqref="A2:F70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29.664062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3"/>
      <c r="B1" s="73"/>
      <c r="C1" s="73"/>
      <c r="D1" s="73"/>
      <c r="E1" s="73"/>
      <c r="F1" s="73"/>
      <c r="G1" s="27"/>
    </row>
    <row r="2" spans="1:14" ht="21" x14ac:dyDescent="0.4">
      <c r="A2" s="73"/>
      <c r="B2" s="73"/>
      <c r="C2" s="73"/>
      <c r="D2" s="73"/>
      <c r="E2" s="73"/>
      <c r="F2" s="73"/>
      <c r="G2" s="27"/>
      <c r="K2" s="147" t="s">
        <v>59</v>
      </c>
      <c r="L2" s="147"/>
      <c r="M2" s="147" t="s">
        <v>14</v>
      </c>
      <c r="N2" s="147"/>
    </row>
    <row r="3" spans="1:14" ht="15.75" customHeight="1" x14ac:dyDescent="0.4">
      <c r="A3" s="73"/>
      <c r="B3" s="73"/>
      <c r="C3" s="74" t="s">
        <v>26</v>
      </c>
      <c r="D3" s="75">
        <f>'4637'!G8</f>
        <v>4078</v>
      </c>
      <c r="E3" s="73"/>
      <c r="F3" s="73"/>
      <c r="G3" s="27"/>
      <c r="K3" t="s">
        <v>7</v>
      </c>
      <c r="L3" t="s">
        <v>8</v>
      </c>
      <c r="M3" t="s">
        <v>7</v>
      </c>
      <c r="N3" t="s">
        <v>8</v>
      </c>
    </row>
    <row r="4" spans="1:14" ht="18" customHeight="1" x14ac:dyDescent="0.4">
      <c r="A4" s="73"/>
      <c r="B4" s="73"/>
      <c r="C4" s="76" t="s">
        <v>65</v>
      </c>
      <c r="D4" s="91" t="str">
        <f>'4637'!C10</f>
        <v>HECTOR OLEA</v>
      </c>
      <c r="E4" s="78"/>
      <c r="F4" s="78"/>
      <c r="G4" s="27"/>
      <c r="K4" t="e">
        <f>LOOKUP(#REF!,REGLAS!$I$4:$I$37,REGLAS!$G$4:$G$37)+#REF!</f>
        <v>#REF!</v>
      </c>
      <c r="L4" t="e">
        <f>LOOKUP(#REF!,REGLAS!$I$4:$I$37,REGLAS!$H$4:$H$37)+#REF!</f>
        <v>#REF!</v>
      </c>
      <c r="M4" t="e">
        <f>LOOKUP(#REF!,REGLAS!$D$4:$D$37,REGLAS!$B$4:$B$37)+#REF!</f>
        <v>#REF!</v>
      </c>
      <c r="N4" t="e">
        <f>LOOKUP(#REF!,REGLAS!$D$4:$D$37,REGLAS!$C$4:$C$37)+#REF!</f>
        <v>#REF!</v>
      </c>
    </row>
    <row r="5" spans="1:14" ht="4.5" customHeight="1" x14ac:dyDescent="0.4">
      <c r="A5" s="73"/>
      <c r="B5" s="73"/>
      <c r="C5" s="79"/>
      <c r="D5" s="80"/>
      <c r="E5" s="73"/>
      <c r="F5" s="73"/>
      <c r="G5" s="27"/>
    </row>
    <row r="6" spans="1:14" ht="21" x14ac:dyDescent="0.4">
      <c r="A6" s="73"/>
      <c r="B6" s="73"/>
      <c r="C6" s="92" t="str">
        <f>'4637'!F11</f>
        <v>FECHA LIMITE :</v>
      </c>
      <c r="D6" s="82"/>
      <c r="E6" s="73"/>
      <c r="F6" s="73" t="s">
        <v>137</v>
      </c>
      <c r="G6" s="27"/>
    </row>
    <row r="7" spans="1:14" ht="21" x14ac:dyDescent="0.4">
      <c r="A7" s="73"/>
      <c r="B7" s="73"/>
      <c r="C7" s="93" t="s">
        <v>121</v>
      </c>
      <c r="D7" s="73"/>
      <c r="E7" s="73"/>
      <c r="F7" s="73"/>
      <c r="G7" s="27"/>
    </row>
    <row r="8" spans="1:14" ht="21" x14ac:dyDescent="0.4">
      <c r="A8" s="73"/>
      <c r="B8" s="73"/>
      <c r="C8" s="73"/>
      <c r="D8" s="73"/>
      <c r="E8" s="73"/>
      <c r="F8" s="73"/>
      <c r="G8" s="27"/>
    </row>
    <row r="9" spans="1:14" ht="15" customHeight="1" x14ac:dyDescent="0.4">
      <c r="A9" s="148" t="s">
        <v>59</v>
      </c>
      <c r="B9" s="148"/>
      <c r="C9" s="148"/>
      <c r="D9" s="148"/>
      <c r="E9" s="148"/>
      <c r="F9" s="148"/>
      <c r="G9" s="27"/>
    </row>
    <row r="10" spans="1:14" ht="21" x14ac:dyDescent="0.4">
      <c r="A10" s="73"/>
      <c r="B10" s="73"/>
      <c r="C10" s="94"/>
      <c r="D10" s="73"/>
      <c r="E10" s="73"/>
      <c r="F10" s="73"/>
      <c r="G10" s="27"/>
    </row>
    <row r="11" spans="1:14" ht="21.6" thickBot="1" x14ac:dyDescent="0.45">
      <c r="A11" s="73"/>
      <c r="B11" s="73"/>
      <c r="C11" s="73"/>
      <c r="D11" s="83" t="s">
        <v>7</v>
      </c>
      <c r="E11" s="83" t="s">
        <v>8</v>
      </c>
      <c r="F11" s="73"/>
      <c r="G11" s="27"/>
    </row>
    <row r="12" spans="1:14" ht="21" x14ac:dyDescent="0.4">
      <c r="A12" s="83" t="s">
        <v>9</v>
      </c>
      <c r="B12" s="95" t="s">
        <v>10</v>
      </c>
      <c r="C12" s="96" t="s">
        <v>11</v>
      </c>
      <c r="D12" s="97">
        <v>50</v>
      </c>
      <c r="E12" s="97">
        <v>-2</v>
      </c>
      <c r="F12" s="98" t="s">
        <v>107</v>
      </c>
      <c r="G12" s="27"/>
      <c r="J12" s="5" t="s">
        <v>7</v>
      </c>
      <c r="K12" s="5" t="s">
        <v>8</v>
      </c>
    </row>
    <row r="13" spans="1:14" ht="16.95" customHeight="1" x14ac:dyDescent="0.4">
      <c r="A13" s="137" t="s">
        <v>141</v>
      </c>
      <c r="B13" s="99">
        <f t="shared" ref="B13" si="0">I13</f>
        <v>2</v>
      </c>
      <c r="C13" s="100"/>
      <c r="D13" s="101">
        <f>J13+D$12</f>
        <v>395</v>
      </c>
      <c r="E13" s="101">
        <f>K13+E$12</f>
        <v>595</v>
      </c>
      <c r="F13" s="102" t="str">
        <f t="shared" ref="F13" si="1">C52</f>
        <v>PR6</v>
      </c>
      <c r="G13" s="27"/>
      <c r="I13" s="3">
        <f>B52</f>
        <v>2</v>
      </c>
      <c r="J13" s="4">
        <f>D52</f>
        <v>345</v>
      </c>
      <c r="K13" s="4">
        <f>E52</f>
        <v>597</v>
      </c>
    </row>
    <row r="14" spans="1:14" ht="16.95" customHeight="1" x14ac:dyDescent="0.4">
      <c r="A14" s="87"/>
      <c r="B14" s="99">
        <f t="shared" ref="B14:B16" si="2">I14</f>
        <v>1</v>
      </c>
      <c r="C14" s="100"/>
      <c r="D14" s="101">
        <f t="shared" ref="D14:D16" si="3">J14+D$12</f>
        <v>770</v>
      </c>
      <c r="E14" s="101">
        <f t="shared" ref="E14:E16" si="4">K14+E$12</f>
        <v>195</v>
      </c>
      <c r="F14" s="102" t="str">
        <f t="shared" ref="F14:F16" si="5">C53</f>
        <v>PR6</v>
      </c>
      <c r="G14" s="27"/>
      <c r="I14" s="3">
        <f t="shared" ref="I14:I16" si="6">B53</f>
        <v>1</v>
      </c>
      <c r="J14" s="4">
        <f t="shared" ref="J14:K14" si="7">D53</f>
        <v>720</v>
      </c>
      <c r="K14" s="4">
        <f t="shared" si="7"/>
        <v>197</v>
      </c>
    </row>
    <row r="15" spans="1:14" ht="16.95" customHeight="1" x14ac:dyDescent="0.4">
      <c r="A15" s="87"/>
      <c r="B15" s="99">
        <f t="shared" si="2"/>
        <v>2</v>
      </c>
      <c r="C15" s="100"/>
      <c r="D15" s="101">
        <f t="shared" si="3"/>
        <v>110</v>
      </c>
      <c r="E15" s="101">
        <f t="shared" si="4"/>
        <v>595</v>
      </c>
      <c r="F15" s="102" t="str">
        <f t="shared" si="5"/>
        <v>PR6</v>
      </c>
      <c r="G15" s="27"/>
      <c r="I15" s="3">
        <f t="shared" si="6"/>
        <v>2</v>
      </c>
      <c r="J15" s="4">
        <f t="shared" ref="J15:K15" si="8">D54</f>
        <v>60</v>
      </c>
      <c r="K15" s="4">
        <f t="shared" si="8"/>
        <v>597</v>
      </c>
    </row>
    <row r="16" spans="1:14" ht="16.95" customHeight="1" thickBot="1" x14ac:dyDescent="0.45">
      <c r="A16" s="87"/>
      <c r="B16" s="115">
        <f t="shared" si="2"/>
        <v>4</v>
      </c>
      <c r="C16" s="116"/>
      <c r="D16" s="117">
        <f t="shared" si="3"/>
        <v>395</v>
      </c>
      <c r="E16" s="117">
        <f t="shared" si="4"/>
        <v>675</v>
      </c>
      <c r="F16" s="118" t="str">
        <f t="shared" si="5"/>
        <v>PR6</v>
      </c>
      <c r="G16" s="27"/>
      <c r="I16" s="3">
        <f t="shared" si="6"/>
        <v>4</v>
      </c>
      <c r="J16" s="4">
        <f t="shared" ref="J16:K16" si="9">D55</f>
        <v>345</v>
      </c>
      <c r="K16" s="4">
        <f t="shared" si="9"/>
        <v>677</v>
      </c>
    </row>
    <row r="17" spans="1:11" ht="16.95" customHeight="1" thickBot="1" x14ac:dyDescent="0.45">
      <c r="A17" s="87"/>
      <c r="B17" s="115">
        <f t="shared" ref="B17:B26" si="10">I17</f>
        <v>4</v>
      </c>
      <c r="C17" s="116"/>
      <c r="D17" s="117">
        <f t="shared" ref="D17:D26" si="11">J17+D$12</f>
        <v>395</v>
      </c>
      <c r="E17" s="117">
        <f t="shared" ref="E17:E26" si="12">K17+E$12</f>
        <v>575</v>
      </c>
      <c r="F17" s="118" t="str">
        <f t="shared" ref="F17:F26" si="13">C56</f>
        <v>PR6</v>
      </c>
      <c r="G17" s="27"/>
      <c r="I17" s="3">
        <f t="shared" ref="I17:I26" si="14">B56</f>
        <v>4</v>
      </c>
      <c r="J17" s="4">
        <f t="shared" ref="J17:J26" si="15">D56</f>
        <v>345</v>
      </c>
      <c r="K17" s="4">
        <f t="shared" ref="K17:K26" si="16">E56</f>
        <v>577</v>
      </c>
    </row>
    <row r="18" spans="1:11" ht="16.95" customHeight="1" thickBot="1" x14ac:dyDescent="0.45">
      <c r="A18" s="87"/>
      <c r="B18" s="115">
        <f t="shared" si="10"/>
        <v>2</v>
      </c>
      <c r="C18" s="116"/>
      <c r="D18" s="117">
        <f t="shared" si="11"/>
        <v>770</v>
      </c>
      <c r="E18" s="117">
        <f t="shared" si="12"/>
        <v>395</v>
      </c>
      <c r="F18" s="118" t="str">
        <f t="shared" si="13"/>
        <v>PR6</v>
      </c>
      <c r="G18" s="27"/>
      <c r="I18" s="3">
        <f t="shared" si="14"/>
        <v>2</v>
      </c>
      <c r="J18" s="4">
        <f t="shared" si="15"/>
        <v>720</v>
      </c>
      <c r="K18" s="4">
        <f t="shared" si="16"/>
        <v>397</v>
      </c>
    </row>
    <row r="19" spans="1:11" ht="16.95" customHeight="1" thickBot="1" x14ac:dyDescent="0.45">
      <c r="A19" s="87"/>
      <c r="B19" s="115">
        <f t="shared" si="10"/>
        <v>2</v>
      </c>
      <c r="C19" s="116"/>
      <c r="D19" s="117">
        <f t="shared" si="11"/>
        <v>395</v>
      </c>
      <c r="E19" s="117">
        <f t="shared" si="12"/>
        <v>435</v>
      </c>
      <c r="F19" s="118" t="str">
        <f t="shared" si="13"/>
        <v>PR6</v>
      </c>
      <c r="G19" s="27"/>
      <c r="I19" s="3">
        <f t="shared" si="14"/>
        <v>2</v>
      </c>
      <c r="J19" s="4">
        <f t="shared" si="15"/>
        <v>345</v>
      </c>
      <c r="K19" s="4">
        <f t="shared" si="16"/>
        <v>437</v>
      </c>
    </row>
    <row r="20" spans="1:11" ht="16.95" customHeight="1" thickBot="1" x14ac:dyDescent="0.45">
      <c r="A20" s="87"/>
      <c r="B20" s="115">
        <f t="shared" si="10"/>
        <v>4</v>
      </c>
      <c r="C20" s="116"/>
      <c r="D20" s="117">
        <f t="shared" si="11"/>
        <v>690</v>
      </c>
      <c r="E20" s="117">
        <f t="shared" si="12"/>
        <v>595</v>
      </c>
      <c r="F20" s="118" t="str">
        <f t="shared" si="13"/>
        <v>PR6</v>
      </c>
      <c r="G20" s="27"/>
      <c r="I20" s="3">
        <f t="shared" si="14"/>
        <v>4</v>
      </c>
      <c r="J20" s="4">
        <f t="shared" si="15"/>
        <v>640</v>
      </c>
      <c r="K20" s="4">
        <f t="shared" si="16"/>
        <v>597</v>
      </c>
    </row>
    <row r="21" spans="1:11" ht="16.95" customHeight="1" thickBot="1" x14ac:dyDescent="0.45">
      <c r="A21" s="87"/>
      <c r="B21" s="115">
        <f t="shared" si="10"/>
        <v>1</v>
      </c>
      <c r="C21" s="116"/>
      <c r="D21" s="117">
        <f t="shared" si="11"/>
        <v>297</v>
      </c>
      <c r="E21" s="117">
        <f t="shared" si="12"/>
        <v>645</v>
      </c>
      <c r="F21" s="118" t="str">
        <f t="shared" si="13"/>
        <v>PR6</v>
      </c>
      <c r="G21" s="27"/>
      <c r="I21" s="3">
        <f t="shared" si="14"/>
        <v>1</v>
      </c>
      <c r="J21" s="4">
        <f t="shared" si="15"/>
        <v>247</v>
      </c>
      <c r="K21" s="4">
        <f t="shared" si="16"/>
        <v>647</v>
      </c>
    </row>
    <row r="22" spans="1:11" ht="16.95" customHeight="1" thickBot="1" x14ac:dyDescent="0.45">
      <c r="A22" s="87"/>
      <c r="B22" s="115">
        <f t="shared" si="10"/>
        <v>1</v>
      </c>
      <c r="C22" s="116"/>
      <c r="D22" s="117">
        <f t="shared" si="11"/>
        <v>100</v>
      </c>
      <c r="E22" s="117">
        <f t="shared" si="12"/>
        <v>388</v>
      </c>
      <c r="F22" s="118" t="str">
        <f t="shared" si="13"/>
        <v>PR6</v>
      </c>
      <c r="G22" s="27"/>
      <c r="I22" s="3">
        <f t="shared" si="14"/>
        <v>1</v>
      </c>
      <c r="J22" s="4">
        <f t="shared" si="15"/>
        <v>50</v>
      </c>
      <c r="K22" s="4">
        <f t="shared" si="16"/>
        <v>390</v>
      </c>
    </row>
    <row r="23" spans="1:11" ht="16.95" customHeight="1" thickBot="1" x14ac:dyDescent="0.45">
      <c r="A23" s="87"/>
      <c r="B23" s="115">
        <f t="shared" si="10"/>
        <v>1</v>
      </c>
      <c r="C23" s="116"/>
      <c r="D23" s="117">
        <f t="shared" si="11"/>
        <v>2080</v>
      </c>
      <c r="E23" s="117">
        <f t="shared" si="12"/>
        <v>295</v>
      </c>
      <c r="F23" s="118" t="str">
        <f t="shared" si="13"/>
        <v>PR6</v>
      </c>
      <c r="G23" s="27"/>
      <c r="I23" s="3">
        <f t="shared" si="14"/>
        <v>1</v>
      </c>
      <c r="J23" s="4">
        <f t="shared" si="15"/>
        <v>2030</v>
      </c>
      <c r="K23" s="4">
        <f t="shared" si="16"/>
        <v>297</v>
      </c>
    </row>
    <row r="24" spans="1:11" ht="16.95" customHeight="1" thickBot="1" x14ac:dyDescent="0.45">
      <c r="A24" s="87"/>
      <c r="B24" s="115">
        <f t="shared" si="10"/>
        <v>1</v>
      </c>
      <c r="C24" s="116"/>
      <c r="D24" s="117">
        <f t="shared" si="11"/>
        <v>427</v>
      </c>
      <c r="E24" s="117">
        <f t="shared" si="12"/>
        <v>925</v>
      </c>
      <c r="F24" s="118" t="str">
        <f t="shared" si="13"/>
        <v>PR6</v>
      </c>
      <c r="G24" s="27"/>
      <c r="I24" s="3">
        <f t="shared" si="14"/>
        <v>1</v>
      </c>
      <c r="J24" s="4">
        <f t="shared" si="15"/>
        <v>377</v>
      </c>
      <c r="K24" s="4">
        <f t="shared" si="16"/>
        <v>927</v>
      </c>
    </row>
    <row r="25" spans="1:11" ht="16.95" customHeight="1" thickBot="1" x14ac:dyDescent="0.45">
      <c r="A25" s="87"/>
      <c r="B25" s="115">
        <f t="shared" si="10"/>
        <v>1</v>
      </c>
      <c r="C25" s="116"/>
      <c r="D25" s="117">
        <f t="shared" si="11"/>
        <v>2230</v>
      </c>
      <c r="E25" s="117">
        <f t="shared" si="12"/>
        <v>103</v>
      </c>
      <c r="F25" s="118" t="str">
        <f t="shared" si="13"/>
        <v>PR6</v>
      </c>
      <c r="G25" s="27"/>
      <c r="I25" s="3">
        <f t="shared" si="14"/>
        <v>1</v>
      </c>
      <c r="J25" s="4">
        <f t="shared" si="15"/>
        <v>2180</v>
      </c>
      <c r="K25" s="4">
        <f t="shared" si="16"/>
        <v>105</v>
      </c>
    </row>
    <row r="26" spans="1:11" ht="16.95" customHeight="1" thickBot="1" x14ac:dyDescent="0.45">
      <c r="A26" s="87"/>
      <c r="B26" s="115">
        <f t="shared" si="10"/>
        <v>1</v>
      </c>
      <c r="C26" s="116"/>
      <c r="D26" s="117">
        <f t="shared" si="11"/>
        <v>950</v>
      </c>
      <c r="E26" s="117">
        <f t="shared" si="12"/>
        <v>103</v>
      </c>
      <c r="F26" s="118" t="str">
        <f t="shared" si="13"/>
        <v>PR6</v>
      </c>
      <c r="G26" s="27"/>
      <c r="I26" s="3">
        <f t="shared" si="14"/>
        <v>1</v>
      </c>
      <c r="J26" s="4">
        <f t="shared" si="15"/>
        <v>900</v>
      </c>
      <c r="K26" s="4">
        <f t="shared" si="16"/>
        <v>105</v>
      </c>
    </row>
    <row r="27" spans="1:11" ht="18" customHeight="1" x14ac:dyDescent="0.4">
      <c r="A27" s="87"/>
      <c r="B27" s="89"/>
      <c r="C27" s="132"/>
      <c r="D27" s="89"/>
      <c r="E27" s="89"/>
      <c r="F27" s="89"/>
      <c r="G27" s="27"/>
      <c r="I27" s="133"/>
      <c r="J27" s="2"/>
      <c r="K27" s="2"/>
    </row>
    <row r="28" spans="1:11" ht="18" customHeight="1" x14ac:dyDescent="0.4">
      <c r="A28" s="148" t="s">
        <v>14</v>
      </c>
      <c r="B28" s="148"/>
      <c r="C28" s="148"/>
      <c r="D28" s="148"/>
      <c r="E28" s="148"/>
      <c r="F28" s="148"/>
      <c r="G28" s="27"/>
    </row>
    <row r="30" spans="1:11" ht="18" customHeight="1" x14ac:dyDescent="0.4">
      <c r="A30" s="73"/>
      <c r="B30" s="73"/>
      <c r="C30" s="94"/>
      <c r="D30" s="73"/>
      <c r="E30" s="73"/>
      <c r="F30" s="73"/>
      <c r="G30" s="27"/>
    </row>
    <row r="31" spans="1:11" ht="18" customHeight="1" thickBot="1" x14ac:dyDescent="0.45">
      <c r="A31" s="73"/>
      <c r="B31" s="73"/>
      <c r="C31" s="73"/>
      <c r="D31" s="83" t="s">
        <v>7</v>
      </c>
      <c r="E31" s="83" t="s">
        <v>8</v>
      </c>
      <c r="F31" s="73"/>
      <c r="G31" s="27"/>
    </row>
    <row r="32" spans="1:11" ht="18" customHeight="1" x14ac:dyDescent="0.4">
      <c r="A32" s="83" t="s">
        <v>9</v>
      </c>
      <c r="B32" s="119" t="s">
        <v>10</v>
      </c>
      <c r="C32" s="120" t="s">
        <v>11</v>
      </c>
      <c r="D32" s="121">
        <v>40</v>
      </c>
      <c r="E32" s="121">
        <v>90</v>
      </c>
      <c r="F32" s="122" t="s">
        <v>107</v>
      </c>
      <c r="G32" s="27"/>
      <c r="J32" s="5" t="s">
        <v>7</v>
      </c>
      <c r="K32" s="5" t="s">
        <v>8</v>
      </c>
    </row>
    <row r="33" spans="1:11" ht="16.95" customHeight="1" x14ac:dyDescent="0.4">
      <c r="A33" s="137" t="s">
        <v>141</v>
      </c>
      <c r="B33" s="99">
        <f t="shared" ref="B33" si="17">I33</f>
        <v>2</v>
      </c>
      <c r="C33" s="100"/>
      <c r="D33" s="101">
        <f t="shared" ref="D33:D46" si="18">J33+D$32</f>
        <v>385</v>
      </c>
      <c r="E33" s="101">
        <f t="shared" ref="E33" si="19">K33+E$32</f>
        <v>687</v>
      </c>
      <c r="F33" s="102" t="str">
        <f t="shared" ref="F33" si="20">C52</f>
        <v>PR6</v>
      </c>
      <c r="G33" s="27"/>
      <c r="I33" s="3">
        <f t="shared" ref="I33" si="21">B52</f>
        <v>2</v>
      </c>
      <c r="J33" s="4">
        <f>D52</f>
        <v>345</v>
      </c>
      <c r="K33" s="4">
        <f>E52</f>
        <v>597</v>
      </c>
    </row>
    <row r="34" spans="1:11" ht="16.95" customHeight="1" x14ac:dyDescent="0.4">
      <c r="A34" s="87"/>
      <c r="B34" s="99">
        <f t="shared" ref="B34:B36" si="22">I34</f>
        <v>1</v>
      </c>
      <c r="C34" s="100"/>
      <c r="D34" s="101">
        <f t="shared" si="18"/>
        <v>760</v>
      </c>
      <c r="E34" s="101">
        <f t="shared" ref="E34:E46" si="23">K34+E$32</f>
        <v>287</v>
      </c>
      <c r="F34" s="102" t="str">
        <f t="shared" ref="F34:F46" si="24">C53</f>
        <v>PR6</v>
      </c>
      <c r="G34" s="27"/>
      <c r="I34" s="3">
        <f t="shared" ref="I34:I36" si="25">B53</f>
        <v>1</v>
      </c>
      <c r="J34" s="4">
        <f t="shared" ref="J34:K34" si="26">D53</f>
        <v>720</v>
      </c>
      <c r="K34" s="4">
        <f t="shared" si="26"/>
        <v>197</v>
      </c>
    </row>
    <row r="35" spans="1:11" ht="16.95" customHeight="1" x14ac:dyDescent="0.4">
      <c r="A35" s="87"/>
      <c r="B35" s="99">
        <f t="shared" si="22"/>
        <v>2</v>
      </c>
      <c r="C35" s="100"/>
      <c r="D35" s="101">
        <f t="shared" si="18"/>
        <v>100</v>
      </c>
      <c r="E35" s="101">
        <f t="shared" si="23"/>
        <v>687</v>
      </c>
      <c r="F35" s="102" t="str">
        <f t="shared" si="24"/>
        <v>PR6</v>
      </c>
      <c r="G35" s="27"/>
      <c r="I35" s="3">
        <f t="shared" si="25"/>
        <v>2</v>
      </c>
      <c r="J35" s="4">
        <f t="shared" ref="J35:K35" si="27">D54</f>
        <v>60</v>
      </c>
      <c r="K35" s="4">
        <f t="shared" si="27"/>
        <v>597</v>
      </c>
    </row>
    <row r="36" spans="1:11" ht="16.95" customHeight="1" thickBot="1" x14ac:dyDescent="0.45">
      <c r="A36" s="87"/>
      <c r="B36" s="115">
        <f t="shared" si="22"/>
        <v>4</v>
      </c>
      <c r="C36" s="116"/>
      <c r="D36" s="117">
        <f t="shared" si="18"/>
        <v>385</v>
      </c>
      <c r="E36" s="117">
        <f t="shared" si="23"/>
        <v>767</v>
      </c>
      <c r="F36" s="118" t="str">
        <f t="shared" si="24"/>
        <v>PR6</v>
      </c>
      <c r="G36" s="27"/>
      <c r="I36" s="3">
        <f t="shared" si="25"/>
        <v>4</v>
      </c>
      <c r="J36" s="4">
        <f t="shared" ref="J36:K36" si="28">D55</f>
        <v>345</v>
      </c>
      <c r="K36" s="4">
        <f t="shared" si="28"/>
        <v>677</v>
      </c>
    </row>
    <row r="37" spans="1:11" ht="16.95" customHeight="1" thickBot="1" x14ac:dyDescent="0.45">
      <c r="A37" s="87"/>
      <c r="B37" s="115">
        <f t="shared" ref="B37:B46" si="29">I37</f>
        <v>4</v>
      </c>
      <c r="C37" s="116"/>
      <c r="D37" s="117">
        <f t="shared" si="18"/>
        <v>385</v>
      </c>
      <c r="E37" s="117">
        <f t="shared" si="23"/>
        <v>667</v>
      </c>
      <c r="F37" s="118" t="str">
        <f t="shared" si="24"/>
        <v>PR6</v>
      </c>
      <c r="G37" s="27"/>
      <c r="I37" s="3">
        <f t="shared" ref="I37:I46" si="30">B56</f>
        <v>4</v>
      </c>
      <c r="J37" s="4">
        <f t="shared" ref="J37:J46" si="31">D56</f>
        <v>345</v>
      </c>
      <c r="K37" s="4">
        <f t="shared" ref="K37:K46" si="32">E56</f>
        <v>577</v>
      </c>
    </row>
    <row r="38" spans="1:11" ht="16.95" customHeight="1" thickBot="1" x14ac:dyDescent="0.45">
      <c r="A38" s="87"/>
      <c r="B38" s="115">
        <f t="shared" si="29"/>
        <v>2</v>
      </c>
      <c r="C38" s="116"/>
      <c r="D38" s="117">
        <f t="shared" si="18"/>
        <v>760</v>
      </c>
      <c r="E38" s="117">
        <f t="shared" si="23"/>
        <v>487</v>
      </c>
      <c r="F38" s="118" t="str">
        <f t="shared" si="24"/>
        <v>PR6</v>
      </c>
      <c r="G38" s="27"/>
      <c r="I38" s="3">
        <f t="shared" si="30"/>
        <v>2</v>
      </c>
      <c r="J38" s="4">
        <f t="shared" si="31"/>
        <v>720</v>
      </c>
      <c r="K38" s="4">
        <f t="shared" si="32"/>
        <v>397</v>
      </c>
    </row>
    <row r="39" spans="1:11" ht="16.95" customHeight="1" thickBot="1" x14ac:dyDescent="0.45">
      <c r="A39" s="87"/>
      <c r="B39" s="115">
        <f t="shared" si="29"/>
        <v>2</v>
      </c>
      <c r="C39" s="116"/>
      <c r="D39" s="117">
        <f t="shared" si="18"/>
        <v>385</v>
      </c>
      <c r="E39" s="117">
        <f t="shared" si="23"/>
        <v>527</v>
      </c>
      <c r="F39" s="118" t="str">
        <f t="shared" si="24"/>
        <v>PR6</v>
      </c>
      <c r="G39" s="27"/>
      <c r="I39" s="3">
        <f t="shared" si="30"/>
        <v>2</v>
      </c>
      <c r="J39" s="4">
        <f t="shared" si="31"/>
        <v>345</v>
      </c>
      <c r="K39" s="4">
        <f t="shared" si="32"/>
        <v>437</v>
      </c>
    </row>
    <row r="40" spans="1:11" ht="16.95" customHeight="1" thickBot="1" x14ac:dyDescent="0.45">
      <c r="A40" s="87"/>
      <c r="B40" s="115">
        <f t="shared" si="29"/>
        <v>4</v>
      </c>
      <c r="C40" s="116"/>
      <c r="D40" s="117">
        <f t="shared" si="18"/>
        <v>680</v>
      </c>
      <c r="E40" s="117">
        <f t="shared" si="23"/>
        <v>687</v>
      </c>
      <c r="F40" s="118" t="str">
        <f t="shared" si="24"/>
        <v>PR6</v>
      </c>
      <c r="G40" s="27"/>
      <c r="I40" s="3">
        <f t="shared" si="30"/>
        <v>4</v>
      </c>
      <c r="J40" s="4">
        <f t="shared" si="31"/>
        <v>640</v>
      </c>
      <c r="K40" s="4">
        <f t="shared" si="32"/>
        <v>597</v>
      </c>
    </row>
    <row r="41" spans="1:11" ht="16.95" customHeight="1" thickBot="1" x14ac:dyDescent="0.45">
      <c r="A41" s="87"/>
      <c r="B41" s="115">
        <f t="shared" si="29"/>
        <v>1</v>
      </c>
      <c r="C41" s="116"/>
      <c r="D41" s="117">
        <f t="shared" si="18"/>
        <v>287</v>
      </c>
      <c r="E41" s="117">
        <f t="shared" si="23"/>
        <v>737</v>
      </c>
      <c r="F41" s="118" t="str">
        <f t="shared" si="24"/>
        <v>PR6</v>
      </c>
      <c r="G41" s="27"/>
      <c r="I41" s="3">
        <f t="shared" si="30"/>
        <v>1</v>
      </c>
      <c r="J41" s="4">
        <f t="shared" si="31"/>
        <v>247</v>
      </c>
      <c r="K41" s="4">
        <f t="shared" si="32"/>
        <v>647</v>
      </c>
    </row>
    <row r="42" spans="1:11" ht="16.95" customHeight="1" thickBot="1" x14ac:dyDescent="0.45">
      <c r="A42" s="87"/>
      <c r="B42" s="115">
        <f t="shared" si="29"/>
        <v>1</v>
      </c>
      <c r="C42" s="116"/>
      <c r="D42" s="117">
        <f t="shared" si="18"/>
        <v>90</v>
      </c>
      <c r="E42" s="117">
        <f t="shared" si="23"/>
        <v>480</v>
      </c>
      <c r="F42" s="118" t="str">
        <f t="shared" si="24"/>
        <v>PR6</v>
      </c>
      <c r="G42" s="27"/>
      <c r="I42" s="3">
        <f t="shared" si="30"/>
        <v>1</v>
      </c>
      <c r="J42" s="4">
        <f t="shared" si="31"/>
        <v>50</v>
      </c>
      <c r="K42" s="4">
        <f t="shared" si="32"/>
        <v>390</v>
      </c>
    </row>
    <row r="43" spans="1:11" ht="16.95" customHeight="1" thickBot="1" x14ac:dyDescent="0.45">
      <c r="A43" s="87"/>
      <c r="B43" s="115">
        <f t="shared" si="29"/>
        <v>1</v>
      </c>
      <c r="C43" s="116"/>
      <c r="D43" s="117">
        <f t="shared" si="18"/>
        <v>2070</v>
      </c>
      <c r="E43" s="117">
        <f t="shared" si="23"/>
        <v>387</v>
      </c>
      <c r="F43" s="118" t="str">
        <f t="shared" si="24"/>
        <v>PR6</v>
      </c>
      <c r="G43" s="27"/>
      <c r="I43" s="3">
        <f t="shared" si="30"/>
        <v>1</v>
      </c>
      <c r="J43" s="4">
        <f t="shared" si="31"/>
        <v>2030</v>
      </c>
      <c r="K43" s="4">
        <f t="shared" si="32"/>
        <v>297</v>
      </c>
    </row>
    <row r="44" spans="1:11" ht="16.95" customHeight="1" thickBot="1" x14ac:dyDescent="0.45">
      <c r="A44" s="87"/>
      <c r="B44" s="115">
        <f t="shared" si="29"/>
        <v>1</v>
      </c>
      <c r="C44" s="116"/>
      <c r="D44" s="117">
        <f t="shared" si="18"/>
        <v>417</v>
      </c>
      <c r="E44" s="117">
        <f t="shared" si="23"/>
        <v>1017</v>
      </c>
      <c r="F44" s="118" t="str">
        <f t="shared" si="24"/>
        <v>PR6</v>
      </c>
      <c r="G44" s="27"/>
      <c r="I44" s="3">
        <f t="shared" si="30"/>
        <v>1</v>
      </c>
      <c r="J44" s="4">
        <f t="shared" si="31"/>
        <v>377</v>
      </c>
      <c r="K44" s="4">
        <f t="shared" si="32"/>
        <v>927</v>
      </c>
    </row>
    <row r="45" spans="1:11" ht="16.95" customHeight="1" thickBot="1" x14ac:dyDescent="0.45">
      <c r="A45" s="87"/>
      <c r="B45" s="115">
        <f t="shared" si="29"/>
        <v>1</v>
      </c>
      <c r="C45" s="116"/>
      <c r="D45" s="117">
        <f t="shared" si="18"/>
        <v>2220</v>
      </c>
      <c r="E45" s="117">
        <f t="shared" si="23"/>
        <v>195</v>
      </c>
      <c r="F45" s="118" t="str">
        <f t="shared" si="24"/>
        <v>PR6</v>
      </c>
      <c r="G45" s="27"/>
      <c r="I45" s="3">
        <f t="shared" si="30"/>
        <v>1</v>
      </c>
      <c r="J45" s="4">
        <f t="shared" si="31"/>
        <v>2180</v>
      </c>
      <c r="K45" s="4">
        <f t="shared" si="32"/>
        <v>105</v>
      </c>
    </row>
    <row r="46" spans="1:11" ht="16.95" customHeight="1" thickBot="1" x14ac:dyDescent="0.45">
      <c r="A46" s="87"/>
      <c r="B46" s="115">
        <f t="shared" si="29"/>
        <v>1</v>
      </c>
      <c r="C46" s="116"/>
      <c r="D46" s="117">
        <f t="shared" si="18"/>
        <v>940</v>
      </c>
      <c r="E46" s="117">
        <f t="shared" si="23"/>
        <v>195</v>
      </c>
      <c r="F46" s="118" t="str">
        <f t="shared" si="24"/>
        <v>PR6</v>
      </c>
      <c r="G46" s="27"/>
      <c r="I46" s="3">
        <f t="shared" si="30"/>
        <v>1</v>
      </c>
      <c r="J46" s="4">
        <f t="shared" si="31"/>
        <v>900</v>
      </c>
      <c r="K46" s="4">
        <f t="shared" si="32"/>
        <v>105</v>
      </c>
    </row>
    <row r="47" spans="1:11" ht="18" customHeight="1" x14ac:dyDescent="0.4">
      <c r="A47" s="87"/>
      <c r="B47" s="89"/>
      <c r="C47" s="132"/>
      <c r="D47" s="89"/>
      <c r="E47" s="89"/>
      <c r="F47" s="89"/>
      <c r="G47" s="27"/>
      <c r="I47" s="3"/>
      <c r="J47" s="4"/>
      <c r="K47" s="4"/>
    </row>
    <row r="48" spans="1:11" ht="18" customHeight="1" x14ac:dyDescent="0.4">
      <c r="A48" s="87"/>
      <c r="B48" s="89"/>
      <c r="C48" s="89"/>
      <c r="D48" s="89"/>
      <c r="E48" s="89"/>
      <c r="F48" s="89"/>
      <c r="G48" s="27"/>
      <c r="I48" s="3"/>
      <c r="J48" s="4"/>
      <c r="K48" s="4"/>
    </row>
    <row r="49" spans="1:11" ht="18" customHeight="1" x14ac:dyDescent="0.4">
      <c r="A49" s="83"/>
      <c r="B49" s="94"/>
      <c r="C49" s="94"/>
      <c r="D49" s="94"/>
      <c r="E49" s="94"/>
      <c r="F49" s="94"/>
      <c r="G49" s="27"/>
      <c r="I49" s="2"/>
      <c r="J49" s="2"/>
      <c r="K49" s="2"/>
    </row>
    <row r="50" spans="1:11" ht="18" customHeight="1" thickBot="1" x14ac:dyDescent="0.45">
      <c r="A50" s="73"/>
      <c r="B50" s="73"/>
      <c r="C50" s="73"/>
      <c r="D50" s="73"/>
      <c r="E50" s="73"/>
      <c r="F50" s="73"/>
      <c r="G50" s="27"/>
    </row>
    <row r="51" spans="1:11" ht="18" customHeight="1" x14ac:dyDescent="0.4">
      <c r="A51" s="83" t="s">
        <v>9</v>
      </c>
      <c r="B51" s="103" t="s">
        <v>10</v>
      </c>
      <c r="C51" s="104" t="s">
        <v>107</v>
      </c>
      <c r="D51" s="104" t="s">
        <v>7</v>
      </c>
      <c r="E51" s="104" t="s">
        <v>8</v>
      </c>
      <c r="F51" s="105" t="s">
        <v>22</v>
      </c>
      <c r="G51" s="27"/>
    </row>
    <row r="52" spans="1:11" ht="16.95" customHeight="1" x14ac:dyDescent="0.4">
      <c r="A52" s="137" t="s">
        <v>141</v>
      </c>
      <c r="B52" s="99">
        <f>'4637'!B21</f>
        <v>2</v>
      </c>
      <c r="C52" s="101" t="str">
        <f>'4637'!C21</f>
        <v>PR6</v>
      </c>
      <c r="D52" s="101">
        <f>'4637'!D21</f>
        <v>345</v>
      </c>
      <c r="E52" s="101">
        <f>'4637'!E21</f>
        <v>597</v>
      </c>
      <c r="F52" s="130" t="str">
        <f>'4637'!F21</f>
        <v>GRAFITO 2174 MT</v>
      </c>
      <c r="G52" s="27"/>
      <c r="H52" s="26">
        <f>D52*E52/1000000</f>
        <v>0.20596500000000001</v>
      </c>
      <c r="I52" s="26">
        <f>H52*B52</f>
        <v>0.41193000000000002</v>
      </c>
    </row>
    <row r="53" spans="1:11" ht="16.95" customHeight="1" x14ac:dyDescent="0.4">
      <c r="A53" s="87"/>
      <c r="B53" s="99">
        <f>'4637'!B22</f>
        <v>1</v>
      </c>
      <c r="C53" s="101" t="str">
        <f>'4637'!C22</f>
        <v>PR6</v>
      </c>
      <c r="D53" s="101">
        <f>'4637'!D22</f>
        <v>720</v>
      </c>
      <c r="E53" s="101">
        <f>'4637'!E22</f>
        <v>197</v>
      </c>
      <c r="F53" s="130" t="str">
        <f>'4637'!F22</f>
        <v>GRAFITO 2174 MT</v>
      </c>
      <c r="G53" s="27"/>
      <c r="H53" s="26"/>
      <c r="I53" s="26"/>
    </row>
    <row r="54" spans="1:11" ht="16.95" customHeight="1" x14ac:dyDescent="0.4">
      <c r="A54" s="87"/>
      <c r="B54" s="99">
        <f>'4637'!B23</f>
        <v>2</v>
      </c>
      <c r="C54" s="101" t="str">
        <f>'4637'!C23</f>
        <v>PR6</v>
      </c>
      <c r="D54" s="101">
        <f>'4637'!D23</f>
        <v>60</v>
      </c>
      <c r="E54" s="101">
        <f>'4637'!E23</f>
        <v>597</v>
      </c>
      <c r="F54" s="130" t="str">
        <f>'4637'!F23</f>
        <v>GRAFITO 2174 MT</v>
      </c>
      <c r="G54" s="27"/>
      <c r="H54" s="26"/>
      <c r="I54" s="26"/>
    </row>
    <row r="55" spans="1:11" ht="16.95" customHeight="1" thickBot="1" x14ac:dyDescent="0.45">
      <c r="A55" s="87"/>
      <c r="B55" s="115">
        <f>'4637'!B24</f>
        <v>4</v>
      </c>
      <c r="C55" s="117" t="str">
        <f>'4637'!C24</f>
        <v>PR6</v>
      </c>
      <c r="D55" s="117">
        <f>'4637'!D24</f>
        <v>345</v>
      </c>
      <c r="E55" s="117">
        <f>'4637'!E24</f>
        <v>677</v>
      </c>
      <c r="F55" s="131" t="str">
        <f>'4637'!F24</f>
        <v>GRAFITO 2174 MT</v>
      </c>
      <c r="G55" s="27"/>
      <c r="H55" s="26"/>
      <c r="I55" s="26"/>
    </row>
    <row r="56" spans="1:11" ht="16.95" customHeight="1" thickBot="1" x14ac:dyDescent="0.45">
      <c r="A56" s="87"/>
      <c r="B56" s="115">
        <f>'4637'!B25</f>
        <v>4</v>
      </c>
      <c r="C56" s="117" t="str">
        <f>'4637'!C25</f>
        <v>PR6</v>
      </c>
      <c r="D56" s="117">
        <f>'4637'!D25</f>
        <v>345</v>
      </c>
      <c r="E56" s="117">
        <f>'4637'!E25</f>
        <v>577</v>
      </c>
      <c r="F56" s="131" t="str">
        <f>'4637'!F25</f>
        <v>GRAFITO 2174 MT</v>
      </c>
      <c r="G56" s="27"/>
      <c r="H56" s="26"/>
      <c r="I56" s="26"/>
    </row>
    <row r="57" spans="1:11" ht="16.95" customHeight="1" thickBot="1" x14ac:dyDescent="0.45">
      <c r="A57" s="87"/>
      <c r="B57" s="115">
        <f>'4637'!B26</f>
        <v>2</v>
      </c>
      <c r="C57" s="117" t="str">
        <f>'4637'!C26</f>
        <v>PR6</v>
      </c>
      <c r="D57" s="117">
        <f>'4637'!D26</f>
        <v>720</v>
      </c>
      <c r="E57" s="117">
        <f>'4637'!E26</f>
        <v>397</v>
      </c>
      <c r="F57" s="131" t="str">
        <f>'4637'!F26</f>
        <v>GRAFITO 2174 MT</v>
      </c>
      <c r="G57" s="27"/>
      <c r="H57" s="26"/>
      <c r="I57" s="26"/>
    </row>
    <row r="58" spans="1:11" ht="16.95" customHeight="1" thickBot="1" x14ac:dyDescent="0.45">
      <c r="A58" s="87"/>
      <c r="B58" s="115">
        <f>'4637'!B27</f>
        <v>2</v>
      </c>
      <c r="C58" s="117" t="str">
        <f>'4637'!C27</f>
        <v>PR6</v>
      </c>
      <c r="D58" s="117">
        <f>'4637'!D27</f>
        <v>345</v>
      </c>
      <c r="E58" s="117">
        <f>'4637'!E27</f>
        <v>437</v>
      </c>
      <c r="F58" s="131" t="str">
        <f>'4637'!F27</f>
        <v>GRAFITO 2174 MT</v>
      </c>
      <c r="G58" s="27"/>
      <c r="H58" s="26"/>
      <c r="I58" s="26"/>
    </row>
    <row r="59" spans="1:11" ht="16.95" customHeight="1" thickBot="1" x14ac:dyDescent="0.45">
      <c r="A59" s="87"/>
      <c r="B59" s="115">
        <f>'4637'!B28</f>
        <v>4</v>
      </c>
      <c r="C59" s="117" t="str">
        <f>'4637'!C28</f>
        <v>PR6</v>
      </c>
      <c r="D59" s="117">
        <f>'4637'!D28</f>
        <v>640</v>
      </c>
      <c r="E59" s="117">
        <f>'4637'!E28</f>
        <v>597</v>
      </c>
      <c r="F59" s="131" t="str">
        <f>'4637'!F28</f>
        <v>GRAFITO 2174 MT</v>
      </c>
      <c r="G59" s="27"/>
      <c r="H59" s="26"/>
      <c r="I59" s="26"/>
    </row>
    <row r="60" spans="1:11" ht="16.95" customHeight="1" thickBot="1" x14ac:dyDescent="0.45">
      <c r="A60" s="87"/>
      <c r="B60" s="115">
        <f>'4637'!B29</f>
        <v>1</v>
      </c>
      <c r="C60" s="117" t="str">
        <f>'4637'!C29</f>
        <v>PR6</v>
      </c>
      <c r="D60" s="117">
        <f>'4637'!D29</f>
        <v>247</v>
      </c>
      <c r="E60" s="117">
        <f>'4637'!E29</f>
        <v>647</v>
      </c>
      <c r="F60" s="131" t="str">
        <f>'4637'!F29</f>
        <v>GRAFITO 2174 MT</v>
      </c>
      <c r="G60" s="27"/>
      <c r="H60" s="26"/>
      <c r="I60" s="26"/>
    </row>
    <row r="61" spans="1:11" ht="16.95" customHeight="1" thickBot="1" x14ac:dyDescent="0.45">
      <c r="A61" s="87"/>
      <c r="B61" s="115">
        <f>'4637'!B30</f>
        <v>1</v>
      </c>
      <c r="C61" s="117" t="str">
        <f>'4637'!C30</f>
        <v>PR6</v>
      </c>
      <c r="D61" s="117">
        <f>'4637'!D30</f>
        <v>50</v>
      </c>
      <c r="E61" s="117">
        <f>'4637'!E30</f>
        <v>390</v>
      </c>
      <c r="F61" s="131" t="str">
        <f>'4637'!F30</f>
        <v>GRAFITO 2174 MT</v>
      </c>
      <c r="G61" s="27"/>
      <c r="H61" s="26"/>
      <c r="I61" s="26"/>
    </row>
    <row r="62" spans="1:11" ht="16.95" customHeight="1" thickBot="1" x14ac:dyDescent="0.45">
      <c r="A62" s="87"/>
      <c r="B62" s="115">
        <f>'4637'!B31</f>
        <v>1</v>
      </c>
      <c r="C62" s="117" t="str">
        <f>'4637'!C31</f>
        <v>PR6</v>
      </c>
      <c r="D62" s="117">
        <f>'4637'!D31</f>
        <v>2030</v>
      </c>
      <c r="E62" s="117">
        <f>'4637'!E31</f>
        <v>297</v>
      </c>
      <c r="F62" s="131" t="str">
        <f>'4637'!F31</f>
        <v>GRAFITO 2174 MT</v>
      </c>
      <c r="G62" s="27"/>
      <c r="H62" s="26"/>
      <c r="I62" s="26"/>
    </row>
    <row r="63" spans="1:11" ht="16.95" customHeight="1" thickBot="1" x14ac:dyDescent="0.45">
      <c r="A63" s="87"/>
      <c r="B63" s="115">
        <f>'4637'!B32</f>
        <v>1</v>
      </c>
      <c r="C63" s="117" t="str">
        <f>'4637'!C32</f>
        <v>PR6</v>
      </c>
      <c r="D63" s="117">
        <f>'4637'!D32</f>
        <v>377</v>
      </c>
      <c r="E63" s="117">
        <f>'4637'!E32</f>
        <v>927</v>
      </c>
      <c r="F63" s="131" t="str">
        <f>'4637'!F32</f>
        <v>GRAFITO 2174 MT</v>
      </c>
      <c r="G63" s="27"/>
      <c r="H63" s="26"/>
      <c r="I63" s="26"/>
    </row>
    <row r="64" spans="1:11" ht="16.95" customHeight="1" thickBot="1" x14ac:dyDescent="0.45">
      <c r="A64" s="87"/>
      <c r="B64" s="115">
        <f>'4637'!B33</f>
        <v>1</v>
      </c>
      <c r="C64" s="117" t="str">
        <f>'4637'!C33</f>
        <v>PR6</v>
      </c>
      <c r="D64" s="117">
        <f>'4637'!D33</f>
        <v>2180</v>
      </c>
      <c r="E64" s="117">
        <f>'4637'!E33</f>
        <v>105</v>
      </c>
      <c r="F64" s="131" t="str">
        <f>'4637'!F33</f>
        <v>GRAFITO 2174 MT</v>
      </c>
      <c r="G64" s="27"/>
      <c r="H64" s="26"/>
      <c r="I64" s="26"/>
    </row>
    <row r="65" spans="1:9" ht="16.95" customHeight="1" thickBot="1" x14ac:dyDescent="0.45">
      <c r="A65" s="87"/>
      <c r="B65" s="115">
        <f>'4637'!B34</f>
        <v>1</v>
      </c>
      <c r="C65" s="117" t="str">
        <f>'4637'!C34</f>
        <v>PR6</v>
      </c>
      <c r="D65" s="117">
        <f>'4637'!D34</f>
        <v>900</v>
      </c>
      <c r="E65" s="117">
        <f>'4637'!E34</f>
        <v>105</v>
      </c>
      <c r="F65" s="131" t="str">
        <f>'4637'!F34</f>
        <v>GRAFITO 2174 MT</v>
      </c>
      <c r="G65" s="27"/>
      <c r="H65" s="26"/>
      <c r="I65" s="26"/>
    </row>
    <row r="66" spans="1:9" ht="21" x14ac:dyDescent="0.4">
      <c r="A66" s="87"/>
      <c r="B66" s="89"/>
      <c r="C66" s="89"/>
      <c r="D66" s="89"/>
      <c r="E66" s="89"/>
      <c r="F66" s="89"/>
      <c r="G66" s="27"/>
      <c r="H66" s="26"/>
      <c r="I66" s="26"/>
    </row>
    <row r="67" spans="1:9" ht="21" x14ac:dyDescent="0.4">
      <c r="A67" s="73"/>
      <c r="B67" s="89"/>
      <c r="C67" s="89"/>
      <c r="D67" s="89"/>
      <c r="E67" s="89"/>
      <c r="F67" s="89"/>
      <c r="G67" s="27"/>
      <c r="I67" s="26">
        <f>SUM(I52:I52)*2</f>
        <v>0.82386000000000004</v>
      </c>
    </row>
    <row r="68" spans="1:9" ht="21" x14ac:dyDescent="0.4">
      <c r="A68" s="73"/>
      <c r="B68" s="89"/>
      <c r="C68" s="89"/>
      <c r="D68" s="89"/>
      <c r="E68" s="89"/>
      <c r="F68" s="89"/>
      <c r="G68" s="27"/>
    </row>
    <row r="69" spans="1:9" ht="21" x14ac:dyDescent="0.4">
      <c r="A69" s="73"/>
      <c r="B69" s="89"/>
      <c r="C69" s="89"/>
      <c r="D69" s="89"/>
      <c r="E69" s="89"/>
      <c r="F69" s="89"/>
      <c r="G69" s="27"/>
    </row>
    <row r="70" spans="1:9" ht="21" x14ac:dyDescent="0.4">
      <c r="A70" s="73"/>
      <c r="B70" s="89"/>
      <c r="C70" s="89"/>
      <c r="D70" s="89"/>
      <c r="E70" s="89"/>
      <c r="F70" s="89"/>
      <c r="G70" s="27"/>
    </row>
    <row r="71" spans="1:9" ht="18" x14ac:dyDescent="0.35">
      <c r="A71" s="27"/>
      <c r="B71" s="53"/>
      <c r="C71" s="53"/>
      <c r="D71" s="53"/>
      <c r="E71" s="53"/>
      <c r="F71" s="53"/>
      <c r="G71" s="27"/>
    </row>
    <row r="72" spans="1:9" ht="18" x14ac:dyDescent="0.35">
      <c r="A72" s="27"/>
      <c r="B72" s="53"/>
      <c r="C72" s="53"/>
      <c r="D72" s="53"/>
      <c r="E72" s="53"/>
      <c r="F72" s="53"/>
      <c r="G72" s="27"/>
    </row>
    <row r="73" spans="1:9" ht="18" x14ac:dyDescent="0.35">
      <c r="A73" s="27"/>
      <c r="B73" s="53"/>
      <c r="C73" s="53"/>
      <c r="D73" s="53"/>
      <c r="E73" s="53"/>
      <c r="F73" s="53"/>
      <c r="G73" s="27"/>
    </row>
    <row r="74" spans="1:9" ht="21" x14ac:dyDescent="0.4">
      <c r="A74" s="73"/>
      <c r="B74" s="73"/>
      <c r="C74" s="73"/>
      <c r="D74" s="73"/>
      <c r="E74" s="73"/>
      <c r="F74" s="73"/>
      <c r="G74" s="27"/>
    </row>
    <row r="75" spans="1:9" ht="21" x14ac:dyDescent="0.4">
      <c r="A75" s="73"/>
      <c r="B75" s="73"/>
      <c r="C75" s="74" t="s">
        <v>26</v>
      </c>
      <c r="D75" s="75">
        <f>'4637'!G8</f>
        <v>4078</v>
      </c>
      <c r="E75" s="73"/>
      <c r="F75" s="73"/>
      <c r="G75" s="27"/>
    </row>
    <row r="76" spans="1:9" ht="17.25" customHeight="1" x14ac:dyDescent="0.4">
      <c r="A76" s="73"/>
      <c r="B76" s="73"/>
      <c r="C76" s="76" t="s">
        <v>65</v>
      </c>
      <c r="D76" s="77" t="str">
        <f>'4637'!C10</f>
        <v>HECTOR OLEA</v>
      </c>
      <c r="E76" s="78"/>
      <c r="F76" s="78"/>
      <c r="G76" s="27"/>
    </row>
    <row r="77" spans="1:9" ht="4.5" customHeight="1" x14ac:dyDescent="0.4">
      <c r="A77" s="73"/>
      <c r="B77" s="73"/>
      <c r="C77" s="79"/>
      <c r="D77" s="80"/>
      <c r="E77" s="73"/>
      <c r="F77" s="73"/>
      <c r="G77" s="27"/>
    </row>
    <row r="78" spans="1:9" ht="21" x14ac:dyDescent="0.4">
      <c r="A78" s="73"/>
      <c r="B78" s="73"/>
      <c r="C78" s="81" t="str">
        <f>'4637'!F11</f>
        <v>FECHA LIMITE :</v>
      </c>
      <c r="D78" s="82"/>
      <c r="E78" s="73"/>
      <c r="F78" s="73"/>
      <c r="G78" s="27"/>
    </row>
    <row r="79" spans="1:9" ht="21" x14ac:dyDescent="0.4">
      <c r="A79" s="73"/>
      <c r="B79" s="73"/>
      <c r="C79" s="73"/>
      <c r="D79" s="73"/>
      <c r="E79" s="73"/>
      <c r="F79" s="73" t="s">
        <v>136</v>
      </c>
      <c r="G79" s="27"/>
    </row>
    <row r="80" spans="1:9" ht="21" x14ac:dyDescent="0.4">
      <c r="A80" s="73"/>
      <c r="B80" s="73"/>
      <c r="C80" s="73"/>
      <c r="D80" s="73"/>
      <c r="E80" s="73" t="str" cm="1">
        <f t="array" ref="E80:F80">'4637'!B17:C17</f>
        <v>CIUDAD:</v>
      </c>
      <c r="F80" s="73" t="str">
        <v xml:space="preserve">SANTIAGO </v>
      </c>
      <c r="G80" s="27"/>
    </row>
    <row r="81" spans="1:12" ht="21" x14ac:dyDescent="0.4">
      <c r="A81" s="73"/>
      <c r="B81" s="73"/>
      <c r="C81" s="73"/>
      <c r="D81" s="73"/>
      <c r="E81" s="73"/>
      <c r="F81" s="73"/>
      <c r="G81" s="27"/>
    </row>
    <row r="82" spans="1:12" ht="21" x14ac:dyDescent="0.4">
      <c r="A82" s="149" t="s">
        <v>66</v>
      </c>
      <c r="B82" s="148"/>
      <c r="C82" s="148"/>
      <c r="D82" s="148"/>
      <c r="E82" s="148"/>
      <c r="F82" s="148"/>
      <c r="G82" s="27"/>
    </row>
    <row r="83" spans="1:12" ht="21.6" thickBot="1" x14ac:dyDescent="0.45">
      <c r="A83" s="73"/>
      <c r="B83" s="73"/>
      <c r="C83" s="73"/>
      <c r="D83" s="73"/>
      <c r="E83" s="73"/>
      <c r="F83" s="73"/>
      <c r="G83" s="27"/>
    </row>
    <row r="84" spans="1:12" ht="15.75" customHeight="1" x14ac:dyDescent="0.4">
      <c r="A84" s="73"/>
      <c r="B84" s="150" t="s">
        <v>67</v>
      </c>
      <c r="C84" s="151"/>
      <c r="D84" s="152"/>
      <c r="E84" s="152"/>
      <c r="F84" s="153"/>
      <c r="G84" s="27"/>
      <c r="H84" s="23" t="s">
        <v>128</v>
      </c>
    </row>
    <row r="85" spans="1:12" s="10" customFormat="1" ht="16.5" customHeight="1" x14ac:dyDescent="0.4">
      <c r="A85" s="73"/>
      <c r="B85" s="123" t="s">
        <v>10</v>
      </c>
      <c r="C85" s="85" t="s">
        <v>11</v>
      </c>
      <c r="D85" s="86" t="s">
        <v>7</v>
      </c>
      <c r="E85" s="86" t="s">
        <v>8</v>
      </c>
      <c r="F85" s="124" t="s">
        <v>12</v>
      </c>
      <c r="G85" s="27"/>
      <c r="J85" s="10">
        <v>14000</v>
      </c>
    </row>
    <row r="86" spans="1:12" s="10" customFormat="1" ht="21" customHeight="1" x14ac:dyDescent="0.4">
      <c r="A86" s="137" t="s">
        <v>141</v>
      </c>
      <c r="B86" s="123">
        <f>'4637'!B21</f>
        <v>2</v>
      </c>
      <c r="C86" s="84" t="str">
        <f>'4637'!C21</f>
        <v>PR6</v>
      </c>
      <c r="D86" s="88">
        <f>'4637'!D21</f>
        <v>345</v>
      </c>
      <c r="E86" s="88">
        <f>'4637'!E21</f>
        <v>597</v>
      </c>
      <c r="F86" s="128" t="str">
        <f>'4637'!F21</f>
        <v>GRAFITO 2174 MT</v>
      </c>
      <c r="G86" s="27"/>
      <c r="H86" s="10">
        <f>D86*E86/1000000</f>
        <v>0.20596500000000001</v>
      </c>
      <c r="I86" s="10">
        <f>H86*B86</f>
        <v>0.41193000000000002</v>
      </c>
      <c r="J86" s="24">
        <f t="shared" ref="J86" si="33">I86*J$85</f>
        <v>5767.02</v>
      </c>
      <c r="L86" s="22">
        <v>12096</v>
      </c>
    </row>
    <row r="87" spans="1:12" s="10" customFormat="1" ht="21" customHeight="1" x14ac:dyDescent="0.4">
      <c r="A87" s="87"/>
      <c r="B87" s="123">
        <f>'4637'!B22</f>
        <v>1</v>
      </c>
      <c r="C87" s="84" t="str">
        <f>'4637'!C22</f>
        <v>PR6</v>
      </c>
      <c r="D87" s="88">
        <f>'4637'!D22</f>
        <v>720</v>
      </c>
      <c r="E87" s="88">
        <f>'4637'!E22</f>
        <v>197</v>
      </c>
      <c r="F87" s="128" t="str">
        <f>'4637'!F22</f>
        <v>GRAFITO 2174 MT</v>
      </c>
      <c r="G87" s="27"/>
      <c r="J87" s="24"/>
      <c r="L87" s="114"/>
    </row>
    <row r="88" spans="1:12" s="10" customFormat="1" ht="21" customHeight="1" x14ac:dyDescent="0.4">
      <c r="A88" s="87"/>
      <c r="B88" s="123">
        <f>'4637'!B23</f>
        <v>2</v>
      </c>
      <c r="C88" s="84" t="str">
        <f>'4637'!C23</f>
        <v>PR6</v>
      </c>
      <c r="D88" s="88">
        <f>'4637'!D23</f>
        <v>60</v>
      </c>
      <c r="E88" s="88">
        <f>'4637'!E23</f>
        <v>597</v>
      </c>
      <c r="F88" s="128" t="str">
        <f>'4637'!F23</f>
        <v>GRAFITO 2174 MT</v>
      </c>
      <c r="G88" s="27"/>
      <c r="J88" s="24"/>
      <c r="L88" s="114"/>
    </row>
    <row r="89" spans="1:12" s="10" customFormat="1" ht="21" customHeight="1" thickBot="1" x14ac:dyDescent="0.45">
      <c r="A89" s="87"/>
      <c r="B89" s="125">
        <f>'4637'!B24</f>
        <v>4</v>
      </c>
      <c r="C89" s="126" t="str">
        <f>'4637'!C24</f>
        <v>PR6</v>
      </c>
      <c r="D89" s="127">
        <f>'4637'!D24</f>
        <v>345</v>
      </c>
      <c r="E89" s="127">
        <f>'4637'!E24</f>
        <v>677</v>
      </c>
      <c r="F89" s="129" t="str">
        <f>'4637'!F24</f>
        <v>GRAFITO 2174 MT</v>
      </c>
      <c r="G89" s="27"/>
      <c r="J89" s="24"/>
      <c r="L89" s="114"/>
    </row>
    <row r="90" spans="1:12" s="10" customFormat="1" ht="21" customHeight="1" thickBot="1" x14ac:dyDescent="0.45">
      <c r="A90" s="87"/>
      <c r="B90" s="125">
        <f>'4637'!B25</f>
        <v>4</v>
      </c>
      <c r="C90" s="126" t="str">
        <f>'4637'!C25</f>
        <v>PR6</v>
      </c>
      <c r="D90" s="127">
        <f>'4637'!D25</f>
        <v>345</v>
      </c>
      <c r="E90" s="127">
        <f>'4637'!E25</f>
        <v>577</v>
      </c>
      <c r="F90" s="129" t="str">
        <f>'4637'!F25</f>
        <v>GRAFITO 2174 MT</v>
      </c>
      <c r="G90" s="27"/>
      <c r="J90" s="24"/>
      <c r="L90" s="114"/>
    </row>
    <row r="91" spans="1:12" s="10" customFormat="1" ht="21" customHeight="1" thickBot="1" x14ac:dyDescent="0.45">
      <c r="A91" s="87"/>
      <c r="B91" s="125">
        <f>'4637'!B26</f>
        <v>2</v>
      </c>
      <c r="C91" s="126" t="str">
        <f>'4637'!C26</f>
        <v>PR6</v>
      </c>
      <c r="D91" s="127">
        <f>'4637'!D26</f>
        <v>720</v>
      </c>
      <c r="E91" s="127">
        <f>'4637'!E26</f>
        <v>397</v>
      </c>
      <c r="F91" s="129" t="str">
        <f>'4637'!F26</f>
        <v>GRAFITO 2174 MT</v>
      </c>
      <c r="G91" s="27"/>
      <c r="J91" s="24"/>
      <c r="L91" s="114"/>
    </row>
    <row r="92" spans="1:12" s="10" customFormat="1" ht="21" customHeight="1" thickBot="1" x14ac:dyDescent="0.45">
      <c r="A92" s="87"/>
      <c r="B92" s="125">
        <f>'4637'!B27</f>
        <v>2</v>
      </c>
      <c r="C92" s="126" t="str">
        <f>'4637'!C27</f>
        <v>PR6</v>
      </c>
      <c r="D92" s="127">
        <f>'4637'!D27</f>
        <v>345</v>
      </c>
      <c r="E92" s="127">
        <f>'4637'!E27</f>
        <v>437</v>
      </c>
      <c r="F92" s="129" t="str">
        <f>'4637'!F27</f>
        <v>GRAFITO 2174 MT</v>
      </c>
      <c r="G92" s="27"/>
      <c r="J92" s="24"/>
      <c r="L92" s="114"/>
    </row>
    <row r="93" spans="1:12" s="10" customFormat="1" ht="21" customHeight="1" thickBot="1" x14ac:dyDescent="0.45">
      <c r="A93" s="87"/>
      <c r="B93" s="125">
        <f>'4637'!B28</f>
        <v>4</v>
      </c>
      <c r="C93" s="126" t="str">
        <f>'4637'!C28</f>
        <v>PR6</v>
      </c>
      <c r="D93" s="127">
        <f>'4637'!D28</f>
        <v>640</v>
      </c>
      <c r="E93" s="127">
        <f>'4637'!E28</f>
        <v>597</v>
      </c>
      <c r="F93" s="129" t="str">
        <f>'4637'!F28</f>
        <v>GRAFITO 2174 MT</v>
      </c>
      <c r="G93" s="27"/>
      <c r="J93" s="24"/>
      <c r="L93" s="114"/>
    </row>
    <row r="94" spans="1:12" s="10" customFormat="1" ht="21" customHeight="1" thickBot="1" x14ac:dyDescent="0.45">
      <c r="A94" s="87"/>
      <c r="B94" s="125">
        <f>'4637'!B29</f>
        <v>1</v>
      </c>
      <c r="C94" s="126" t="str">
        <f>'4637'!C29</f>
        <v>PR6</v>
      </c>
      <c r="D94" s="127">
        <f>'4637'!D29</f>
        <v>247</v>
      </c>
      <c r="E94" s="127">
        <f>'4637'!E29</f>
        <v>647</v>
      </c>
      <c r="F94" s="129" t="str">
        <f>'4637'!F29</f>
        <v>GRAFITO 2174 MT</v>
      </c>
      <c r="G94" s="27"/>
      <c r="J94" s="24"/>
      <c r="L94" s="114"/>
    </row>
    <row r="95" spans="1:12" s="10" customFormat="1" ht="21" customHeight="1" thickBot="1" x14ac:dyDescent="0.45">
      <c r="A95" s="87"/>
      <c r="B95" s="125">
        <f>'4637'!B30</f>
        <v>1</v>
      </c>
      <c r="C95" s="126" t="str">
        <f>'4637'!C30</f>
        <v>PR6</v>
      </c>
      <c r="D95" s="127">
        <f>'4637'!D30</f>
        <v>50</v>
      </c>
      <c r="E95" s="127">
        <f>'4637'!E30</f>
        <v>390</v>
      </c>
      <c r="F95" s="129" t="str">
        <f>'4637'!F30</f>
        <v>GRAFITO 2174 MT</v>
      </c>
      <c r="G95" s="27"/>
      <c r="J95" s="24"/>
      <c r="L95" s="114"/>
    </row>
    <row r="96" spans="1:12" s="10" customFormat="1" ht="21" customHeight="1" thickBot="1" x14ac:dyDescent="0.45">
      <c r="A96" s="87"/>
      <c r="B96" s="125">
        <f>'4637'!B31</f>
        <v>1</v>
      </c>
      <c r="C96" s="126" t="str">
        <f>'4637'!C31</f>
        <v>PR6</v>
      </c>
      <c r="D96" s="127">
        <f>'4637'!D31</f>
        <v>2030</v>
      </c>
      <c r="E96" s="127">
        <f>'4637'!E31</f>
        <v>297</v>
      </c>
      <c r="F96" s="129" t="str">
        <f>'4637'!F31</f>
        <v>GRAFITO 2174 MT</v>
      </c>
      <c r="G96" s="27"/>
      <c r="J96" s="24"/>
      <c r="L96" s="114"/>
    </row>
    <row r="97" spans="1:12" s="10" customFormat="1" ht="21" customHeight="1" thickBot="1" x14ac:dyDescent="0.45">
      <c r="A97" s="87"/>
      <c r="B97" s="125">
        <f>'4637'!B32</f>
        <v>1</v>
      </c>
      <c r="C97" s="126" t="str">
        <f>'4637'!C32</f>
        <v>PR6</v>
      </c>
      <c r="D97" s="127">
        <f>'4637'!D32</f>
        <v>377</v>
      </c>
      <c r="E97" s="127">
        <f>'4637'!E32</f>
        <v>927</v>
      </c>
      <c r="F97" s="129" t="str">
        <f>'4637'!F32</f>
        <v>GRAFITO 2174 MT</v>
      </c>
      <c r="G97" s="27"/>
      <c r="J97" s="24"/>
      <c r="L97" s="114"/>
    </row>
    <row r="98" spans="1:12" s="10" customFormat="1" ht="21" customHeight="1" thickBot="1" x14ac:dyDescent="0.45">
      <c r="A98" s="87"/>
      <c r="B98" s="125">
        <f>'4637'!B33</f>
        <v>1</v>
      </c>
      <c r="C98" s="126" t="str">
        <f>'4637'!C33</f>
        <v>PR6</v>
      </c>
      <c r="D98" s="127">
        <f>'4637'!D33</f>
        <v>2180</v>
      </c>
      <c r="E98" s="127">
        <f>'4637'!E33</f>
        <v>105</v>
      </c>
      <c r="F98" s="129" t="str">
        <f>'4637'!F33</f>
        <v>GRAFITO 2174 MT</v>
      </c>
      <c r="G98" s="27"/>
      <c r="J98" s="24"/>
      <c r="L98" s="114"/>
    </row>
    <row r="99" spans="1:12" s="10" customFormat="1" ht="21" customHeight="1" thickBot="1" x14ac:dyDescent="0.45">
      <c r="A99" s="87"/>
      <c r="B99" s="125">
        <f>'4637'!B34</f>
        <v>1</v>
      </c>
      <c r="C99" s="126" t="str">
        <f>'4637'!C34</f>
        <v>PR6</v>
      </c>
      <c r="D99" s="127">
        <f>'4637'!D34</f>
        <v>900</v>
      </c>
      <c r="E99" s="127">
        <f>'4637'!E34</f>
        <v>105</v>
      </c>
      <c r="F99" s="129" t="str">
        <f>'4637'!F34</f>
        <v>GRAFITO 2174 MT</v>
      </c>
      <c r="G99" s="27"/>
      <c r="J99" s="24"/>
      <c r="L99" s="114"/>
    </row>
    <row r="100" spans="1:12" s="10" customFormat="1" ht="15" customHeight="1" x14ac:dyDescent="0.4">
      <c r="A100" s="87"/>
      <c r="B100" s="83"/>
      <c r="C100" s="83"/>
      <c r="D100" s="83"/>
      <c r="E100" s="83"/>
      <c r="F100" s="83"/>
      <c r="G100" s="27"/>
    </row>
    <row r="101" spans="1:12" ht="21" x14ac:dyDescent="0.4">
      <c r="A101" s="89"/>
      <c r="B101" s="89"/>
      <c r="C101" s="73"/>
      <c r="D101" s="89"/>
      <c r="E101" s="89"/>
      <c r="F101" s="79"/>
      <c r="G101" s="27"/>
    </row>
    <row r="102" spans="1:12" ht="21" x14ac:dyDescent="0.4">
      <c r="A102" s="89"/>
      <c r="B102" s="89"/>
      <c r="C102" s="73"/>
      <c r="D102" s="89"/>
      <c r="E102" s="89"/>
      <c r="F102" s="89"/>
      <c r="G102" s="27"/>
      <c r="I102" s="10">
        <f>SUM(I86:I86)</f>
        <v>0.41193000000000002</v>
      </c>
      <c r="J102" s="25">
        <f>SUM(J86:J86)</f>
        <v>5767.02</v>
      </c>
    </row>
    <row r="103" spans="1:12" ht="21" x14ac:dyDescent="0.4">
      <c r="A103" s="73"/>
      <c r="B103" s="73"/>
      <c r="C103" s="73"/>
      <c r="D103" s="73"/>
      <c r="E103" s="73"/>
      <c r="F103" s="73"/>
      <c r="G103" s="27"/>
    </row>
    <row r="104" spans="1:12" ht="21" x14ac:dyDescent="0.4">
      <c r="A104" s="73"/>
      <c r="B104" s="73"/>
      <c r="C104" s="73"/>
      <c r="D104" s="73"/>
      <c r="E104" s="73"/>
      <c r="F104" s="73"/>
      <c r="G104" s="27"/>
    </row>
    <row r="105" spans="1:12" ht="21" x14ac:dyDescent="0.4">
      <c r="A105" s="73"/>
      <c r="B105" s="73"/>
      <c r="C105" s="73"/>
      <c r="D105" s="73"/>
      <c r="E105" s="73"/>
      <c r="F105" s="73"/>
      <c r="G105" s="27"/>
    </row>
    <row r="106" spans="1:12" ht="15" customHeight="1" x14ac:dyDescent="0.4">
      <c r="A106" s="73"/>
      <c r="B106" s="73"/>
      <c r="C106" s="73"/>
      <c r="D106" s="73"/>
      <c r="E106" s="73"/>
      <c r="F106" s="73"/>
      <c r="G106" s="27"/>
    </row>
    <row r="107" spans="1:12" ht="21" x14ac:dyDescent="0.4">
      <c r="A107" s="73"/>
      <c r="B107" s="73"/>
      <c r="C107" s="73"/>
      <c r="D107" s="73"/>
      <c r="E107" s="73"/>
      <c r="F107" s="73"/>
      <c r="G107" s="27"/>
    </row>
    <row r="108" spans="1:12" ht="21" x14ac:dyDescent="0.4">
      <c r="A108" s="89"/>
      <c r="B108" s="90"/>
      <c r="C108" s="73"/>
      <c r="D108" s="73"/>
      <c r="E108" s="73"/>
      <c r="F108" s="73"/>
      <c r="G108" s="27"/>
    </row>
    <row r="109" spans="1:12" ht="18" x14ac:dyDescent="0.35">
      <c r="A109" s="27"/>
      <c r="B109" s="27"/>
      <c r="C109" s="27"/>
      <c r="D109" s="27"/>
      <c r="E109" s="27"/>
      <c r="F109" s="27"/>
      <c r="G109" s="27"/>
    </row>
    <row r="110" spans="1:12" ht="18" x14ac:dyDescent="0.35">
      <c r="A110" s="27"/>
      <c r="B110" s="27"/>
      <c r="C110" s="27"/>
      <c r="D110" s="27"/>
      <c r="E110" s="27"/>
      <c r="F110" s="27"/>
      <c r="G110" s="27"/>
    </row>
    <row r="111" spans="1:12" ht="18" x14ac:dyDescent="0.35">
      <c r="A111" s="27"/>
      <c r="B111" s="27"/>
      <c r="C111" s="27"/>
      <c r="D111" s="27"/>
      <c r="E111" s="27"/>
      <c r="F111" s="27"/>
      <c r="G111" s="27"/>
    </row>
  </sheetData>
  <mergeCells count="6">
    <mergeCell ref="M2:N2"/>
    <mergeCell ref="A28:F28"/>
    <mergeCell ref="A9:F9"/>
    <mergeCell ref="A82:F82"/>
    <mergeCell ref="B84:F84"/>
    <mergeCell ref="K2:L2"/>
  </mergeCells>
  <phoneticPr fontId="8" type="noConversion"/>
  <printOptions verticalCentered="1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2024-05-29T20:48:30Z</cp:lastPrinted>
  <dcterms:created xsi:type="dcterms:W3CDTF">2013-03-19T12:54:14Z</dcterms:created>
  <dcterms:modified xsi:type="dcterms:W3CDTF">2024-06-17T13:51:57Z</dcterms:modified>
</cp:coreProperties>
</file>