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1 ENERO 2024\"/>
    </mc:Choice>
  </mc:AlternateContent>
  <xr:revisionPtr revIDLastSave="0" documentId="13_ncr:1_{FCF06680-FBB8-49A3-A3A7-CA7A4EBA70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CUBIERTA!$A$67:$F$107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" l="1"/>
  <c r="I18" i="3"/>
  <c r="B18" i="3" s="1"/>
  <c r="J18" i="3"/>
  <c r="D18" i="3" s="1"/>
  <c r="K18" i="3"/>
  <c r="E18" i="3" s="1"/>
  <c r="J21" i="3"/>
  <c r="D21" i="3" s="1"/>
  <c r="K21" i="3"/>
  <c r="E21" i="3" s="1"/>
  <c r="J22" i="3"/>
  <c r="D22" i="3" s="1"/>
  <c r="J25" i="3"/>
  <c r="D25" i="3" s="1"/>
  <c r="K25" i="3"/>
  <c r="E25" i="3" s="1"/>
  <c r="B52" i="3"/>
  <c r="I36" i="3" s="1"/>
  <c r="B36" i="3" s="1"/>
  <c r="C52" i="3"/>
  <c r="F36" i="3" s="1"/>
  <c r="D52" i="3"/>
  <c r="J36" i="3" s="1"/>
  <c r="D36" i="3" s="1"/>
  <c r="E52" i="3"/>
  <c r="K36" i="3" s="1"/>
  <c r="E36" i="3" s="1"/>
  <c r="F52" i="3"/>
  <c r="B54" i="3"/>
  <c r="I38" i="3" s="1"/>
  <c r="B38" i="3" s="1"/>
  <c r="C54" i="3"/>
  <c r="F38" i="3" s="1"/>
  <c r="D54" i="3"/>
  <c r="J38" i="3" s="1"/>
  <c r="D38" i="3" s="1"/>
  <c r="E54" i="3"/>
  <c r="K38" i="3" s="1"/>
  <c r="E38" i="3" s="1"/>
  <c r="F54" i="3"/>
  <c r="B55" i="3"/>
  <c r="I39" i="3" s="1"/>
  <c r="B39" i="3" s="1"/>
  <c r="C55" i="3"/>
  <c r="F39" i="3" s="1"/>
  <c r="D55" i="3"/>
  <c r="J39" i="3" s="1"/>
  <c r="D39" i="3" s="1"/>
  <c r="E55" i="3"/>
  <c r="K39" i="3" s="1"/>
  <c r="E39" i="3" s="1"/>
  <c r="F55" i="3"/>
  <c r="B56" i="3"/>
  <c r="I40" i="3" s="1"/>
  <c r="B40" i="3" s="1"/>
  <c r="C56" i="3"/>
  <c r="F40" i="3" s="1"/>
  <c r="D56" i="3"/>
  <c r="J40" i="3" s="1"/>
  <c r="D40" i="3" s="1"/>
  <c r="E56" i="3"/>
  <c r="K40" i="3" s="1"/>
  <c r="E40" i="3" s="1"/>
  <c r="F56" i="3"/>
  <c r="B57" i="3"/>
  <c r="I41" i="3" s="1"/>
  <c r="B41" i="3" s="1"/>
  <c r="C57" i="3"/>
  <c r="F41" i="3" s="1"/>
  <c r="D57" i="3"/>
  <c r="J41" i="3" s="1"/>
  <c r="D41" i="3" s="1"/>
  <c r="E57" i="3"/>
  <c r="K41" i="3" s="1"/>
  <c r="E41" i="3" s="1"/>
  <c r="F57" i="3"/>
  <c r="B58" i="3"/>
  <c r="I42" i="3" s="1"/>
  <c r="B42" i="3" s="1"/>
  <c r="C58" i="3"/>
  <c r="F42" i="3" s="1"/>
  <c r="D58" i="3"/>
  <c r="J42" i="3" s="1"/>
  <c r="D42" i="3" s="1"/>
  <c r="E58" i="3"/>
  <c r="K42" i="3" s="1"/>
  <c r="E42" i="3" s="1"/>
  <c r="F58" i="3"/>
  <c r="B59" i="3"/>
  <c r="I25" i="3" s="1"/>
  <c r="B25" i="3" s="1"/>
  <c r="C59" i="3"/>
  <c r="F25" i="3" s="1"/>
  <c r="D59" i="3"/>
  <c r="E59" i="3"/>
  <c r="F59" i="3"/>
  <c r="B85" i="3"/>
  <c r="C85" i="3"/>
  <c r="D85" i="3"/>
  <c r="E85" i="3"/>
  <c r="F85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B91" i="3"/>
  <c r="C91" i="3"/>
  <c r="D91" i="3"/>
  <c r="E91" i="3"/>
  <c r="F91" i="3"/>
  <c r="B92" i="3"/>
  <c r="C92" i="3"/>
  <c r="D92" i="3"/>
  <c r="E92" i="3"/>
  <c r="F92" i="3"/>
  <c r="B49" i="3"/>
  <c r="I33" i="3" s="1"/>
  <c r="B33" i="3" s="1"/>
  <c r="C49" i="3"/>
  <c r="F33" i="3" s="1"/>
  <c r="D49" i="3"/>
  <c r="J33" i="3" s="1"/>
  <c r="D33" i="3" s="1"/>
  <c r="E49" i="3"/>
  <c r="K33" i="3" s="1"/>
  <c r="E33" i="3" s="1"/>
  <c r="F49" i="3"/>
  <c r="B50" i="3"/>
  <c r="I34" i="3" s="1"/>
  <c r="B34" i="3" s="1"/>
  <c r="C50" i="3"/>
  <c r="F34" i="3" s="1"/>
  <c r="D50" i="3"/>
  <c r="J34" i="3" s="1"/>
  <c r="D34" i="3" s="1"/>
  <c r="E50" i="3"/>
  <c r="K34" i="3" s="1"/>
  <c r="E34" i="3" s="1"/>
  <c r="F50" i="3"/>
  <c r="B51" i="3"/>
  <c r="I35" i="3" s="1"/>
  <c r="B35" i="3" s="1"/>
  <c r="C51" i="3"/>
  <c r="F35" i="3" s="1"/>
  <c r="D51" i="3"/>
  <c r="J35" i="3" s="1"/>
  <c r="D35" i="3" s="1"/>
  <c r="E51" i="3"/>
  <c r="K35" i="3" s="1"/>
  <c r="E35" i="3" s="1"/>
  <c r="F51" i="3"/>
  <c r="B53" i="3"/>
  <c r="I37" i="3" s="1"/>
  <c r="B37" i="3" s="1"/>
  <c r="C53" i="3"/>
  <c r="F37" i="3" s="1"/>
  <c r="D53" i="3"/>
  <c r="J37" i="3" s="1"/>
  <c r="D37" i="3" s="1"/>
  <c r="E53" i="3"/>
  <c r="K37" i="3" s="1"/>
  <c r="E37" i="3" s="1"/>
  <c r="F53" i="3"/>
  <c r="B82" i="3"/>
  <c r="C82" i="3"/>
  <c r="D82" i="3"/>
  <c r="E82" i="3"/>
  <c r="F82" i="3"/>
  <c r="B83" i="3"/>
  <c r="C83" i="3"/>
  <c r="D83" i="3"/>
  <c r="E83" i="3"/>
  <c r="F83" i="3"/>
  <c r="B84" i="3"/>
  <c r="C84" i="3"/>
  <c r="D84" i="3"/>
  <c r="E84" i="3"/>
  <c r="F84" i="3"/>
  <c r="B86" i="3"/>
  <c r="C86" i="3"/>
  <c r="D86" i="3"/>
  <c r="E86" i="3"/>
  <c r="F86" i="3"/>
  <c r="K24" i="3" l="1"/>
  <c r="E24" i="3" s="1"/>
  <c r="K22" i="3"/>
  <c r="E22" i="3" s="1"/>
  <c r="K20" i="3"/>
  <c r="E20" i="3" s="1"/>
  <c r="J24" i="3"/>
  <c r="D24" i="3" s="1"/>
  <c r="J20" i="3"/>
  <c r="D20" i="3" s="1"/>
  <c r="I24" i="3"/>
  <c r="B24" i="3" s="1"/>
  <c r="I23" i="3"/>
  <c r="B23" i="3" s="1"/>
  <c r="I22" i="3"/>
  <c r="B22" i="3" s="1"/>
  <c r="I21" i="3"/>
  <c r="B21" i="3" s="1"/>
  <c r="I20" i="3"/>
  <c r="B20" i="3" s="1"/>
  <c r="K23" i="3"/>
  <c r="E23" i="3" s="1"/>
  <c r="J23" i="3"/>
  <c r="D23" i="3" s="1"/>
  <c r="F24" i="3"/>
  <c r="F23" i="3"/>
  <c r="F22" i="3"/>
  <c r="F21" i="3"/>
  <c r="F20" i="3"/>
  <c r="F17" i="3"/>
  <c r="F16" i="3"/>
  <c r="I15" i="3"/>
  <c r="B15" i="3" s="1"/>
  <c r="J17" i="3"/>
  <c r="D17" i="3" s="1"/>
  <c r="F15" i="3"/>
  <c r="K16" i="3"/>
  <c r="E16" i="3" s="1"/>
  <c r="K15" i="3"/>
  <c r="E15" i="3" s="1"/>
  <c r="K19" i="3"/>
  <c r="E19" i="3" s="1"/>
  <c r="K17" i="3"/>
  <c r="E17" i="3" s="1"/>
  <c r="J16" i="3"/>
  <c r="D16" i="3" s="1"/>
  <c r="J15" i="3"/>
  <c r="D15" i="3" s="1"/>
  <c r="J19" i="3"/>
  <c r="D19" i="3" s="1"/>
  <c r="I16" i="3"/>
  <c r="B16" i="3" s="1"/>
  <c r="F19" i="3"/>
  <c r="I19" i="3"/>
  <c r="B19" i="3" s="1"/>
  <c r="I17" i="3"/>
  <c r="B17" i="3" s="1"/>
  <c r="H35" i="4"/>
  <c r="E75" i="3" l="1" a="1"/>
  <c r="E75" i="3" s="1"/>
  <c r="L21" i="4" l="1"/>
  <c r="K21" i="4"/>
  <c r="H37" i="4" l="1"/>
  <c r="M21" i="4"/>
  <c r="N21" i="4" s="1"/>
  <c r="B48" i="3" l="1"/>
  <c r="I32" i="3" s="1"/>
  <c r="B32" i="3" s="1"/>
  <c r="C48" i="3"/>
  <c r="F32" i="3" s="1"/>
  <c r="D48" i="3"/>
  <c r="E48" i="3"/>
  <c r="K32" i="3" s="1"/>
  <c r="E32" i="3" s="1"/>
  <c r="F48" i="3"/>
  <c r="B81" i="3"/>
  <c r="C81" i="3"/>
  <c r="D81" i="3"/>
  <c r="E81" i="3"/>
  <c r="F81" i="3"/>
  <c r="H48" i="3" l="1"/>
  <c r="I48" i="3" s="1"/>
  <c r="J32" i="3"/>
  <c r="D32" i="3" s="1"/>
  <c r="H81" i="3"/>
  <c r="I81" i="3" s="1"/>
  <c r="J14" i="3"/>
  <c r="D14" i="3" s="1"/>
  <c r="I14" i="3"/>
  <c r="B14" i="3" s="1"/>
  <c r="F14" i="3"/>
  <c r="K14" i="3"/>
  <c r="E14" i="3" s="1"/>
  <c r="I96" i="3" l="1"/>
  <c r="I61" i="3"/>
  <c r="J81" i="3"/>
  <c r="N5" i="3"/>
  <c r="J96" i="3" l="1"/>
  <c r="M5" i="3"/>
  <c r="L5" i="3"/>
  <c r="K5" i="3"/>
  <c r="C73" i="3" l="1"/>
  <c r="C7" i="3"/>
  <c r="D71" i="3"/>
  <c r="D5" i="3"/>
  <c r="D70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<sst xmlns="http://schemas.openxmlformats.org/spreadsheetml/2006/main" count="274" uniqueCount="148">
  <si>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</si>
  <si>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</si>
  <si>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</si>
  <si>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</si>
  <si>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</si>
  <si>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</si>
  <si>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</si>
  <si>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</si>
  <si>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</si>
  <si>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</si>
  <si>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</si>
  <si>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</si>
  <si>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</si>
  <si>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</si>
  <si>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</si>
  <si>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</si>
  <si>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</si>
  <si>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</si>
  <si>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</si>
  <si>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</si>
  <si>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</si>
  <si>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</si>
  <si>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</si>
  <si>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</si>
  <si>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</si>
  <si>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</si>
  <si>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</si>
  <si>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</si>
  <si>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</si>
  <si>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</si>
  <si>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</si>
  <si>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</si>
  <si>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</si>
  <si>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</si>
  <si>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</si>
  <si>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</si>
  <si>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</si>
  <si>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</si>
  <si>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</si>
  <si>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</si>
  <si>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</si>
  <si>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</si>
  <si>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</si>
  <si>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</si>
  <si>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</si>
  <si>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</si>
  <si>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</si>
  <si>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</si>
  <si>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</si>
  <si>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</si>
  <si>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</si>
  <si>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</si>
  <si>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</si>
  <si>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</si>
  <si>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</si>
  <si>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</si>
  <si>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</si>
  <si>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</si>
  <si>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</si>
  <si>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</si>
  <si>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</si>
  <si>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</si>
  <si>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</si>
  <si>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</si>
  <si>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</si>
  <si>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</si>
  <si>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</si>
  <si>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</si>
  <si>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</si>
  <si>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</si>
  <si>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</si>
  <si>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</si>
  <si>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</si>
  <si>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</si>
  <si>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</si>
  <si>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</si>
  <si>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</si>
  <si>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</si>
  <si>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</si>
  <si>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</si>
  <si>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</si>
  <si>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</si>
  <si>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</si>
  <si>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</si>
  <si>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</si>
  <si>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</si>
  <si>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</si>
  <si>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</si>
  <si>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</si>
  <si>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</si>
  <si>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</si>
  <si>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</si>
  <si>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</si>
  <si>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</si>
  <si>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</si>
  <si>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</si>
  <si>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</si>
  <si>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</si>
  <si>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</si>
  <si>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</si>
  <si>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</si>
  <si>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</si>
  <si>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</si>
  <si>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</si>
  <si>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</si>
  <si>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</si>
  <si>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</si>
  <si>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</si>
  <si>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</si>
  <si>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</si>
  <si>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</si>
  <si>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</si>
  <si>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</si>
  <si>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</si>
  <si>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</si>
  <si>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</si>
  <si>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</si>
  <si>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</si>
  <si>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</si>
  <si>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</si>
  <si>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</si>
  <si>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</si>
  <si>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</si>
  <si>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</si>
  <si>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</si>
  <si>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</si>
  <si>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</si>
  <si>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</si>
  <si>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</si>
  <si>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</si>
  <si>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</si>
  <si>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</si>
  <si>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</si>
  <si>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</si>
  <si>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</si>
  <si>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</si>
  <si>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 xml:space="preserve">SANTIAGO </t>
  </si>
  <si>
    <t>N°10508</t>
  </si>
  <si>
    <t>FD</t>
  </si>
  <si>
    <t>MELAMIL 18MM</t>
  </si>
  <si>
    <t>HECHO:</t>
  </si>
  <si>
    <t>F.D.</t>
  </si>
  <si>
    <t>HECHO POR: FD</t>
  </si>
  <si>
    <t>TOPMOBILI</t>
  </si>
  <si>
    <t>FERNANDO DONOSO</t>
  </si>
  <si>
    <t>+569 85589784</t>
  </si>
  <si>
    <t>METALIZED 2047 MT</t>
  </si>
  <si>
    <t>BLANCO NIEVE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</si>
</sst>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42" fontId="10" fillId="0" borderId="0" xfId="3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" fontId="14" fillId="0" borderId="29" xfId="0" applyNumberFormat="1" applyFont="1" applyBorder="1" applyAlignment="1">
      <alignment horizontal="center" vertical="center"/>
    </xf>
    <xf numFmtId="166" fontId="11" fillId="0" borderId="29" xfId="1" applyNumberFormat="1" applyFont="1" applyFill="1" applyBorder="1" applyAlignment="1">
      <alignment horizontal="center" vertical="center"/>
    </xf>
    <xf numFmtId="166" fontId="11" fillId="0" borderId="26" xfId="1" applyNumberFormat="1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1" xfId="0" applyFont="1" applyFill="1" applyBorder="1" applyAlignment="1">
      <alignment horizontal="center" vertical="center"/>
    </xf>
    <xf numFmtId="0" fontId="28" fillId="7" borderId="0" xfId="0" quotePrefix="1" applyFont="1" applyFill="1" applyAlignment="1">
      <alignment horizontal="left"/>
    </xf>
    <xf numFmtId="1" fontId="10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1" fontId="10" fillId="0" borderId="11" xfId="0" applyNumberFormat="1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1" fontId="14" fillId="0" borderId="28" xfId="0" applyNumberFormat="1" applyFont="1" applyFill="1" applyBorder="1" applyAlignment="1">
      <alignment horizontal="center" vertical="center"/>
    </xf>
    <xf numFmtId="1" fontId="10" fillId="0" borderId="14" xfId="0" applyNumberFormat="1" applyFont="1" applyFill="1" applyBorder="1" applyAlignment="1">
      <alignment horizontal="center" vertical="center"/>
    </xf>
    <xf numFmtId="1" fontId="14" fillId="0" borderId="29" xfId="0" applyNumberFormat="1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33049</xdr:colOff>
      <xdr:row>33</xdr:row>
      <xdr:rowOff>107</xdr:rowOff>
    </xdr:from>
    <xdr:to>
      <xdr:col>5</xdr:col>
      <xdr:colOff>1414409</xdr:colOff>
      <xdr:row>37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5689" y="5276315"/>
          <a:ext cx="6497035" cy="9607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</a:t>
          </a:r>
          <a:r>
            <a:rPr lang="es-CL" sz="1600" b="1" i="0" baseline="0"/>
            <a:t>  ABONO $ 90.000.- 21/12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27</xdr:row>
      <xdr:rowOff>76200</xdr:rowOff>
    </xdr:from>
    <xdr:to>
      <xdr:col>6</xdr:col>
      <xdr:colOff>19049</xdr:colOff>
      <xdr:row>28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76</xdr:row>
      <xdr:rowOff>0</xdr:rowOff>
    </xdr:from>
    <xdr:to>
      <xdr:col>6</xdr:col>
      <xdr:colOff>0</xdr:colOff>
      <xdr:row>77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72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69</xdr:row>
      <xdr:rowOff>228601</xdr:rowOff>
    </xdr:from>
    <xdr:to>
      <xdr:col>6</xdr:col>
      <xdr:colOff>0</xdr:colOff>
      <xdr:row>71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6</xdr:col>
      <xdr:colOff>0</xdr:colOff>
      <xdr:row>70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94</xdr:row>
      <xdr:rowOff>0</xdr:rowOff>
    </xdr:from>
    <xdr:to>
      <xdr:col>2</xdr:col>
      <xdr:colOff>38100</xdr:colOff>
      <xdr:row>95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94</xdr:row>
      <xdr:rowOff>0</xdr:rowOff>
    </xdr:from>
    <xdr:to>
      <xdr:col>2</xdr:col>
      <xdr:colOff>1019175</xdr:colOff>
      <xdr:row>95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94</xdr:row>
      <xdr:rowOff>0</xdr:rowOff>
    </xdr:from>
    <xdr:to>
      <xdr:col>3</xdr:col>
      <xdr:colOff>323850</xdr:colOff>
      <xdr:row>95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94</xdr:row>
      <xdr:rowOff>0</xdr:rowOff>
    </xdr:from>
    <xdr:to>
      <xdr:col>4</xdr:col>
      <xdr:colOff>257175</xdr:colOff>
      <xdr:row>95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94</xdr:row>
      <xdr:rowOff>0</xdr:rowOff>
    </xdr:from>
    <xdr:to>
      <xdr:col>5</xdr:col>
      <xdr:colOff>447675</xdr:colOff>
      <xdr:row>95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94</xdr:row>
      <xdr:rowOff>0</xdr:rowOff>
    </xdr:from>
    <xdr:to>
      <xdr:col>6</xdr:col>
      <xdr:colOff>0</xdr:colOff>
      <xdr:row>95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95</xdr:row>
      <xdr:rowOff>0</xdr:rowOff>
    </xdr:from>
    <xdr:to>
      <xdr:col>2</xdr:col>
      <xdr:colOff>304800</xdr:colOff>
      <xdr:row>96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95</xdr:row>
      <xdr:rowOff>0</xdr:rowOff>
    </xdr:from>
    <xdr:to>
      <xdr:col>2</xdr:col>
      <xdr:colOff>1276350</xdr:colOff>
      <xdr:row>96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95</xdr:row>
      <xdr:rowOff>0</xdr:rowOff>
    </xdr:from>
    <xdr:to>
      <xdr:col>3</xdr:col>
      <xdr:colOff>619125</xdr:colOff>
      <xdr:row>96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95</xdr:row>
      <xdr:rowOff>0</xdr:rowOff>
    </xdr:from>
    <xdr:to>
      <xdr:col>4</xdr:col>
      <xdr:colOff>523875</xdr:colOff>
      <xdr:row>96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95</xdr:row>
      <xdr:rowOff>0</xdr:rowOff>
    </xdr:from>
    <xdr:to>
      <xdr:col>5</xdr:col>
      <xdr:colOff>723900</xdr:colOff>
      <xdr:row>96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95</xdr:row>
      <xdr:rowOff>0</xdr:rowOff>
    </xdr:from>
    <xdr:to>
      <xdr:col>6</xdr:col>
      <xdr:colOff>0</xdr:colOff>
      <xdr:row>96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60</xdr:row>
      <xdr:rowOff>5714</xdr:rowOff>
    </xdr:from>
    <xdr:to>
      <xdr:col>6</xdr:col>
      <xdr:colOff>0</xdr:colOff>
      <xdr:row>62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43</xdr:row>
      <xdr:rowOff>152400</xdr:rowOff>
    </xdr:from>
    <xdr:to>
      <xdr:col>6</xdr:col>
      <xdr:colOff>9524</xdr:colOff>
      <xdr:row>44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97</xdr:row>
      <xdr:rowOff>28575</xdr:rowOff>
    </xdr:from>
    <xdr:to>
      <xdr:col>5</xdr:col>
      <xdr:colOff>2386965</xdr:colOff>
      <xdr:row>100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 SON PARA PROYECTO DE MUEBLE COCINA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69</xdr:row>
      <xdr:rowOff>22860</xdr:rowOff>
    </xdr:from>
    <xdr:to>
      <xdr:col>1</xdr:col>
      <xdr:colOff>672223</xdr:colOff>
      <xdr:row>74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16" zoomScale="89" zoomScaleNormal="89" workbookViewId="0">
      <selection activeCell="D29" sqref="D29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38.10937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137</v>
      </c>
      <c r="E8" s="28"/>
      <c r="F8" s="34" t="s">
        <v>26</v>
      </c>
      <c r="G8" s="35">
        <v>4047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143</v>
      </c>
      <c r="D10" s="56"/>
      <c r="E10" s="56"/>
      <c r="F10" s="57" t="s">
        <v>27</v>
      </c>
      <c r="G10" s="58">
        <v>45293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45295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C13" t="s">
        <v>144</v>
      </c>
      <c r="D13" s="61"/>
      <c r="E13" s="61"/>
      <c r="F13" s="61" t="s">
        <v>124</v>
      </c>
      <c r="G13" s="64" t="s">
        <v>138</v>
      </c>
      <c r="H13" s="63"/>
      <c r="I13" s="1"/>
    </row>
    <row r="14" spans="1:17" ht="18" x14ac:dyDescent="0.35">
      <c r="A14" s="28"/>
      <c r="B14" s="60" t="s">
        <v>133</v>
      </c>
      <c r="C14" s="110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0" t="s">
        <v>145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3" t="s">
        <v>18</v>
      </c>
      <c r="G16" s="123"/>
      <c r="H16" s="124"/>
      <c r="I16" s="1"/>
    </row>
    <row r="17" spans="1:16" ht="18.600000000000001" thickBot="1" x14ac:dyDescent="0.4">
      <c r="A17" s="28"/>
      <c r="B17" s="66" t="s">
        <v>3</v>
      </c>
      <c r="C17" s="72" t="s">
        <v>136</v>
      </c>
      <c r="D17" s="73"/>
      <c r="E17" s="67"/>
      <c r="F17" s="128"/>
      <c r="G17" s="128"/>
      <c r="H17" s="129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5" t="s">
        <v>19</v>
      </c>
      <c r="C19" s="126"/>
      <c r="D19" s="126"/>
      <c r="E19" s="126"/>
      <c r="F19" s="126"/>
      <c r="G19" s="126"/>
      <c r="H19" s="127"/>
      <c r="I19" s="1"/>
    </row>
    <row r="20" spans="1:16" ht="18" customHeight="1" thickBot="1" x14ac:dyDescent="0.4">
      <c r="A20" s="28"/>
      <c r="B20" s="117" t="s">
        <v>127</v>
      </c>
      <c r="C20" s="118" t="s">
        <v>20</v>
      </c>
      <c r="D20" s="118" t="s">
        <v>21</v>
      </c>
      <c r="E20" s="118" t="s">
        <v>8</v>
      </c>
      <c r="F20" s="118" t="s">
        <v>22</v>
      </c>
      <c r="G20" s="118" t="s">
        <v>23</v>
      </c>
      <c r="H20" s="119" t="s">
        <v>4</v>
      </c>
      <c r="I20" s="1"/>
      <c r="N20">
        <v>14000</v>
      </c>
    </row>
    <row r="21" spans="1:16" ht="19.5" customHeight="1" thickBot="1" x14ac:dyDescent="0.4">
      <c r="A21" s="28"/>
      <c r="B21" s="139">
        <v>1</v>
      </c>
      <c r="C21" s="140" t="s">
        <v>61</v>
      </c>
      <c r="D21" s="141">
        <v>730</v>
      </c>
      <c r="E21" s="141">
        <v>204</v>
      </c>
      <c r="F21" s="113" t="s">
        <v>146</v>
      </c>
      <c r="G21" s="115"/>
      <c r="H21" s="116"/>
      <c r="I21" s="1"/>
      <c r="K21" s="11">
        <f t="shared" ref="K21:L21" si="0">D21/1000</f>
        <v>0.73</v>
      </c>
      <c r="L21" s="14">
        <f t="shared" si="0"/>
        <v>0.20399999999999999</v>
      </c>
      <c r="M21" s="11">
        <f>K21*L21</f>
        <v>0.14892</v>
      </c>
      <c r="N21" s="11">
        <f>M21*N$20</f>
        <v>2084.88</v>
      </c>
      <c r="O21" s="14"/>
      <c r="P21" s="20"/>
    </row>
    <row r="22" spans="1:16" ht="19.5" customHeight="1" thickBot="1" x14ac:dyDescent="0.4">
      <c r="A22" s="28"/>
      <c r="B22" s="142">
        <v>2</v>
      </c>
      <c r="C22" s="140" t="s">
        <v>61</v>
      </c>
      <c r="D22" s="143">
        <v>730</v>
      </c>
      <c r="E22" s="143">
        <v>328</v>
      </c>
      <c r="F22" s="113" t="s">
        <v>146</v>
      </c>
      <c r="G22" s="115"/>
      <c r="H22" s="116"/>
      <c r="I22" s="1"/>
      <c r="K22" s="11"/>
      <c r="L22" s="14"/>
      <c r="M22" s="11"/>
      <c r="N22" s="11"/>
      <c r="O22" s="14"/>
      <c r="P22" s="20"/>
    </row>
    <row r="23" spans="1:16" ht="19.5" customHeight="1" thickBot="1" x14ac:dyDescent="0.4">
      <c r="A23" s="28"/>
      <c r="B23" s="142">
        <v>1</v>
      </c>
      <c r="C23" s="140" t="s">
        <v>61</v>
      </c>
      <c r="D23" s="143">
        <v>730</v>
      </c>
      <c r="E23" s="143">
        <v>318</v>
      </c>
      <c r="F23" s="113" t="s">
        <v>146</v>
      </c>
      <c r="G23" s="115"/>
      <c r="H23" s="116"/>
      <c r="I23" s="1"/>
      <c r="K23" s="11"/>
      <c r="L23" s="14"/>
      <c r="M23" s="11"/>
      <c r="N23" s="11"/>
      <c r="O23" s="14"/>
      <c r="P23" s="20"/>
    </row>
    <row r="24" spans="1:16" ht="19.5" customHeight="1" thickBot="1" x14ac:dyDescent="0.4">
      <c r="A24" s="28"/>
      <c r="B24" s="142">
        <v>2</v>
      </c>
      <c r="C24" s="140" t="s">
        <v>61</v>
      </c>
      <c r="D24" s="143">
        <v>730</v>
      </c>
      <c r="E24" s="143">
        <v>319</v>
      </c>
      <c r="F24" s="113" t="s">
        <v>146</v>
      </c>
      <c r="G24" s="115"/>
      <c r="H24" s="116"/>
      <c r="I24" s="1"/>
      <c r="K24" s="11"/>
      <c r="L24" s="14"/>
      <c r="M24" s="11"/>
      <c r="N24" s="11"/>
      <c r="O24" s="14"/>
      <c r="P24" s="20"/>
    </row>
    <row r="25" spans="1:16" ht="19.5" customHeight="1" thickBot="1" x14ac:dyDescent="0.4">
      <c r="A25" s="28"/>
      <c r="B25" s="142">
        <v>4</v>
      </c>
      <c r="C25" s="140" t="s">
        <v>61</v>
      </c>
      <c r="D25" s="143">
        <v>730</v>
      </c>
      <c r="E25" s="143">
        <v>344</v>
      </c>
      <c r="F25" s="113" t="s">
        <v>146</v>
      </c>
      <c r="G25" s="115"/>
      <c r="H25" s="116"/>
      <c r="I25" s="1"/>
      <c r="K25" s="11"/>
      <c r="L25" s="14"/>
      <c r="M25" s="11"/>
      <c r="N25" s="11"/>
      <c r="O25" s="14"/>
      <c r="P25" s="20"/>
    </row>
    <row r="26" spans="1:16" ht="19.5" customHeight="1" thickBot="1" x14ac:dyDescent="0.4">
      <c r="A26" s="28"/>
      <c r="B26" s="121">
        <v>2</v>
      </c>
      <c r="C26" s="113" t="s">
        <v>61</v>
      </c>
      <c r="D26" s="114">
        <v>730</v>
      </c>
      <c r="E26" s="114">
        <v>298</v>
      </c>
      <c r="F26" s="113" t="s">
        <v>146</v>
      </c>
      <c r="G26" s="115"/>
      <c r="H26" s="116"/>
      <c r="I26" s="1"/>
      <c r="K26" s="11"/>
      <c r="L26" s="14"/>
      <c r="M26" s="11"/>
      <c r="N26" s="11"/>
      <c r="O26" s="14"/>
      <c r="P26" s="20"/>
    </row>
    <row r="27" spans="1:16" ht="19.5" customHeight="1" thickBot="1" x14ac:dyDescent="0.4">
      <c r="A27" s="28"/>
      <c r="B27" s="121">
        <v>2</v>
      </c>
      <c r="C27" s="113" t="s">
        <v>61</v>
      </c>
      <c r="D27" s="114">
        <v>410</v>
      </c>
      <c r="E27" s="114">
        <v>298</v>
      </c>
      <c r="F27" s="113" t="s">
        <v>147</v>
      </c>
      <c r="G27" s="115"/>
      <c r="H27" s="116"/>
      <c r="I27" s="1"/>
      <c r="K27" s="11"/>
      <c r="L27" s="14"/>
      <c r="M27" s="11"/>
      <c r="N27" s="11"/>
      <c r="O27" s="14"/>
      <c r="P27" s="20"/>
    </row>
    <row r="28" spans="1:16" ht="19.5" customHeight="1" thickBot="1" x14ac:dyDescent="0.4">
      <c r="A28" s="28"/>
      <c r="B28" s="121">
        <v>4</v>
      </c>
      <c r="C28" s="113" t="s">
        <v>61</v>
      </c>
      <c r="D28" s="114">
        <v>800</v>
      </c>
      <c r="E28" s="114">
        <v>344</v>
      </c>
      <c r="F28" s="113" t="s">
        <v>147</v>
      </c>
      <c r="G28" s="115"/>
      <c r="H28" s="116"/>
      <c r="I28" s="1"/>
      <c r="K28" s="11"/>
      <c r="L28" s="14"/>
      <c r="M28" s="11"/>
      <c r="N28" s="11"/>
      <c r="O28" s="14"/>
      <c r="P28" s="20"/>
    </row>
    <row r="29" spans="1:16" ht="19.5" customHeight="1" thickBot="1" x14ac:dyDescent="0.4">
      <c r="A29" s="28"/>
      <c r="B29" s="121">
        <v>2</v>
      </c>
      <c r="C29" s="113" t="s">
        <v>61</v>
      </c>
      <c r="D29" s="114">
        <v>800</v>
      </c>
      <c r="E29" s="114">
        <v>298</v>
      </c>
      <c r="F29" s="113" t="s">
        <v>147</v>
      </c>
      <c r="G29" s="115"/>
      <c r="H29" s="116"/>
      <c r="I29" s="1"/>
      <c r="K29" s="11"/>
      <c r="L29" s="14"/>
      <c r="M29" s="11"/>
      <c r="N29" s="11"/>
      <c r="O29" s="14"/>
      <c r="P29" s="20"/>
    </row>
    <row r="30" spans="1:16" ht="19.5" customHeight="1" thickBot="1" x14ac:dyDescent="0.4">
      <c r="A30" s="28"/>
      <c r="B30" s="121">
        <v>4</v>
      </c>
      <c r="C30" s="113" t="s">
        <v>61</v>
      </c>
      <c r="D30" s="114">
        <v>800</v>
      </c>
      <c r="E30" s="114">
        <v>296</v>
      </c>
      <c r="F30" s="113" t="s">
        <v>147</v>
      </c>
      <c r="G30" s="115"/>
      <c r="H30" s="116"/>
      <c r="I30" s="1"/>
      <c r="K30" s="11"/>
      <c r="L30" s="14"/>
      <c r="M30" s="11"/>
      <c r="N30" s="11"/>
      <c r="O30" s="14"/>
      <c r="P30" s="20"/>
    </row>
    <row r="31" spans="1:16" ht="19.5" customHeight="1" thickBot="1" x14ac:dyDescent="0.4">
      <c r="A31" s="28"/>
      <c r="B31" s="121">
        <v>2</v>
      </c>
      <c r="C31" s="113" t="s">
        <v>61</v>
      </c>
      <c r="D31" s="114">
        <v>410</v>
      </c>
      <c r="E31" s="114">
        <v>308</v>
      </c>
      <c r="F31" s="113" t="s">
        <v>147</v>
      </c>
      <c r="G31" s="115"/>
      <c r="H31" s="116"/>
      <c r="I31" s="1"/>
      <c r="K31" s="11"/>
      <c r="L31" s="14"/>
      <c r="M31" s="11"/>
      <c r="N31" s="11"/>
      <c r="O31" s="14"/>
      <c r="P31" s="20"/>
    </row>
    <row r="32" spans="1:16" ht="19.5" customHeight="1" thickBot="1" x14ac:dyDescent="0.4">
      <c r="A32" s="28"/>
      <c r="B32" s="121">
        <v>2</v>
      </c>
      <c r="C32" s="113" t="s">
        <v>61</v>
      </c>
      <c r="D32" s="114">
        <v>472</v>
      </c>
      <c r="E32" s="114">
        <v>320</v>
      </c>
      <c r="F32" s="113" t="s">
        <v>147</v>
      </c>
      <c r="G32" s="115"/>
      <c r="H32" s="116"/>
      <c r="I32" s="1"/>
      <c r="K32" s="11"/>
      <c r="L32" s="14"/>
      <c r="M32" s="11"/>
      <c r="N32" s="11"/>
      <c r="O32" s="14"/>
      <c r="P32" s="20"/>
    </row>
    <row r="33" spans="1:16" ht="18" customHeight="1" x14ac:dyDescent="0.35">
      <c r="A33" s="28"/>
      <c r="B33" s="37"/>
      <c r="C33" s="37"/>
      <c r="D33" s="38"/>
      <c r="E33" s="38"/>
      <c r="F33" s="37"/>
      <c r="G33" s="39"/>
      <c r="H33" s="39"/>
      <c r="I33" s="1"/>
      <c r="K33" s="11"/>
      <c r="L33" s="14"/>
      <c r="M33" s="11"/>
      <c r="N33" s="11"/>
      <c r="O33" s="14"/>
      <c r="P33" s="20"/>
    </row>
    <row r="34" spans="1:16" ht="8.25" customHeight="1" thickBot="1" x14ac:dyDescent="0.4">
      <c r="A34" s="28"/>
      <c r="B34" s="40"/>
      <c r="C34" s="40"/>
      <c r="D34" s="40"/>
      <c r="E34" s="40"/>
      <c r="F34" s="40"/>
      <c r="G34" s="41"/>
      <c r="H34" s="41"/>
      <c r="I34" s="1"/>
    </row>
    <row r="35" spans="1:16" ht="18" x14ac:dyDescent="0.35">
      <c r="A35" s="28"/>
      <c r="B35" s="28"/>
      <c r="C35" s="28"/>
      <c r="D35" s="28"/>
      <c r="E35" s="28"/>
      <c r="F35" s="28"/>
      <c r="G35" s="42" t="s">
        <v>5</v>
      </c>
      <c r="H35" s="43">
        <f>SUM(H21:H34)</f>
        <v>0</v>
      </c>
      <c r="I35" s="1"/>
    </row>
    <row r="36" spans="1:16" ht="18" x14ac:dyDescent="0.35">
      <c r="A36" s="28"/>
      <c r="B36" s="28"/>
      <c r="C36" s="28"/>
      <c r="D36" s="28"/>
      <c r="E36" s="28"/>
      <c r="F36" s="28"/>
      <c r="G36" s="44" t="s">
        <v>6</v>
      </c>
      <c r="H36" s="45"/>
      <c r="I36" s="1"/>
    </row>
    <row r="37" spans="1:16" ht="18.600000000000001" thickBot="1" x14ac:dyDescent="0.4">
      <c r="A37" s="28"/>
      <c r="B37" s="28"/>
      <c r="C37" s="28"/>
      <c r="D37" s="28"/>
      <c r="E37" s="28"/>
      <c r="F37" s="28"/>
      <c r="G37" s="46" t="s">
        <v>4</v>
      </c>
      <c r="H37" s="47">
        <f>H35+H36</f>
        <v>0</v>
      </c>
      <c r="I37" s="1"/>
    </row>
    <row r="38" spans="1:16" ht="18" x14ac:dyDescent="0.35">
      <c r="A38" s="28"/>
      <c r="B38" s="28"/>
      <c r="C38" s="28"/>
      <c r="D38" s="28"/>
      <c r="E38" s="28"/>
      <c r="F38" s="28"/>
      <c r="G38" s="29"/>
      <c r="H38" s="48"/>
      <c r="I38" s="1"/>
    </row>
    <row r="39" spans="1:16" ht="18" x14ac:dyDescent="0.35">
      <c r="A39" s="28"/>
      <c r="B39" s="28"/>
      <c r="C39" s="28"/>
      <c r="D39" s="28"/>
      <c r="E39" s="28"/>
      <c r="F39" s="28"/>
      <c r="G39" s="28"/>
      <c r="H39" s="28"/>
      <c r="I39" s="1"/>
    </row>
    <row r="40" spans="1:16" ht="18" x14ac:dyDescent="0.35">
      <c r="A40" s="28"/>
      <c r="B40" s="49" t="s">
        <v>134</v>
      </c>
      <c r="C40" s="50"/>
      <c r="D40" s="51"/>
      <c r="E40" s="51"/>
      <c r="F40" s="40"/>
      <c r="G40" s="28"/>
      <c r="H40" s="28"/>
      <c r="I40" s="1"/>
    </row>
    <row r="41" spans="1:16" ht="18" x14ac:dyDescent="0.35">
      <c r="A41" s="28"/>
      <c r="B41" s="49" t="s">
        <v>119</v>
      </c>
      <c r="C41" s="50"/>
      <c r="D41" s="51"/>
      <c r="E41" s="51"/>
      <c r="F41" s="40"/>
      <c r="G41" s="28"/>
      <c r="H41" s="28"/>
      <c r="I41" s="1"/>
    </row>
    <row r="42" spans="1:16" ht="18" x14ac:dyDescent="0.35">
      <c r="A42" s="28"/>
      <c r="B42" s="28" t="s">
        <v>24</v>
      </c>
      <c r="C42" s="28"/>
      <c r="D42" s="28"/>
      <c r="E42" s="52" t="s">
        <v>25</v>
      </c>
      <c r="F42" s="28"/>
      <c r="G42" s="28"/>
      <c r="H42" s="28"/>
      <c r="I42" s="1"/>
    </row>
    <row r="43" spans="1:16" ht="18" x14ac:dyDescent="0.35">
      <c r="A43" s="28"/>
      <c r="B43" s="28"/>
      <c r="C43" s="28"/>
      <c r="D43" s="28"/>
      <c r="E43" s="52"/>
      <c r="F43" s="28"/>
      <c r="G43" s="28"/>
      <c r="H43" s="28"/>
      <c r="I43" s="1"/>
    </row>
    <row r="44" spans="1:16" ht="18" x14ac:dyDescent="0.35">
      <c r="A44" s="28"/>
      <c r="B44" s="30" t="s">
        <v>130</v>
      </c>
      <c r="C44" s="30"/>
      <c r="D44" s="30"/>
      <c r="E44" s="53"/>
      <c r="F44" s="28"/>
      <c r="G44" s="28"/>
      <c r="H44" s="28"/>
      <c r="I44" s="1"/>
    </row>
    <row r="45" spans="1:16" ht="18" x14ac:dyDescent="0.35">
      <c r="A45" s="28"/>
      <c r="B45" s="30"/>
      <c r="C45" s="30"/>
      <c r="D45" s="30"/>
      <c r="E45" s="53"/>
      <c r="F45" s="28"/>
      <c r="G45" s="28"/>
      <c r="H45" s="28"/>
      <c r="I45" s="1"/>
    </row>
    <row r="46" spans="1:16" ht="18" x14ac:dyDescent="0.35">
      <c r="A46" s="28"/>
      <c r="B46" s="30" t="s">
        <v>131</v>
      </c>
      <c r="C46" s="28"/>
      <c r="D46" s="28"/>
      <c r="E46" s="52"/>
      <c r="F46" s="28"/>
      <c r="G46" s="28"/>
      <c r="H46" s="28"/>
      <c r="I46" s="1"/>
    </row>
    <row r="47" spans="1:16" ht="15.6" x14ac:dyDescent="0.3">
      <c r="A47" s="1"/>
      <c r="B47" s="1"/>
      <c r="C47" s="1"/>
      <c r="D47" s="1"/>
      <c r="E47" s="22"/>
      <c r="F47" s="1"/>
      <c r="G47" s="1"/>
      <c r="H47" s="1"/>
      <c r="I47" s="1"/>
    </row>
    <row r="48" spans="1:16" ht="15.6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ht="15.6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3">
    <mergeCell ref="F16:H16"/>
    <mergeCell ref="B19:H19"/>
    <mergeCell ref="F17:H17"/>
  </mergeCells>
  <phoneticPr fontId="8" type="noConversion"/>
  <hyperlinks>
    <hyperlink ref="E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0" t="s">
        <v>29</v>
      </c>
      <c r="C2" s="130"/>
      <c r="D2" s="130"/>
      <c r="E2" s="12"/>
      <c r="G2" s="130" t="s">
        <v>68</v>
      </c>
      <c r="H2" s="130"/>
      <c r="I2" s="130"/>
      <c r="P2" s="131" t="s">
        <v>56</v>
      </c>
      <c r="Q2" s="131"/>
      <c r="R2" s="131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1" t="s">
        <v>56</v>
      </c>
      <c r="M8" s="131"/>
      <c r="N8" s="131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5"/>
  <sheetViews>
    <sheetView tabSelected="1" topLeftCell="A24" zoomScaleNormal="100" workbookViewId="0">
      <selection activeCell="B17" sqref="B17:K18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2" t="s">
        <v>59</v>
      </c>
      <c r="L3" s="132"/>
      <c r="M3" s="132" t="s">
        <v>14</v>
      </c>
      <c r="N3" s="132"/>
    </row>
    <row r="4" spans="1:14" ht="15.75" customHeight="1" x14ac:dyDescent="0.4">
      <c r="A4" s="74"/>
      <c r="B4" s="74"/>
      <c r="C4" s="75" t="s">
        <v>26</v>
      </c>
      <c r="D4" s="76">
        <f>'4637'!G8</f>
        <v>4047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TOPMOBILI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142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3" t="s">
        <v>59</v>
      </c>
      <c r="B10" s="133"/>
      <c r="C10" s="133"/>
      <c r="D10" s="133"/>
      <c r="E10" s="133"/>
      <c r="F10" s="133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-2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22" t="s">
        <v>139</v>
      </c>
      <c r="B14" s="101">
        <f t="shared" ref="B14" si="0">I14</f>
        <v>1</v>
      </c>
      <c r="C14" s="102"/>
      <c r="D14" s="103">
        <f>J14+D$13</f>
        <v>780</v>
      </c>
      <c r="E14" s="103">
        <f>K14+E$13</f>
        <v>202</v>
      </c>
      <c r="F14" s="104" t="str">
        <f t="shared" ref="F14" si="1">C48</f>
        <v>PR6</v>
      </c>
      <c r="G14" s="28"/>
      <c r="I14" s="3">
        <f>B48</f>
        <v>1</v>
      </c>
      <c r="J14" s="4">
        <f>D48</f>
        <v>730</v>
      </c>
      <c r="K14" s="4">
        <f>E48</f>
        <v>204</v>
      </c>
    </row>
    <row r="15" spans="1:14" ht="21" x14ac:dyDescent="0.4">
      <c r="A15" s="122"/>
      <c r="B15" s="101">
        <f t="shared" ref="B15:B17" si="2">I15</f>
        <v>2</v>
      </c>
      <c r="C15" s="102"/>
      <c r="D15" s="103">
        <f t="shared" ref="D15:D17" si="3">J15+D$13</f>
        <v>780</v>
      </c>
      <c r="E15" s="103">
        <f t="shared" ref="E15:E17" si="4">K15+E$13</f>
        <v>326</v>
      </c>
      <c r="F15" s="104" t="str">
        <f t="shared" ref="F15:F17" si="5">C49</f>
        <v>PR6</v>
      </c>
      <c r="G15" s="28"/>
      <c r="I15" s="3">
        <f t="shared" ref="I15:I17" si="6">B49</f>
        <v>2</v>
      </c>
      <c r="J15" s="4">
        <f t="shared" ref="J15:K15" si="7">D49</f>
        <v>730</v>
      </c>
      <c r="K15" s="4">
        <f t="shared" si="7"/>
        <v>328</v>
      </c>
    </row>
    <row r="16" spans="1:14" ht="21" x14ac:dyDescent="0.4">
      <c r="A16" s="122"/>
      <c r="B16" s="101">
        <f t="shared" si="2"/>
        <v>1</v>
      </c>
      <c r="C16" s="102"/>
      <c r="D16" s="103">
        <f t="shared" si="3"/>
        <v>780</v>
      </c>
      <c r="E16" s="103">
        <f t="shared" si="4"/>
        <v>316</v>
      </c>
      <c r="F16" s="104" t="str">
        <f t="shared" si="5"/>
        <v>PR6</v>
      </c>
      <c r="G16" s="28"/>
      <c r="I16" s="3">
        <f t="shared" si="6"/>
        <v>1</v>
      </c>
      <c r="J16" s="4">
        <f t="shared" ref="J16:K16" si="8">D50</f>
        <v>730</v>
      </c>
      <c r="K16" s="4">
        <f t="shared" si="8"/>
        <v>318</v>
      </c>
    </row>
    <row r="17" spans="1:11" ht="21" x14ac:dyDescent="0.4">
      <c r="A17" s="122"/>
      <c r="B17" s="101">
        <f t="shared" si="2"/>
        <v>2</v>
      </c>
      <c r="C17" s="102"/>
      <c r="D17" s="103">
        <f t="shared" si="3"/>
        <v>780</v>
      </c>
      <c r="E17" s="103">
        <f t="shared" si="4"/>
        <v>317</v>
      </c>
      <c r="F17" s="104" t="str">
        <f t="shared" si="5"/>
        <v>PR6</v>
      </c>
      <c r="G17" s="28"/>
      <c r="I17" s="3">
        <f t="shared" si="6"/>
        <v>2</v>
      </c>
      <c r="J17" s="4">
        <f t="shared" ref="J17:K17" si="9">D51</f>
        <v>730</v>
      </c>
      <c r="K17" s="4">
        <f t="shared" si="9"/>
        <v>319</v>
      </c>
    </row>
    <row r="18" spans="1:11" ht="21" x14ac:dyDescent="0.4">
      <c r="A18" s="122"/>
      <c r="B18" s="101">
        <f t="shared" ref="B18" si="10">I18</f>
        <v>4</v>
      </c>
      <c r="C18" s="102"/>
      <c r="D18" s="103">
        <f t="shared" ref="D18" si="11">J18+D$13</f>
        <v>780</v>
      </c>
      <c r="E18" s="103">
        <f t="shared" ref="E18" si="12">K18+E$13</f>
        <v>342</v>
      </c>
      <c r="F18" s="104" t="str">
        <f t="shared" ref="F18" si="13">C52</f>
        <v>PR6</v>
      </c>
      <c r="G18" s="28"/>
      <c r="I18" s="3">
        <f t="shared" ref="I18" si="14">B52</f>
        <v>4</v>
      </c>
      <c r="J18" s="4">
        <f t="shared" ref="J18" si="15">D52</f>
        <v>730</v>
      </c>
      <c r="K18" s="4">
        <f t="shared" ref="K18" si="16">E52</f>
        <v>344</v>
      </c>
    </row>
    <row r="19" spans="1:11" ht="21" x14ac:dyDescent="0.4">
      <c r="A19" s="122"/>
      <c r="B19" s="101">
        <f t="shared" ref="B19" si="17">I19</f>
        <v>2</v>
      </c>
      <c r="C19" s="102"/>
      <c r="D19" s="103">
        <f t="shared" ref="D19" si="18">J19+D$13</f>
        <v>780</v>
      </c>
      <c r="E19" s="103">
        <f t="shared" ref="E19" si="19">K19+E$13</f>
        <v>296</v>
      </c>
      <c r="F19" s="104" t="str">
        <f t="shared" ref="F19" si="20">C53</f>
        <v>PR6</v>
      </c>
      <c r="G19" s="28"/>
      <c r="I19" s="3">
        <f t="shared" ref="I19" si="21">B53</f>
        <v>2</v>
      </c>
      <c r="J19" s="4">
        <f t="shared" ref="J19" si="22">D53</f>
        <v>730</v>
      </c>
      <c r="K19" s="4">
        <f t="shared" ref="K19" si="23">E53</f>
        <v>298</v>
      </c>
    </row>
    <row r="20" spans="1:11" ht="21" x14ac:dyDescent="0.4">
      <c r="A20" s="122"/>
      <c r="B20" s="101">
        <f t="shared" ref="B20:B25" si="24">I20</f>
        <v>2</v>
      </c>
      <c r="C20" s="102"/>
      <c r="D20" s="103">
        <f t="shared" ref="D20:D25" si="25">J20+D$13</f>
        <v>460</v>
      </c>
      <c r="E20" s="103">
        <f t="shared" ref="E20:E25" si="26">K20+E$13</f>
        <v>296</v>
      </c>
      <c r="F20" s="104" t="str">
        <f>C54</f>
        <v>PR6</v>
      </c>
      <c r="G20" s="28"/>
      <c r="I20" s="3">
        <f>B54</f>
        <v>2</v>
      </c>
      <c r="J20" s="4">
        <f>D54</f>
        <v>410</v>
      </c>
      <c r="K20" s="4">
        <f>E54</f>
        <v>298</v>
      </c>
    </row>
    <row r="21" spans="1:11" ht="21" x14ac:dyDescent="0.4">
      <c r="A21" s="122"/>
      <c r="B21" s="101">
        <f t="shared" si="24"/>
        <v>4</v>
      </c>
      <c r="C21" s="102"/>
      <c r="D21" s="103">
        <f t="shared" si="25"/>
        <v>850</v>
      </c>
      <c r="E21" s="103">
        <f t="shared" si="26"/>
        <v>342</v>
      </c>
      <c r="F21" s="104" t="str">
        <f>C55</f>
        <v>PR6</v>
      </c>
      <c r="G21" s="28"/>
      <c r="I21" s="3">
        <f>B55</f>
        <v>4</v>
      </c>
      <c r="J21" s="4">
        <f>D55</f>
        <v>800</v>
      </c>
      <c r="K21" s="4">
        <f>E55</f>
        <v>344</v>
      </c>
    </row>
    <row r="22" spans="1:11" ht="21" x14ac:dyDescent="0.4">
      <c r="A22" s="122"/>
      <c r="B22" s="101">
        <f t="shared" si="24"/>
        <v>2</v>
      </c>
      <c r="C22" s="102"/>
      <c r="D22" s="103">
        <f t="shared" si="25"/>
        <v>850</v>
      </c>
      <c r="E22" s="103">
        <f t="shared" si="26"/>
        <v>296</v>
      </c>
      <c r="F22" s="104" t="str">
        <f>C56</f>
        <v>PR6</v>
      </c>
      <c r="G22" s="28"/>
      <c r="I22" s="3">
        <f>B56</f>
        <v>2</v>
      </c>
      <c r="J22" s="4">
        <f>D56</f>
        <v>800</v>
      </c>
      <c r="K22" s="4">
        <f>E56</f>
        <v>298</v>
      </c>
    </row>
    <row r="23" spans="1:11" ht="21" x14ac:dyDescent="0.4">
      <c r="A23" s="122"/>
      <c r="B23" s="101">
        <f t="shared" si="24"/>
        <v>4</v>
      </c>
      <c r="C23" s="102"/>
      <c r="D23" s="103">
        <f t="shared" si="25"/>
        <v>850</v>
      </c>
      <c r="E23" s="103">
        <f t="shared" si="26"/>
        <v>294</v>
      </c>
      <c r="F23" s="104" t="str">
        <f>C57</f>
        <v>PR6</v>
      </c>
      <c r="G23" s="28"/>
      <c r="I23" s="3">
        <f>B57</f>
        <v>4</v>
      </c>
      <c r="J23" s="4">
        <f>D57</f>
        <v>800</v>
      </c>
      <c r="K23" s="4">
        <f>E57</f>
        <v>296</v>
      </c>
    </row>
    <row r="24" spans="1:11" ht="21" x14ac:dyDescent="0.4">
      <c r="A24" s="122"/>
      <c r="B24" s="101">
        <f t="shared" si="24"/>
        <v>2</v>
      </c>
      <c r="C24" s="102"/>
      <c r="D24" s="103">
        <f t="shared" si="25"/>
        <v>460</v>
      </c>
      <c r="E24" s="103">
        <f t="shared" si="26"/>
        <v>306</v>
      </c>
      <c r="F24" s="104" t="str">
        <f>C58</f>
        <v>PR6</v>
      </c>
      <c r="G24" s="28"/>
      <c r="I24" s="3">
        <f>B58</f>
        <v>2</v>
      </c>
      <c r="J24" s="4">
        <f>D58</f>
        <v>410</v>
      </c>
      <c r="K24" s="4">
        <f>E58</f>
        <v>308</v>
      </c>
    </row>
    <row r="25" spans="1:11" ht="21" x14ac:dyDescent="0.4">
      <c r="A25" s="122"/>
      <c r="B25" s="101">
        <f t="shared" si="24"/>
        <v>2</v>
      </c>
      <c r="C25" s="102"/>
      <c r="D25" s="103">
        <f t="shared" si="25"/>
        <v>522</v>
      </c>
      <c r="E25" s="103">
        <f t="shared" si="26"/>
        <v>318</v>
      </c>
      <c r="F25" s="104" t="str">
        <f>C59</f>
        <v>PR6</v>
      </c>
      <c r="G25" s="28"/>
      <c r="I25" s="3">
        <f>B59</f>
        <v>2</v>
      </c>
      <c r="J25" s="4">
        <f>D59</f>
        <v>472</v>
      </c>
      <c r="K25" s="4">
        <f>E59</f>
        <v>320</v>
      </c>
    </row>
    <row r="26" spans="1:11" ht="21" x14ac:dyDescent="0.4">
      <c r="A26" s="89"/>
      <c r="B26" s="91"/>
      <c r="C26" s="112"/>
      <c r="D26" s="91"/>
      <c r="E26" s="91"/>
      <c r="F26" s="91"/>
      <c r="G26" s="28"/>
      <c r="I26" s="2"/>
      <c r="J26" s="2"/>
      <c r="K26" s="2"/>
    </row>
    <row r="27" spans="1:11" ht="6.75" customHeight="1" x14ac:dyDescent="0.4">
      <c r="A27" s="74"/>
      <c r="B27" s="74"/>
      <c r="C27" s="74"/>
      <c r="D27" s="74"/>
      <c r="E27" s="74"/>
      <c r="F27" s="74"/>
      <c r="G27" s="28"/>
    </row>
    <row r="28" spans="1:11" ht="21" x14ac:dyDescent="0.4">
      <c r="A28" s="133" t="s">
        <v>14</v>
      </c>
      <c r="B28" s="133"/>
      <c r="C28" s="133"/>
      <c r="D28" s="133"/>
      <c r="E28" s="133"/>
      <c r="F28" s="133"/>
      <c r="G28" s="28"/>
    </row>
    <row r="29" spans="1:11" ht="10.5" customHeight="1" x14ac:dyDescent="0.4">
      <c r="A29" s="74"/>
      <c r="B29" s="74"/>
      <c r="C29" s="96"/>
      <c r="D29" s="74"/>
      <c r="E29" s="74"/>
      <c r="F29" s="74"/>
      <c r="G29" s="28"/>
    </row>
    <row r="30" spans="1:11" ht="21" x14ac:dyDescent="0.4">
      <c r="A30" s="74"/>
      <c r="B30" s="74"/>
      <c r="C30" s="74"/>
      <c r="D30" s="84" t="s">
        <v>7</v>
      </c>
      <c r="E30" s="84" t="s">
        <v>8</v>
      </c>
      <c r="F30" s="74"/>
      <c r="G30" s="28"/>
    </row>
    <row r="31" spans="1:11" ht="21" x14ac:dyDescent="0.4">
      <c r="A31" s="84" t="s">
        <v>9</v>
      </c>
      <c r="B31" s="105" t="s">
        <v>10</v>
      </c>
      <c r="C31" s="105" t="s">
        <v>11</v>
      </c>
      <c r="D31" s="106">
        <v>40</v>
      </c>
      <c r="E31" s="106">
        <v>90</v>
      </c>
      <c r="F31" s="105" t="s">
        <v>107</v>
      </c>
      <c r="G31" s="28"/>
      <c r="J31" s="5" t="s">
        <v>7</v>
      </c>
      <c r="K31" s="5" t="s">
        <v>8</v>
      </c>
    </row>
    <row r="32" spans="1:11" ht="18.75" customHeight="1" x14ac:dyDescent="0.4">
      <c r="A32" s="122" t="s">
        <v>139</v>
      </c>
      <c r="B32" s="103">
        <f t="shared" ref="B32" si="27">I32</f>
        <v>1</v>
      </c>
      <c r="C32" s="102"/>
      <c r="D32" s="103">
        <f>J32+D$31</f>
        <v>770</v>
      </c>
      <c r="E32" s="103">
        <f t="shared" ref="E32" si="28">K32+E$31</f>
        <v>294</v>
      </c>
      <c r="F32" s="103" t="str">
        <f t="shared" ref="F32" si="29">C48</f>
        <v>PR6</v>
      </c>
      <c r="G32" s="28"/>
      <c r="I32" s="3">
        <f t="shared" ref="I32" si="30">B48</f>
        <v>1</v>
      </c>
      <c r="J32" s="4">
        <f>D48</f>
        <v>730</v>
      </c>
      <c r="K32" s="4">
        <f>E48</f>
        <v>204</v>
      </c>
    </row>
    <row r="33" spans="1:11" ht="18.75" customHeight="1" x14ac:dyDescent="0.4">
      <c r="A33" s="122"/>
      <c r="B33" s="103">
        <f t="shared" ref="B33:B35" si="31">I33</f>
        <v>2</v>
      </c>
      <c r="C33" s="102"/>
      <c r="D33" s="103">
        <f t="shared" ref="D33:D35" si="32">J33+D$31</f>
        <v>770</v>
      </c>
      <c r="E33" s="103">
        <f t="shared" ref="E33:E35" si="33">K33+E$31</f>
        <v>418</v>
      </c>
      <c r="F33" s="103" t="str">
        <f t="shared" ref="F33:F35" si="34">C49</f>
        <v>PR6</v>
      </c>
      <c r="G33" s="28"/>
      <c r="I33" s="3">
        <f t="shared" ref="I33:I35" si="35">B49</f>
        <v>2</v>
      </c>
      <c r="J33" s="4">
        <f t="shared" ref="J33:K33" si="36">D49</f>
        <v>730</v>
      </c>
      <c r="K33" s="4">
        <f t="shared" si="36"/>
        <v>328</v>
      </c>
    </row>
    <row r="34" spans="1:11" ht="18.75" customHeight="1" x14ac:dyDescent="0.4">
      <c r="A34" s="122"/>
      <c r="B34" s="103">
        <f t="shared" si="31"/>
        <v>1</v>
      </c>
      <c r="C34" s="102"/>
      <c r="D34" s="103">
        <f t="shared" si="32"/>
        <v>770</v>
      </c>
      <c r="E34" s="103">
        <f t="shared" si="33"/>
        <v>408</v>
      </c>
      <c r="F34" s="103" t="str">
        <f t="shared" si="34"/>
        <v>PR6</v>
      </c>
      <c r="G34" s="28"/>
      <c r="I34" s="3">
        <f t="shared" si="35"/>
        <v>1</v>
      </c>
      <c r="J34" s="4">
        <f t="shared" ref="J34:K34" si="37">D50</f>
        <v>730</v>
      </c>
      <c r="K34" s="4">
        <f t="shared" si="37"/>
        <v>318</v>
      </c>
    </row>
    <row r="35" spans="1:11" ht="18.75" customHeight="1" x14ac:dyDescent="0.4">
      <c r="A35" s="122"/>
      <c r="B35" s="103">
        <f t="shared" si="31"/>
        <v>2</v>
      </c>
      <c r="C35" s="102"/>
      <c r="D35" s="103">
        <f t="shared" si="32"/>
        <v>770</v>
      </c>
      <c r="E35" s="103">
        <f t="shared" si="33"/>
        <v>409</v>
      </c>
      <c r="F35" s="103" t="str">
        <f t="shared" si="34"/>
        <v>PR6</v>
      </c>
      <c r="G35" s="28"/>
      <c r="I35" s="3">
        <f t="shared" si="35"/>
        <v>2</v>
      </c>
      <c r="J35" s="4">
        <f t="shared" ref="J35:K35" si="38">D51</f>
        <v>730</v>
      </c>
      <c r="K35" s="4">
        <f t="shared" si="38"/>
        <v>319</v>
      </c>
    </row>
    <row r="36" spans="1:11" ht="18.75" customHeight="1" x14ac:dyDescent="0.4">
      <c r="A36" s="122"/>
      <c r="B36" s="103">
        <f t="shared" ref="B36" si="39">I36</f>
        <v>4</v>
      </c>
      <c r="C36" s="102"/>
      <c r="D36" s="103">
        <f t="shared" ref="D36" si="40">J36+D$31</f>
        <v>770</v>
      </c>
      <c r="E36" s="103">
        <f t="shared" ref="E36" si="41">K36+E$31</f>
        <v>434</v>
      </c>
      <c r="F36" s="103" t="str">
        <f t="shared" ref="F36" si="42">C52</f>
        <v>PR6</v>
      </c>
      <c r="G36" s="28"/>
      <c r="I36" s="3">
        <f t="shared" ref="I36" si="43">B52</f>
        <v>4</v>
      </c>
      <c r="J36" s="4">
        <f t="shared" ref="J36" si="44">D52</f>
        <v>730</v>
      </c>
      <c r="K36" s="4">
        <f t="shared" ref="K36" si="45">E52</f>
        <v>344</v>
      </c>
    </row>
    <row r="37" spans="1:11" ht="18.75" customHeight="1" x14ac:dyDescent="0.4">
      <c r="A37" s="122"/>
      <c r="B37" s="103">
        <f t="shared" ref="B37" si="46">I37</f>
        <v>2</v>
      </c>
      <c r="C37" s="102"/>
      <c r="D37" s="103">
        <f t="shared" ref="D37" si="47">J37+D$31</f>
        <v>770</v>
      </c>
      <c r="E37" s="103">
        <f t="shared" ref="E37" si="48">K37+E$31</f>
        <v>388</v>
      </c>
      <c r="F37" s="103" t="str">
        <f t="shared" ref="F37" si="49">C53</f>
        <v>PR6</v>
      </c>
      <c r="G37" s="28"/>
      <c r="I37" s="3">
        <f t="shared" ref="I37" si="50">B53</f>
        <v>2</v>
      </c>
      <c r="J37" s="4">
        <f t="shared" ref="J37" si="51">D53</f>
        <v>730</v>
      </c>
      <c r="K37" s="4">
        <f t="shared" ref="K37" si="52">E53</f>
        <v>298</v>
      </c>
    </row>
    <row r="38" spans="1:11" ht="18.75" customHeight="1" x14ac:dyDescent="0.4">
      <c r="A38" s="122"/>
      <c r="B38" s="103">
        <f t="shared" ref="B38:B42" si="53">I38</f>
        <v>2</v>
      </c>
      <c r="C38" s="102"/>
      <c r="D38" s="103">
        <f t="shared" ref="D38:D42" si="54">J38+D$31</f>
        <v>450</v>
      </c>
      <c r="E38" s="103">
        <f t="shared" ref="E38:E42" si="55">K38+E$31</f>
        <v>388</v>
      </c>
      <c r="F38" s="103" t="str">
        <f t="shared" ref="F38:F42" si="56">C54</f>
        <v>PR6</v>
      </c>
      <c r="G38" s="28"/>
      <c r="I38" s="3">
        <f t="shared" ref="I38:I42" si="57">B54</f>
        <v>2</v>
      </c>
      <c r="J38" s="4">
        <f t="shared" ref="J38:J42" si="58">D54</f>
        <v>410</v>
      </c>
      <c r="K38" s="4">
        <f t="shared" ref="K38:K42" si="59">E54</f>
        <v>298</v>
      </c>
    </row>
    <row r="39" spans="1:11" ht="18.75" customHeight="1" x14ac:dyDescent="0.4">
      <c r="A39" s="122"/>
      <c r="B39" s="103">
        <f t="shared" si="53"/>
        <v>4</v>
      </c>
      <c r="C39" s="102"/>
      <c r="D39" s="103">
        <f t="shared" si="54"/>
        <v>840</v>
      </c>
      <c r="E39" s="103">
        <f t="shared" si="55"/>
        <v>434</v>
      </c>
      <c r="F39" s="103" t="str">
        <f t="shared" si="56"/>
        <v>PR6</v>
      </c>
      <c r="G39" s="28"/>
      <c r="I39" s="3">
        <f t="shared" si="57"/>
        <v>4</v>
      </c>
      <c r="J39" s="4">
        <f t="shared" si="58"/>
        <v>800</v>
      </c>
      <c r="K39" s="4">
        <f t="shared" si="59"/>
        <v>344</v>
      </c>
    </row>
    <row r="40" spans="1:11" ht="18.75" customHeight="1" x14ac:dyDescent="0.4">
      <c r="A40" s="122"/>
      <c r="B40" s="103">
        <f t="shared" si="53"/>
        <v>2</v>
      </c>
      <c r="C40" s="102"/>
      <c r="D40" s="103">
        <f t="shared" si="54"/>
        <v>840</v>
      </c>
      <c r="E40" s="103">
        <f t="shared" si="55"/>
        <v>388</v>
      </c>
      <c r="F40" s="103" t="str">
        <f t="shared" si="56"/>
        <v>PR6</v>
      </c>
      <c r="G40" s="28"/>
      <c r="I40" s="3">
        <f t="shared" si="57"/>
        <v>2</v>
      </c>
      <c r="J40" s="4">
        <f t="shared" si="58"/>
        <v>800</v>
      </c>
      <c r="K40" s="4">
        <f t="shared" si="59"/>
        <v>298</v>
      </c>
    </row>
    <row r="41" spans="1:11" ht="18.75" customHeight="1" x14ac:dyDescent="0.4">
      <c r="A41" s="122"/>
      <c r="B41" s="103">
        <f t="shared" si="53"/>
        <v>4</v>
      </c>
      <c r="C41" s="102"/>
      <c r="D41" s="103">
        <f t="shared" si="54"/>
        <v>840</v>
      </c>
      <c r="E41" s="103">
        <f t="shared" si="55"/>
        <v>386</v>
      </c>
      <c r="F41" s="103" t="str">
        <f t="shared" si="56"/>
        <v>PR6</v>
      </c>
      <c r="G41" s="28"/>
      <c r="I41" s="3">
        <f t="shared" si="57"/>
        <v>4</v>
      </c>
      <c r="J41" s="4">
        <f t="shared" si="58"/>
        <v>800</v>
      </c>
      <c r="K41" s="4">
        <f t="shared" si="59"/>
        <v>296</v>
      </c>
    </row>
    <row r="42" spans="1:11" ht="18.75" customHeight="1" x14ac:dyDescent="0.4">
      <c r="A42" s="122"/>
      <c r="B42" s="103">
        <f t="shared" si="53"/>
        <v>2</v>
      </c>
      <c r="C42" s="102"/>
      <c r="D42" s="103">
        <f t="shared" si="54"/>
        <v>450</v>
      </c>
      <c r="E42" s="103">
        <f t="shared" si="55"/>
        <v>398</v>
      </c>
      <c r="F42" s="103" t="str">
        <f t="shared" si="56"/>
        <v>PR6</v>
      </c>
      <c r="G42" s="28"/>
      <c r="I42" s="3">
        <f t="shared" si="57"/>
        <v>2</v>
      </c>
      <c r="J42" s="4">
        <f t="shared" si="58"/>
        <v>410</v>
      </c>
      <c r="K42" s="4">
        <f t="shared" si="59"/>
        <v>308</v>
      </c>
    </row>
    <row r="43" spans="1:11" ht="18.75" customHeight="1" x14ac:dyDescent="0.4">
      <c r="A43" s="122"/>
      <c r="B43" s="144"/>
      <c r="C43" s="145"/>
      <c r="D43" s="144"/>
      <c r="E43" s="144"/>
      <c r="F43" s="144"/>
      <c r="G43" s="28"/>
      <c r="I43" s="146"/>
      <c r="J43" s="147"/>
      <c r="K43" s="147"/>
    </row>
    <row r="44" spans="1:11" ht="21" x14ac:dyDescent="0.4">
      <c r="A44" s="89"/>
      <c r="B44" s="91"/>
      <c r="C44" s="91"/>
      <c r="D44" s="91"/>
      <c r="E44" s="91"/>
      <c r="F44" s="91"/>
      <c r="G44" s="28"/>
      <c r="I44" s="2"/>
      <c r="J44" s="2"/>
      <c r="K44" s="2"/>
    </row>
    <row r="45" spans="1:11" ht="21" x14ac:dyDescent="0.4">
      <c r="A45" s="84"/>
      <c r="B45" s="96"/>
      <c r="C45" s="96"/>
      <c r="D45" s="96"/>
      <c r="E45" s="96"/>
      <c r="F45" s="96"/>
      <c r="G45" s="28"/>
      <c r="I45" s="2"/>
      <c r="J45" s="2"/>
      <c r="K45" s="2"/>
    </row>
    <row r="46" spans="1:11" ht="10.5" customHeight="1" thickBot="1" x14ac:dyDescent="0.45">
      <c r="A46" s="74"/>
      <c r="B46" s="74"/>
      <c r="C46" s="74"/>
      <c r="D46" s="74"/>
      <c r="E46" s="74"/>
      <c r="F46" s="74"/>
      <c r="G46" s="28"/>
    </row>
    <row r="47" spans="1:11" ht="21" x14ac:dyDescent="0.4">
      <c r="A47" s="84" t="s">
        <v>9</v>
      </c>
      <c r="B47" s="107" t="s">
        <v>10</v>
      </c>
      <c r="C47" s="108" t="s">
        <v>107</v>
      </c>
      <c r="D47" s="108" t="s">
        <v>7</v>
      </c>
      <c r="E47" s="108" t="s">
        <v>8</v>
      </c>
      <c r="F47" s="109" t="s">
        <v>22</v>
      </c>
      <c r="G47" s="28"/>
    </row>
    <row r="48" spans="1:11" ht="21" x14ac:dyDescent="0.4">
      <c r="A48" s="122" t="s">
        <v>139</v>
      </c>
      <c r="B48" s="101">
        <f>'4637'!B21</f>
        <v>1</v>
      </c>
      <c r="C48" s="103" t="str">
        <f>'4637'!C21</f>
        <v>PR6</v>
      </c>
      <c r="D48" s="103">
        <f>'4637'!D21</f>
        <v>730</v>
      </c>
      <c r="E48" s="103">
        <f>'4637'!E21</f>
        <v>204</v>
      </c>
      <c r="F48" s="104" t="str">
        <f>'4637'!F21</f>
        <v>METALIZED 2047 MT</v>
      </c>
      <c r="G48" s="28"/>
      <c r="H48" s="27">
        <f>D48*E48/1000000</f>
        <v>0.14892</v>
      </c>
      <c r="I48" s="27">
        <f>H48*B48</f>
        <v>0.14892</v>
      </c>
    </row>
    <row r="49" spans="1:9" ht="21" x14ac:dyDescent="0.4">
      <c r="A49" s="122"/>
      <c r="B49" s="101">
        <f>'4637'!B22</f>
        <v>2</v>
      </c>
      <c r="C49" s="103" t="str">
        <f>'4637'!C22</f>
        <v>PR6</v>
      </c>
      <c r="D49" s="103">
        <f>'4637'!D22</f>
        <v>730</v>
      </c>
      <c r="E49" s="103">
        <f>'4637'!E22</f>
        <v>328</v>
      </c>
      <c r="F49" s="104" t="str">
        <f>'4637'!F22</f>
        <v>METALIZED 2047 MT</v>
      </c>
      <c r="G49" s="28"/>
      <c r="H49" s="27"/>
      <c r="I49" s="27"/>
    </row>
    <row r="50" spans="1:9" ht="21" x14ac:dyDescent="0.4">
      <c r="A50" s="122"/>
      <c r="B50" s="101">
        <f>'4637'!B23</f>
        <v>1</v>
      </c>
      <c r="C50" s="103" t="str">
        <f>'4637'!C23</f>
        <v>PR6</v>
      </c>
      <c r="D50" s="103">
        <f>'4637'!D23</f>
        <v>730</v>
      </c>
      <c r="E50" s="103">
        <f>'4637'!E23</f>
        <v>318</v>
      </c>
      <c r="F50" s="104" t="str">
        <f>'4637'!F23</f>
        <v>METALIZED 2047 MT</v>
      </c>
      <c r="G50" s="28"/>
      <c r="H50" s="27"/>
      <c r="I50" s="27"/>
    </row>
    <row r="51" spans="1:9" ht="21" x14ac:dyDescent="0.4">
      <c r="A51" s="122"/>
      <c r="B51" s="101">
        <f>'4637'!B24</f>
        <v>2</v>
      </c>
      <c r="C51" s="103" t="str">
        <f>'4637'!C24</f>
        <v>PR6</v>
      </c>
      <c r="D51" s="103">
        <f>'4637'!D24</f>
        <v>730</v>
      </c>
      <c r="E51" s="103">
        <f>'4637'!E24</f>
        <v>319</v>
      </c>
      <c r="F51" s="104" t="str">
        <f>'4637'!F24</f>
        <v>METALIZED 2047 MT</v>
      </c>
      <c r="G51" s="28"/>
      <c r="H51" s="27"/>
      <c r="I51" s="27"/>
    </row>
    <row r="52" spans="1:9" ht="21" x14ac:dyDescent="0.4">
      <c r="A52" s="122"/>
      <c r="B52" s="101">
        <f>'4637'!B25</f>
        <v>4</v>
      </c>
      <c r="C52" s="103" t="str">
        <f>'4637'!C25</f>
        <v>PR6</v>
      </c>
      <c r="D52" s="103">
        <f>'4637'!D25</f>
        <v>730</v>
      </c>
      <c r="E52" s="103">
        <f>'4637'!E25</f>
        <v>344</v>
      </c>
      <c r="F52" s="104" t="str">
        <f>'4637'!F25</f>
        <v>METALIZED 2047 MT</v>
      </c>
      <c r="G52" s="28"/>
      <c r="H52" s="27"/>
      <c r="I52" s="27"/>
    </row>
    <row r="53" spans="1:9" ht="21" x14ac:dyDescent="0.4">
      <c r="A53" s="122"/>
      <c r="B53" s="101">
        <f>'4637'!B26</f>
        <v>2</v>
      </c>
      <c r="C53" s="103" t="str">
        <f>'4637'!C26</f>
        <v>PR6</v>
      </c>
      <c r="D53" s="103">
        <f>'4637'!D26</f>
        <v>730</v>
      </c>
      <c r="E53" s="103">
        <f>'4637'!E26</f>
        <v>298</v>
      </c>
      <c r="F53" s="104" t="str">
        <f>'4637'!F26</f>
        <v>METALIZED 2047 MT</v>
      </c>
      <c r="G53" s="28"/>
      <c r="H53" s="27"/>
      <c r="I53" s="27"/>
    </row>
    <row r="54" spans="1:9" ht="21" x14ac:dyDescent="0.4">
      <c r="A54" s="122"/>
      <c r="B54" s="101">
        <f>'4637'!B27</f>
        <v>2</v>
      </c>
      <c r="C54" s="103" t="str">
        <f>'4637'!C27</f>
        <v>PR6</v>
      </c>
      <c r="D54" s="103">
        <f>'4637'!D27</f>
        <v>410</v>
      </c>
      <c r="E54" s="103">
        <f>'4637'!E27</f>
        <v>298</v>
      </c>
      <c r="F54" s="104" t="str">
        <f>'4637'!F27</f>
        <v>BLANCO NIEVE</v>
      </c>
      <c r="G54" s="28"/>
      <c r="H54" s="27"/>
      <c r="I54" s="27"/>
    </row>
    <row r="55" spans="1:9" ht="21" x14ac:dyDescent="0.4">
      <c r="A55" s="122"/>
      <c r="B55" s="101">
        <f>'4637'!B28</f>
        <v>4</v>
      </c>
      <c r="C55" s="103" t="str">
        <f>'4637'!C28</f>
        <v>PR6</v>
      </c>
      <c r="D55" s="103">
        <f>'4637'!D28</f>
        <v>800</v>
      </c>
      <c r="E55" s="103">
        <f>'4637'!E28</f>
        <v>344</v>
      </c>
      <c r="F55" s="104" t="str">
        <f>'4637'!F28</f>
        <v>BLANCO NIEVE</v>
      </c>
      <c r="G55" s="28"/>
      <c r="H55" s="27"/>
      <c r="I55" s="27"/>
    </row>
    <row r="56" spans="1:9" ht="21" x14ac:dyDescent="0.4">
      <c r="A56" s="122"/>
      <c r="B56" s="101">
        <f>'4637'!B29</f>
        <v>2</v>
      </c>
      <c r="C56" s="103" t="str">
        <f>'4637'!C29</f>
        <v>PR6</v>
      </c>
      <c r="D56" s="103">
        <f>'4637'!D29</f>
        <v>800</v>
      </c>
      <c r="E56" s="103">
        <f>'4637'!E29</f>
        <v>298</v>
      </c>
      <c r="F56" s="104" t="str">
        <f>'4637'!F29</f>
        <v>BLANCO NIEVE</v>
      </c>
      <c r="G56" s="28"/>
      <c r="H56" s="27"/>
      <c r="I56" s="27"/>
    </row>
    <row r="57" spans="1:9" ht="21" x14ac:dyDescent="0.4">
      <c r="A57" s="122"/>
      <c r="B57" s="101">
        <f>'4637'!B30</f>
        <v>4</v>
      </c>
      <c r="C57" s="103" t="str">
        <f>'4637'!C30</f>
        <v>PR6</v>
      </c>
      <c r="D57" s="103">
        <f>'4637'!D30</f>
        <v>800</v>
      </c>
      <c r="E57" s="103">
        <f>'4637'!E30</f>
        <v>296</v>
      </c>
      <c r="F57" s="104" t="str">
        <f>'4637'!F30</f>
        <v>BLANCO NIEVE</v>
      </c>
      <c r="G57" s="28"/>
      <c r="H57" s="27"/>
      <c r="I57" s="27"/>
    </row>
    <row r="58" spans="1:9" ht="21" x14ac:dyDescent="0.4">
      <c r="A58" s="122"/>
      <c r="B58" s="101">
        <f>'4637'!B31</f>
        <v>2</v>
      </c>
      <c r="C58" s="103" t="str">
        <f>'4637'!C31</f>
        <v>PR6</v>
      </c>
      <c r="D58" s="103">
        <f>'4637'!D31</f>
        <v>410</v>
      </c>
      <c r="E58" s="103">
        <f>'4637'!E31</f>
        <v>308</v>
      </c>
      <c r="F58" s="104" t="str">
        <f>'4637'!F31</f>
        <v>BLANCO NIEVE</v>
      </c>
      <c r="G58" s="28"/>
      <c r="H58" s="27"/>
      <c r="I58" s="27"/>
    </row>
    <row r="59" spans="1:9" ht="21" x14ac:dyDescent="0.4">
      <c r="A59" s="122"/>
      <c r="B59" s="101">
        <f>'4637'!B32</f>
        <v>2</v>
      </c>
      <c r="C59" s="103" t="str">
        <f>'4637'!C32</f>
        <v>PR6</v>
      </c>
      <c r="D59" s="103">
        <f>'4637'!D32</f>
        <v>472</v>
      </c>
      <c r="E59" s="103">
        <f>'4637'!E32</f>
        <v>320</v>
      </c>
      <c r="F59" s="104" t="str">
        <f>'4637'!F32</f>
        <v>BLANCO NIEVE</v>
      </c>
      <c r="G59" s="28"/>
      <c r="H59" s="27"/>
      <c r="I59" s="27"/>
    </row>
    <row r="60" spans="1:9" ht="21" x14ac:dyDescent="0.4">
      <c r="A60" s="89"/>
      <c r="B60" s="91"/>
      <c r="C60" s="91"/>
      <c r="D60" s="91"/>
      <c r="E60" s="91"/>
      <c r="F60" s="91"/>
      <c r="G60" s="28"/>
      <c r="H60" s="27"/>
      <c r="I60" s="27"/>
    </row>
    <row r="61" spans="1:9" ht="21" x14ac:dyDescent="0.4">
      <c r="A61" s="74"/>
      <c r="B61" s="91"/>
      <c r="C61" s="91"/>
      <c r="D61" s="91"/>
      <c r="E61" s="91"/>
      <c r="F61" s="91"/>
      <c r="G61" s="28"/>
      <c r="I61" s="27">
        <f>SUM(I48:I48)*2</f>
        <v>0.29783999999999999</v>
      </c>
    </row>
    <row r="62" spans="1:9" ht="21" x14ac:dyDescent="0.4">
      <c r="A62" s="74"/>
      <c r="B62" s="91"/>
      <c r="C62" s="91"/>
      <c r="D62" s="91"/>
      <c r="E62" s="91"/>
      <c r="F62" s="91"/>
      <c r="G62" s="28"/>
    </row>
    <row r="63" spans="1:9" ht="21" x14ac:dyDescent="0.4">
      <c r="A63" s="74"/>
      <c r="B63" s="91"/>
      <c r="C63" s="91"/>
      <c r="D63" s="91"/>
      <c r="E63" s="91"/>
      <c r="F63" s="91"/>
      <c r="G63" s="28"/>
    </row>
    <row r="64" spans="1:9" ht="21" x14ac:dyDescent="0.4">
      <c r="A64" s="74"/>
      <c r="B64" s="91"/>
      <c r="C64" s="91"/>
      <c r="D64" s="91"/>
      <c r="E64" s="91"/>
      <c r="F64" s="91"/>
      <c r="G64" s="28"/>
    </row>
    <row r="65" spans="1:10" ht="21" x14ac:dyDescent="0.4">
      <c r="A65" s="74"/>
      <c r="B65" s="91"/>
      <c r="C65" s="91"/>
      <c r="D65" s="91"/>
      <c r="E65" s="91"/>
      <c r="F65" s="91"/>
      <c r="G65" s="28"/>
    </row>
    <row r="66" spans="1:10" ht="18" x14ac:dyDescent="0.35">
      <c r="A66" s="28"/>
      <c r="B66" s="54"/>
      <c r="C66" s="54"/>
      <c r="D66" s="54"/>
      <c r="E66" s="54"/>
      <c r="F66" s="54"/>
      <c r="G66" s="28"/>
    </row>
    <row r="67" spans="1:10" ht="18" x14ac:dyDescent="0.35">
      <c r="A67" s="28"/>
      <c r="B67" s="54"/>
      <c r="C67" s="54"/>
      <c r="D67" s="54"/>
      <c r="E67" s="54"/>
      <c r="F67" s="54"/>
      <c r="G67" s="28"/>
    </row>
    <row r="68" spans="1:10" ht="18" x14ac:dyDescent="0.35">
      <c r="A68" s="28"/>
      <c r="B68" s="54"/>
      <c r="C68" s="54"/>
      <c r="D68" s="54"/>
      <c r="E68" s="54"/>
      <c r="F68" s="54"/>
      <c r="G68" s="28"/>
    </row>
    <row r="69" spans="1:10" ht="21" x14ac:dyDescent="0.4">
      <c r="A69" s="74"/>
      <c r="B69" s="74"/>
      <c r="C69" s="74"/>
      <c r="D69" s="74"/>
      <c r="E69" s="74"/>
      <c r="F69" s="74"/>
      <c r="G69" s="28"/>
    </row>
    <row r="70" spans="1:10" ht="21" x14ac:dyDescent="0.4">
      <c r="A70" s="74"/>
      <c r="B70" s="74"/>
      <c r="C70" s="75" t="s">
        <v>26</v>
      </c>
      <c r="D70" s="76">
        <f>'4637'!G8</f>
        <v>4047</v>
      </c>
      <c r="E70" s="74"/>
      <c r="F70" s="74"/>
      <c r="G70" s="28"/>
    </row>
    <row r="71" spans="1:10" ht="17.25" customHeight="1" x14ac:dyDescent="0.4">
      <c r="A71" s="74"/>
      <c r="B71" s="74"/>
      <c r="C71" s="77" t="s">
        <v>65</v>
      </c>
      <c r="D71" s="78" t="str">
        <f>'4637'!C10</f>
        <v>TOPMOBILI</v>
      </c>
      <c r="E71" s="79"/>
      <c r="F71" s="79"/>
      <c r="G71" s="28"/>
    </row>
    <row r="72" spans="1:10" ht="4.5" customHeight="1" x14ac:dyDescent="0.4">
      <c r="A72" s="74"/>
      <c r="B72" s="74"/>
      <c r="C72" s="80"/>
      <c r="D72" s="81"/>
      <c r="E72" s="74"/>
      <c r="F72" s="74"/>
      <c r="G72" s="28"/>
    </row>
    <row r="73" spans="1:10" ht="21" x14ac:dyDescent="0.4">
      <c r="A73" s="74"/>
      <c r="B73" s="74"/>
      <c r="C73" s="82" t="str">
        <f>'4637'!F11</f>
        <v>FECHA LIMITE :</v>
      </c>
      <c r="D73" s="83"/>
      <c r="E73" s="74"/>
      <c r="F73" s="74"/>
      <c r="G73" s="28"/>
    </row>
    <row r="74" spans="1:10" ht="21" x14ac:dyDescent="0.4">
      <c r="A74" s="74"/>
      <c r="B74" s="74"/>
      <c r="C74" s="74"/>
      <c r="D74" s="74"/>
      <c r="E74" s="74" t="s">
        <v>140</v>
      </c>
      <c r="F74" s="74" t="s">
        <v>141</v>
      </c>
      <c r="G74" s="28"/>
    </row>
    <row r="75" spans="1:10" ht="21" x14ac:dyDescent="0.4">
      <c r="A75" s="74"/>
      <c r="B75" s="74"/>
      <c r="C75" s="74"/>
      <c r="D75" s="74"/>
      <c r="E75" s="74" t="str" cm="1">
        <f t="array" ref="E75:F75">'4637'!B17:C17</f>
        <v>CIUDAD:</v>
      </c>
      <c r="F75" s="74" t="str">
        <v xml:space="preserve">SANTIAGO </v>
      </c>
      <c r="G75" s="28"/>
    </row>
    <row r="76" spans="1:10" ht="21" x14ac:dyDescent="0.4">
      <c r="A76" s="74"/>
      <c r="B76" s="74"/>
      <c r="C76" s="74"/>
      <c r="D76" s="74"/>
      <c r="E76" s="74"/>
      <c r="F76" s="74"/>
      <c r="G76" s="28"/>
    </row>
    <row r="77" spans="1:10" ht="21" x14ac:dyDescent="0.4">
      <c r="A77" s="134" t="s">
        <v>66</v>
      </c>
      <c r="B77" s="133"/>
      <c r="C77" s="133"/>
      <c r="D77" s="133"/>
      <c r="E77" s="133"/>
      <c r="F77" s="133"/>
      <c r="G77" s="28"/>
    </row>
    <row r="78" spans="1:10" ht="21" x14ac:dyDescent="0.4">
      <c r="A78" s="74"/>
      <c r="B78" s="74"/>
      <c r="C78" s="74"/>
      <c r="D78" s="74"/>
      <c r="E78" s="74"/>
      <c r="F78" s="74"/>
      <c r="G78" s="28"/>
    </row>
    <row r="79" spans="1:10" ht="18.600000000000001" customHeight="1" x14ac:dyDescent="0.4">
      <c r="A79" s="74"/>
      <c r="B79" s="135" t="s">
        <v>67</v>
      </c>
      <c r="C79" s="136"/>
      <c r="D79" s="137"/>
      <c r="E79" s="137"/>
      <c r="F79" s="138"/>
      <c r="G79" s="28"/>
      <c r="H79" s="24" t="s">
        <v>129</v>
      </c>
    </row>
    <row r="80" spans="1:10" s="10" customFormat="1" ht="16.5" customHeight="1" x14ac:dyDescent="0.4">
      <c r="A80" s="74"/>
      <c r="B80" s="85" t="s">
        <v>10</v>
      </c>
      <c r="C80" s="86" t="s">
        <v>11</v>
      </c>
      <c r="D80" s="87" t="s">
        <v>7</v>
      </c>
      <c r="E80" s="87" t="s">
        <v>8</v>
      </c>
      <c r="F80" s="88" t="s">
        <v>12</v>
      </c>
      <c r="G80" s="28"/>
      <c r="J80" s="10">
        <v>14000</v>
      </c>
    </row>
    <row r="81" spans="1:12" s="10" customFormat="1" ht="21" customHeight="1" x14ac:dyDescent="0.4">
      <c r="A81" s="122" t="s">
        <v>139</v>
      </c>
      <c r="B81" s="85">
        <f>'4637'!B21</f>
        <v>1</v>
      </c>
      <c r="C81" s="85" t="str">
        <f>'4637'!C21</f>
        <v>PR6</v>
      </c>
      <c r="D81" s="90">
        <f>'4637'!D21</f>
        <v>730</v>
      </c>
      <c r="E81" s="90">
        <f>'4637'!E21</f>
        <v>204</v>
      </c>
      <c r="F81" s="85" t="str">
        <f>'4637'!F21</f>
        <v>METALIZED 2047 MT</v>
      </c>
      <c r="G81" s="28"/>
      <c r="H81" s="10">
        <f>D81*E81/1000000</f>
        <v>0.14892</v>
      </c>
      <c r="I81" s="10">
        <f>H81*B81</f>
        <v>0.14892</v>
      </c>
      <c r="J81" s="25">
        <f t="shared" ref="J81" si="60">I81*J$80</f>
        <v>2084.88</v>
      </c>
      <c r="L81" s="23">
        <v>12096</v>
      </c>
    </row>
    <row r="82" spans="1:12" s="10" customFormat="1" ht="21" customHeight="1" x14ac:dyDescent="0.4">
      <c r="A82" s="122"/>
      <c r="B82" s="85">
        <f>'4637'!B22</f>
        <v>2</v>
      </c>
      <c r="C82" s="85" t="str">
        <f>'4637'!C22</f>
        <v>PR6</v>
      </c>
      <c r="D82" s="90">
        <f>'4637'!D22</f>
        <v>730</v>
      </c>
      <c r="E82" s="90">
        <f>'4637'!E22</f>
        <v>328</v>
      </c>
      <c r="F82" s="85" t="str">
        <f>'4637'!F22</f>
        <v>METALIZED 2047 MT</v>
      </c>
      <c r="G82" s="28"/>
      <c r="J82" s="25"/>
      <c r="L82" s="111"/>
    </row>
    <row r="83" spans="1:12" s="10" customFormat="1" ht="21" customHeight="1" x14ac:dyDescent="0.4">
      <c r="A83" s="122"/>
      <c r="B83" s="85">
        <f>'4637'!B23</f>
        <v>1</v>
      </c>
      <c r="C83" s="85" t="str">
        <f>'4637'!C23</f>
        <v>PR6</v>
      </c>
      <c r="D83" s="90">
        <f>'4637'!D23</f>
        <v>730</v>
      </c>
      <c r="E83" s="90">
        <f>'4637'!E23</f>
        <v>318</v>
      </c>
      <c r="F83" s="85" t="str">
        <f>'4637'!F23</f>
        <v>METALIZED 2047 MT</v>
      </c>
      <c r="G83" s="28"/>
      <c r="J83" s="25"/>
      <c r="L83" s="111"/>
    </row>
    <row r="84" spans="1:12" s="10" customFormat="1" ht="21" customHeight="1" x14ac:dyDescent="0.4">
      <c r="A84" s="122"/>
      <c r="B84" s="85">
        <f>'4637'!B24</f>
        <v>2</v>
      </c>
      <c r="C84" s="85" t="str">
        <f>'4637'!C24</f>
        <v>PR6</v>
      </c>
      <c r="D84" s="90">
        <f>'4637'!D24</f>
        <v>730</v>
      </c>
      <c r="E84" s="90">
        <f>'4637'!E24</f>
        <v>319</v>
      </c>
      <c r="F84" s="85" t="str">
        <f>'4637'!F24</f>
        <v>METALIZED 2047 MT</v>
      </c>
      <c r="G84" s="28"/>
      <c r="J84" s="25"/>
      <c r="L84" s="111"/>
    </row>
    <row r="85" spans="1:12" s="10" customFormat="1" ht="21" customHeight="1" x14ac:dyDescent="0.4">
      <c r="A85" s="122"/>
      <c r="B85" s="85">
        <f>'4637'!B25</f>
        <v>4</v>
      </c>
      <c r="C85" s="85" t="str">
        <f>'4637'!C25</f>
        <v>PR6</v>
      </c>
      <c r="D85" s="90">
        <f>'4637'!D25</f>
        <v>730</v>
      </c>
      <c r="E85" s="90">
        <f>'4637'!E25</f>
        <v>344</v>
      </c>
      <c r="F85" s="85" t="str">
        <f>'4637'!F25</f>
        <v>METALIZED 2047 MT</v>
      </c>
      <c r="G85" s="28"/>
      <c r="J85" s="25"/>
      <c r="L85" s="111"/>
    </row>
    <row r="86" spans="1:12" s="10" customFormat="1" ht="21" customHeight="1" x14ac:dyDescent="0.4">
      <c r="A86" s="122"/>
      <c r="B86" s="85">
        <f>'4637'!B26</f>
        <v>2</v>
      </c>
      <c r="C86" s="85" t="str">
        <f>'4637'!C26</f>
        <v>PR6</v>
      </c>
      <c r="D86" s="90">
        <f>'4637'!D26</f>
        <v>730</v>
      </c>
      <c r="E86" s="90">
        <f>'4637'!E26</f>
        <v>298</v>
      </c>
      <c r="F86" s="85" t="str">
        <f>'4637'!F26</f>
        <v>METALIZED 2047 MT</v>
      </c>
      <c r="G86" s="28"/>
      <c r="J86" s="25"/>
      <c r="L86" s="111"/>
    </row>
    <row r="87" spans="1:12" s="10" customFormat="1" ht="21" customHeight="1" x14ac:dyDescent="0.4">
      <c r="A87" s="122"/>
      <c r="B87" s="85">
        <f>'4637'!B27</f>
        <v>2</v>
      </c>
      <c r="C87" s="85" t="str">
        <f>'4637'!C27</f>
        <v>PR6</v>
      </c>
      <c r="D87" s="90">
        <f>'4637'!D27</f>
        <v>410</v>
      </c>
      <c r="E87" s="90">
        <f>'4637'!E27</f>
        <v>298</v>
      </c>
      <c r="F87" s="85" t="str">
        <f>'4637'!F27</f>
        <v>BLANCO NIEVE</v>
      </c>
      <c r="G87" s="28"/>
      <c r="J87" s="25"/>
      <c r="L87" s="111"/>
    </row>
    <row r="88" spans="1:12" s="10" customFormat="1" ht="21" customHeight="1" x14ac:dyDescent="0.4">
      <c r="A88" s="122"/>
      <c r="B88" s="85">
        <f>'4637'!B28</f>
        <v>4</v>
      </c>
      <c r="C88" s="85" t="str">
        <f>'4637'!C28</f>
        <v>PR6</v>
      </c>
      <c r="D88" s="90">
        <f>'4637'!D28</f>
        <v>800</v>
      </c>
      <c r="E88" s="90">
        <f>'4637'!E28</f>
        <v>344</v>
      </c>
      <c r="F88" s="85" t="str">
        <f>'4637'!F28</f>
        <v>BLANCO NIEVE</v>
      </c>
      <c r="G88" s="28"/>
      <c r="J88" s="25"/>
      <c r="L88" s="111"/>
    </row>
    <row r="89" spans="1:12" s="10" customFormat="1" ht="21" customHeight="1" x14ac:dyDescent="0.4">
      <c r="A89" s="122"/>
      <c r="B89" s="85">
        <f>'4637'!B29</f>
        <v>2</v>
      </c>
      <c r="C89" s="85" t="str">
        <f>'4637'!C29</f>
        <v>PR6</v>
      </c>
      <c r="D89" s="90">
        <f>'4637'!D29</f>
        <v>800</v>
      </c>
      <c r="E89" s="90">
        <f>'4637'!E29</f>
        <v>298</v>
      </c>
      <c r="F89" s="85" t="str">
        <f>'4637'!F29</f>
        <v>BLANCO NIEVE</v>
      </c>
      <c r="G89" s="28"/>
      <c r="J89" s="25"/>
      <c r="L89" s="111"/>
    </row>
    <row r="90" spans="1:12" s="10" customFormat="1" ht="21" customHeight="1" x14ac:dyDescent="0.4">
      <c r="A90" s="122"/>
      <c r="B90" s="85">
        <f>'4637'!B30</f>
        <v>4</v>
      </c>
      <c r="C90" s="85" t="str">
        <f>'4637'!C30</f>
        <v>PR6</v>
      </c>
      <c r="D90" s="90">
        <f>'4637'!D30</f>
        <v>800</v>
      </c>
      <c r="E90" s="90">
        <f>'4637'!E30</f>
        <v>296</v>
      </c>
      <c r="F90" s="85" t="str">
        <f>'4637'!F30</f>
        <v>BLANCO NIEVE</v>
      </c>
      <c r="G90" s="28"/>
      <c r="J90" s="25"/>
      <c r="L90" s="111"/>
    </row>
    <row r="91" spans="1:12" s="10" customFormat="1" ht="21" customHeight="1" x14ac:dyDescent="0.4">
      <c r="A91" s="122"/>
      <c r="B91" s="85">
        <f>'4637'!B31</f>
        <v>2</v>
      </c>
      <c r="C91" s="85" t="str">
        <f>'4637'!C31</f>
        <v>PR6</v>
      </c>
      <c r="D91" s="90">
        <f>'4637'!D31</f>
        <v>410</v>
      </c>
      <c r="E91" s="90">
        <f>'4637'!E31</f>
        <v>308</v>
      </c>
      <c r="F91" s="85" t="str">
        <f>'4637'!F31</f>
        <v>BLANCO NIEVE</v>
      </c>
      <c r="G91" s="28"/>
      <c r="J91" s="25"/>
      <c r="L91" s="111"/>
    </row>
    <row r="92" spans="1:12" s="10" customFormat="1" ht="21" customHeight="1" x14ac:dyDescent="0.4">
      <c r="A92" s="122"/>
      <c r="B92" s="85">
        <f>'4637'!B32</f>
        <v>2</v>
      </c>
      <c r="C92" s="85" t="str">
        <f>'4637'!C32</f>
        <v>PR6</v>
      </c>
      <c r="D92" s="90">
        <f>'4637'!D32</f>
        <v>472</v>
      </c>
      <c r="E92" s="90">
        <f>'4637'!E32</f>
        <v>320</v>
      </c>
      <c r="F92" s="85" t="str">
        <f>'4637'!F32</f>
        <v>BLANCO NIEVE</v>
      </c>
      <c r="G92" s="28"/>
      <c r="J92" s="25"/>
      <c r="L92" s="111"/>
    </row>
    <row r="93" spans="1:12" s="10" customFormat="1" ht="21" customHeight="1" x14ac:dyDescent="0.4">
      <c r="A93" s="89"/>
      <c r="B93" s="84"/>
      <c r="C93" s="84"/>
      <c r="D93" s="84"/>
      <c r="E93" s="84"/>
      <c r="F93" s="84"/>
      <c r="G93" s="28"/>
      <c r="J93" s="25"/>
      <c r="L93" s="111"/>
    </row>
    <row r="94" spans="1:12" s="10" customFormat="1" ht="15" customHeight="1" x14ac:dyDescent="0.4">
      <c r="A94" s="89"/>
      <c r="B94" s="84"/>
      <c r="C94" s="84"/>
      <c r="D94" s="84"/>
      <c r="E94" s="84"/>
      <c r="F94" s="84"/>
      <c r="G94" s="28"/>
    </row>
    <row r="95" spans="1:12" ht="21" x14ac:dyDescent="0.4">
      <c r="A95" s="91"/>
      <c r="B95" s="91"/>
      <c r="C95" s="74"/>
      <c r="D95" s="91"/>
      <c r="E95" s="91"/>
      <c r="F95" s="80"/>
      <c r="G95" s="28"/>
    </row>
    <row r="96" spans="1:12" ht="21" x14ac:dyDescent="0.4">
      <c r="A96" s="91"/>
      <c r="B96" s="91"/>
      <c r="C96" s="74"/>
      <c r="D96" s="91"/>
      <c r="E96" s="91"/>
      <c r="F96" s="91"/>
      <c r="G96" s="28"/>
      <c r="I96" s="10">
        <f>SUM(I81:I81)</f>
        <v>0.14892</v>
      </c>
      <c r="J96" s="26">
        <f>SUM(J81:J81)</f>
        <v>2084.88</v>
      </c>
    </row>
    <row r="97" spans="1:7" ht="21" x14ac:dyDescent="0.4">
      <c r="A97" s="74"/>
      <c r="B97" s="74"/>
      <c r="C97" s="74"/>
      <c r="D97" s="74"/>
      <c r="E97" s="74"/>
      <c r="F97" s="74"/>
      <c r="G97" s="28"/>
    </row>
    <row r="98" spans="1:7" ht="21" x14ac:dyDescent="0.4">
      <c r="A98" s="74"/>
      <c r="B98" s="74"/>
      <c r="C98" s="74"/>
      <c r="D98" s="74"/>
      <c r="E98" s="74"/>
      <c r="F98" s="74"/>
      <c r="G98" s="28"/>
    </row>
    <row r="99" spans="1:7" ht="21" x14ac:dyDescent="0.4">
      <c r="A99" s="74"/>
      <c r="B99" s="74"/>
      <c r="C99" s="74"/>
      <c r="D99" s="74"/>
      <c r="E99" s="74"/>
      <c r="F99" s="74"/>
      <c r="G99" s="28"/>
    </row>
    <row r="100" spans="1:7" ht="15" customHeight="1" x14ac:dyDescent="0.4">
      <c r="A100" s="74"/>
      <c r="B100" s="74"/>
      <c r="C100" s="74"/>
      <c r="D100" s="74"/>
      <c r="E100" s="74"/>
      <c r="F100" s="74"/>
      <c r="G100" s="28"/>
    </row>
    <row r="101" spans="1:7" ht="21" x14ac:dyDescent="0.4">
      <c r="A101" s="74"/>
      <c r="B101" s="74"/>
      <c r="C101" s="74"/>
      <c r="D101" s="74"/>
      <c r="E101" s="74"/>
      <c r="F101" s="74"/>
      <c r="G101" s="28"/>
    </row>
    <row r="102" spans="1:7" ht="21" x14ac:dyDescent="0.4">
      <c r="A102" s="91"/>
      <c r="B102" s="92"/>
      <c r="C102" s="74"/>
      <c r="D102" s="74"/>
      <c r="E102" s="74"/>
      <c r="F102" s="74"/>
      <c r="G102" s="28"/>
    </row>
    <row r="103" spans="1:7" ht="18" x14ac:dyDescent="0.35">
      <c r="A103" s="28"/>
      <c r="B103" s="28"/>
      <c r="C103" s="28"/>
      <c r="D103" s="28"/>
      <c r="E103" s="28"/>
      <c r="F103" s="28"/>
      <c r="G103" s="28"/>
    </row>
    <row r="104" spans="1:7" ht="18" x14ac:dyDescent="0.35">
      <c r="A104" s="28"/>
      <c r="B104" s="28"/>
      <c r="C104" s="28"/>
      <c r="D104" s="28"/>
      <c r="E104" s="28"/>
      <c r="F104" s="28"/>
      <c r="G104" s="28"/>
    </row>
    <row r="105" spans="1:7" ht="18" x14ac:dyDescent="0.35">
      <c r="A105" s="28"/>
      <c r="B105" s="28"/>
      <c r="C105" s="28"/>
      <c r="D105" s="28"/>
      <c r="E105" s="28"/>
      <c r="F105" s="28"/>
      <c r="G105" s="28"/>
    </row>
  </sheetData>
  <mergeCells count="6">
    <mergeCell ref="M3:N3"/>
    <mergeCell ref="A28:F28"/>
    <mergeCell ref="A10:F10"/>
    <mergeCell ref="A77:F77"/>
    <mergeCell ref="B79:F79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2023-12-19T12:22:22Z</cp:lastPrinted>
  <dcterms:created xsi:type="dcterms:W3CDTF">2013-03-19T12:54:14Z</dcterms:created>
  <dcterms:modified xsi:type="dcterms:W3CDTF">2024-01-02T16:29:12Z</dcterms:modified>
</cp:coreProperties>
</file>