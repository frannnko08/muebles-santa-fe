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2 FEBRERO 2024\"/>
    </mc:Choice>
  </mc:AlternateContent>
  <xr:revisionPtr revIDLastSave="0" documentId="13_ncr:1_{1CD5DFA2-36FF-4CCD-97DF-6826729AF1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'5770'!$B$1:$H$32</definedName>
    <definedName name="_xlnm.Print_Area" localSheetId="1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22" i="3" s="1"/>
  <c r="D28" i="3"/>
  <c r="J22" i="3" s="1"/>
  <c r="D22" i="3" s="1"/>
  <c r="E28" i="3"/>
  <c r="K22" i="3" s="1"/>
  <c r="E22" i="3" s="1"/>
  <c r="F28" i="3"/>
  <c r="B48" i="3"/>
  <c r="C48" i="3"/>
  <c r="D48" i="3"/>
  <c r="E48" i="3"/>
  <c r="F48" i="3"/>
  <c r="H21" i="4"/>
  <c r="B22" i="3" l="1"/>
  <c r="P14" i="3" l="1"/>
  <c r="B27" i="3" l="1"/>
  <c r="B21" i="3" s="1"/>
  <c r="C27" i="3"/>
  <c r="F21" i="3" s="1"/>
  <c r="D27" i="3"/>
  <c r="J21" i="3" s="1"/>
  <c r="D21" i="3" s="1"/>
  <c r="E27" i="3"/>
  <c r="K21" i="3" s="1"/>
  <c r="E21" i="3" s="1"/>
  <c r="F27" i="3"/>
  <c r="B47" i="3"/>
  <c r="C47" i="3"/>
  <c r="D47" i="3"/>
  <c r="E47" i="3"/>
  <c r="F47" i="3"/>
  <c r="K14" i="3" l="1"/>
  <c r="E14" i="3" s="1"/>
  <c r="J14" i="3"/>
  <c r="D14" i="3" s="1"/>
  <c r="I21" i="3"/>
  <c r="I14" i="3" s="1"/>
  <c r="F14" i="3"/>
  <c r="B14" i="3" l="1"/>
  <c r="Q14" i="3"/>
  <c r="Q15" i="3" s="1"/>
  <c r="F41" i="3"/>
  <c r="E41" i="3"/>
  <c r="D38" i="3" l="1"/>
  <c r="E40" i="3"/>
  <c r="E37" i="3"/>
  <c r="E7" i="3"/>
  <c r="E4" i="3"/>
  <c r="D5" i="3"/>
  <c r="C40" i="3"/>
  <c r="C7" i="3"/>
  <c r="H26" i="4" l="1"/>
</calcChain>
</file>

<file path=xl/sharedStrings.xml><?xml version="1.0" encoding="utf-8"?>
<sst xmlns="http://schemas.openxmlformats.org/spreadsheetml/2006/main" count="87" uniqueCount="59">
  <si>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</si>
  <si>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</si>
  <si>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</si>
  <si>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</si>
  <si>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</si>
  <si>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</si>
  <si>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</si>
  <si>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</si>
  <si>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</si>
  <si>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</si>
  <si>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</si>
  <si>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</si>
  <si>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</si>
  <si>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</si>
  <si>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</si>
  <si>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</si>
  <si>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</si>
  <si>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</si>
  <si>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</si>
  <si>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</si>
  <si>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</si>
  <si>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</si>
  <si>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</si>
  <si>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</si>
  <si>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</si>
  <si>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</si>
  <si>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</si>
  <si>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</si>
  <si>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</si>
  <si>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</si>
  <si>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</si>
  <si>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</si>
  <si>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</si>
  <si>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</si>
  <si>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</si>
  <si>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</si>
  <si>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</si>
  <si>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</si>
  <si>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</si>
  <si>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</si>
  <si>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</si>
  <si>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</si>
  <si>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</si>
  <si>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</si>
  <si>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</si>
  <si>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</si>
  <si>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</si>
  <si>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</si>
  <si>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</si>
  <si>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</si>
  <si>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</si>
  <si>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MDF18MM</t>
  </si>
  <si>
    <t>MDF 18MM</t>
  </si>
  <si>
    <t>FORMA DE PAGO : CONTADO</t>
  </si>
  <si>
    <t>CUB C/R R8</t>
  </si>
  <si>
    <t>ZOCALOS</t>
  </si>
  <si>
    <t>RICARDO MENDOZA</t>
  </si>
  <si>
    <t>+569 20070253</t>
  </si>
  <si>
    <t>GRANITINO NEGRO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</si>
</sst>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24" fillId="0" borderId="0" xfId="0" applyFont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23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6" fillId="3" borderId="0" xfId="0" applyFont="1" applyFill="1"/>
    <xf numFmtId="0" fontId="6" fillId="3" borderId="4" xfId="0" applyFont="1" applyFill="1" applyBorder="1"/>
    <xf numFmtId="0" fontId="4" fillId="0" borderId="18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5" fillId="0" borderId="0" xfId="0" quotePrefix="1" applyFont="1"/>
    <xf numFmtId="166" fontId="3" fillId="0" borderId="29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22</xdr:row>
      <xdr:rowOff>0</xdr:rowOff>
    </xdr:from>
    <xdr:to>
      <xdr:col>5</xdr:col>
      <xdr:colOff>2065020</xdr:colOff>
      <xdr:row>25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$ 20.000.-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29</xdr:row>
      <xdr:rowOff>1904</xdr:rowOff>
    </xdr:from>
    <xdr:to>
      <xdr:col>5</xdr:col>
      <xdr:colOff>1855469</xdr:colOff>
      <xdr:row>32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ENTREGAR DESPUNTE AL CLIENTE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53</xdr:row>
      <xdr:rowOff>7620</xdr:rowOff>
    </xdr:from>
    <xdr:to>
      <xdr:col>6</xdr:col>
      <xdr:colOff>0</xdr:colOff>
      <xdr:row>56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35</xdr:row>
      <xdr:rowOff>62865</xdr:rowOff>
    </xdr:from>
    <xdr:to>
      <xdr:col>1</xdr:col>
      <xdr:colOff>778903</xdr:colOff>
      <xdr:row>41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0"/>
  <sheetViews>
    <sheetView topLeftCell="A4" workbookViewId="0">
      <selection activeCell="J20" sqref="J20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3.664062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38" t="s">
        <v>18</v>
      </c>
      <c r="C8" s="37"/>
      <c r="D8" s="39" t="s">
        <v>19</v>
      </c>
      <c r="F8" s="43" t="s">
        <v>30</v>
      </c>
      <c r="G8" s="75">
        <v>4053</v>
      </c>
    </row>
    <row r="9" spans="2:8" ht="15" thickBot="1" x14ac:dyDescent="0.35">
      <c r="G9" s="4"/>
    </row>
    <row r="10" spans="2:8" x14ac:dyDescent="0.3">
      <c r="B10" s="22" t="s">
        <v>8</v>
      </c>
      <c r="C10" s="110" t="s">
        <v>56</v>
      </c>
      <c r="D10" s="23"/>
      <c r="E10" s="23"/>
      <c r="F10" s="24" t="s">
        <v>34</v>
      </c>
      <c r="G10" s="25">
        <v>45351</v>
      </c>
      <c r="H10" s="26"/>
    </row>
    <row r="11" spans="2:8" ht="16.8" x14ac:dyDescent="0.4">
      <c r="B11" s="27" t="s">
        <v>2</v>
      </c>
      <c r="C11" s="104"/>
      <c r="D11" s="105"/>
      <c r="E11" s="105"/>
      <c r="F11" s="105" t="s">
        <v>33</v>
      </c>
      <c r="G11" s="106">
        <v>44991</v>
      </c>
      <c r="H11" s="28"/>
    </row>
    <row r="12" spans="2:8" x14ac:dyDescent="0.3">
      <c r="B12" s="29" t="s">
        <v>47</v>
      </c>
      <c r="D12" s="30"/>
      <c r="E12" s="30"/>
      <c r="F12" s="30" t="s">
        <v>50</v>
      </c>
      <c r="G12" s="107"/>
      <c r="H12" s="73"/>
    </row>
    <row r="13" spans="2:8" x14ac:dyDescent="0.3">
      <c r="B13" s="27" t="s">
        <v>20</v>
      </c>
      <c r="C13" s="115" t="s">
        <v>57</v>
      </c>
      <c r="D13" s="108"/>
      <c r="E13" s="105"/>
      <c r="F13" s="105" t="s">
        <v>49</v>
      </c>
      <c r="G13" s="105"/>
      <c r="H13" s="28"/>
    </row>
    <row r="14" spans="2:8" ht="16.8" x14ac:dyDescent="0.4">
      <c r="B14" s="29" t="s">
        <v>1</v>
      </c>
      <c r="C14" s="104"/>
      <c r="D14" s="30"/>
      <c r="E14" s="30"/>
      <c r="F14" s="109" t="s">
        <v>53</v>
      </c>
      <c r="G14" s="30"/>
      <c r="H14" s="31"/>
    </row>
    <row r="15" spans="2:8" ht="15" thickBot="1" x14ac:dyDescent="0.35">
      <c r="B15" s="32" t="s">
        <v>3</v>
      </c>
      <c r="C15" s="33" t="s">
        <v>48</v>
      </c>
      <c r="D15" s="33"/>
      <c r="E15" s="34"/>
      <c r="F15" s="117" t="s">
        <v>21</v>
      </c>
      <c r="G15" s="117"/>
      <c r="H15" s="118"/>
    </row>
    <row r="17" spans="2:13" ht="15" thickBot="1" x14ac:dyDescent="0.35"/>
    <row r="18" spans="2:13" x14ac:dyDescent="0.3">
      <c r="B18" s="119" t="s">
        <v>22</v>
      </c>
      <c r="C18" s="120"/>
      <c r="D18" s="120"/>
      <c r="E18" s="120"/>
      <c r="F18" s="120"/>
      <c r="G18" s="120"/>
      <c r="H18" s="121"/>
      <c r="I18" s="5"/>
      <c r="J18" s="5"/>
      <c r="K18" s="5"/>
    </row>
    <row r="19" spans="2:13" ht="15" thickBot="1" x14ac:dyDescent="0.35">
      <c r="B19" s="89" t="s">
        <v>23</v>
      </c>
      <c r="C19" s="90" t="s">
        <v>24</v>
      </c>
      <c r="D19" s="90" t="s">
        <v>25</v>
      </c>
      <c r="E19" s="90" t="s">
        <v>10</v>
      </c>
      <c r="F19" s="90" t="s">
        <v>26</v>
      </c>
      <c r="G19" s="90" t="s">
        <v>27</v>
      </c>
      <c r="H19" s="91" t="s">
        <v>5</v>
      </c>
      <c r="I19" s="4"/>
      <c r="J19" s="4"/>
    </row>
    <row r="20" spans="2:13" ht="16.2" thickBot="1" x14ac:dyDescent="0.35">
      <c r="B20" s="98">
        <v>1</v>
      </c>
      <c r="C20" s="101" t="s">
        <v>54</v>
      </c>
      <c r="D20" s="92">
        <v>1500</v>
      </c>
      <c r="E20" s="92">
        <v>500</v>
      </c>
      <c r="F20" s="101" t="s">
        <v>58</v>
      </c>
      <c r="G20" s="116"/>
      <c r="H20" s="103"/>
      <c r="I20" s="45"/>
      <c r="K20" s="45"/>
    </row>
    <row r="21" spans="2:13" ht="15.6" x14ac:dyDescent="0.3">
      <c r="B21" s="98">
        <v>1</v>
      </c>
      <c r="C21" s="101" t="s">
        <v>55</v>
      </c>
      <c r="D21" s="92">
        <v>1500</v>
      </c>
      <c r="E21" s="92">
        <v>100</v>
      </c>
      <c r="F21" s="101" t="s">
        <v>58</v>
      </c>
      <c r="G21" s="102"/>
      <c r="H21" s="103">
        <f>G21*B21</f>
        <v>0</v>
      </c>
      <c r="I21" s="45"/>
      <c r="K21" s="45"/>
    </row>
    <row r="22" spans="2:13" ht="15.6" x14ac:dyDescent="0.3">
      <c r="B22" s="93"/>
      <c r="C22" s="94"/>
      <c r="D22" s="95"/>
      <c r="E22" s="95"/>
      <c r="F22" s="9"/>
      <c r="G22" s="96"/>
      <c r="H22" s="97"/>
      <c r="I22" s="45"/>
      <c r="K22" s="45"/>
    </row>
    <row r="23" spans="2:13" ht="15" thickBot="1" x14ac:dyDescent="0.35">
      <c r="B23" s="74"/>
      <c r="C23" s="76"/>
      <c r="D23" s="45"/>
      <c r="E23" s="45"/>
      <c r="F23" s="45"/>
      <c r="G23" s="77"/>
      <c r="H23" s="78"/>
      <c r="K23" s="88"/>
      <c r="L23" s="88"/>
    </row>
    <row r="24" spans="2:13" ht="16.95" customHeight="1" x14ac:dyDescent="0.3">
      <c r="B24" s="9"/>
      <c r="C24" s="45"/>
      <c r="D24" s="2"/>
      <c r="E24" s="2"/>
      <c r="F24" s="9"/>
      <c r="G24" s="80" t="s">
        <v>6</v>
      </c>
      <c r="H24" s="81">
        <v>50000</v>
      </c>
      <c r="L24" s="88"/>
      <c r="M24" s="88"/>
    </row>
    <row r="25" spans="2:13" ht="18" customHeight="1" x14ac:dyDescent="0.3">
      <c r="G25" s="82" t="s">
        <v>7</v>
      </c>
      <c r="H25" s="83"/>
    </row>
    <row r="26" spans="2:13" ht="16.2" thickBot="1" x14ac:dyDescent="0.35">
      <c r="G26" s="84" t="s">
        <v>5</v>
      </c>
      <c r="H26" s="85">
        <f>H24+H25</f>
        <v>50000</v>
      </c>
    </row>
    <row r="27" spans="2:13" x14ac:dyDescent="0.3">
      <c r="C27" s="45"/>
    </row>
    <row r="28" spans="2:13" x14ac:dyDescent="0.3">
      <c r="B28" s="40" t="s">
        <v>31</v>
      </c>
      <c r="C28" s="45"/>
      <c r="D28" s="35"/>
      <c r="E28" s="35"/>
      <c r="F28" s="36"/>
    </row>
    <row r="29" spans="2:13" x14ac:dyDescent="0.3">
      <c r="B29" s="40" t="s">
        <v>32</v>
      </c>
      <c r="C29" s="45"/>
      <c r="D29" s="35"/>
      <c r="E29" s="35"/>
      <c r="F29" s="36"/>
    </row>
    <row r="30" spans="2:13" x14ac:dyDescent="0.3">
      <c r="B30" s="41" t="s">
        <v>28</v>
      </c>
      <c r="C30" s="45"/>
      <c r="E30" s="42" t="s">
        <v>29</v>
      </c>
    </row>
  </sheetData>
  <sortState xmlns:xlrd2="http://schemas.microsoft.com/office/spreadsheetml/2017/richdata2" ref="B44">
    <sortCondition sortBy="fontColor" ref="B44" dxfId="1"/>
  </sortState>
  <mergeCells count="2">
    <mergeCell ref="F15:H15"/>
    <mergeCell ref="B18:H18"/>
  </mergeCells>
  <phoneticPr fontId="26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8"/>
  <sheetViews>
    <sheetView tabSelected="1" workbookViewId="0">
      <selection sqref="A1:G34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33.21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47" t="s">
        <v>30</v>
      </c>
      <c r="E4" s="48">
        <f>'5770'!G8</f>
        <v>4053</v>
      </c>
      <c r="G4" s="2"/>
    </row>
    <row r="5" spans="1:17" ht="15.6" x14ac:dyDescent="0.3">
      <c r="C5" s="49" t="s">
        <v>35</v>
      </c>
      <c r="D5" s="50" t="str">
        <f>'5770'!C10</f>
        <v>RICARDO MENDOZA</v>
      </c>
      <c r="E5" s="30"/>
      <c r="F5" s="30"/>
      <c r="G5" s="2"/>
      <c r="J5" s="5"/>
      <c r="K5" s="5"/>
    </row>
    <row r="6" spans="1:17" ht="15.6" x14ac:dyDescent="0.3">
      <c r="C6" s="51"/>
      <c r="D6" s="52"/>
      <c r="G6" s="2"/>
      <c r="I6" s="5"/>
      <c r="J6" s="5"/>
      <c r="K6" s="5"/>
    </row>
    <row r="7" spans="1:17" ht="15.6" x14ac:dyDescent="0.3">
      <c r="C7" s="53" t="str">
        <f>'[1]4637'!F11</f>
        <v>FECHA ENTREGA :</v>
      </c>
      <c r="E7" s="54">
        <f>'5770'!G11</f>
        <v>44991</v>
      </c>
      <c r="F7" s="2"/>
      <c r="G7" s="2"/>
      <c r="I7" s="5"/>
      <c r="J7" s="5"/>
      <c r="K7" s="5"/>
    </row>
    <row r="8" spans="1:17" ht="15.6" x14ac:dyDescent="0.3">
      <c r="F8" s="71"/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2" t="s">
        <v>36</v>
      </c>
      <c r="B10" s="122"/>
      <c r="C10" s="122"/>
      <c r="D10" s="122"/>
      <c r="E10" s="122"/>
      <c r="F10" s="122"/>
      <c r="G10" s="2"/>
      <c r="I10" s="5"/>
      <c r="J10" s="5"/>
      <c r="K10" s="5"/>
    </row>
    <row r="11" spans="1:17" ht="15.6" x14ac:dyDescent="0.3">
      <c r="C11" s="55"/>
      <c r="G11" s="2"/>
      <c r="I11" s="5"/>
      <c r="J11" s="5"/>
      <c r="K11" s="5"/>
    </row>
    <row r="12" spans="1:17" ht="15.6" x14ac:dyDescent="0.3">
      <c r="A12" s="2"/>
      <c r="B12" s="2"/>
      <c r="C12" s="2"/>
      <c r="D12" s="56" t="s">
        <v>9</v>
      </c>
      <c r="E12" s="56" t="s">
        <v>10</v>
      </c>
      <c r="F12" s="2"/>
      <c r="G12" s="2"/>
    </row>
    <row r="13" spans="1:17" ht="15.6" x14ac:dyDescent="0.3">
      <c r="A13" s="56" t="s">
        <v>11</v>
      </c>
      <c r="B13" s="86" t="s">
        <v>12</v>
      </c>
      <c r="C13" s="86" t="s">
        <v>13</v>
      </c>
      <c r="D13" s="57">
        <v>50</v>
      </c>
      <c r="E13" s="57">
        <v>-30</v>
      </c>
      <c r="F13" s="87" t="s">
        <v>37</v>
      </c>
      <c r="G13" s="2"/>
      <c r="J13" s="8" t="s">
        <v>9</v>
      </c>
      <c r="K13" s="8" t="s">
        <v>10</v>
      </c>
    </row>
    <row r="14" spans="1:17" ht="15.6" x14ac:dyDescent="0.3">
      <c r="A14" s="56" t="s">
        <v>51</v>
      </c>
      <c r="B14" s="63">
        <f>I14</f>
        <v>1</v>
      </c>
      <c r="C14" s="63"/>
      <c r="D14" s="63">
        <f>J14+D$13</f>
        <v>1550</v>
      </c>
      <c r="E14" s="79">
        <f>K14+E$13</f>
        <v>470</v>
      </c>
      <c r="F14" s="114" t="str">
        <f>C27</f>
        <v>CUB C/R R8</v>
      </c>
      <c r="G14" s="2"/>
      <c r="I14" s="6">
        <f t="shared" ref="I14:K14" si="0">I21</f>
        <v>1</v>
      </c>
      <c r="J14" s="7">
        <f t="shared" si="0"/>
        <v>1500</v>
      </c>
      <c r="K14" s="7">
        <f t="shared" si="0"/>
        <v>500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56"/>
      <c r="B15" s="9"/>
      <c r="C15" s="9"/>
      <c r="D15" s="9"/>
      <c r="E15" s="100"/>
      <c r="F15" s="9"/>
      <c r="G15" s="2"/>
      <c r="I15" s="99"/>
      <c r="J15" s="5"/>
      <c r="K15" s="5"/>
      <c r="Q15">
        <f>SUM(Q14:Q14)</f>
        <v>1.0800000000000001E-2</v>
      </c>
    </row>
    <row r="16" spans="1:17" ht="15.6" x14ac:dyDescent="0.3">
      <c r="G16" s="46"/>
    </row>
    <row r="17" spans="1:11" ht="15.6" x14ac:dyDescent="0.3">
      <c r="A17" s="122" t="s">
        <v>16</v>
      </c>
      <c r="B17" s="122"/>
      <c r="C17" s="122"/>
      <c r="D17" s="122"/>
      <c r="E17" s="122"/>
      <c r="F17" s="122"/>
      <c r="G17" s="46"/>
      <c r="I17" s="5"/>
      <c r="J17" s="5"/>
      <c r="K17" s="5"/>
    </row>
    <row r="18" spans="1:11" ht="15.6" x14ac:dyDescent="0.3">
      <c r="A18" s="2"/>
      <c r="B18" s="2"/>
      <c r="C18" s="55"/>
      <c r="D18" s="2"/>
      <c r="E18" s="2"/>
      <c r="F18" s="2"/>
      <c r="G18" s="46"/>
      <c r="I18" s="5"/>
      <c r="J18" s="5"/>
      <c r="K18" s="5"/>
    </row>
    <row r="19" spans="1:11" ht="15.6" x14ac:dyDescent="0.3">
      <c r="A19" s="2"/>
      <c r="B19" s="2"/>
      <c r="C19" s="2"/>
      <c r="D19" s="56" t="s">
        <v>9</v>
      </c>
      <c r="E19" s="56" t="s">
        <v>10</v>
      </c>
      <c r="F19" s="2"/>
      <c r="G19" s="46"/>
    </row>
    <row r="20" spans="1:11" ht="15.6" x14ac:dyDescent="0.3">
      <c r="A20" s="56" t="s">
        <v>11</v>
      </c>
      <c r="B20" s="86" t="s">
        <v>12</v>
      </c>
      <c r="C20" s="86" t="s">
        <v>13</v>
      </c>
      <c r="D20" s="57">
        <v>40</v>
      </c>
      <c r="E20" s="57">
        <v>130</v>
      </c>
      <c r="F20" s="87" t="s">
        <v>37</v>
      </c>
      <c r="G20" s="46"/>
      <c r="J20" s="8" t="s">
        <v>9</v>
      </c>
      <c r="K20" s="8" t="s">
        <v>10</v>
      </c>
    </row>
    <row r="21" spans="1:11" ht="15.6" x14ac:dyDescent="0.3">
      <c r="A21" s="56" t="s">
        <v>52</v>
      </c>
      <c r="B21" s="63">
        <f>B27</f>
        <v>1</v>
      </c>
      <c r="C21" s="63"/>
      <c r="D21" s="63">
        <f t="shared" ref="D21" si="1">J21+D$20</f>
        <v>1540</v>
      </c>
      <c r="E21" s="63">
        <f>K21+E$20</f>
        <v>630</v>
      </c>
      <c r="F21" s="114" t="str">
        <f>C27</f>
        <v>CUB C/R R8</v>
      </c>
      <c r="G21" s="46"/>
      <c r="I21" s="6">
        <f>B27</f>
        <v>1</v>
      </c>
      <c r="J21" s="7">
        <f t="shared" ref="J21" si="2">D27</f>
        <v>1500</v>
      </c>
      <c r="K21" s="7">
        <f t="shared" ref="K21" si="3">E27</f>
        <v>500</v>
      </c>
    </row>
    <row r="22" spans="1:11" ht="15.6" x14ac:dyDescent="0.3">
      <c r="A22" s="56"/>
      <c r="B22" s="63">
        <f>B28</f>
        <v>1</v>
      </c>
      <c r="C22" s="63"/>
      <c r="D22" s="63">
        <f t="shared" ref="D22" si="4">J22+D$20</f>
        <v>1540</v>
      </c>
      <c r="E22" s="63">
        <f>K22</f>
        <v>100</v>
      </c>
      <c r="F22" s="114" t="str">
        <f>C28</f>
        <v>ZOCALOS</v>
      </c>
      <c r="G22" s="46"/>
      <c r="I22" s="6">
        <f>B28</f>
        <v>1</v>
      </c>
      <c r="J22" s="7">
        <f t="shared" ref="J22" si="5">D28</f>
        <v>1500</v>
      </c>
      <c r="K22" s="7">
        <f t="shared" ref="K22" si="6">E28</f>
        <v>100</v>
      </c>
    </row>
    <row r="23" spans="1:11" ht="16.2" thickBot="1" x14ac:dyDescent="0.35">
      <c r="A23" s="56"/>
      <c r="B23" s="9"/>
      <c r="C23" s="9"/>
      <c r="D23" s="9"/>
      <c r="E23" s="9"/>
      <c r="F23" s="58"/>
      <c r="G23" s="44"/>
      <c r="I23" s="5"/>
      <c r="J23" s="5"/>
      <c r="K23" s="5"/>
    </row>
    <row r="24" spans="1:11" ht="16.2" thickBot="1" x14ac:dyDescent="0.35">
      <c r="A24" s="56"/>
      <c r="B24" s="59" t="s">
        <v>38</v>
      </c>
      <c r="C24" s="60"/>
      <c r="D24" s="60"/>
      <c r="E24" s="60"/>
      <c r="F24" s="60"/>
      <c r="G24" s="2"/>
    </row>
    <row r="25" spans="1:11" ht="20.25" customHeight="1" x14ac:dyDescent="0.3">
      <c r="G25" s="2"/>
    </row>
    <row r="26" spans="1:11" ht="15.6" x14ac:dyDescent="0.3">
      <c r="A26" s="56" t="s">
        <v>11</v>
      </c>
      <c r="B26" s="61" t="s">
        <v>12</v>
      </c>
      <c r="C26" s="61" t="s">
        <v>37</v>
      </c>
      <c r="D26" s="61" t="s">
        <v>9</v>
      </c>
      <c r="E26" s="61" t="s">
        <v>10</v>
      </c>
      <c r="F26" s="61" t="s">
        <v>26</v>
      </c>
      <c r="G26" s="2"/>
    </row>
    <row r="27" spans="1:11" ht="15.6" x14ac:dyDescent="0.3">
      <c r="A27" s="56" t="s">
        <v>52</v>
      </c>
      <c r="B27" s="63">
        <f>'5770'!B20</f>
        <v>1</v>
      </c>
      <c r="C27" s="63" t="str">
        <f>'5770'!C20</f>
        <v>CUB C/R R8</v>
      </c>
      <c r="D27" s="63">
        <f>'5770'!D20</f>
        <v>1500</v>
      </c>
      <c r="E27" s="63">
        <f>'5770'!E20</f>
        <v>500</v>
      </c>
      <c r="F27" s="63" t="str">
        <f>'5770'!F20</f>
        <v>GRANITINO NEGRO BR</v>
      </c>
      <c r="G27" s="2"/>
    </row>
    <row r="28" spans="1:11" ht="15.6" x14ac:dyDescent="0.3">
      <c r="A28" s="62"/>
      <c r="B28" s="63">
        <f>'5770'!B21</f>
        <v>1</v>
      </c>
      <c r="C28" s="63" t="str">
        <f>'5770'!C21</f>
        <v>ZOCALOS</v>
      </c>
      <c r="D28" s="63">
        <f>'5770'!D21</f>
        <v>1500</v>
      </c>
      <c r="E28" s="63">
        <f>'5770'!E21</f>
        <v>100</v>
      </c>
      <c r="F28" s="63" t="str">
        <f>'5770'!F21</f>
        <v>GRANITINO NEGRO BR</v>
      </c>
      <c r="G28" s="2"/>
    </row>
    <row r="29" spans="1:11" ht="15.6" x14ac:dyDescent="0.3">
      <c r="B29" s="9"/>
      <c r="C29" s="20"/>
      <c r="D29" s="9"/>
      <c r="E29" s="9"/>
      <c r="F29" s="58"/>
      <c r="G29" s="2"/>
    </row>
    <row r="30" spans="1:11" ht="15.6" x14ac:dyDescent="0.3">
      <c r="B30" s="9"/>
      <c r="C30" s="20"/>
      <c r="D30" s="9"/>
      <c r="E30" s="9"/>
      <c r="F30" s="58"/>
    </row>
    <row r="31" spans="1:11" ht="15.6" x14ac:dyDescent="0.3">
      <c r="B31" s="9"/>
      <c r="C31" s="20"/>
      <c r="D31" s="9"/>
      <c r="E31" s="9"/>
      <c r="F31" s="58"/>
    </row>
    <row r="32" spans="1:11" ht="15.6" x14ac:dyDescent="0.3">
      <c r="B32" s="9"/>
      <c r="C32" s="20"/>
      <c r="D32" s="9"/>
      <c r="E32" s="9"/>
      <c r="F32" s="58"/>
    </row>
    <row r="33" spans="1:6" ht="15.6" x14ac:dyDescent="0.3">
      <c r="B33" s="9"/>
      <c r="C33" s="20"/>
      <c r="D33" s="9"/>
      <c r="E33" s="9"/>
      <c r="F33" s="58"/>
    </row>
    <row r="34" spans="1:6" ht="15.6" x14ac:dyDescent="0.3">
      <c r="B34" s="9"/>
      <c r="C34" s="20"/>
      <c r="D34" s="9"/>
      <c r="E34" s="9"/>
      <c r="F34" s="58"/>
    </row>
    <row r="35" spans="1:6" ht="15.6" x14ac:dyDescent="0.3">
      <c r="B35" s="9"/>
      <c r="C35" s="20"/>
      <c r="D35" s="9"/>
      <c r="E35" s="9"/>
      <c r="F35" s="58"/>
    </row>
    <row r="37" spans="1:6" ht="15.6" x14ac:dyDescent="0.3">
      <c r="C37" s="47" t="s">
        <v>30</v>
      </c>
      <c r="E37" s="48">
        <f>'5770'!G8</f>
        <v>4053</v>
      </c>
    </row>
    <row r="38" spans="1:6" ht="20.399999999999999" customHeight="1" x14ac:dyDescent="0.3">
      <c r="C38" s="49" t="s">
        <v>35</v>
      </c>
      <c r="D38" s="50" t="str">
        <f>'5770'!C10</f>
        <v>RICARDO MENDOZA</v>
      </c>
      <c r="E38" s="30"/>
      <c r="F38" s="30"/>
    </row>
    <row r="39" spans="1:6" x14ac:dyDescent="0.3">
      <c r="C39" s="51"/>
      <c r="D39" s="52"/>
    </row>
    <row r="40" spans="1:6" ht="15.6" x14ac:dyDescent="0.3">
      <c r="C40" s="53" t="str">
        <f>'[1]4637'!F11</f>
        <v>FECHA ENTREGA :</v>
      </c>
      <c r="E40" s="54">
        <f>'5770'!G11</f>
        <v>44991</v>
      </c>
      <c r="F40" s="2"/>
    </row>
    <row r="41" spans="1:6" x14ac:dyDescent="0.3">
      <c r="E41" t="str">
        <f>'5770'!B15</f>
        <v>CIUDAD:</v>
      </c>
      <c r="F41" t="str">
        <f>'5770'!C15</f>
        <v xml:space="preserve">SANTIAGO </v>
      </c>
    </row>
    <row r="43" spans="1:6" x14ac:dyDescent="0.3">
      <c r="A43" s="123" t="s">
        <v>39</v>
      </c>
      <c r="B43" s="123"/>
      <c r="C43" s="123"/>
      <c r="D43" s="123"/>
      <c r="E43" s="123"/>
      <c r="F43" s="123"/>
    </row>
    <row r="45" spans="1:6" x14ac:dyDescent="0.3">
      <c r="B45" s="124" t="s">
        <v>4</v>
      </c>
      <c r="C45" s="125"/>
      <c r="D45" s="126"/>
      <c r="E45" s="126"/>
      <c r="F45" s="127"/>
    </row>
    <row r="46" spans="1:6" x14ac:dyDescent="0.3">
      <c r="A46" s="1"/>
      <c r="B46" s="64" t="s">
        <v>12</v>
      </c>
      <c r="C46" s="65" t="s">
        <v>14</v>
      </c>
      <c r="D46" s="66" t="s">
        <v>9</v>
      </c>
      <c r="E46" s="66" t="s">
        <v>10</v>
      </c>
      <c r="F46" s="65" t="s">
        <v>26</v>
      </c>
    </row>
    <row r="47" spans="1:6" ht="18" x14ac:dyDescent="0.35">
      <c r="A47" s="56" t="s">
        <v>52</v>
      </c>
      <c r="B47" s="111">
        <f>'5770'!B20</f>
        <v>1</v>
      </c>
      <c r="C47" s="113" t="str">
        <f>'5770'!C20</f>
        <v>CUB C/R R8</v>
      </c>
      <c r="D47" s="112">
        <f>'5770'!D20</f>
        <v>1500</v>
      </c>
      <c r="E47" s="112">
        <f>'5770'!E20</f>
        <v>500</v>
      </c>
      <c r="F47" s="113" t="str">
        <f>'5770'!F20</f>
        <v>GRANITINO NEGRO BR</v>
      </c>
    </row>
    <row r="48" spans="1:6" ht="18" x14ac:dyDescent="0.35">
      <c r="A48" s="56"/>
      <c r="B48" s="111">
        <f>'5770'!B21</f>
        <v>1</v>
      </c>
      <c r="C48" s="113" t="str">
        <f>'5770'!C21</f>
        <v>ZOCALOS</v>
      </c>
      <c r="D48" s="112">
        <f>'5770'!D21</f>
        <v>1500</v>
      </c>
      <c r="E48" s="112">
        <f>'5770'!E21</f>
        <v>100</v>
      </c>
      <c r="F48" s="113" t="str">
        <f>'5770'!F21</f>
        <v>GRANITINO NEGRO BR</v>
      </c>
    </row>
    <row r="49" spans="1:6" x14ac:dyDescent="0.3">
      <c r="A49" s="56"/>
      <c r="B49" s="5"/>
      <c r="C49" s="5"/>
      <c r="D49" s="5"/>
      <c r="E49" s="5"/>
      <c r="F49" s="5"/>
    </row>
    <row r="50" spans="1:6" ht="15.6" x14ac:dyDescent="0.3">
      <c r="A50" s="67"/>
      <c r="B50" s="5"/>
      <c r="C50" s="41"/>
      <c r="D50" s="9"/>
      <c r="E50" s="9"/>
      <c r="F50" s="58"/>
    </row>
    <row r="51" spans="1:6" ht="15.6" x14ac:dyDescent="0.3">
      <c r="A51" s="67"/>
      <c r="B51" s="5"/>
      <c r="C51" s="41"/>
      <c r="D51" s="9"/>
      <c r="E51" s="9"/>
      <c r="F51" s="51"/>
    </row>
    <row r="52" spans="1:6" ht="15.6" x14ac:dyDescent="0.3">
      <c r="A52" s="67"/>
      <c r="B52" s="5"/>
      <c r="C52" s="41"/>
      <c r="D52" s="9"/>
      <c r="E52" s="9"/>
      <c r="F52" s="58"/>
    </row>
    <row r="53" spans="1:6" ht="15" thickBot="1" x14ac:dyDescent="0.35"/>
    <row r="54" spans="1:6" x14ac:dyDescent="0.3">
      <c r="B54" s="68" t="s">
        <v>15</v>
      </c>
      <c r="C54" s="69"/>
      <c r="D54" s="11"/>
      <c r="E54" s="11"/>
      <c r="F54" s="12"/>
    </row>
    <row r="55" spans="1:6" x14ac:dyDescent="0.3">
      <c r="B55" s="13"/>
      <c r="C55" s="70" t="s">
        <v>40</v>
      </c>
      <c r="D55" s="14"/>
      <c r="E55" s="14"/>
      <c r="F55" s="15"/>
    </row>
    <row r="56" spans="1:6" ht="18" x14ac:dyDescent="0.35">
      <c r="B56" s="70" t="s">
        <v>41</v>
      </c>
      <c r="C56" s="71"/>
      <c r="D56" s="16"/>
      <c r="E56" s="16"/>
      <c r="F56" s="17"/>
    </row>
    <row r="57" spans="1:6" ht="18.600000000000001" thickBot="1" x14ac:dyDescent="0.4">
      <c r="B57" s="72" t="s">
        <v>42</v>
      </c>
      <c r="C57" s="18"/>
      <c r="D57" s="18"/>
      <c r="E57" s="18"/>
      <c r="F57" s="19"/>
    </row>
    <row r="58" spans="1:6" ht="18" x14ac:dyDescent="0.35">
      <c r="A58" s="3"/>
      <c r="B58" s="10"/>
    </row>
  </sheetData>
  <mergeCells count="4">
    <mergeCell ref="A10:F10"/>
    <mergeCell ref="A17:F17"/>
    <mergeCell ref="A43:F43"/>
    <mergeCell ref="B45:F45"/>
  </mergeCells>
  <pageMargins left="0.70866141732283472" right="0.70866141732283472" top="0.74803149606299213" bottom="0.74803149606299213" header="0.31496062992125984" footer="0.31496062992125984"/>
  <pageSetup scale="7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2024-02-29T18:34:07Z</cp:lastPrinted>
  <dcterms:created xsi:type="dcterms:W3CDTF">2013-03-19T12:54:14Z</dcterms:created>
  <dcterms:modified xsi:type="dcterms:W3CDTF">2024-02-29T18:35:51Z</dcterms:modified>
</cp:coreProperties>
</file>