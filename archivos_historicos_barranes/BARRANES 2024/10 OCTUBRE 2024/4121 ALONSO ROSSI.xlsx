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B9B8E1AA-3F91-4E28-9B9A-7134D81D1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J14" i="3"/>
  <c r="C14" i="3" s="1"/>
  <c r="D49" i="3" l="1"/>
  <c r="L21" i="4" l="1"/>
  <c r="K21" i="4"/>
  <c r="M21" i="4" l="1"/>
  <c r="N21" i="4" s="1"/>
  <c r="C27" i="3" l="1"/>
  <c r="J21" i="3" s="1"/>
  <c r="C21" i="3" s="1"/>
  <c r="D27" i="3"/>
  <c r="G21" i="3" s="1"/>
  <c r="E27" i="3"/>
  <c r="F27" i="3"/>
  <c r="L21" i="3" s="1"/>
  <c r="F21" i="3" s="1"/>
  <c r="G27" i="3"/>
  <c r="C49" i="3"/>
  <c r="E49" i="3"/>
  <c r="F49" i="3"/>
  <c r="G49" i="3"/>
  <c r="I27" i="3" l="1"/>
  <c r="J27" i="3" s="1"/>
  <c r="K21" i="3"/>
  <c r="E21" i="3" s="1"/>
  <c r="I49" i="3"/>
  <c r="J49" i="3" s="1"/>
  <c r="K14" i="3"/>
  <c r="E14" i="3" s="1"/>
  <c r="G14" i="3"/>
  <c r="L14" i="3"/>
  <c r="F14" i="3" s="1"/>
  <c r="J30" i="3" l="1"/>
  <c r="K49" i="3"/>
  <c r="J52" i="3"/>
  <c r="H27" i="4"/>
  <c r="O5" i="3"/>
  <c r="K5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<sst xmlns="http://schemas.openxmlformats.org/spreadsheetml/2006/main" count="247" uniqueCount="143">
  <si>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</si>
  <si>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</si>
  <si>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</si>
  <si>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</si>
  <si>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</si>
  <si>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</si>
  <si>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</si>
  <si>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</si>
  <si>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</si>
  <si>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</si>
  <si>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</si>
  <si>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</si>
  <si>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</si>
  <si>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</si>
  <si>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</si>
  <si>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</si>
  <si>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</si>
  <si>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</si>
  <si>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</si>
  <si>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</si>
  <si>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</si>
  <si>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</si>
  <si>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</si>
  <si>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</si>
  <si>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</si>
  <si>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</si>
  <si>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</si>
  <si>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</si>
  <si>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</si>
  <si>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</si>
  <si>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</si>
  <si>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</si>
  <si>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</si>
  <si>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</si>
  <si>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</si>
  <si>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</si>
  <si>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</si>
  <si>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</si>
  <si>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</si>
  <si>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</si>
  <si>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</si>
  <si>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</si>
  <si>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</si>
  <si>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</si>
  <si>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</si>
  <si>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</si>
  <si>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</si>
  <si>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</si>
  <si>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</si>
  <si>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</si>
  <si>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</si>
  <si>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</si>
  <si>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</si>
  <si>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</si>
  <si>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</si>
  <si>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</si>
  <si>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</si>
  <si>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</si>
  <si>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</si>
  <si>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</si>
  <si>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</si>
  <si>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</si>
  <si>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</si>
  <si>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</si>
  <si>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</si>
  <si>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</si>
  <si>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</si>
  <si>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</si>
  <si>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</si>
  <si>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</si>
  <si>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</si>
  <si>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</si>
  <si>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</si>
  <si>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</si>
  <si>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</si>
  <si>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</si>
  <si>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</si>
  <si>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</si>
  <si>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</si>
  <si>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</si>
  <si>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</si>
  <si>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</si>
  <si>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</si>
  <si>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</si>
  <si>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</si>
  <si>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</si>
  <si>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</si>
  <si>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</si>
  <si>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</si>
  <si>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</si>
  <si>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</si>
  <si>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</si>
  <si>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</si>
  <si>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</si>
  <si>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</si>
  <si>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</si>
  <si>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</si>
  <si>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</si>
  <si>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</si>
  <si>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</si>
  <si>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</si>
  <si>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</si>
  <si>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</si>
  <si>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</si>
  <si>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</si>
  <si>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</si>
  <si>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</si>
  <si>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</si>
  <si>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</si>
  <si>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</si>
  <si>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</si>
  <si>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</si>
  <si>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</si>
  <si>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</si>
  <si>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</si>
  <si>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</si>
  <si>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</si>
  <si>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</si>
  <si>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</si>
  <si>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</si>
  <si>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</si>
  <si>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</si>
  <si>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</si>
  <si>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</si>
  <si>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</si>
  <si>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</si>
  <si>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</si>
  <si>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</si>
  <si>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</si>
  <si>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</si>
  <si>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</si>
  <si>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</si>
  <si>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</si>
  <si>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</si>
  <si>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</si>
  <si>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</si>
  <si>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MDF18MM</t>
  </si>
  <si>
    <t>SANTIAGO</t>
  </si>
  <si>
    <t>IVA</t>
  </si>
  <si>
    <t>ALONSO ROSSI</t>
  </si>
  <si>
    <t>569 8131 8097</t>
  </si>
  <si>
    <t>MOUSE 2193 MT</t>
  </si>
  <si>
    <t>PR6 1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</si>
</sst>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19" fillId="3" borderId="0" xfId="0" quotePrefix="1" applyFont="1" applyFill="1"/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0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CANCELADA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abSelected="1" topLeftCell="A8" zoomScale="98" zoomScaleNormal="98" workbookViewId="0">
      <selection activeCell="K14" sqref="K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/>
      <c r="E8" s="29"/>
      <c r="F8" s="34" t="s">
        <v>25</v>
      </c>
      <c r="G8" s="35">
        <v>4121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139</v>
      </c>
      <c r="D10" s="38"/>
      <c r="E10" s="38"/>
      <c r="F10" s="39" t="s">
        <v>26</v>
      </c>
      <c r="G10" s="40">
        <v>45572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45574</v>
      </c>
      <c r="H11" s="45"/>
      <c r="I11" s="29"/>
    </row>
    <row r="12" spans="1:17" ht="18" x14ac:dyDescent="0.35">
      <c r="A12" s="29"/>
      <c r="B12" s="46" t="s">
        <v>126</v>
      </c>
      <c r="C12" s="2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50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3" t="s">
        <v>140</v>
      </c>
      <c r="D14" s="51"/>
      <c r="E14" s="43"/>
      <c r="F14" s="43"/>
      <c r="G14" s="43"/>
      <c r="H14" s="45"/>
      <c r="I14" s="29"/>
    </row>
    <row r="15" spans="1:17" ht="18" x14ac:dyDescent="0.35">
      <c r="A15" s="29"/>
      <c r="B15" s="46" t="s">
        <v>1</v>
      </c>
      <c r="C15" s="29"/>
      <c r="D15" s="47"/>
      <c r="E15" s="47"/>
      <c r="F15" s="52" t="s">
        <v>72</v>
      </c>
      <c r="G15" s="52" t="s">
        <v>129</v>
      </c>
      <c r="H15" s="49"/>
      <c r="I15" s="29"/>
    </row>
    <row r="16" spans="1:17" ht="18.600000000000001" thickBot="1" x14ac:dyDescent="0.4">
      <c r="A16" s="29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thickBot="1" x14ac:dyDescent="0.4">
      <c r="A20" s="29"/>
      <c r="B20" s="57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29"/>
      <c r="N20">
        <v>65000</v>
      </c>
    </row>
    <row r="21" spans="1:16" ht="20.100000000000001" customHeight="1" x14ac:dyDescent="0.35">
      <c r="A21" s="29"/>
      <c r="B21" s="114">
        <v>1</v>
      </c>
      <c r="C21" s="115" t="s">
        <v>142</v>
      </c>
      <c r="D21" s="120">
        <v>1245</v>
      </c>
      <c r="E21" s="120">
        <v>540</v>
      </c>
      <c r="F21" s="115" t="s">
        <v>141</v>
      </c>
      <c r="G21" s="116">
        <v>68750</v>
      </c>
      <c r="H21" s="117">
        <f>G21*B21</f>
        <v>68750</v>
      </c>
      <c r="I21" s="29"/>
      <c r="K21" s="11">
        <f>D21/1000</f>
        <v>1.2450000000000001</v>
      </c>
      <c r="L21" s="15">
        <f>E21/1000</f>
        <v>0.54</v>
      </c>
      <c r="M21" s="11">
        <f>K21*L21</f>
        <v>0.67230000000000012</v>
      </c>
      <c r="N21" s="11">
        <f>M21*N$20</f>
        <v>43699.500000000007</v>
      </c>
      <c r="O21" s="15"/>
      <c r="P21" s="21"/>
    </row>
    <row r="22" spans="1:16" ht="20.100000000000001" customHeight="1" x14ac:dyDescent="0.35">
      <c r="A22" s="29"/>
      <c r="B22" s="118"/>
      <c r="C22" s="118"/>
      <c r="D22" s="119"/>
      <c r="E22" s="119"/>
      <c r="F22" s="118"/>
      <c r="G22" s="103"/>
      <c r="H22" s="103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18"/>
      <c r="C23" s="118"/>
      <c r="D23" s="119"/>
      <c r="E23" s="119"/>
      <c r="F23" s="118"/>
      <c r="G23" s="103"/>
      <c r="H23" s="103"/>
      <c r="I23" s="29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29"/>
      <c r="B24" s="59"/>
      <c r="C24" s="59"/>
      <c r="D24" s="59"/>
      <c r="E24" s="59"/>
      <c r="F24" s="59"/>
      <c r="G24" s="58"/>
      <c r="H24" s="58"/>
      <c r="I24" s="29"/>
    </row>
    <row r="25" spans="1:16" ht="20.100000000000001" customHeight="1" x14ac:dyDescent="0.35">
      <c r="A25" s="29"/>
      <c r="B25" s="29"/>
      <c r="C25" s="29"/>
      <c r="D25" s="29"/>
      <c r="E25" s="29"/>
      <c r="F25" s="29"/>
      <c r="G25" s="60" t="s">
        <v>5</v>
      </c>
      <c r="H25" s="61">
        <f>SUM(H21:H24)</f>
        <v>68750</v>
      </c>
      <c r="I25" s="29"/>
    </row>
    <row r="26" spans="1:16" ht="20.100000000000001" customHeight="1" x14ac:dyDescent="0.35">
      <c r="A26" s="29"/>
      <c r="B26" s="29"/>
      <c r="C26" s="29"/>
      <c r="D26" s="29"/>
      <c r="E26" s="29"/>
      <c r="F26" s="29"/>
      <c r="G26" s="62" t="s">
        <v>138</v>
      </c>
      <c r="H26" s="63"/>
      <c r="I26" s="29"/>
    </row>
    <row r="27" spans="1:16" ht="20.100000000000001" customHeight="1" thickBot="1" x14ac:dyDescent="0.4">
      <c r="A27" s="29"/>
      <c r="B27" s="29"/>
      <c r="C27" s="29"/>
      <c r="D27" s="29"/>
      <c r="E27" s="29"/>
      <c r="F27" s="29"/>
      <c r="G27" s="64" t="s">
        <v>4</v>
      </c>
      <c r="H27" s="65">
        <f>H25+H26</f>
        <v>68750</v>
      </c>
      <c r="I27" s="29"/>
    </row>
    <row r="28" spans="1:16" ht="20.100000000000001" customHeight="1" x14ac:dyDescent="0.35">
      <c r="A28" s="29"/>
      <c r="B28" s="29"/>
      <c r="C28" s="29"/>
      <c r="D28" s="29"/>
      <c r="E28" s="29"/>
      <c r="F28" s="29"/>
      <c r="G28" s="66"/>
      <c r="H28" s="67"/>
      <c r="I28" s="29"/>
    </row>
    <row r="29" spans="1:16" ht="18" x14ac:dyDescent="0.35">
      <c r="A29" s="29"/>
      <c r="B29" s="29"/>
      <c r="C29" s="29"/>
      <c r="D29" s="29"/>
      <c r="E29" s="29"/>
      <c r="F29" s="29"/>
      <c r="G29" s="29"/>
      <c r="H29" s="29"/>
      <c r="I29" s="29"/>
    </row>
    <row r="30" spans="1:16" ht="18" x14ac:dyDescent="0.35">
      <c r="A30" s="29"/>
      <c r="B30" s="68" t="s">
        <v>133</v>
      </c>
      <c r="C30" s="69"/>
      <c r="D30" s="70"/>
      <c r="E30" s="70"/>
      <c r="F30" s="59"/>
      <c r="G30" s="29"/>
      <c r="H30" s="29"/>
      <c r="I30" s="29"/>
    </row>
    <row r="31" spans="1:16" ht="18" x14ac:dyDescent="0.35">
      <c r="A31" s="29"/>
      <c r="B31" s="68" t="s">
        <v>119</v>
      </c>
      <c r="C31" s="69"/>
      <c r="D31" s="70"/>
      <c r="E31" s="70"/>
      <c r="F31" s="59"/>
      <c r="G31" s="29"/>
      <c r="H31" s="29"/>
      <c r="I31" s="29"/>
    </row>
    <row r="32" spans="1:16" ht="18" x14ac:dyDescent="0.35">
      <c r="A32" s="29"/>
      <c r="B32" s="29" t="s">
        <v>23</v>
      </c>
      <c r="C32" s="29"/>
      <c r="D32" s="29"/>
      <c r="E32" s="29"/>
      <c r="F32" s="29"/>
      <c r="G32" s="29"/>
      <c r="H32" s="29"/>
      <c r="I32" s="29"/>
    </row>
    <row r="33" spans="1:9" ht="18" x14ac:dyDescent="0.35">
      <c r="A33" s="29"/>
      <c r="B33" s="71" t="s">
        <v>24</v>
      </c>
      <c r="C33" s="71"/>
      <c r="D33" s="29"/>
      <c r="E33" s="29"/>
      <c r="F33" s="29"/>
      <c r="G33" s="29"/>
      <c r="H33" s="29"/>
      <c r="I33" s="29"/>
    </row>
    <row r="34" spans="1:9" ht="18" x14ac:dyDescent="0.35">
      <c r="A34" s="29"/>
      <c r="B34" s="29"/>
      <c r="C34" s="29"/>
      <c r="D34" s="29"/>
      <c r="E34" s="71"/>
      <c r="F34" s="29"/>
      <c r="G34" s="29"/>
      <c r="H34" s="29"/>
      <c r="I34" s="29"/>
    </row>
    <row r="35" spans="1:9" ht="18" x14ac:dyDescent="0.35">
      <c r="A35" s="29"/>
      <c r="B35" s="30" t="s">
        <v>131</v>
      </c>
      <c r="C35" s="30"/>
      <c r="D35" s="30"/>
      <c r="E35" s="72"/>
      <c r="F35" s="29"/>
      <c r="G35" s="29"/>
      <c r="H35" s="29"/>
      <c r="I35" s="29"/>
    </row>
    <row r="36" spans="1:9" ht="18" x14ac:dyDescent="0.35">
      <c r="A36" s="29"/>
      <c r="B36" s="30"/>
      <c r="C36" s="30"/>
      <c r="D36" s="30"/>
      <c r="E36" s="72"/>
      <c r="F36" s="29"/>
      <c r="G36" s="29"/>
      <c r="H36" s="29"/>
      <c r="I36" s="29"/>
    </row>
    <row r="37" spans="1:9" ht="18" x14ac:dyDescent="0.35">
      <c r="A37" s="29"/>
      <c r="B37" s="30" t="s">
        <v>132</v>
      </c>
      <c r="C37" s="29"/>
      <c r="D37" s="29"/>
      <c r="E37" s="71"/>
      <c r="F37" s="29"/>
      <c r="G37" s="29"/>
      <c r="H37" s="29"/>
      <c r="I37" s="29"/>
    </row>
    <row r="38" spans="1:9" ht="18" x14ac:dyDescent="0.35">
      <c r="A38" s="29"/>
      <c r="B38" s="29"/>
      <c r="C38" s="29"/>
      <c r="D38" s="29"/>
      <c r="E38" s="71"/>
      <c r="F38" s="29"/>
      <c r="G38" s="29"/>
      <c r="H38" s="29"/>
      <c r="I38" s="29"/>
    </row>
    <row r="39" spans="1:9" ht="18" x14ac:dyDescent="0.35">
      <c r="A39" s="29"/>
      <c r="B39" s="29"/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1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zoomScaleNormal="100" workbookViewId="0">
      <selection sqref="A1:G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4" t="s">
        <v>25</v>
      </c>
      <c r="E4" s="75">
        <f>'4637'!G8</f>
        <v>4121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6" t="s">
        <v>64</v>
      </c>
      <c r="E5" s="77" t="str">
        <f>'4637'!C10</f>
        <v>ALONSO ROSSI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8"/>
      <c r="E6" s="79"/>
      <c r="F6" s="29"/>
      <c r="G6" s="29"/>
      <c r="H6" s="29"/>
    </row>
    <row r="7" spans="1:15" ht="18" x14ac:dyDescent="0.35">
      <c r="B7" s="29"/>
      <c r="C7" s="29"/>
      <c r="D7" s="89" t="str">
        <f>'4637'!F11</f>
        <v>FECHA LIMITE :</v>
      </c>
      <c r="E7" s="81">
        <f>'4637'!G11</f>
        <v>45574</v>
      </c>
      <c r="F7" s="29"/>
      <c r="G7" s="29" t="s">
        <v>135</v>
      </c>
      <c r="H7" s="29"/>
    </row>
    <row r="8" spans="1:15" ht="18" x14ac:dyDescent="0.35">
      <c r="B8" s="29"/>
      <c r="C8" s="29"/>
      <c r="D8" s="90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1"/>
      <c r="E11" s="29"/>
      <c r="F11" s="29"/>
      <c r="G11" s="29"/>
      <c r="H11" s="29"/>
    </row>
    <row r="12" spans="1:15" ht="18" x14ac:dyDescent="0.35">
      <c r="B12" s="29"/>
      <c r="C12" s="29"/>
      <c r="D12" s="29"/>
      <c r="E12" s="66" t="s">
        <v>6</v>
      </c>
      <c r="F12" s="66" t="s">
        <v>7</v>
      </c>
      <c r="G12" s="29"/>
      <c r="H12" s="29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/>
      <c r="G13" s="92" t="s">
        <v>107</v>
      </c>
      <c r="H13" s="29"/>
      <c r="K13" s="5" t="s">
        <v>6</v>
      </c>
      <c r="L13" s="5" t="s">
        <v>7</v>
      </c>
    </row>
    <row r="14" spans="1:15" ht="18" x14ac:dyDescent="0.35">
      <c r="A14" s="110">
        <v>1</v>
      </c>
      <c r="B14" s="102" t="s">
        <v>136</v>
      </c>
      <c r="C14" s="94">
        <f>J14</f>
        <v>1</v>
      </c>
      <c r="D14" s="94"/>
      <c r="E14" s="94">
        <f>K14+E$13</f>
        <v>1295</v>
      </c>
      <c r="F14" s="94">
        <f>L14+F$13</f>
        <v>540</v>
      </c>
      <c r="G14" s="94" t="str">
        <f>D27</f>
        <v>PR6 1 LADO</v>
      </c>
      <c r="H14" s="29"/>
      <c r="J14" s="3">
        <f>'4637'!B21</f>
        <v>1</v>
      </c>
      <c r="K14" s="4">
        <f t="shared" ref="K14:L14" si="0">E27</f>
        <v>1245</v>
      </c>
      <c r="L14" s="4">
        <f t="shared" si="0"/>
        <v>540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29"/>
    </row>
    <row r="18" spans="1:12" ht="10.5" customHeight="1" x14ac:dyDescent="0.35">
      <c r="A18" s="2"/>
      <c r="B18" s="29"/>
      <c r="C18" s="29"/>
      <c r="D18" s="91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6" t="s">
        <v>6</v>
      </c>
      <c r="F19" s="66" t="s">
        <v>7</v>
      </c>
      <c r="G19" s="29"/>
      <c r="H19" s="29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60</v>
      </c>
      <c r="G20" s="82" t="s">
        <v>107</v>
      </c>
      <c r="H20" s="29"/>
      <c r="K20" s="5" t="s">
        <v>6</v>
      </c>
      <c r="L20" s="5" t="s">
        <v>7</v>
      </c>
    </row>
    <row r="21" spans="1:12" ht="18" x14ac:dyDescent="0.35">
      <c r="A21" s="110">
        <v>1</v>
      </c>
      <c r="B21" s="102"/>
      <c r="C21" s="96">
        <f t="shared" ref="C21" si="1">J21</f>
        <v>1</v>
      </c>
      <c r="D21" s="96"/>
      <c r="E21" s="96">
        <f>K21+E$20</f>
        <v>1285</v>
      </c>
      <c r="F21" s="96">
        <f>L21+F$20</f>
        <v>600</v>
      </c>
      <c r="G21" s="96" t="str">
        <f>D27</f>
        <v>PR6 1 LADO</v>
      </c>
      <c r="H21" s="29"/>
      <c r="J21" s="3">
        <f>C27</f>
        <v>1</v>
      </c>
      <c r="K21" s="104">
        <f>E27</f>
        <v>1245</v>
      </c>
      <c r="L21" s="104">
        <f>F27</f>
        <v>540</v>
      </c>
    </row>
    <row r="22" spans="1:12" ht="18" x14ac:dyDescent="0.35">
      <c r="A22" s="110"/>
      <c r="B22" s="102"/>
      <c r="C22" s="73"/>
      <c r="D22" s="73"/>
      <c r="E22" s="73"/>
      <c r="F22" s="73"/>
      <c r="G22" s="73"/>
      <c r="H22" s="29"/>
      <c r="J22" s="23"/>
      <c r="K22" s="112"/>
      <c r="L22" s="112"/>
    </row>
    <row r="23" spans="1:12" ht="18.600000000000001" thickBot="1" x14ac:dyDescent="0.4">
      <c r="A23" s="2"/>
      <c r="B23" s="83"/>
      <c r="C23" s="73"/>
      <c r="D23" s="73"/>
      <c r="E23" s="73"/>
      <c r="F23" s="73"/>
      <c r="G23" s="73"/>
      <c r="H23" s="29"/>
      <c r="I23" s="108"/>
      <c r="J23" s="109"/>
      <c r="K23" s="109"/>
      <c r="L23" s="109"/>
    </row>
    <row r="24" spans="1:12" ht="18.600000000000001" thickBot="1" x14ac:dyDescent="0.4">
      <c r="A24" s="2"/>
      <c r="B24" s="66"/>
      <c r="C24" s="97" t="s">
        <v>104</v>
      </c>
      <c r="D24" s="32"/>
      <c r="E24" s="32"/>
      <c r="F24" s="32"/>
      <c r="G24" s="98"/>
      <c r="H24" s="29"/>
      <c r="J24" s="2"/>
      <c r="K24" s="2"/>
      <c r="L24" s="2"/>
    </row>
    <row r="25" spans="1:12" ht="10.5" customHeight="1" x14ac:dyDescent="0.35">
      <c r="A25" s="2"/>
      <c r="B25" s="29"/>
      <c r="C25" s="29"/>
      <c r="D25" s="29"/>
      <c r="E25" s="29"/>
      <c r="F25" s="29"/>
      <c r="G25" s="29"/>
      <c r="H25" s="29"/>
    </row>
    <row r="26" spans="1:12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29"/>
    </row>
    <row r="27" spans="1:12" ht="18" x14ac:dyDescent="0.35">
      <c r="A27" s="110">
        <v>1</v>
      </c>
      <c r="B27" s="102" t="s">
        <v>136</v>
      </c>
      <c r="C27" s="94">
        <f>'4637'!B21</f>
        <v>1</v>
      </c>
      <c r="D27" s="94" t="str">
        <f>'4637'!C21</f>
        <v>PR6 1 LADO</v>
      </c>
      <c r="E27" s="94">
        <f>'4637'!D21</f>
        <v>1245</v>
      </c>
      <c r="F27" s="94">
        <f>'4637'!E21</f>
        <v>540</v>
      </c>
      <c r="G27" s="94" t="str">
        <f>'4637'!F21</f>
        <v>MOUSE 2193 MT</v>
      </c>
      <c r="H27" s="29"/>
      <c r="I27" s="28">
        <f>E27*F27/1000000</f>
        <v>0.67230000000000001</v>
      </c>
      <c r="J27" s="28">
        <f>I27*C27</f>
        <v>0.67230000000000001</v>
      </c>
    </row>
    <row r="28" spans="1:12" ht="18" x14ac:dyDescent="0.35">
      <c r="A28" s="2"/>
      <c r="B28" s="83"/>
      <c r="C28" s="73"/>
      <c r="D28" s="73"/>
      <c r="E28" s="73"/>
      <c r="F28" s="73"/>
      <c r="G28" s="73"/>
      <c r="H28" s="29"/>
      <c r="I28" s="28"/>
      <c r="J28" s="28"/>
    </row>
    <row r="29" spans="1:12" ht="18" x14ac:dyDescent="0.35">
      <c r="A29" s="2"/>
      <c r="B29" s="29"/>
      <c r="C29" s="73"/>
      <c r="D29" s="73"/>
      <c r="E29" s="73"/>
      <c r="F29" s="73"/>
      <c r="G29" s="73"/>
      <c r="H29" s="29"/>
    </row>
    <row r="30" spans="1:12" ht="18" x14ac:dyDescent="0.35">
      <c r="A30" s="2"/>
      <c r="B30" s="29"/>
      <c r="C30" s="73"/>
      <c r="D30" s="73"/>
      <c r="E30" s="73"/>
      <c r="F30" s="73"/>
      <c r="G30" s="73"/>
      <c r="H30" s="29"/>
      <c r="J30" s="28">
        <f>SUM(J27:J27)*2</f>
        <v>1.3446</v>
      </c>
    </row>
    <row r="31" spans="1:12" ht="18" x14ac:dyDescent="0.35">
      <c r="A31" s="2"/>
      <c r="B31" s="29"/>
      <c r="C31" s="73"/>
      <c r="D31" s="73"/>
      <c r="E31" s="73"/>
      <c r="F31" s="73"/>
      <c r="G31" s="73"/>
      <c r="H31" s="29"/>
    </row>
    <row r="32" spans="1:12" ht="18" x14ac:dyDescent="0.35">
      <c r="A32" s="2"/>
      <c r="B32" s="29"/>
      <c r="C32" s="73"/>
      <c r="D32" s="73"/>
      <c r="E32" s="73"/>
      <c r="F32" s="73"/>
      <c r="G32" s="73"/>
      <c r="H32" s="29"/>
    </row>
    <row r="33" spans="1:11" ht="18" x14ac:dyDescent="0.35">
      <c r="A33" s="2"/>
      <c r="B33" s="29"/>
      <c r="C33" s="73"/>
      <c r="D33" s="73"/>
      <c r="E33" s="73"/>
      <c r="F33" s="73"/>
      <c r="G33" s="73"/>
      <c r="H33" s="29"/>
    </row>
    <row r="34" spans="1:11" ht="18" x14ac:dyDescent="0.35">
      <c r="A34" s="2"/>
      <c r="B34" s="29"/>
      <c r="C34" s="73"/>
      <c r="D34" s="73"/>
      <c r="E34" s="73"/>
      <c r="F34" s="73"/>
      <c r="G34" s="73"/>
      <c r="H34" s="29"/>
    </row>
    <row r="35" spans="1:11" ht="18" x14ac:dyDescent="0.35">
      <c r="A35" s="2"/>
      <c r="B35" s="29"/>
      <c r="C35" s="73"/>
      <c r="D35" s="73"/>
      <c r="E35" s="73"/>
      <c r="F35" s="73"/>
      <c r="G35" s="73"/>
      <c r="H35" s="29"/>
    </row>
    <row r="36" spans="1:11" ht="18" x14ac:dyDescent="0.35">
      <c r="A36" s="2"/>
      <c r="B36" s="29"/>
      <c r="C36" s="73"/>
      <c r="D36" s="73"/>
      <c r="E36" s="73"/>
      <c r="F36" s="73"/>
      <c r="G36" s="73"/>
      <c r="H36" s="29"/>
    </row>
    <row r="37" spans="1:11" ht="18" x14ac:dyDescent="0.35">
      <c r="A37" s="2"/>
      <c r="B37" s="29"/>
      <c r="C37" s="73"/>
      <c r="D37" s="73"/>
      <c r="E37" s="73"/>
      <c r="F37" s="73"/>
      <c r="G37" s="73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74" t="s">
        <v>25</v>
      </c>
      <c r="E39" s="75">
        <f>'4637'!G8</f>
        <v>4121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76" t="s">
        <v>64</v>
      </c>
      <c r="E40" s="77" t="str">
        <f>'4637'!C10</f>
        <v>ALONSO ROSSI</v>
      </c>
      <c r="F40" s="47"/>
      <c r="G40" s="47"/>
      <c r="H40" s="29"/>
    </row>
    <row r="41" spans="1:11" ht="4.5" customHeight="1" x14ac:dyDescent="0.35">
      <c r="A41" s="2"/>
      <c r="B41" s="29"/>
      <c r="C41" s="29"/>
      <c r="D41" s="78"/>
      <c r="E41" s="79"/>
      <c r="F41" s="29"/>
      <c r="G41" s="29"/>
      <c r="H41" s="29"/>
    </row>
    <row r="42" spans="1:11" ht="18" x14ac:dyDescent="0.35">
      <c r="A42" s="2"/>
      <c r="B42" s="29"/>
      <c r="C42" s="29"/>
      <c r="D42" s="80" t="str">
        <f>'4637'!F11</f>
        <v>FECHA LIMITE :</v>
      </c>
      <c r="E42" s="81">
        <f>'4637'!G11</f>
        <v>45574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135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30" t="s">
        <v>65</v>
      </c>
      <c r="C45" s="130"/>
      <c r="D45" s="130"/>
      <c r="E45" s="130"/>
      <c r="F45" s="130"/>
      <c r="G45" s="130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31" t="s">
        <v>66</v>
      </c>
      <c r="D47" s="132"/>
      <c r="E47" s="133"/>
      <c r="F47" s="133"/>
      <c r="G47" s="134"/>
      <c r="H47" s="29"/>
      <c r="I47" s="25" t="s">
        <v>130</v>
      </c>
    </row>
    <row r="48" spans="1:11" s="10" customFormat="1" ht="20.100000000000001" customHeight="1" x14ac:dyDescent="0.35">
      <c r="A48" s="111"/>
      <c r="B48" s="29"/>
      <c r="C48" s="84" t="s">
        <v>9</v>
      </c>
      <c r="D48" s="85" t="s">
        <v>10</v>
      </c>
      <c r="E48" s="88" t="s">
        <v>6</v>
      </c>
      <c r="F48" s="88" t="s">
        <v>7</v>
      </c>
      <c r="G48" s="86" t="s">
        <v>11</v>
      </c>
      <c r="H48" s="29"/>
      <c r="K48" s="10">
        <v>15000</v>
      </c>
    </row>
    <row r="49" spans="1:13" s="10" customFormat="1" ht="20.100000000000001" customHeight="1" x14ac:dyDescent="0.35">
      <c r="A49" s="110">
        <v>1</v>
      </c>
      <c r="B49" s="101" t="s">
        <v>136</v>
      </c>
      <c r="C49" s="96">
        <f>'4637'!B21</f>
        <v>1</v>
      </c>
      <c r="D49" s="96" t="str">
        <f>'4637'!C21</f>
        <v>PR6 1 LADO</v>
      </c>
      <c r="E49" s="100">
        <f>'4637'!D21</f>
        <v>1245</v>
      </c>
      <c r="F49" s="100">
        <f>'4637'!E21</f>
        <v>540</v>
      </c>
      <c r="G49" s="96" t="str">
        <f>'4637'!F21</f>
        <v>MOUSE 2193 MT</v>
      </c>
      <c r="H49" s="29"/>
      <c r="I49" s="10">
        <f>E49*F49/1000000</f>
        <v>0.67230000000000001</v>
      </c>
      <c r="J49" s="10">
        <f>I49*C49</f>
        <v>0.67230000000000001</v>
      </c>
      <c r="K49" s="26">
        <f>J49*K$48</f>
        <v>10084.5</v>
      </c>
      <c r="M49" s="24">
        <v>12096</v>
      </c>
    </row>
    <row r="50" spans="1:13" s="10" customFormat="1" ht="15" customHeight="1" x14ac:dyDescent="0.35">
      <c r="B50" s="83"/>
      <c r="C50" s="66"/>
      <c r="D50" s="66"/>
      <c r="E50" s="66"/>
      <c r="F50" s="66"/>
      <c r="G50" s="66"/>
      <c r="H50" s="29"/>
    </row>
    <row r="51" spans="1:13" ht="18" x14ac:dyDescent="0.35">
      <c r="B51" s="73"/>
      <c r="C51" s="73"/>
      <c r="D51" s="29"/>
      <c r="E51" s="73"/>
      <c r="F51" s="73"/>
      <c r="G51" s="78"/>
      <c r="H51" s="29"/>
    </row>
    <row r="52" spans="1:13" ht="18" x14ac:dyDescent="0.35">
      <c r="B52" s="73"/>
      <c r="C52" s="73"/>
      <c r="D52" s="29"/>
      <c r="E52" s="73"/>
      <c r="F52" s="73"/>
      <c r="G52" s="73"/>
      <c r="H52" s="29"/>
      <c r="J52" s="10">
        <f>SUM(J49:J49)</f>
        <v>0.67230000000000001</v>
      </c>
      <c r="K52" s="27">
        <f>SUM(K49:K49)</f>
        <v>10084.5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3"/>
      <c r="C58" s="87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2024-10-07T20:10:28Z</cp:lastPrinted>
  <dcterms:created xsi:type="dcterms:W3CDTF">2013-03-19T12:54:14Z</dcterms:created>
  <dcterms:modified xsi:type="dcterms:W3CDTF">2024-10-07T20:11:05Z</dcterms:modified>
</cp:coreProperties>
</file>