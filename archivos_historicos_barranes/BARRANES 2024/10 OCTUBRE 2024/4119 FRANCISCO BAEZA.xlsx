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4\"/>
    </mc:Choice>
  </mc:AlternateContent>
  <xr:revisionPtr revIDLastSave="0" documentId="13_ncr:1_{7AB9FC52-AFF4-4C1C-A6CD-09FD0A035C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'4637'!$B$1:$H$44</definedName>
    <definedName name="_xlnm.Print_Area" localSheetId="2">CUBIERTA!$B$50:$G$77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3" l="1"/>
  <c r="C30" i="3" s="1"/>
  <c r="G29" i="3"/>
  <c r="J17" i="3"/>
  <c r="J18" i="3"/>
  <c r="C18" i="3" s="1"/>
  <c r="C39" i="3"/>
  <c r="J29" i="3" s="1"/>
  <c r="C29" i="3" s="1"/>
  <c r="D39" i="3"/>
  <c r="G17" i="3" s="1"/>
  <c r="E39" i="3"/>
  <c r="K17" i="3" s="1"/>
  <c r="E17" i="3" s="1"/>
  <c r="F39" i="3"/>
  <c r="L29" i="3" s="1"/>
  <c r="G39" i="3"/>
  <c r="C40" i="3"/>
  <c r="D40" i="3"/>
  <c r="G18" i="3" s="1"/>
  <c r="E40" i="3"/>
  <c r="K18" i="3" s="1"/>
  <c r="E18" i="3" s="1"/>
  <c r="F40" i="3"/>
  <c r="L18" i="3" s="1"/>
  <c r="G40" i="3"/>
  <c r="C66" i="3"/>
  <c r="D66" i="3"/>
  <c r="E66" i="3"/>
  <c r="F66" i="3"/>
  <c r="G66" i="3"/>
  <c r="C67" i="3"/>
  <c r="D67" i="3"/>
  <c r="E67" i="3"/>
  <c r="F67" i="3"/>
  <c r="G67" i="3"/>
  <c r="C17" i="3"/>
  <c r="J15" i="3"/>
  <c r="C15" i="3" s="1"/>
  <c r="J16" i="3"/>
  <c r="C16" i="3" s="1"/>
  <c r="C36" i="3"/>
  <c r="J26" i="3" s="1"/>
  <c r="C26" i="3" s="1"/>
  <c r="D36" i="3"/>
  <c r="G26" i="3" s="1"/>
  <c r="E36" i="3"/>
  <c r="K26" i="3" s="1"/>
  <c r="E26" i="3" s="1"/>
  <c r="F36" i="3"/>
  <c r="L26" i="3" s="1"/>
  <c r="F26" i="3" s="1"/>
  <c r="G36" i="3"/>
  <c r="C37" i="3"/>
  <c r="J27" i="3" s="1"/>
  <c r="C27" i="3" s="1"/>
  <c r="D37" i="3"/>
  <c r="G27" i="3" s="1"/>
  <c r="E37" i="3"/>
  <c r="K27" i="3" s="1"/>
  <c r="F37" i="3"/>
  <c r="L27" i="3" s="1"/>
  <c r="G37" i="3"/>
  <c r="C38" i="3"/>
  <c r="J28" i="3" s="1"/>
  <c r="C28" i="3" s="1"/>
  <c r="D38" i="3"/>
  <c r="G28" i="3" s="1"/>
  <c r="E38" i="3"/>
  <c r="K28" i="3" s="1"/>
  <c r="F38" i="3"/>
  <c r="L28" i="3" s="1"/>
  <c r="G38" i="3"/>
  <c r="C63" i="3"/>
  <c r="D63" i="3"/>
  <c r="E63" i="3"/>
  <c r="F63" i="3"/>
  <c r="G63" i="3"/>
  <c r="C64" i="3"/>
  <c r="D64" i="3"/>
  <c r="E64" i="3"/>
  <c r="F64" i="3"/>
  <c r="G64" i="3"/>
  <c r="C65" i="3"/>
  <c r="D65" i="3"/>
  <c r="E65" i="3"/>
  <c r="F65" i="3"/>
  <c r="G65" i="3"/>
  <c r="H29" i="4"/>
  <c r="L17" i="3" l="1"/>
  <c r="L30" i="3"/>
  <c r="K29" i="3"/>
  <c r="G30" i="3"/>
  <c r="K30" i="3"/>
  <c r="L15" i="3"/>
  <c r="F15" i="3" s="1"/>
  <c r="K16" i="3"/>
  <c r="E16" i="3" s="1"/>
  <c r="G16" i="3"/>
  <c r="L16" i="3"/>
  <c r="F16" i="3" s="1"/>
  <c r="K15" i="3"/>
  <c r="E15" i="3" s="1"/>
  <c r="G15" i="3"/>
  <c r="J14" i="3"/>
  <c r="C14" i="3" s="1"/>
  <c r="D62" i="3" l="1"/>
  <c r="L21" i="4" l="1"/>
  <c r="K21" i="4"/>
  <c r="M21" i="4" l="1"/>
  <c r="N21" i="4" s="1"/>
  <c r="C35" i="3" l="1"/>
  <c r="J25" i="3" s="1"/>
  <c r="C25" i="3" s="1"/>
  <c r="D35" i="3"/>
  <c r="G25" i="3" s="1"/>
  <c r="E35" i="3"/>
  <c r="F35" i="3"/>
  <c r="L25" i="3" s="1"/>
  <c r="F25" i="3" s="1"/>
  <c r="G35" i="3"/>
  <c r="C62" i="3"/>
  <c r="E62" i="3"/>
  <c r="F62" i="3"/>
  <c r="G62" i="3"/>
  <c r="I35" i="3" l="1"/>
  <c r="J35" i="3" s="1"/>
  <c r="K25" i="3"/>
  <c r="E25" i="3" s="1"/>
  <c r="I62" i="3"/>
  <c r="J62" i="3" s="1"/>
  <c r="K14" i="3"/>
  <c r="E14" i="3" s="1"/>
  <c r="G14" i="3"/>
  <c r="L14" i="3"/>
  <c r="F14" i="3" s="1"/>
  <c r="J43" i="3" l="1"/>
  <c r="K62" i="3"/>
  <c r="J70" i="3"/>
  <c r="H31" i="4"/>
  <c r="O5" i="3"/>
  <c r="K70" i="3" l="1"/>
  <c r="N5" i="3"/>
  <c r="M5" i="3"/>
  <c r="L5" i="3"/>
  <c r="D55" i="3" l="1"/>
  <c r="D7" i="3"/>
  <c r="E53" i="3"/>
  <c r="E5" i="3"/>
  <c r="E55" i="3"/>
  <c r="E7" i="3"/>
  <c r="E52" i="3"/>
  <c r="E4" i="3"/>
</calcChain>
</file>

<file path=xl/sharedStrings.xml><?xml version="1.0" encoding="utf-8"?>
<sst xmlns="http://schemas.openxmlformats.org/spreadsheetml/2006/main" count="257" uniqueCount="146">
  <si>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</si>
  <si>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</si>
  <si>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</si>
  <si>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</si>
  <si>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</si>
  <si>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</si>
  <si>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</si>
  <si>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</si>
  <si>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</si>
  <si>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</si>
  <si>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</si>
  <si>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</si>
  <si>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</si>
  <si>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</si>
  <si>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</si>
  <si>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</si>
  <si>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</si>
  <si>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</si>
  <si>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</si>
  <si>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</si>
  <si>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</si>
  <si>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</si>
  <si>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</si>
  <si>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</si>
  <si>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</si>
  <si>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</si>
  <si>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</si>
  <si>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</si>
  <si>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</si>
  <si>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</si>
  <si>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</si>
  <si>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</si>
  <si>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</si>
  <si>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</si>
  <si>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</si>
  <si>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</si>
  <si>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</si>
  <si>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</si>
  <si>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</si>
  <si>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</si>
  <si>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</si>
  <si>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</si>
  <si>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</si>
  <si>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</si>
  <si>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</si>
  <si>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</si>
  <si>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</si>
  <si>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</si>
  <si>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</si>
  <si>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</si>
  <si>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</si>
  <si>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</si>
  <si>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</si>
  <si>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</si>
  <si>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</si>
  <si>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</si>
  <si>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</si>
  <si>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</si>
  <si>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</si>
  <si>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</si>
  <si>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</si>
  <si>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</si>
  <si>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</si>
  <si>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</si>
  <si>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</si>
  <si>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</si>
  <si>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</si>
  <si>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</si>
  <si>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</si>
  <si>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</si>
  <si>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</si>
  <si>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</si>
  <si>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</si>
  <si>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</si>
  <si>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</si>
  <si>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</si>
  <si>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</si>
  <si>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</si>
  <si>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</si>
  <si>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</si>
  <si>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</si>
  <si>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</si>
  <si>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</si>
  <si>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</si>
  <si>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</si>
  <si>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</si>
  <si>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</si>
  <si>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</si>
  <si>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</si>
  <si>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</si>
  <si>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</si>
  <si>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</si>
  <si>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</si>
  <si>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</si>
  <si>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</si>
  <si>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</si>
  <si>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</si>
  <si>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</si>
  <si>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</si>
  <si>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</si>
  <si>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</si>
  <si>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</si>
  <si>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</si>
  <si>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</si>
  <si>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</si>
  <si>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</si>
  <si>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</si>
  <si>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</si>
  <si>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</si>
  <si>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</si>
  <si>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</si>
  <si>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</si>
  <si>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</si>
  <si>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</si>
  <si>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</si>
  <si>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</si>
  <si>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</si>
  <si>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</si>
  <si>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</si>
  <si>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</si>
  <si>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</si>
  <si>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</si>
  <si>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</si>
  <si>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</si>
  <si>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</si>
  <si>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</si>
  <si>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</si>
  <si>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</si>
  <si>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</si>
  <si>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</si>
  <si>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</si>
  <si>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</si>
  <si>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</si>
  <si>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</si>
  <si>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HECHO POR: FD</t>
  </si>
  <si>
    <t>MDF18MM</t>
  </si>
  <si>
    <t>SANTIAGO</t>
  </si>
  <si>
    <t>IVA</t>
  </si>
  <si>
    <t>FRANCO D</t>
  </si>
  <si>
    <t>FRANCISCO BAEZA</t>
  </si>
  <si>
    <t>569 9789 9304</t>
  </si>
  <si>
    <t>MINERAL STEEL 3166</t>
  </si>
  <si>
    <t>ZOCALOS</t>
  </si>
  <si>
    <t>RESPALDO</t>
  </si>
  <si>
    <t>CUB S/R R6</t>
  </si>
  <si>
    <t>CUB MESA 3 LADOS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</si>
</sst>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9" fillId="3" borderId="0" xfId="0" quotePrefix="1" applyFont="1" applyFill="1"/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27</xdr:row>
      <xdr:rowOff>0</xdr:rowOff>
    </xdr:from>
    <xdr:to>
      <xdr:col>5</xdr:col>
      <xdr:colOff>1555102</xdr:colOff>
      <xdr:row>30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$ 190.000 EFECTIVO VIERNES 11 DE OCTUBRE</a:t>
          </a:r>
        </a:p>
        <a:p>
          <a:pPr algn="l"/>
          <a:endParaRPr lang="es-CL" sz="1200" b="1" i="0" baseline="0"/>
        </a:p>
        <a:p>
          <a:pPr algn="l"/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39</xdr:row>
      <xdr:rowOff>0</xdr:rowOff>
    </xdr:from>
    <xdr:to>
      <xdr:col>4</xdr:col>
      <xdr:colOff>369336</xdr:colOff>
      <xdr:row>39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41</xdr:row>
      <xdr:rowOff>1</xdr:rowOff>
    </xdr:from>
    <xdr:to>
      <xdr:col>4</xdr:col>
      <xdr:colOff>349897</xdr:colOff>
      <xdr:row>41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56</xdr:row>
      <xdr:rowOff>190500</xdr:rowOff>
    </xdr:from>
    <xdr:to>
      <xdr:col>7</xdr:col>
      <xdr:colOff>9524</xdr:colOff>
      <xdr:row>58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53</xdr:row>
      <xdr:rowOff>30479</xdr:rowOff>
    </xdr:from>
    <xdr:to>
      <xdr:col>6</xdr:col>
      <xdr:colOff>2912745</xdr:colOff>
      <xdr:row>54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51</xdr:row>
      <xdr:rowOff>209549</xdr:rowOff>
    </xdr:from>
    <xdr:to>
      <xdr:col>7</xdr:col>
      <xdr:colOff>0</xdr:colOff>
      <xdr:row>53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50</xdr:row>
      <xdr:rowOff>171450</xdr:rowOff>
    </xdr:from>
    <xdr:to>
      <xdr:col>7</xdr:col>
      <xdr:colOff>19050</xdr:colOff>
      <xdr:row>51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38100</xdr:colOff>
      <xdr:row>69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1019175</xdr:colOff>
      <xdr:row>69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352425</xdr:colOff>
      <xdr:row>69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257175</xdr:colOff>
      <xdr:row>69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447675</xdr:colOff>
      <xdr:row>69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3</xdr:col>
      <xdr:colOff>304800</xdr:colOff>
      <xdr:row>70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69</xdr:row>
      <xdr:rowOff>0</xdr:rowOff>
    </xdr:from>
    <xdr:to>
      <xdr:col>3</xdr:col>
      <xdr:colOff>1276350</xdr:colOff>
      <xdr:row>70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69</xdr:row>
      <xdr:rowOff>0</xdr:rowOff>
    </xdr:from>
    <xdr:to>
      <xdr:col>4</xdr:col>
      <xdr:colOff>619125</xdr:colOff>
      <xdr:row>70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69</xdr:row>
      <xdr:rowOff>0</xdr:rowOff>
    </xdr:from>
    <xdr:to>
      <xdr:col>5</xdr:col>
      <xdr:colOff>523875</xdr:colOff>
      <xdr:row>70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69</xdr:row>
      <xdr:rowOff>0</xdr:rowOff>
    </xdr:from>
    <xdr:to>
      <xdr:col>6</xdr:col>
      <xdr:colOff>723900</xdr:colOff>
      <xdr:row>70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69</xdr:row>
      <xdr:rowOff>0</xdr:rowOff>
    </xdr:from>
    <xdr:to>
      <xdr:col>7</xdr:col>
      <xdr:colOff>0</xdr:colOff>
      <xdr:row>70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42</xdr:row>
      <xdr:rowOff>15239</xdr:rowOff>
    </xdr:from>
    <xdr:to>
      <xdr:col>7</xdr:col>
      <xdr:colOff>0</xdr:colOff>
      <xdr:row>46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71</xdr:row>
      <xdr:rowOff>32385</xdr:rowOff>
    </xdr:from>
    <xdr:to>
      <xdr:col>7</xdr:col>
      <xdr:colOff>0</xdr:colOff>
      <xdr:row>75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50</xdr:row>
      <xdr:rowOff>146685</xdr:rowOff>
    </xdr:from>
    <xdr:to>
      <xdr:col>2</xdr:col>
      <xdr:colOff>786523</xdr:colOff>
      <xdr:row>56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304800</xdr:colOff>
      <xdr:row>78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5"/>
  <sheetViews>
    <sheetView topLeftCell="A7" zoomScale="98" zoomScaleNormal="98" workbookViewId="0">
      <selection activeCell="J28" sqref="J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11125</v>
      </c>
      <c r="E8" s="29"/>
      <c r="F8" s="34" t="s">
        <v>25</v>
      </c>
      <c r="G8" s="35">
        <v>4119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139</v>
      </c>
      <c r="D10" s="38"/>
      <c r="E10" s="38"/>
      <c r="F10" s="39" t="s">
        <v>26</v>
      </c>
      <c r="G10" s="40">
        <v>45575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45581</v>
      </c>
      <c r="H11" s="45"/>
      <c r="I11" s="29"/>
    </row>
    <row r="12" spans="1:17" ht="18" x14ac:dyDescent="0.35">
      <c r="A12" s="29"/>
      <c r="B12" s="46" t="s">
        <v>126</v>
      </c>
      <c r="C12" s="2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50"/>
      <c r="D13" s="47"/>
      <c r="E13" s="47"/>
      <c r="F13" s="47" t="s">
        <v>124</v>
      </c>
      <c r="G13" s="48" t="s">
        <v>138</v>
      </c>
      <c r="H13" s="49"/>
      <c r="I13" s="29"/>
    </row>
    <row r="14" spans="1:17" ht="18" x14ac:dyDescent="0.35">
      <c r="A14" s="29"/>
      <c r="B14" s="42" t="s">
        <v>16</v>
      </c>
      <c r="C14" s="112" t="s">
        <v>140</v>
      </c>
      <c r="D14" s="51"/>
      <c r="E14" s="43"/>
      <c r="F14" s="43"/>
      <c r="G14" s="43"/>
      <c r="H14" s="45"/>
      <c r="I14" s="29"/>
      <c r="K14">
        <v>3.06</v>
      </c>
    </row>
    <row r="15" spans="1:17" ht="18" x14ac:dyDescent="0.35">
      <c r="A15" s="29"/>
      <c r="B15" s="46" t="s">
        <v>1</v>
      </c>
      <c r="D15" s="47"/>
      <c r="E15" s="47"/>
      <c r="F15" s="52" t="s">
        <v>72</v>
      </c>
      <c r="G15" s="52" t="s">
        <v>129</v>
      </c>
      <c r="H15" s="49"/>
      <c r="I15" s="29"/>
      <c r="K15">
        <v>2</v>
      </c>
    </row>
    <row r="16" spans="1:17" ht="18.600000000000001" thickBot="1" x14ac:dyDescent="0.4">
      <c r="A16" s="29"/>
      <c r="B16" s="53" t="s">
        <v>3</v>
      </c>
      <c r="C16" s="54" t="s">
        <v>136</v>
      </c>
      <c r="D16" s="55"/>
      <c r="E16" s="56"/>
      <c r="F16" s="119" t="s">
        <v>17</v>
      </c>
      <c r="G16" s="119"/>
      <c r="H16" s="120"/>
      <c r="I16" s="29"/>
      <c r="K16">
        <v>180</v>
      </c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1" t="s">
        <v>18</v>
      </c>
      <c r="C19" s="122"/>
      <c r="D19" s="122"/>
      <c r="E19" s="122"/>
      <c r="F19" s="122"/>
      <c r="G19" s="122"/>
      <c r="H19" s="123"/>
      <c r="I19" s="29"/>
    </row>
    <row r="20" spans="1:16" ht="20.100000000000001" customHeight="1" x14ac:dyDescent="0.35">
      <c r="A20" s="29"/>
      <c r="B20" s="57" t="s">
        <v>128</v>
      </c>
      <c r="C20" s="105" t="s">
        <v>19</v>
      </c>
      <c r="D20" s="105" t="s">
        <v>20</v>
      </c>
      <c r="E20" s="105" t="s">
        <v>7</v>
      </c>
      <c r="F20" s="106" t="s">
        <v>21</v>
      </c>
      <c r="G20" s="107" t="s">
        <v>22</v>
      </c>
      <c r="H20" s="106" t="s">
        <v>4</v>
      </c>
      <c r="I20" s="29"/>
      <c r="N20">
        <v>65000</v>
      </c>
    </row>
    <row r="21" spans="1:16" ht="20.100000000000001" customHeight="1" x14ac:dyDescent="0.35">
      <c r="A21" s="29"/>
      <c r="B21" s="115">
        <v>1</v>
      </c>
      <c r="C21" s="115" t="s">
        <v>144</v>
      </c>
      <c r="D21" s="117">
        <v>3060</v>
      </c>
      <c r="E21" s="117">
        <v>600</v>
      </c>
      <c r="F21" s="115" t="s">
        <v>141</v>
      </c>
      <c r="G21" s="116">
        <v>153822</v>
      </c>
      <c r="H21" s="116">
        <v>153822</v>
      </c>
      <c r="I21" s="29"/>
      <c r="K21" s="11">
        <f>D21/1000</f>
        <v>3.06</v>
      </c>
      <c r="L21" s="15">
        <f>E21/1000</f>
        <v>0.6</v>
      </c>
      <c r="M21" s="11">
        <f>K21*L21</f>
        <v>1.8359999999999999</v>
      </c>
      <c r="N21" s="11">
        <f>M21*N$20</f>
        <v>119339.99999999999</v>
      </c>
      <c r="O21" s="15"/>
      <c r="P21" s="21"/>
    </row>
    <row r="22" spans="1:16" ht="20.100000000000001" customHeight="1" x14ac:dyDescent="0.35">
      <c r="A22" s="29"/>
      <c r="B22" s="115">
        <v>1</v>
      </c>
      <c r="C22" s="115" t="s">
        <v>144</v>
      </c>
      <c r="D22" s="117">
        <v>2000</v>
      </c>
      <c r="E22" s="117">
        <v>600</v>
      </c>
      <c r="F22" s="115" t="s">
        <v>141</v>
      </c>
      <c r="G22" s="116">
        <v>153822</v>
      </c>
      <c r="H22" s="116">
        <v>153822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15">
        <v>1</v>
      </c>
      <c r="C23" s="115" t="s">
        <v>145</v>
      </c>
      <c r="D23" s="117">
        <v>1800</v>
      </c>
      <c r="E23" s="117">
        <v>750</v>
      </c>
      <c r="F23" s="115" t="s">
        <v>141</v>
      </c>
      <c r="G23" s="116">
        <v>99145</v>
      </c>
      <c r="H23" s="116">
        <v>99145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15">
        <v>3</v>
      </c>
      <c r="C24" s="115" t="s">
        <v>142</v>
      </c>
      <c r="D24" s="117">
        <v>3060</v>
      </c>
      <c r="E24" s="117">
        <v>150</v>
      </c>
      <c r="F24" s="115" t="s">
        <v>141</v>
      </c>
      <c r="G24" s="116">
        <v>5000</v>
      </c>
      <c r="H24" s="116">
        <v>15000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15">
        <v>1</v>
      </c>
      <c r="C25" s="115" t="s">
        <v>143</v>
      </c>
      <c r="D25" s="117">
        <v>3060</v>
      </c>
      <c r="E25" s="117">
        <v>60</v>
      </c>
      <c r="F25" s="115" t="s">
        <v>141</v>
      </c>
      <c r="G25" s="116"/>
      <c r="H25" s="116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15">
        <v>1</v>
      </c>
      <c r="C26" s="115" t="s">
        <v>143</v>
      </c>
      <c r="D26" s="117">
        <v>2000</v>
      </c>
      <c r="E26" s="117">
        <v>60</v>
      </c>
      <c r="F26" s="115" t="s">
        <v>141</v>
      </c>
      <c r="G26" s="116"/>
      <c r="H26" s="116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13"/>
      <c r="C27" s="113"/>
      <c r="D27" s="114"/>
      <c r="E27" s="114"/>
      <c r="F27" s="113"/>
      <c r="G27" s="103"/>
      <c r="H27" s="103"/>
      <c r="I27" s="29"/>
      <c r="K27" s="11"/>
      <c r="L27" s="15"/>
      <c r="M27" s="11"/>
      <c r="N27" s="11"/>
      <c r="O27" s="15"/>
      <c r="P27" s="21"/>
    </row>
    <row r="28" spans="1:16" ht="13.2" customHeight="1" thickBot="1" x14ac:dyDescent="0.4">
      <c r="A28" s="29"/>
      <c r="B28" s="59"/>
      <c r="C28" s="59"/>
      <c r="D28" s="59"/>
      <c r="E28" s="59"/>
      <c r="F28" s="59"/>
      <c r="G28" s="58"/>
      <c r="H28" s="58"/>
      <c r="I28" s="29"/>
    </row>
    <row r="29" spans="1:16" ht="20.100000000000001" customHeight="1" x14ac:dyDescent="0.35">
      <c r="A29" s="29"/>
      <c r="B29" s="29"/>
      <c r="C29" s="29"/>
      <c r="D29" s="29"/>
      <c r="E29" s="29"/>
      <c r="F29" s="29"/>
      <c r="G29" s="60" t="s">
        <v>5</v>
      </c>
      <c r="H29" s="61">
        <f>SUM(H21:H28)</f>
        <v>421789</v>
      </c>
      <c r="I29" s="29"/>
    </row>
    <row r="30" spans="1:16" ht="20.100000000000001" customHeight="1" x14ac:dyDescent="0.35">
      <c r="A30" s="29"/>
      <c r="B30" s="29"/>
      <c r="C30" s="29"/>
      <c r="D30" s="29"/>
      <c r="E30" s="29"/>
      <c r="F30" s="29"/>
      <c r="G30" s="62" t="s">
        <v>137</v>
      </c>
      <c r="H30" s="63"/>
      <c r="I30" s="29"/>
    </row>
    <row r="31" spans="1:16" ht="20.100000000000001" customHeight="1" thickBot="1" x14ac:dyDescent="0.4">
      <c r="A31" s="29"/>
      <c r="B31" s="29"/>
      <c r="C31" s="29"/>
      <c r="D31" s="29"/>
      <c r="E31" s="29"/>
      <c r="F31" s="29"/>
      <c r="G31" s="64" t="s">
        <v>4</v>
      </c>
      <c r="H31" s="65">
        <f>H29+H30</f>
        <v>421789</v>
      </c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G32" s="66"/>
      <c r="H32" s="67"/>
      <c r="I32" s="29"/>
    </row>
    <row r="33" spans="1:9" ht="18" x14ac:dyDescent="0.35">
      <c r="A33" s="29"/>
      <c r="B33" s="29"/>
      <c r="C33" s="29"/>
      <c r="D33" s="29"/>
      <c r="E33" s="29"/>
      <c r="F33" s="29"/>
      <c r="G33" s="29"/>
      <c r="H33" s="29"/>
      <c r="I33" s="29"/>
    </row>
    <row r="34" spans="1:9" ht="18" x14ac:dyDescent="0.35">
      <c r="A34" s="29"/>
      <c r="B34" s="68" t="s">
        <v>133</v>
      </c>
      <c r="C34" s="69"/>
      <c r="D34" s="70"/>
      <c r="E34" s="70"/>
      <c r="F34" s="59"/>
      <c r="G34" s="29"/>
      <c r="H34" s="29"/>
      <c r="I34" s="29"/>
    </row>
    <row r="35" spans="1:9" ht="18" x14ac:dyDescent="0.35">
      <c r="A35" s="29"/>
      <c r="B35" s="68" t="s">
        <v>119</v>
      </c>
      <c r="C35" s="69"/>
      <c r="D35" s="70"/>
      <c r="E35" s="70"/>
      <c r="F35" s="59"/>
      <c r="G35" s="29"/>
      <c r="H35" s="29"/>
      <c r="I35" s="29"/>
    </row>
    <row r="36" spans="1:9" ht="18" x14ac:dyDescent="0.35">
      <c r="A36" s="29"/>
      <c r="B36" s="29" t="s">
        <v>23</v>
      </c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71" t="s">
        <v>24</v>
      </c>
      <c r="C37" s="71"/>
      <c r="D37" s="29"/>
      <c r="E37" s="29"/>
      <c r="F37" s="29"/>
      <c r="G37" s="29"/>
      <c r="H37" s="29"/>
      <c r="I37" s="29"/>
    </row>
    <row r="38" spans="1:9" ht="18" x14ac:dyDescent="0.35">
      <c r="A38" s="29"/>
      <c r="B38" s="29"/>
      <c r="C38" s="29"/>
      <c r="D38" s="29"/>
      <c r="E38" s="71"/>
      <c r="F38" s="29"/>
      <c r="G38" s="29"/>
      <c r="H38" s="29"/>
      <c r="I38" s="29"/>
    </row>
    <row r="39" spans="1:9" ht="18" x14ac:dyDescent="0.35">
      <c r="A39" s="29"/>
      <c r="B39" s="30" t="s">
        <v>131</v>
      </c>
      <c r="C39" s="30"/>
      <c r="D39" s="30"/>
      <c r="E39" s="72"/>
      <c r="F39" s="29"/>
      <c r="G39" s="29"/>
      <c r="H39" s="29"/>
      <c r="I39" s="29"/>
    </row>
    <row r="40" spans="1:9" ht="18" x14ac:dyDescent="0.35">
      <c r="A40" s="29"/>
      <c r="B40" s="30"/>
      <c r="C40" s="30"/>
      <c r="D40" s="30"/>
      <c r="E40" s="72"/>
      <c r="F40" s="29"/>
      <c r="G40" s="29"/>
      <c r="H40" s="29"/>
      <c r="I40" s="29"/>
    </row>
    <row r="41" spans="1:9" ht="18" x14ac:dyDescent="0.35">
      <c r="A41" s="29"/>
      <c r="B41" s="30" t="s">
        <v>132</v>
      </c>
      <c r="C41" s="29"/>
      <c r="D41" s="29"/>
      <c r="E41" s="71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1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29"/>
      <c r="F43" s="29"/>
      <c r="G43" s="29"/>
      <c r="H43" s="29"/>
      <c r="I43" s="29"/>
    </row>
    <row r="44" spans="1:9" ht="18" x14ac:dyDescent="0.35">
      <c r="A44" s="29"/>
      <c r="B44" s="29"/>
      <c r="C44" s="29"/>
      <c r="D44" s="29"/>
      <c r="E44" s="29"/>
      <c r="F44" s="29"/>
      <c r="G44" s="29"/>
      <c r="H44" s="29"/>
      <c r="I44" s="29"/>
    </row>
    <row r="45" spans="1:9" ht="15.6" x14ac:dyDescent="0.3">
      <c r="C45" s="1"/>
    </row>
  </sheetData>
  <sortState xmlns:xlrd2="http://schemas.microsoft.com/office/spreadsheetml/2017/richdata2" ref="B46">
    <sortCondition sortBy="fontColor" ref="B46" dxfId="0"/>
  </sortState>
  <mergeCells count="2">
    <mergeCell ref="F16:H16"/>
    <mergeCell ref="B19:H19"/>
  </mergeCells>
  <phoneticPr fontId="8" type="noConversion"/>
  <hyperlinks>
    <hyperlink ref="B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8" workbookViewId="0">
      <selection activeCell="I21" sqref="I21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28</v>
      </c>
      <c r="C2" s="124"/>
      <c r="D2" s="124"/>
      <c r="E2" s="12"/>
      <c r="G2" s="124" t="s">
        <v>67</v>
      </c>
      <c r="H2" s="124"/>
      <c r="I2" s="124"/>
      <c r="P2" s="125" t="s">
        <v>55</v>
      </c>
      <c r="Q2" s="125"/>
      <c r="R2" s="12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5" t="s">
        <v>55</v>
      </c>
      <c r="M8" s="125"/>
      <c r="N8" s="12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9"/>
  <sheetViews>
    <sheetView tabSelected="1" topLeftCell="B40" zoomScaleNormal="100" workbookViewId="0">
      <selection activeCell="B50" sqref="B50:G7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6" t="s">
        <v>58</v>
      </c>
      <c r="M3" s="126"/>
      <c r="N3" s="126" t="s">
        <v>13</v>
      </c>
      <c r="O3" s="126"/>
    </row>
    <row r="4" spans="1:15" ht="15.75" customHeight="1" x14ac:dyDescent="0.35">
      <c r="B4" s="29"/>
      <c r="C4" s="29"/>
      <c r="D4" s="74" t="s">
        <v>25</v>
      </c>
      <c r="E4" s="75">
        <f>'4637'!G8</f>
        <v>4119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6" t="s">
        <v>64</v>
      </c>
      <c r="E5" s="77" t="str">
        <f>'4637'!C10</f>
        <v>FRANCISCO BAEZA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8"/>
      <c r="E6" s="79"/>
      <c r="F6" s="29"/>
      <c r="G6" s="29"/>
      <c r="H6" s="29"/>
    </row>
    <row r="7" spans="1:15" ht="18" x14ac:dyDescent="0.35">
      <c r="B7" s="29"/>
      <c r="C7" s="29"/>
      <c r="D7" s="89" t="str">
        <f>'4637'!F11</f>
        <v>FECHA LIMITE :</v>
      </c>
      <c r="E7" s="81">
        <f>'4637'!G11</f>
        <v>45581</v>
      </c>
      <c r="F7" s="29"/>
      <c r="G7" s="29" t="s">
        <v>134</v>
      </c>
      <c r="H7" s="29"/>
    </row>
    <row r="8" spans="1:15" ht="18" x14ac:dyDescent="0.35">
      <c r="B8" s="29"/>
      <c r="C8" s="29"/>
      <c r="D8" s="90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7" t="s">
        <v>58</v>
      </c>
      <c r="C10" s="127"/>
      <c r="D10" s="127"/>
      <c r="E10" s="127"/>
      <c r="F10" s="127"/>
      <c r="G10" s="127"/>
      <c r="H10" s="29"/>
    </row>
    <row r="11" spans="1:15" ht="18" x14ac:dyDescent="0.35">
      <c r="B11" s="29"/>
      <c r="C11" s="29"/>
      <c r="D11" s="91"/>
      <c r="E11" s="29"/>
      <c r="F11" s="29"/>
      <c r="G11" s="29"/>
      <c r="H11" s="29"/>
    </row>
    <row r="12" spans="1:15" ht="18" x14ac:dyDescent="0.35">
      <c r="B12" s="29"/>
      <c r="C12" s="29"/>
      <c r="D12" s="29"/>
      <c r="E12" s="66" t="s">
        <v>6</v>
      </c>
      <c r="F12" s="66" t="s">
        <v>7</v>
      </c>
      <c r="G12" s="29"/>
      <c r="H12" s="29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29"/>
      <c r="K13" s="5" t="s">
        <v>6</v>
      </c>
      <c r="L13" s="5" t="s">
        <v>7</v>
      </c>
    </row>
    <row r="14" spans="1:15" ht="18" x14ac:dyDescent="0.35">
      <c r="A14" s="110">
        <v>1</v>
      </c>
      <c r="B14" s="102" t="s">
        <v>135</v>
      </c>
      <c r="C14" s="94">
        <f>J14</f>
        <v>1</v>
      </c>
      <c r="D14" s="94"/>
      <c r="E14" s="94">
        <f>K14+E$13</f>
        <v>3110</v>
      </c>
      <c r="F14" s="94">
        <f>L14+F$13</f>
        <v>600</v>
      </c>
      <c r="G14" s="94" t="str">
        <f>D35</f>
        <v>CUB S/R R6</v>
      </c>
      <c r="H14" s="29"/>
      <c r="J14" s="3">
        <f>'4637'!B21</f>
        <v>1</v>
      </c>
      <c r="K14" s="4">
        <f t="shared" ref="K14:L14" si="0">E35</f>
        <v>3060</v>
      </c>
      <c r="L14" s="4">
        <f t="shared" si="0"/>
        <v>600</v>
      </c>
    </row>
    <row r="15" spans="1:15" ht="18" x14ac:dyDescent="0.35">
      <c r="A15" s="110"/>
      <c r="B15" s="102"/>
      <c r="C15" s="94">
        <f t="shared" ref="C15:C16" si="1">J15</f>
        <v>1</v>
      </c>
      <c r="D15" s="94"/>
      <c r="E15" s="94">
        <f t="shared" ref="E15:E16" si="2">K15+E$13</f>
        <v>2050</v>
      </c>
      <c r="F15" s="94">
        <f t="shared" ref="F15:F16" si="3">L15+F$13</f>
        <v>600</v>
      </c>
      <c r="G15" s="94" t="str">
        <f t="shared" ref="G15:G16" si="4">D36</f>
        <v>CUB S/R R6</v>
      </c>
      <c r="H15" s="29"/>
      <c r="J15" s="3">
        <f>'4637'!B22</f>
        <v>1</v>
      </c>
      <c r="K15" s="4">
        <f t="shared" ref="K15:K16" si="5">E36</f>
        <v>2000</v>
      </c>
      <c r="L15" s="4">
        <f t="shared" ref="L15:L16" si="6">F36</f>
        <v>600</v>
      </c>
    </row>
    <row r="16" spans="1:15" ht="18" x14ac:dyDescent="0.35">
      <c r="A16" s="110"/>
      <c r="B16" s="102"/>
      <c r="C16" s="94">
        <f t="shared" si="1"/>
        <v>1</v>
      </c>
      <c r="D16" s="94"/>
      <c r="E16" s="94">
        <f t="shared" si="2"/>
        <v>1850</v>
      </c>
      <c r="F16" s="94">
        <f t="shared" si="3"/>
        <v>750</v>
      </c>
      <c r="G16" s="94" t="str">
        <f t="shared" si="4"/>
        <v>CUB MESA 3 LADOS R6</v>
      </c>
      <c r="H16" s="29"/>
      <c r="J16" s="3">
        <f>'4637'!B23</f>
        <v>1</v>
      </c>
      <c r="K16" s="4">
        <f t="shared" si="5"/>
        <v>1800</v>
      </c>
      <c r="L16" s="4">
        <f t="shared" si="6"/>
        <v>750</v>
      </c>
    </row>
    <row r="17" spans="1:12" ht="18" x14ac:dyDescent="0.35">
      <c r="A17" s="110"/>
      <c r="B17" s="102"/>
      <c r="C17" s="94">
        <f t="shared" ref="C17" si="7">J17</f>
        <v>1</v>
      </c>
      <c r="D17" s="94"/>
      <c r="E17" s="94">
        <f t="shared" ref="E17" si="8">K17+E$13</f>
        <v>3110</v>
      </c>
      <c r="F17" s="94">
        <v>100</v>
      </c>
      <c r="G17" s="94" t="str">
        <f>D39</f>
        <v>RESPALDO</v>
      </c>
      <c r="H17" s="29"/>
      <c r="J17" s="3">
        <f>'4637'!B25</f>
        <v>1</v>
      </c>
      <c r="K17" s="4">
        <f t="shared" ref="K17:K18" si="9">E39</f>
        <v>3060</v>
      </c>
      <c r="L17" s="4">
        <f t="shared" ref="L17:L18" si="10">F39</f>
        <v>60</v>
      </c>
    </row>
    <row r="18" spans="1:12" ht="18" x14ac:dyDescent="0.35">
      <c r="A18" s="110"/>
      <c r="B18" s="102"/>
      <c r="C18" s="94">
        <f t="shared" ref="C18" si="11">J18</f>
        <v>1</v>
      </c>
      <c r="D18" s="94"/>
      <c r="E18" s="94">
        <f t="shared" ref="E18" si="12">K18+E$13</f>
        <v>2050</v>
      </c>
      <c r="F18" s="94">
        <v>100</v>
      </c>
      <c r="G18" s="94" t="str">
        <f>D40</f>
        <v>RESPALDO</v>
      </c>
      <c r="H18" s="29"/>
      <c r="J18" s="3">
        <f>'4637'!B26</f>
        <v>1</v>
      </c>
      <c r="K18" s="4">
        <f t="shared" si="9"/>
        <v>2000</v>
      </c>
      <c r="L18" s="4">
        <f t="shared" si="10"/>
        <v>60</v>
      </c>
    </row>
    <row r="19" spans="1:12" ht="18" x14ac:dyDescent="0.35">
      <c r="A19" s="2"/>
      <c r="B19" s="83"/>
      <c r="C19" s="73"/>
      <c r="D19" s="73"/>
      <c r="E19" s="73"/>
      <c r="F19" s="73"/>
      <c r="G19" s="73"/>
      <c r="H19" s="29"/>
      <c r="J19" s="23"/>
      <c r="K19" s="2"/>
      <c r="L19" s="2"/>
    </row>
    <row r="20" spans="1:12" ht="6.75" customHeight="1" x14ac:dyDescent="0.35">
      <c r="A20" s="2"/>
      <c r="B20" s="29"/>
      <c r="C20" s="29"/>
      <c r="D20" s="29"/>
      <c r="E20" s="29"/>
      <c r="F20" s="29"/>
      <c r="G20" s="29"/>
      <c r="H20" s="29"/>
    </row>
    <row r="21" spans="1:12" ht="18" x14ac:dyDescent="0.35">
      <c r="A21" s="2"/>
      <c r="B21" s="127" t="s">
        <v>13</v>
      </c>
      <c r="C21" s="127"/>
      <c r="D21" s="127"/>
      <c r="E21" s="127"/>
      <c r="F21" s="127"/>
      <c r="G21" s="127"/>
      <c r="H21" s="29"/>
    </row>
    <row r="22" spans="1:12" ht="10.5" customHeight="1" x14ac:dyDescent="0.35">
      <c r="A22" s="2"/>
      <c r="B22" s="29"/>
      <c r="C22" s="29"/>
      <c r="D22" s="91"/>
      <c r="E22" s="29"/>
      <c r="F22" s="29"/>
      <c r="G22" s="29"/>
      <c r="H22" s="29"/>
    </row>
    <row r="23" spans="1:12" ht="18" x14ac:dyDescent="0.35">
      <c r="A23" s="2"/>
      <c r="B23" s="29"/>
      <c r="C23" s="29"/>
      <c r="D23" s="29"/>
      <c r="E23" s="66" t="s">
        <v>6</v>
      </c>
      <c r="F23" s="66" t="s">
        <v>7</v>
      </c>
      <c r="G23" s="29"/>
      <c r="H23" s="29"/>
    </row>
    <row r="24" spans="1:12" ht="18" x14ac:dyDescent="0.35">
      <c r="A24" s="2"/>
      <c r="B24" s="66" t="s">
        <v>8</v>
      </c>
      <c r="C24" s="82" t="s">
        <v>9</v>
      </c>
      <c r="D24" s="82" t="s">
        <v>10</v>
      </c>
      <c r="E24" s="95">
        <v>40</v>
      </c>
      <c r="F24" s="95">
        <v>60</v>
      </c>
      <c r="G24" s="82" t="s">
        <v>107</v>
      </c>
      <c r="H24" s="29"/>
      <c r="K24" s="5" t="s">
        <v>6</v>
      </c>
      <c r="L24" s="5" t="s">
        <v>7</v>
      </c>
    </row>
    <row r="25" spans="1:12" ht="18" x14ac:dyDescent="0.35">
      <c r="A25" s="110">
        <v>1</v>
      </c>
      <c r="B25" s="102"/>
      <c r="C25" s="96">
        <f t="shared" ref="C25" si="13">J25</f>
        <v>1</v>
      </c>
      <c r="D25" s="96"/>
      <c r="E25" s="96">
        <f>K25+E$24</f>
        <v>3100</v>
      </c>
      <c r="F25" s="96">
        <f>L25+F$24</f>
        <v>660</v>
      </c>
      <c r="G25" s="96" t="str">
        <f>D35</f>
        <v>CUB S/R R6</v>
      </c>
      <c r="H25" s="29"/>
      <c r="J25" s="3">
        <f>C35</f>
        <v>1</v>
      </c>
      <c r="K25" s="104">
        <f>E35</f>
        <v>3060</v>
      </c>
      <c r="L25" s="104">
        <f>F35</f>
        <v>600</v>
      </c>
    </row>
    <row r="26" spans="1:12" ht="18" x14ac:dyDescent="0.35">
      <c r="A26" s="110"/>
      <c r="B26" s="102"/>
      <c r="C26" s="96">
        <f t="shared" ref="C26:C27" si="14">J26</f>
        <v>1</v>
      </c>
      <c r="D26" s="96"/>
      <c r="E26" s="96">
        <f t="shared" ref="E26:E27" si="15">K26+E$24</f>
        <v>2040</v>
      </c>
      <c r="F26" s="96">
        <f t="shared" ref="F26" si="16">L26+F$24</f>
        <v>660</v>
      </c>
      <c r="G26" s="96" t="str">
        <f t="shared" ref="G26:G27" si="17">D36</f>
        <v>CUB S/R R6</v>
      </c>
      <c r="H26" s="29"/>
      <c r="J26" s="3">
        <f t="shared" ref="J26:J27" si="18">C36</f>
        <v>1</v>
      </c>
      <c r="K26" s="104">
        <f t="shared" ref="K26:L26" si="19">E36</f>
        <v>2000</v>
      </c>
      <c r="L26" s="104">
        <f t="shared" si="19"/>
        <v>600</v>
      </c>
    </row>
    <row r="27" spans="1:12" ht="18" x14ac:dyDescent="0.35">
      <c r="A27" s="110"/>
      <c r="B27" s="102"/>
      <c r="C27" s="96">
        <f t="shared" si="14"/>
        <v>1</v>
      </c>
      <c r="D27" s="96"/>
      <c r="E27" s="96">
        <v>1900</v>
      </c>
      <c r="F27" s="96">
        <v>860</v>
      </c>
      <c r="G27" s="96" t="str">
        <f t="shared" si="17"/>
        <v>CUB MESA 3 LADOS R6</v>
      </c>
      <c r="H27" s="29"/>
      <c r="J27" s="3">
        <f t="shared" si="18"/>
        <v>1</v>
      </c>
      <c r="K27" s="104">
        <f t="shared" ref="K27:L27" si="20">E37</f>
        <v>1800</v>
      </c>
      <c r="L27" s="104">
        <f t="shared" si="20"/>
        <v>750</v>
      </c>
    </row>
    <row r="28" spans="1:12" ht="18" x14ac:dyDescent="0.35">
      <c r="A28" s="110"/>
      <c r="B28" s="102"/>
      <c r="C28" s="96">
        <f t="shared" ref="C28" si="21">J28</f>
        <v>3</v>
      </c>
      <c r="D28" s="96"/>
      <c r="E28" s="96">
        <v>3080</v>
      </c>
      <c r="F28" s="96">
        <v>150</v>
      </c>
      <c r="G28" s="96" t="str">
        <f t="shared" ref="G28" si="22">D38</f>
        <v>ZOCALOS</v>
      </c>
      <c r="H28" s="29"/>
      <c r="J28" s="3">
        <f t="shared" ref="J28" si="23">C38</f>
        <v>3</v>
      </c>
      <c r="K28" s="104">
        <f t="shared" ref="K28" si="24">E38</f>
        <v>3060</v>
      </c>
      <c r="L28" s="104">
        <f t="shared" ref="L28" si="25">F38</f>
        <v>150</v>
      </c>
    </row>
    <row r="29" spans="1:12" ht="18" x14ac:dyDescent="0.35">
      <c r="A29" s="110"/>
      <c r="B29" s="102"/>
      <c r="C29" s="96">
        <f t="shared" ref="C29:C30" si="26">J29</f>
        <v>1</v>
      </c>
      <c r="D29" s="96"/>
      <c r="E29" s="96">
        <v>3080</v>
      </c>
      <c r="F29" s="96">
        <v>130</v>
      </c>
      <c r="G29" s="96" t="str">
        <f t="shared" ref="G29:G30" si="27">D39</f>
        <v>RESPALDO</v>
      </c>
      <c r="H29" s="29"/>
      <c r="J29" s="3">
        <f t="shared" ref="J29:J30" si="28">C39</f>
        <v>1</v>
      </c>
      <c r="K29" s="104">
        <f t="shared" ref="K29:K30" si="29">E39</f>
        <v>3060</v>
      </c>
      <c r="L29" s="104">
        <f t="shared" ref="L29:L30" si="30">F39</f>
        <v>60</v>
      </c>
    </row>
    <row r="30" spans="1:12" ht="18" x14ac:dyDescent="0.35">
      <c r="A30" s="110"/>
      <c r="B30" s="102"/>
      <c r="C30" s="96">
        <f t="shared" si="26"/>
        <v>1</v>
      </c>
      <c r="D30" s="96"/>
      <c r="E30" s="96">
        <v>2040</v>
      </c>
      <c r="F30" s="96">
        <v>130</v>
      </c>
      <c r="G30" s="96" t="str">
        <f t="shared" si="27"/>
        <v>RESPALDO</v>
      </c>
      <c r="H30" s="29"/>
      <c r="J30" s="3">
        <f t="shared" si="28"/>
        <v>1</v>
      </c>
      <c r="K30" s="104">
        <f t="shared" si="29"/>
        <v>2000</v>
      </c>
      <c r="L30" s="104">
        <f t="shared" si="30"/>
        <v>60</v>
      </c>
    </row>
    <row r="31" spans="1:12" ht="18.600000000000001" thickBot="1" x14ac:dyDescent="0.4">
      <c r="A31" s="2"/>
      <c r="B31" s="83"/>
      <c r="C31" s="73"/>
      <c r="D31" s="73"/>
      <c r="E31" s="73"/>
      <c r="F31" s="73"/>
      <c r="G31" s="73"/>
      <c r="H31" s="29"/>
      <c r="I31" s="108"/>
      <c r="J31" s="109"/>
      <c r="K31" s="109"/>
      <c r="L31" s="109"/>
    </row>
    <row r="32" spans="1:12" ht="18.600000000000001" thickBot="1" x14ac:dyDescent="0.4">
      <c r="A32" s="2"/>
      <c r="B32" s="66"/>
      <c r="C32" s="97" t="s">
        <v>104</v>
      </c>
      <c r="D32" s="32"/>
      <c r="E32" s="32"/>
      <c r="F32" s="32"/>
      <c r="G32" s="98"/>
      <c r="H32" s="29"/>
      <c r="J32" s="2"/>
      <c r="K32" s="2"/>
      <c r="L32" s="2"/>
    </row>
    <row r="33" spans="1:10" ht="10.5" customHeight="1" x14ac:dyDescent="0.35">
      <c r="A33" s="2"/>
      <c r="B33" s="29"/>
      <c r="C33" s="29"/>
      <c r="D33" s="29"/>
      <c r="E33" s="29"/>
      <c r="F33" s="29"/>
      <c r="G33" s="29"/>
      <c r="H33" s="29"/>
    </row>
    <row r="34" spans="1:10" ht="18" x14ac:dyDescent="0.35">
      <c r="A34" s="2"/>
      <c r="B34" s="66" t="s">
        <v>8</v>
      </c>
      <c r="C34" s="99" t="s">
        <v>9</v>
      </c>
      <c r="D34" s="99" t="s">
        <v>107</v>
      </c>
      <c r="E34" s="99" t="s">
        <v>6</v>
      </c>
      <c r="F34" s="99" t="s">
        <v>7</v>
      </c>
      <c r="G34" s="99" t="s">
        <v>21</v>
      </c>
      <c r="H34" s="29"/>
    </row>
    <row r="35" spans="1:10" ht="18" x14ac:dyDescent="0.35">
      <c r="A35" s="110">
        <v>1</v>
      </c>
      <c r="B35" s="102" t="s">
        <v>135</v>
      </c>
      <c r="C35" s="94">
        <f>'4637'!B21</f>
        <v>1</v>
      </c>
      <c r="D35" s="94" t="str">
        <f>'4637'!C21</f>
        <v>CUB S/R R6</v>
      </c>
      <c r="E35" s="94">
        <f>'4637'!D21</f>
        <v>3060</v>
      </c>
      <c r="F35" s="94">
        <f>'4637'!E21</f>
        <v>600</v>
      </c>
      <c r="G35" s="94" t="str">
        <f>'4637'!F21</f>
        <v>MINERAL STEEL 3166</v>
      </c>
      <c r="H35" s="29"/>
      <c r="I35" s="28">
        <f>E35*F35/1000000</f>
        <v>1.8360000000000001</v>
      </c>
      <c r="J35" s="28">
        <f>I35*C35</f>
        <v>1.8360000000000001</v>
      </c>
    </row>
    <row r="36" spans="1:10" ht="18" x14ac:dyDescent="0.35">
      <c r="A36" s="110"/>
      <c r="B36" s="102"/>
      <c r="C36" s="94">
        <f>'4637'!B22</f>
        <v>1</v>
      </c>
      <c r="D36" s="94" t="str">
        <f>'4637'!C22</f>
        <v>CUB S/R R6</v>
      </c>
      <c r="E36" s="94">
        <f>'4637'!D22</f>
        <v>2000</v>
      </c>
      <c r="F36" s="94">
        <f>'4637'!E22</f>
        <v>600</v>
      </c>
      <c r="G36" s="94" t="str">
        <f>'4637'!F22</f>
        <v>MINERAL STEEL 3166</v>
      </c>
      <c r="H36" s="29"/>
      <c r="I36" s="28"/>
      <c r="J36" s="28"/>
    </row>
    <row r="37" spans="1:10" ht="18" x14ac:dyDescent="0.35">
      <c r="A37" s="110"/>
      <c r="B37" s="102"/>
      <c r="C37" s="94">
        <f>'4637'!B23</f>
        <v>1</v>
      </c>
      <c r="D37" s="94" t="str">
        <f>'4637'!C23</f>
        <v>CUB MESA 3 LADOS R6</v>
      </c>
      <c r="E37" s="94">
        <f>'4637'!D23</f>
        <v>1800</v>
      </c>
      <c r="F37" s="94">
        <f>'4637'!E23</f>
        <v>750</v>
      </c>
      <c r="G37" s="94" t="str">
        <f>'4637'!F23</f>
        <v>MINERAL STEEL 3166</v>
      </c>
      <c r="H37" s="29"/>
      <c r="I37" s="28"/>
      <c r="J37" s="28"/>
    </row>
    <row r="38" spans="1:10" ht="18" x14ac:dyDescent="0.35">
      <c r="A38" s="110"/>
      <c r="B38" s="102"/>
      <c r="C38" s="94">
        <f>'4637'!B24</f>
        <v>3</v>
      </c>
      <c r="D38" s="94" t="str">
        <f>'4637'!C24</f>
        <v>ZOCALOS</v>
      </c>
      <c r="E38" s="94">
        <f>'4637'!D24</f>
        <v>3060</v>
      </c>
      <c r="F38" s="94">
        <f>'4637'!E24</f>
        <v>150</v>
      </c>
      <c r="G38" s="94" t="str">
        <f>'4637'!F24</f>
        <v>MINERAL STEEL 3166</v>
      </c>
      <c r="H38" s="29"/>
      <c r="I38" s="28"/>
      <c r="J38" s="28"/>
    </row>
    <row r="39" spans="1:10" ht="18" x14ac:dyDescent="0.35">
      <c r="A39" s="110"/>
      <c r="B39" s="102"/>
      <c r="C39" s="94">
        <f>'4637'!B25</f>
        <v>1</v>
      </c>
      <c r="D39" s="94" t="str">
        <f>'4637'!C25</f>
        <v>RESPALDO</v>
      </c>
      <c r="E39" s="94">
        <f>'4637'!D25</f>
        <v>3060</v>
      </c>
      <c r="F39" s="94">
        <f>'4637'!E25</f>
        <v>60</v>
      </c>
      <c r="G39" s="94" t="str">
        <f>'4637'!F25</f>
        <v>MINERAL STEEL 3166</v>
      </c>
      <c r="H39" s="29"/>
      <c r="I39" s="28"/>
      <c r="J39" s="28"/>
    </row>
    <row r="40" spans="1:10" ht="18" x14ac:dyDescent="0.35">
      <c r="A40" s="110"/>
      <c r="B40" s="102"/>
      <c r="C40" s="94">
        <f>'4637'!B26</f>
        <v>1</v>
      </c>
      <c r="D40" s="94" t="str">
        <f>'4637'!C26</f>
        <v>RESPALDO</v>
      </c>
      <c r="E40" s="94">
        <f>'4637'!D26</f>
        <v>2000</v>
      </c>
      <c r="F40" s="94">
        <f>'4637'!E26</f>
        <v>60</v>
      </c>
      <c r="G40" s="94" t="str">
        <f>'4637'!F26</f>
        <v>MINERAL STEEL 3166</v>
      </c>
      <c r="H40" s="29"/>
      <c r="I40" s="28"/>
      <c r="J40" s="28"/>
    </row>
    <row r="41" spans="1:10" ht="18" x14ac:dyDescent="0.35">
      <c r="A41" s="2"/>
      <c r="B41" s="83"/>
      <c r="C41" s="73"/>
      <c r="D41" s="73"/>
      <c r="E41" s="73"/>
      <c r="F41" s="73"/>
      <c r="G41" s="73"/>
      <c r="H41" s="29"/>
      <c r="I41" s="28"/>
      <c r="J41" s="28"/>
    </row>
    <row r="42" spans="1:10" ht="18" x14ac:dyDescent="0.35">
      <c r="A42" s="2"/>
      <c r="B42" s="29"/>
      <c r="C42" s="73"/>
      <c r="D42" s="73"/>
      <c r="E42" s="73"/>
      <c r="F42" s="73"/>
      <c r="G42" s="73"/>
      <c r="H42" s="29"/>
    </row>
    <row r="43" spans="1:10" ht="18" x14ac:dyDescent="0.35">
      <c r="A43" s="2"/>
      <c r="B43" s="29"/>
      <c r="C43" s="73"/>
      <c r="D43" s="73"/>
      <c r="E43" s="73"/>
      <c r="F43" s="73"/>
      <c r="G43" s="73"/>
      <c r="H43" s="29"/>
      <c r="J43" s="28">
        <f>SUM(J35:J35)*2</f>
        <v>3.6720000000000002</v>
      </c>
    </row>
    <row r="44" spans="1:10" ht="18" x14ac:dyDescent="0.35">
      <c r="A44" s="2"/>
      <c r="B44" s="29"/>
      <c r="C44" s="73"/>
      <c r="D44" s="73"/>
      <c r="E44" s="73"/>
      <c r="F44" s="73"/>
      <c r="G44" s="73"/>
      <c r="H44" s="29"/>
    </row>
    <row r="45" spans="1:10" ht="18" x14ac:dyDescent="0.35">
      <c r="A45" s="2"/>
      <c r="B45" s="29"/>
      <c r="C45" s="73"/>
      <c r="D45" s="73"/>
      <c r="E45" s="73"/>
      <c r="F45" s="73"/>
      <c r="G45" s="73"/>
      <c r="H45" s="29"/>
    </row>
    <row r="46" spans="1:10" ht="18" x14ac:dyDescent="0.35">
      <c r="A46" s="2"/>
      <c r="B46" s="29"/>
      <c r="C46" s="73"/>
      <c r="D46" s="73"/>
      <c r="E46" s="73"/>
      <c r="F46" s="73"/>
      <c r="G46" s="73"/>
      <c r="H46" s="29"/>
    </row>
    <row r="47" spans="1:10" ht="18" x14ac:dyDescent="0.35">
      <c r="A47" s="2"/>
      <c r="B47" s="29"/>
      <c r="C47" s="73"/>
      <c r="D47" s="73"/>
      <c r="E47" s="73"/>
      <c r="F47" s="73"/>
      <c r="G47" s="73"/>
      <c r="H47" s="29"/>
    </row>
    <row r="48" spans="1:10" ht="18" x14ac:dyDescent="0.35">
      <c r="A48" s="2"/>
      <c r="B48" s="29"/>
      <c r="C48" s="73"/>
      <c r="D48" s="73"/>
      <c r="E48" s="73"/>
      <c r="F48" s="73"/>
      <c r="G48" s="73"/>
      <c r="H48" s="29"/>
    </row>
    <row r="49" spans="1:13" ht="18" x14ac:dyDescent="0.35">
      <c r="A49" s="2"/>
      <c r="B49" s="29"/>
      <c r="C49" s="73"/>
      <c r="D49" s="73"/>
      <c r="E49" s="73"/>
      <c r="F49" s="73"/>
      <c r="G49" s="73"/>
      <c r="H49" s="29"/>
    </row>
    <row r="50" spans="1:13" ht="18" x14ac:dyDescent="0.35">
      <c r="A50" s="2"/>
      <c r="B50" s="29"/>
      <c r="C50" s="73"/>
      <c r="D50" s="73"/>
      <c r="E50" s="73"/>
      <c r="F50" s="73"/>
      <c r="G50" s="73"/>
      <c r="H50" s="29"/>
    </row>
    <row r="51" spans="1:13" ht="18" x14ac:dyDescent="0.35">
      <c r="A51" s="2"/>
      <c r="B51" s="29"/>
      <c r="C51" s="29"/>
      <c r="D51" s="29"/>
      <c r="E51" s="29"/>
      <c r="F51" s="29"/>
      <c r="G51" s="29"/>
      <c r="H51" s="29"/>
    </row>
    <row r="52" spans="1:13" ht="18" x14ac:dyDescent="0.35">
      <c r="A52" s="2"/>
      <c r="B52" s="29"/>
      <c r="C52" s="29"/>
      <c r="D52" s="74" t="s">
        <v>25</v>
      </c>
      <c r="E52" s="75">
        <f>'4637'!G8</f>
        <v>4119</v>
      </c>
      <c r="F52" s="29"/>
      <c r="G52" s="29"/>
      <c r="H52" s="29"/>
    </row>
    <row r="53" spans="1:13" ht="17.25" customHeight="1" x14ac:dyDescent="0.35">
      <c r="A53" s="2"/>
      <c r="B53" s="29"/>
      <c r="C53" s="29"/>
      <c r="D53" s="76" t="s">
        <v>64</v>
      </c>
      <c r="E53" s="77" t="str">
        <f>'4637'!C10</f>
        <v>FRANCISCO BAEZA</v>
      </c>
      <c r="F53" s="47"/>
      <c r="G53" s="47"/>
      <c r="H53" s="29"/>
    </row>
    <row r="54" spans="1:13" ht="4.5" customHeight="1" x14ac:dyDescent="0.35">
      <c r="A54" s="2"/>
      <c r="B54" s="29"/>
      <c r="C54" s="29"/>
      <c r="D54" s="78"/>
      <c r="E54" s="79"/>
      <c r="F54" s="29"/>
      <c r="G54" s="29"/>
      <c r="H54" s="29"/>
    </row>
    <row r="55" spans="1:13" ht="18" x14ac:dyDescent="0.35">
      <c r="A55" s="2"/>
      <c r="B55" s="29"/>
      <c r="C55" s="29"/>
      <c r="D55" s="80" t="str">
        <f>'4637'!F11</f>
        <v>FECHA LIMITE :</v>
      </c>
      <c r="E55" s="81">
        <f>'4637'!G11</f>
        <v>45581</v>
      </c>
      <c r="F55" s="29"/>
      <c r="G55" s="29"/>
      <c r="H55" s="29"/>
    </row>
    <row r="56" spans="1:13" ht="18" x14ac:dyDescent="0.35">
      <c r="A56" s="2"/>
      <c r="B56" s="29"/>
      <c r="C56" s="29"/>
      <c r="D56" s="29"/>
      <c r="E56" s="29"/>
      <c r="F56" s="29"/>
      <c r="G56" s="29" t="s">
        <v>134</v>
      </c>
      <c r="H56" s="29"/>
    </row>
    <row r="57" spans="1:13" ht="18" x14ac:dyDescent="0.35">
      <c r="A57" s="2"/>
      <c r="B57" s="29"/>
      <c r="C57" s="29"/>
      <c r="D57" s="29"/>
      <c r="E57" s="29"/>
      <c r="F57" s="29"/>
      <c r="G57" s="29"/>
      <c r="H57" s="29"/>
    </row>
    <row r="58" spans="1:13" ht="18" x14ac:dyDescent="0.35">
      <c r="A58" s="2"/>
      <c r="B58" s="128" t="s">
        <v>65</v>
      </c>
      <c r="C58" s="128"/>
      <c r="D58" s="128"/>
      <c r="E58" s="128"/>
      <c r="F58" s="128"/>
      <c r="G58" s="128"/>
      <c r="H58" s="29"/>
    </row>
    <row r="59" spans="1:13" ht="18" x14ac:dyDescent="0.35">
      <c r="A59" s="2"/>
      <c r="B59" s="29"/>
      <c r="C59" s="29"/>
      <c r="D59" s="29"/>
      <c r="E59" s="29"/>
      <c r="F59" s="29"/>
      <c r="G59" s="29"/>
      <c r="H59" s="29"/>
    </row>
    <row r="60" spans="1:13" ht="20.100000000000001" customHeight="1" x14ac:dyDescent="0.35">
      <c r="A60" s="2"/>
      <c r="B60" s="29"/>
      <c r="C60" s="129" t="s">
        <v>66</v>
      </c>
      <c r="D60" s="130"/>
      <c r="E60" s="131"/>
      <c r="F60" s="131"/>
      <c r="G60" s="132"/>
      <c r="H60" s="29"/>
      <c r="I60" s="25" t="s">
        <v>130</v>
      </c>
    </row>
    <row r="61" spans="1:13" s="10" customFormat="1" ht="20.100000000000001" customHeight="1" x14ac:dyDescent="0.35">
      <c r="A61" s="111"/>
      <c r="B61" s="29"/>
      <c r="C61" s="84" t="s">
        <v>9</v>
      </c>
      <c r="D61" s="85" t="s">
        <v>10</v>
      </c>
      <c r="E61" s="88" t="s">
        <v>6</v>
      </c>
      <c r="F61" s="88" t="s">
        <v>7</v>
      </c>
      <c r="G61" s="86" t="s">
        <v>11</v>
      </c>
      <c r="H61" s="29"/>
      <c r="K61" s="10">
        <v>15000</v>
      </c>
    </row>
    <row r="62" spans="1:13" s="10" customFormat="1" ht="20.100000000000001" customHeight="1" x14ac:dyDescent="0.35">
      <c r="A62" s="110">
        <v>1</v>
      </c>
      <c r="B62" s="101" t="s">
        <v>135</v>
      </c>
      <c r="C62" s="96">
        <f>'4637'!B21</f>
        <v>1</v>
      </c>
      <c r="D62" s="96" t="str">
        <f>'4637'!C21</f>
        <v>CUB S/R R6</v>
      </c>
      <c r="E62" s="100">
        <f>'4637'!D21</f>
        <v>3060</v>
      </c>
      <c r="F62" s="100">
        <f>'4637'!E21</f>
        <v>600</v>
      </c>
      <c r="G62" s="96" t="str">
        <f>'4637'!F21</f>
        <v>MINERAL STEEL 3166</v>
      </c>
      <c r="H62" s="29"/>
      <c r="I62" s="10">
        <f>E62*F62/1000000</f>
        <v>1.8360000000000001</v>
      </c>
      <c r="J62" s="10">
        <f>I62*C62</f>
        <v>1.8360000000000001</v>
      </c>
      <c r="K62" s="26">
        <f>J62*K$61</f>
        <v>27540</v>
      </c>
      <c r="M62" s="24">
        <v>12096</v>
      </c>
    </row>
    <row r="63" spans="1:13" s="10" customFormat="1" ht="20.100000000000001" customHeight="1" x14ac:dyDescent="0.35">
      <c r="A63" s="110"/>
      <c r="B63" s="101"/>
      <c r="C63" s="96">
        <f>'4637'!B22</f>
        <v>1</v>
      </c>
      <c r="D63" s="96" t="str">
        <f>'4637'!C22</f>
        <v>CUB S/R R6</v>
      </c>
      <c r="E63" s="100">
        <f>'4637'!D22</f>
        <v>2000</v>
      </c>
      <c r="F63" s="100">
        <f>'4637'!E22</f>
        <v>600</v>
      </c>
      <c r="G63" s="96" t="str">
        <f>'4637'!F22</f>
        <v>MINERAL STEEL 3166</v>
      </c>
      <c r="H63" s="29"/>
      <c r="K63" s="26"/>
      <c r="M63" s="118"/>
    </row>
    <row r="64" spans="1:13" s="10" customFormat="1" ht="20.100000000000001" customHeight="1" x14ac:dyDescent="0.35">
      <c r="A64" s="110"/>
      <c r="B64" s="101"/>
      <c r="C64" s="96">
        <f>'4637'!B23</f>
        <v>1</v>
      </c>
      <c r="D64" s="96" t="str">
        <f>'4637'!C23</f>
        <v>CUB MESA 3 LADOS R6</v>
      </c>
      <c r="E64" s="100">
        <f>'4637'!D23</f>
        <v>1800</v>
      </c>
      <c r="F64" s="100">
        <f>'4637'!E23</f>
        <v>750</v>
      </c>
      <c r="G64" s="96" t="str">
        <f>'4637'!F23</f>
        <v>MINERAL STEEL 3166</v>
      </c>
      <c r="H64" s="29"/>
      <c r="K64" s="26"/>
      <c r="M64" s="118"/>
    </row>
    <row r="65" spans="1:13" s="10" customFormat="1" ht="20.100000000000001" customHeight="1" x14ac:dyDescent="0.35">
      <c r="A65" s="110"/>
      <c r="B65" s="101"/>
      <c r="C65" s="96">
        <f>'4637'!B24</f>
        <v>3</v>
      </c>
      <c r="D65" s="96" t="str">
        <f>'4637'!C24</f>
        <v>ZOCALOS</v>
      </c>
      <c r="E65" s="100">
        <f>'4637'!D24</f>
        <v>3060</v>
      </c>
      <c r="F65" s="100">
        <f>'4637'!E24</f>
        <v>150</v>
      </c>
      <c r="G65" s="96" t="str">
        <f>'4637'!F24</f>
        <v>MINERAL STEEL 3166</v>
      </c>
      <c r="H65" s="29"/>
      <c r="K65" s="26"/>
      <c r="M65" s="118"/>
    </row>
    <row r="66" spans="1:13" s="10" customFormat="1" ht="20.100000000000001" customHeight="1" x14ac:dyDescent="0.35">
      <c r="A66" s="110"/>
      <c r="B66" s="101"/>
      <c r="C66" s="96">
        <f>'4637'!B25</f>
        <v>1</v>
      </c>
      <c r="D66" s="96" t="str">
        <f>'4637'!C25</f>
        <v>RESPALDO</v>
      </c>
      <c r="E66" s="100">
        <f>'4637'!D25</f>
        <v>3060</v>
      </c>
      <c r="F66" s="100">
        <f>'4637'!E25</f>
        <v>60</v>
      </c>
      <c r="G66" s="96" t="str">
        <f>'4637'!F25</f>
        <v>MINERAL STEEL 3166</v>
      </c>
      <c r="H66" s="29"/>
      <c r="K66" s="26"/>
      <c r="M66" s="118"/>
    </row>
    <row r="67" spans="1:13" s="10" customFormat="1" ht="20.100000000000001" customHeight="1" x14ac:dyDescent="0.35">
      <c r="A67" s="110"/>
      <c r="B67" s="101"/>
      <c r="C67" s="96">
        <f>'4637'!B26</f>
        <v>1</v>
      </c>
      <c r="D67" s="96" t="str">
        <f>'4637'!C26</f>
        <v>RESPALDO</v>
      </c>
      <c r="E67" s="100">
        <f>'4637'!D26</f>
        <v>2000</v>
      </c>
      <c r="F67" s="100">
        <f>'4637'!E26</f>
        <v>60</v>
      </c>
      <c r="G67" s="96" t="str">
        <f>'4637'!F26</f>
        <v>MINERAL STEEL 3166</v>
      </c>
      <c r="H67" s="29"/>
      <c r="K67" s="26"/>
      <c r="M67" s="118"/>
    </row>
    <row r="68" spans="1:13" s="10" customFormat="1" ht="15" customHeight="1" x14ac:dyDescent="0.35">
      <c r="B68" s="83"/>
      <c r="C68" s="66"/>
      <c r="D68" s="66"/>
      <c r="E68" s="66"/>
      <c r="F68" s="66"/>
      <c r="G68" s="66"/>
      <c r="H68" s="29"/>
    </row>
    <row r="69" spans="1:13" ht="18" x14ac:dyDescent="0.35">
      <c r="B69" s="73"/>
      <c r="C69" s="73"/>
      <c r="D69" s="29"/>
      <c r="E69" s="73"/>
      <c r="F69" s="73"/>
      <c r="G69" s="78"/>
      <c r="H69" s="29"/>
    </row>
    <row r="70" spans="1:13" ht="18" x14ac:dyDescent="0.35">
      <c r="B70" s="73"/>
      <c r="C70" s="73"/>
      <c r="D70" s="29"/>
      <c r="E70" s="73"/>
      <c r="F70" s="73"/>
      <c r="G70" s="73"/>
      <c r="H70" s="29"/>
      <c r="J70" s="10">
        <f>SUM(J62:J62)</f>
        <v>1.8360000000000001</v>
      </c>
      <c r="K70" s="27">
        <f>SUM(K62:K62)</f>
        <v>27540</v>
      </c>
    </row>
    <row r="71" spans="1:13" ht="18" x14ac:dyDescent="0.35">
      <c r="B71" s="29"/>
      <c r="C71" s="29"/>
      <c r="D71" s="29"/>
      <c r="E71" s="29"/>
      <c r="F71" s="29"/>
      <c r="G71" s="29"/>
      <c r="H71" s="29"/>
    </row>
    <row r="72" spans="1:13" ht="18" x14ac:dyDescent="0.35">
      <c r="B72" s="29"/>
      <c r="C72" s="29"/>
      <c r="D72" s="29"/>
      <c r="E72" s="29"/>
      <c r="F72" s="29"/>
      <c r="G72" s="29"/>
      <c r="H72" s="29"/>
    </row>
    <row r="73" spans="1:13" ht="18" x14ac:dyDescent="0.35">
      <c r="B73" s="29"/>
      <c r="C73" s="29"/>
      <c r="D73" s="29"/>
      <c r="E73" s="29"/>
      <c r="F73" s="29"/>
      <c r="G73" s="29"/>
      <c r="H73" s="29"/>
    </row>
    <row r="74" spans="1:13" ht="15" customHeight="1" x14ac:dyDescent="0.35">
      <c r="B74" s="29"/>
      <c r="C74" s="29"/>
      <c r="D74" s="29"/>
      <c r="E74" s="29"/>
      <c r="F74" s="29"/>
      <c r="G74" s="29"/>
      <c r="H74" s="29"/>
    </row>
    <row r="75" spans="1:13" ht="18" x14ac:dyDescent="0.35">
      <c r="B75" s="29"/>
      <c r="C75" s="29"/>
      <c r="D75" s="29"/>
      <c r="E75" s="29"/>
      <c r="F75" s="29"/>
      <c r="G75" s="29"/>
      <c r="H75" s="29"/>
    </row>
    <row r="76" spans="1:13" ht="18" x14ac:dyDescent="0.35">
      <c r="B76" s="73"/>
      <c r="C76" s="87"/>
      <c r="D76" s="29"/>
      <c r="E76" s="29"/>
      <c r="F76" s="29"/>
      <c r="G76" s="29"/>
      <c r="H76" s="29"/>
    </row>
    <row r="77" spans="1:13" ht="18" x14ac:dyDescent="0.35">
      <c r="B77" s="29"/>
      <c r="C77" s="29"/>
      <c r="D77" s="29"/>
      <c r="E77" s="29"/>
      <c r="F77" s="29"/>
      <c r="G77" s="29"/>
      <c r="H77" s="29"/>
    </row>
    <row r="78" spans="1:13" x14ac:dyDescent="0.3">
      <c r="C78" s="14"/>
      <c r="D78" s="14"/>
      <c r="F78" s="14"/>
      <c r="G78" s="14"/>
    </row>
    <row r="79" spans="1:13" x14ac:dyDescent="0.3">
      <c r="C79" s="14"/>
      <c r="D79" s="14"/>
      <c r="F79" s="14"/>
      <c r="G79" s="14"/>
    </row>
  </sheetData>
  <mergeCells count="6">
    <mergeCell ref="N3:O3"/>
    <mergeCell ref="B21:G21"/>
    <mergeCell ref="B10:G10"/>
    <mergeCell ref="B58:G58"/>
    <mergeCell ref="C60:G6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2024-10-14T12:43:55Z</cp:lastPrinted>
  <dcterms:created xsi:type="dcterms:W3CDTF">2013-03-19T12:54:14Z</dcterms:created>
  <dcterms:modified xsi:type="dcterms:W3CDTF">2024-10-14T12:44:39Z</dcterms:modified>
</cp:coreProperties>
</file>