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3616CDE9-EB85-4C1F-8B1D-D8AC2A91A8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H25" i="4"/>
  <c r="H21" i="4"/>
  <c r="H24" i="4" l="1"/>
  <c r="J14" i="3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3" i="3"/>
  <c r="H26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<sst xmlns="http://schemas.openxmlformats.org/spreadsheetml/2006/main" count="247" uniqueCount="143">
  <si>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</si>
  <si>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</si>
  <si>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</si>
  <si>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</si>
  <si>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</si>
  <si>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</si>
  <si>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</si>
  <si>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</si>
  <si>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</si>
  <si>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</si>
  <si>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</si>
  <si>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</si>
  <si>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</si>
  <si>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</si>
  <si>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</si>
  <si>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</si>
  <si>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</si>
  <si>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</si>
  <si>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</si>
  <si>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</si>
  <si>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</si>
  <si>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</si>
  <si>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</si>
  <si>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</si>
  <si>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</si>
  <si>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</si>
  <si>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</si>
  <si>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</si>
  <si>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</si>
  <si>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</si>
  <si>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</si>
  <si>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</si>
  <si>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</si>
  <si>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</si>
  <si>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</si>
  <si>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</si>
  <si>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</si>
  <si>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</si>
  <si>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</si>
  <si>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</si>
  <si>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</si>
  <si>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</si>
  <si>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</si>
  <si>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</si>
  <si>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</si>
  <si>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</si>
  <si>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</si>
  <si>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</si>
  <si>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</si>
  <si>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</si>
  <si>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</si>
  <si>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</si>
  <si>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</si>
  <si>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</si>
  <si>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</si>
  <si>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</si>
  <si>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</si>
  <si>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</si>
  <si>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</si>
  <si>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</si>
  <si>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</si>
  <si>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</si>
  <si>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</si>
  <si>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</si>
  <si>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</si>
  <si>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</si>
  <si>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</si>
  <si>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</si>
  <si>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</si>
  <si>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</si>
  <si>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</si>
  <si>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</si>
  <si>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</si>
  <si>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</si>
  <si>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</si>
  <si>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</si>
  <si>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</si>
  <si>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</si>
  <si>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</si>
  <si>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</si>
  <si>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</si>
  <si>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</si>
  <si>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</si>
  <si>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</si>
  <si>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</si>
  <si>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</si>
  <si>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</si>
  <si>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</si>
  <si>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</si>
  <si>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</si>
  <si>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</si>
  <si>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</si>
  <si>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</si>
  <si>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</si>
  <si>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</si>
  <si>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</si>
  <si>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</si>
  <si>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</si>
  <si>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</si>
  <si>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</si>
  <si>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</si>
  <si>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</si>
  <si>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</si>
  <si>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</si>
  <si>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</si>
  <si>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</si>
  <si>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</si>
  <si>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</si>
  <si>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</si>
  <si>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</si>
  <si>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</si>
  <si>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</si>
  <si>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</si>
  <si>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</si>
  <si>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</si>
  <si>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</si>
  <si>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</si>
  <si>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</si>
  <si>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</si>
  <si>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</si>
  <si>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</si>
  <si>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</si>
  <si>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</si>
  <si>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</si>
  <si>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</si>
  <si>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</si>
  <si>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</si>
  <si>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</si>
  <si>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</si>
  <si>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</si>
  <si>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</si>
  <si>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</si>
  <si>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</si>
  <si>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</si>
  <si>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</si>
  <si>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</si>
  <si>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</si>
  <si>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IVA</t>
  </si>
  <si>
    <t>YUNES SALIBE</t>
  </si>
  <si>
    <t>PUERTO MONTT</t>
  </si>
  <si>
    <t>+569 94437024</t>
  </si>
  <si>
    <t>CUB MESA R8 3 LADOS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</si>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</sst>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22</xdr:row>
      <xdr:rowOff>0</xdr:rowOff>
    </xdr:from>
    <xdr:to>
      <xdr:col>5</xdr:col>
      <xdr:colOff>1555102</xdr:colOff>
      <xdr:row>25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:PAGADA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EMBALAR Y DESPACHAR POR TRANSPORTES CASEN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5" zoomScale="98" zoomScaleNormal="98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11095</v>
      </c>
      <c r="E8" s="30">
        <v>0</v>
      </c>
      <c r="F8" s="35" t="s">
        <v>25</v>
      </c>
      <c r="G8" s="36">
        <v>4125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45586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8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9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20" t="s">
        <v>139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115">
        <v>1</v>
      </c>
      <c r="C21" s="115" t="s">
        <v>141</v>
      </c>
      <c r="D21" s="116">
        <v>2950</v>
      </c>
      <c r="E21" s="116">
        <v>1450</v>
      </c>
      <c r="F21" s="115" t="s">
        <v>142</v>
      </c>
      <c r="G21" s="117">
        <v>99897</v>
      </c>
      <c r="H21" s="117">
        <f>G21*B21</f>
        <v>99897</v>
      </c>
      <c r="I21" s="30"/>
      <c r="K21" s="11">
        <f>D21/1000</f>
        <v>2.95</v>
      </c>
      <c r="L21" s="15">
        <f>E21/1000</f>
        <v>1.45</v>
      </c>
      <c r="M21" s="11">
        <f>K21*L21</f>
        <v>4.2774999999999999</v>
      </c>
      <c r="N21" s="11">
        <f>M21*N$20</f>
        <v>278037.5</v>
      </c>
      <c r="O21" s="15"/>
      <c r="P21" s="21"/>
    </row>
    <row r="22" spans="1:16" ht="20.100000000000001" customHeight="1" x14ac:dyDescent="0.35">
      <c r="A22" s="30"/>
      <c r="B22" s="113"/>
      <c r="C22" s="113"/>
      <c r="D22" s="114"/>
      <c r="E22" s="114"/>
      <c r="F22" s="113"/>
      <c r="G22" s="103"/>
      <c r="H22" s="103"/>
      <c r="I22" s="30"/>
      <c r="K22" s="11"/>
      <c r="L22" s="15"/>
      <c r="M22" s="11"/>
      <c r="N22" s="11"/>
      <c r="O22" s="15"/>
      <c r="P22" s="21"/>
    </row>
    <row r="23" spans="1:16" ht="13.2" customHeight="1" thickBot="1" x14ac:dyDescent="0.4">
      <c r="A23" s="30"/>
      <c r="B23" s="59"/>
      <c r="C23" s="59"/>
      <c r="D23" s="59"/>
      <c r="E23" s="59"/>
      <c r="F23" s="59"/>
      <c r="G23" s="58"/>
      <c r="H23" s="58"/>
      <c r="I23" s="30"/>
    </row>
    <row r="24" spans="1:16" ht="20.100000000000001" customHeight="1" x14ac:dyDescent="0.35">
      <c r="A24" s="30"/>
      <c r="B24" s="30"/>
      <c r="C24" s="30"/>
      <c r="D24" s="30"/>
      <c r="E24" s="30"/>
      <c r="F24" s="30"/>
      <c r="G24" s="60" t="s">
        <v>5</v>
      </c>
      <c r="H24" s="61">
        <f>SUM(H21:H23)</f>
        <v>99897</v>
      </c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2" t="s">
        <v>137</v>
      </c>
      <c r="H25" s="63">
        <f>H24*19%</f>
        <v>18980.43</v>
      </c>
      <c r="I25" s="30"/>
    </row>
    <row r="26" spans="1:16" ht="20.100000000000001" customHeight="1" thickBot="1" x14ac:dyDescent="0.4">
      <c r="A26" s="30"/>
      <c r="B26" s="30"/>
      <c r="C26" s="30"/>
      <c r="D26" s="30"/>
      <c r="E26" s="30"/>
      <c r="F26" s="30"/>
      <c r="G26" s="64" t="s">
        <v>4</v>
      </c>
      <c r="H26" s="65">
        <f>H24+H25</f>
        <v>118877.43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6"/>
      <c r="H27" s="67"/>
      <c r="I27" s="30"/>
    </row>
    <row r="28" spans="1:16" ht="18" x14ac:dyDescent="0.35">
      <c r="A28" s="30"/>
      <c r="B28" s="30"/>
      <c r="C28" s="30"/>
      <c r="D28" s="30"/>
      <c r="E28" s="30"/>
      <c r="F28" s="30"/>
      <c r="G28" s="30"/>
      <c r="H28" s="30"/>
      <c r="I28" s="30"/>
    </row>
    <row r="29" spans="1:16" ht="18" x14ac:dyDescent="0.35">
      <c r="A29" s="30"/>
      <c r="B29" s="68" t="s">
        <v>133</v>
      </c>
      <c r="C29" s="69"/>
      <c r="D29" s="70"/>
      <c r="E29" s="70"/>
      <c r="F29" s="59"/>
      <c r="G29" s="30"/>
      <c r="H29" s="30"/>
      <c r="I29" s="30"/>
    </row>
    <row r="30" spans="1:16" ht="18" x14ac:dyDescent="0.35">
      <c r="A30" s="30"/>
      <c r="B30" s="68" t="s">
        <v>119</v>
      </c>
      <c r="C30" s="69"/>
      <c r="D30" s="70"/>
      <c r="E30" s="70"/>
      <c r="F30" s="59"/>
      <c r="G30" s="30"/>
      <c r="H30" s="30"/>
      <c r="I30" s="30"/>
    </row>
    <row r="31" spans="1:16" ht="18" x14ac:dyDescent="0.35">
      <c r="A31" s="30"/>
      <c r="B31" s="30" t="s">
        <v>23</v>
      </c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1" t="s">
        <v>24</v>
      </c>
      <c r="C32" s="71"/>
      <c r="D32" s="30"/>
      <c r="E32" s="30"/>
      <c r="F32" s="30"/>
      <c r="G32" s="30"/>
      <c r="H32" s="30"/>
      <c r="I32" s="30"/>
    </row>
    <row r="33" spans="1:9" ht="18" x14ac:dyDescent="0.35">
      <c r="A33" s="30"/>
      <c r="B33" s="30"/>
      <c r="C33" s="30"/>
      <c r="D33" s="30"/>
      <c r="E33" s="71"/>
      <c r="F33" s="30"/>
      <c r="G33" s="30"/>
      <c r="H33" s="30"/>
      <c r="I33" s="30"/>
    </row>
    <row r="34" spans="1:9" ht="18" x14ac:dyDescent="0.35">
      <c r="A34" s="30"/>
      <c r="B34" s="31" t="s">
        <v>131</v>
      </c>
      <c r="C34" s="31"/>
      <c r="D34" s="31"/>
      <c r="E34" s="72"/>
      <c r="F34" s="30"/>
      <c r="G34" s="30"/>
      <c r="H34" s="30"/>
      <c r="I34" s="30"/>
    </row>
    <row r="35" spans="1:9" ht="18" x14ac:dyDescent="0.35">
      <c r="A35" s="30"/>
      <c r="B35" s="31"/>
      <c r="C35" s="31"/>
      <c r="D35" s="31"/>
      <c r="E35" s="72"/>
      <c r="F35" s="30"/>
      <c r="G35" s="30"/>
      <c r="H35" s="30"/>
      <c r="I35" s="30"/>
    </row>
    <row r="36" spans="1:9" ht="18" x14ac:dyDescent="0.35">
      <c r="A36" s="30"/>
      <c r="B36" s="31" t="s">
        <v>132</v>
      </c>
      <c r="C36" s="30"/>
      <c r="D36" s="30"/>
      <c r="E36" s="71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7" zoomScaleNormal="100" workbookViewId="0">
      <selection activeCell="A37" sqref="A37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4125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YUNES SALIBE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136</v>
      </c>
      <c r="C14" s="94">
        <f>J14</f>
        <v>1</v>
      </c>
      <c r="D14" s="96"/>
      <c r="E14" s="94">
        <f>K14+E$13</f>
        <v>3000</v>
      </c>
      <c r="F14" s="94">
        <f>L14+F$13</f>
        <v>1450</v>
      </c>
      <c r="G14" s="94" t="str">
        <f>D27</f>
        <v>CUB MESA R8 3 LADOS</v>
      </c>
      <c r="H14" s="30"/>
      <c r="J14" s="3">
        <f>'4637'!B21</f>
        <v>1</v>
      </c>
      <c r="K14" s="4">
        <f t="shared" ref="K14:L14" si="0">E27</f>
        <v>2950</v>
      </c>
      <c r="L14" s="4">
        <f t="shared" si="0"/>
        <v>1450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110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10">
        <v>1</v>
      </c>
      <c r="B21" s="102"/>
      <c r="C21" s="96">
        <f t="shared" ref="C21" si="1">J21</f>
        <v>1</v>
      </c>
      <c r="D21" s="96"/>
      <c r="E21" s="96">
        <f>K21+E$20</f>
        <v>2990</v>
      </c>
      <c r="F21" s="95">
        <f>L21+F20</f>
        <v>1560</v>
      </c>
      <c r="G21" s="96" t="str">
        <f>D27</f>
        <v>CUB MESA R8 3 LADOS</v>
      </c>
      <c r="H21" s="30"/>
      <c r="J21" s="3">
        <f>C27</f>
        <v>1</v>
      </c>
      <c r="K21" s="104">
        <f>E27</f>
        <v>2950</v>
      </c>
      <c r="L21" s="104">
        <f>F27</f>
        <v>1450</v>
      </c>
    </row>
    <row r="22" spans="1:12" ht="18" x14ac:dyDescent="0.35">
      <c r="A22" s="110"/>
      <c r="B22" s="102"/>
      <c r="C22" s="73"/>
      <c r="D22" s="73"/>
      <c r="E22" s="73"/>
      <c r="F22" s="73"/>
      <c r="G22" s="73"/>
      <c r="H22" s="30"/>
      <c r="J22" s="23"/>
      <c r="K22" s="112"/>
      <c r="L22" s="112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2" ht="18" x14ac:dyDescent="0.35">
      <c r="A27" s="110">
        <v>1</v>
      </c>
      <c r="B27" s="102" t="s">
        <v>136</v>
      </c>
      <c r="C27" s="94">
        <f>'4637'!B21</f>
        <v>1</v>
      </c>
      <c r="D27" s="94" t="str">
        <f>'4637'!C21</f>
        <v>CUB MESA R8 3 LADOS</v>
      </c>
      <c r="E27" s="94">
        <f>'4637'!D21</f>
        <v>2950</v>
      </c>
      <c r="F27" s="94">
        <f>'4637'!E21</f>
        <v>1450</v>
      </c>
      <c r="G27" s="94" t="str">
        <f>'4637'!F21</f>
        <v>VAINILLA 2109 MT</v>
      </c>
      <c r="H27" s="30"/>
      <c r="I27" s="28">
        <f>E27*F27/1000000</f>
        <v>4.2774999999999999</v>
      </c>
      <c r="J27" s="28">
        <f>I27*C27</f>
        <v>4.2774999999999999</v>
      </c>
    </row>
    <row r="28" spans="1:12" ht="18" x14ac:dyDescent="0.35">
      <c r="A28" s="2"/>
      <c r="B28" s="83"/>
      <c r="C28" s="73"/>
      <c r="D28" s="73"/>
      <c r="E28" s="73"/>
      <c r="F28" s="73"/>
      <c r="G28" s="73"/>
      <c r="H28" s="30"/>
      <c r="I28" s="28"/>
      <c r="J28" s="28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  <c r="J30" s="28">
        <f>SUM(J27:J27)*2</f>
        <v>8.5549999999999997</v>
      </c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1" ht="18" x14ac:dyDescent="0.35">
      <c r="A33" s="2"/>
      <c r="B33" s="30"/>
      <c r="C33" s="73"/>
      <c r="D33" s="73"/>
      <c r="E33" s="73"/>
      <c r="F33" s="73"/>
      <c r="G33" s="73"/>
      <c r="H33" s="30"/>
    </row>
    <row r="34" spans="1:11" ht="18" x14ac:dyDescent="0.35">
      <c r="A34" s="2"/>
      <c r="B34" s="30"/>
      <c r="C34" s="73"/>
      <c r="D34" s="73"/>
      <c r="E34" s="73"/>
      <c r="F34" s="73"/>
      <c r="G34" s="73"/>
      <c r="H34" s="30"/>
    </row>
    <row r="35" spans="1:11" ht="18" x14ac:dyDescent="0.35">
      <c r="A35" s="2"/>
      <c r="B35" s="30"/>
      <c r="C35" s="73"/>
      <c r="D35" s="73"/>
      <c r="E35" s="73"/>
      <c r="F35" s="73"/>
      <c r="G35" s="73"/>
      <c r="H35" s="30"/>
    </row>
    <row r="36" spans="1:11" ht="18" x14ac:dyDescent="0.35">
      <c r="A36" s="2"/>
      <c r="B36" s="30"/>
      <c r="C36" s="73"/>
      <c r="D36" s="73"/>
      <c r="E36" s="73"/>
      <c r="F36" s="73"/>
      <c r="G36" s="73"/>
      <c r="H36" s="30"/>
    </row>
    <row r="37" spans="1:11" ht="18" x14ac:dyDescent="0.35">
      <c r="A37" s="2"/>
      <c r="B37" s="30"/>
      <c r="C37" s="73"/>
      <c r="D37" s="73"/>
      <c r="E37" s="73"/>
      <c r="F37" s="73"/>
      <c r="G37" s="73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4" t="s">
        <v>25</v>
      </c>
      <c r="E39" s="75">
        <f>'4637'!G8</f>
        <v>4125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6" t="s">
        <v>64</v>
      </c>
      <c r="E40" s="77" t="str">
        <f>'4637'!C10</f>
        <v>YUNES SALIBE</v>
      </c>
      <c r="F40" s="48"/>
      <c r="G40" s="48"/>
      <c r="H40" s="30"/>
    </row>
    <row r="41" spans="1:11" ht="4.5" customHeight="1" x14ac:dyDescent="0.35">
      <c r="A41" s="2"/>
      <c r="B41" s="30"/>
      <c r="C41" s="30"/>
      <c r="D41" s="78"/>
      <c r="E41" s="79"/>
      <c r="F41" s="30"/>
      <c r="G41" s="30"/>
      <c r="H41" s="30"/>
    </row>
    <row r="42" spans="1:11" ht="18" x14ac:dyDescent="0.35">
      <c r="A42" s="2"/>
      <c r="B42" s="30"/>
      <c r="C42" s="30"/>
      <c r="D42" s="80" t="str">
        <f>'4637'!F11</f>
        <v>FECHA LIMITE :</v>
      </c>
      <c r="E42" s="81">
        <f>'4637'!G11</f>
        <v>0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31" t="s">
        <v>66</v>
      </c>
      <c r="D47" s="132"/>
      <c r="E47" s="133"/>
      <c r="F47" s="133"/>
      <c r="G47" s="134"/>
      <c r="H47" s="30"/>
      <c r="I47" s="25" t="s">
        <v>130</v>
      </c>
    </row>
    <row r="48" spans="1:11" s="10" customFormat="1" ht="20.100000000000001" customHeight="1" x14ac:dyDescent="0.35">
      <c r="A48" s="111"/>
      <c r="B48" s="30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30"/>
      <c r="K48" s="10">
        <v>15000</v>
      </c>
    </row>
    <row r="49" spans="1:13" s="10" customFormat="1" ht="20.100000000000001" customHeight="1" x14ac:dyDescent="0.35">
      <c r="A49" s="110">
        <v>1</v>
      </c>
      <c r="B49" s="101" t="s">
        <v>136</v>
      </c>
      <c r="C49" s="96">
        <f>'4637'!B21</f>
        <v>1</v>
      </c>
      <c r="D49" s="96" t="str">
        <f>'4637'!C21</f>
        <v>CUB MESA R8 3 LADOS</v>
      </c>
      <c r="E49" s="100">
        <f>'4637'!D21</f>
        <v>2950</v>
      </c>
      <c r="F49" s="100">
        <f>'4637'!E21</f>
        <v>1450</v>
      </c>
      <c r="G49" s="96" t="str">
        <f>'4637'!F21</f>
        <v>VAINILLA 2109 MT</v>
      </c>
      <c r="H49" s="30"/>
      <c r="I49" s="10">
        <f>E49*F49/1000000</f>
        <v>4.2774999999999999</v>
      </c>
      <c r="J49" s="10">
        <f>I49*C49</f>
        <v>4.2774999999999999</v>
      </c>
      <c r="K49" s="26">
        <f>J49*K$48</f>
        <v>64162.5</v>
      </c>
      <c r="M49" s="24">
        <v>12096</v>
      </c>
    </row>
    <row r="50" spans="1:13" s="10" customFormat="1" ht="20.100000000000001" customHeight="1" x14ac:dyDescent="0.35">
      <c r="A50" s="110"/>
      <c r="B50" s="101"/>
      <c r="C50" s="73"/>
      <c r="D50" s="73"/>
      <c r="E50" s="73"/>
      <c r="F50" s="73"/>
      <c r="G50" s="73"/>
      <c r="H50" s="30"/>
      <c r="K50" s="26"/>
      <c r="M50" s="29"/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30"/>
    </row>
    <row r="52" spans="1:13" ht="18" x14ac:dyDescent="0.35">
      <c r="B52" s="73"/>
      <c r="C52" s="73"/>
      <c r="D52" s="30"/>
      <c r="E52" s="73"/>
      <c r="F52" s="73"/>
      <c r="G52" s="78"/>
      <c r="H52" s="30"/>
    </row>
    <row r="53" spans="1:13" ht="18" x14ac:dyDescent="0.35">
      <c r="B53" s="73"/>
      <c r="C53" s="73"/>
      <c r="D53" s="30"/>
      <c r="E53" s="73"/>
      <c r="F53" s="73"/>
      <c r="G53" s="73"/>
      <c r="H53" s="30"/>
      <c r="J53" s="10">
        <f>SUM(J49:J49)</f>
        <v>4.2774999999999999</v>
      </c>
      <c r="K53" s="27">
        <f>SUM(K49:K49)</f>
        <v>64162.5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3"/>
      <c r="C59" s="87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2024-10-29T15:43:01Z</cp:lastPrinted>
  <dcterms:created xsi:type="dcterms:W3CDTF">2013-03-19T12:54:14Z</dcterms:created>
  <dcterms:modified xsi:type="dcterms:W3CDTF">2024-10-29T15:43:16Z</dcterms:modified>
</cp:coreProperties>
</file>