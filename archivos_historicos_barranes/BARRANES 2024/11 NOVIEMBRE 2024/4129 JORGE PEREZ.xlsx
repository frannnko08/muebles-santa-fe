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4\"/>
    </mc:Choice>
  </mc:AlternateContent>
  <xr:revisionPtr revIDLastSave="0" documentId="13_ncr:1_{763AE724-21AF-42CF-AB1B-64B2C77A6B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'4637'!$B$1:$H$41</definedName>
    <definedName name="_xlnm.Print_Area" localSheetId="2">CUBIERTA!$A$38:$F$63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H22" i="4"/>
  <c r="H21" i="4"/>
  <c r="F15" i="3" l="1"/>
  <c r="I15" i="3"/>
  <c r="B15" i="3" s="1"/>
  <c r="B29" i="3"/>
  <c r="I23" i="3" s="1"/>
  <c r="B23" i="3" s="1"/>
  <c r="C29" i="3"/>
  <c r="F23" i="3" s="1"/>
  <c r="D29" i="3"/>
  <c r="J23" i="3" s="1"/>
  <c r="D23" i="3" s="1"/>
  <c r="E29" i="3"/>
  <c r="K23" i="3" s="1"/>
  <c r="E23" i="3" s="1"/>
  <c r="F29" i="3"/>
  <c r="B51" i="3"/>
  <c r="C51" i="3"/>
  <c r="D51" i="3"/>
  <c r="E51" i="3"/>
  <c r="F51" i="3"/>
  <c r="K15" i="3" l="1"/>
  <c r="J15" i="3"/>
  <c r="D15" i="3" s="1"/>
  <c r="I14" i="3"/>
  <c r="B14" i="3" s="1"/>
  <c r="C50" i="3" l="1"/>
  <c r="L21" i="4" l="1"/>
  <c r="K21" i="4"/>
  <c r="M21" i="4" l="1"/>
  <c r="N21" i="4" s="1"/>
  <c r="B28" i="3" l="1"/>
  <c r="I22" i="3" s="1"/>
  <c r="B22" i="3" s="1"/>
  <c r="C28" i="3"/>
  <c r="F22" i="3" s="1"/>
  <c r="D28" i="3"/>
  <c r="E28" i="3"/>
  <c r="K22" i="3" s="1"/>
  <c r="E22" i="3" s="1"/>
  <c r="F28" i="3"/>
  <c r="B50" i="3"/>
  <c r="D50" i="3"/>
  <c r="E50" i="3"/>
  <c r="F50" i="3"/>
  <c r="H28" i="3" l="1"/>
  <c r="I28" i="3" s="1"/>
  <c r="J22" i="3"/>
  <c r="D22" i="3" s="1"/>
  <c r="H50" i="3"/>
  <c r="I50" i="3" s="1"/>
  <c r="J14" i="3"/>
  <c r="D14" i="3" s="1"/>
  <c r="F14" i="3"/>
  <c r="K14" i="3"/>
  <c r="E14" i="3" s="1"/>
  <c r="I31" i="3" l="1"/>
  <c r="J50" i="3"/>
  <c r="I55" i="3"/>
  <c r="H28" i="4"/>
  <c r="N5" i="3"/>
  <c r="J55" i="3" l="1"/>
  <c r="M5" i="3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<sst xmlns="http://schemas.openxmlformats.org/spreadsheetml/2006/main" count="246" uniqueCount="142">
  <si>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</si>
  <si>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</si>
  <si>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</si>
  <si>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</si>
  <si>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</si>
  <si>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</si>
  <si>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</si>
  <si>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</si>
  <si>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</si>
  <si>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</si>
  <si>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</si>
  <si>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</si>
  <si>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</si>
  <si>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</si>
  <si>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</si>
  <si>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</si>
  <si>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</si>
  <si>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</si>
  <si>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</si>
  <si>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</si>
  <si>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</si>
  <si>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</si>
  <si>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</si>
  <si>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</si>
  <si>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</si>
  <si>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</si>
  <si>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</si>
  <si>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</si>
  <si>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</si>
  <si>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</si>
  <si>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</si>
  <si>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</si>
  <si>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</si>
  <si>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</si>
  <si>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</si>
  <si>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</si>
  <si>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</si>
  <si>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</si>
  <si>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</si>
  <si>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</si>
  <si>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</si>
  <si>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</si>
  <si>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</si>
  <si>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</si>
  <si>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</si>
  <si>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</si>
  <si>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</si>
  <si>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</si>
  <si>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</si>
  <si>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</si>
  <si>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</si>
  <si>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</si>
  <si>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</si>
  <si>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</si>
  <si>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</si>
  <si>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</si>
  <si>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</si>
  <si>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</si>
  <si>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</si>
  <si>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</si>
  <si>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</si>
  <si>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</si>
  <si>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</si>
  <si>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</si>
  <si>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</si>
  <si>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</si>
  <si>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</si>
  <si>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</si>
  <si>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</si>
  <si>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</si>
  <si>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</si>
  <si>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</si>
  <si>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</si>
  <si>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</si>
  <si>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</si>
  <si>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</si>
  <si>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</si>
  <si>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</si>
  <si>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</si>
  <si>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</si>
  <si>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</si>
  <si>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</si>
  <si>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</si>
  <si>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</si>
  <si>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</si>
  <si>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</si>
  <si>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</si>
  <si>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</si>
  <si>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</si>
  <si>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</si>
  <si>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</si>
  <si>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</si>
  <si>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</si>
  <si>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</si>
  <si>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</si>
  <si>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</si>
  <si>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</si>
  <si>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</si>
  <si>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</si>
  <si>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</si>
  <si>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</si>
  <si>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</si>
  <si>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</si>
  <si>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</si>
  <si>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</si>
  <si>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</si>
  <si>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</si>
  <si>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</si>
  <si>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</si>
  <si>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</si>
  <si>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</si>
  <si>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</si>
  <si>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</si>
  <si>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</si>
  <si>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</si>
  <si>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</si>
  <si>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</si>
  <si>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</si>
  <si>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</si>
  <si>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</si>
  <si>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</si>
  <si>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</si>
  <si>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</si>
  <si>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</si>
  <si>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</si>
  <si>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</si>
  <si>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</si>
  <si>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</si>
  <si>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</si>
  <si>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</si>
  <si>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</si>
  <si>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</si>
  <si>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</si>
  <si>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SANTIAGO</t>
  </si>
  <si>
    <t xml:space="preserve">CUENTA CORRIENTE BANCO SANTANDER N° 87316181 A NOMBRE DE </t>
  </si>
  <si>
    <t>FD</t>
  </si>
  <si>
    <t>HECHO POR: FD</t>
  </si>
  <si>
    <t>ABONO</t>
  </si>
  <si>
    <t>JORGE PEREZ</t>
  </si>
  <si>
    <t>CUB S/R R6</t>
  </si>
  <si>
    <t>CEN 1V R8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</si>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</sst>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8" fillId="0" borderId="0" xfId="2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0" fillId="0" borderId="0" xfId="2" quotePrefix="1" applyFont="1" applyFill="1" applyBorder="1" applyAlignment="1">
      <alignment horizontal="left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32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23</xdr:row>
      <xdr:rowOff>213827</xdr:rowOff>
    </xdr:from>
    <xdr:to>
      <xdr:col>5</xdr:col>
      <xdr:colOff>1555102</xdr:colOff>
      <xdr:row>27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CLIENTE</a:t>
          </a:r>
          <a:r>
            <a:rPr lang="es-CL" sz="1200" b="1" i="0" baseline="0"/>
            <a:t> APORTA LA LAMINA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36</xdr:row>
      <xdr:rowOff>0</xdr:rowOff>
    </xdr:from>
    <xdr:to>
      <xdr:col>4</xdr:col>
      <xdr:colOff>369336</xdr:colOff>
      <xdr:row>36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38</xdr:row>
      <xdr:rowOff>1</xdr:rowOff>
    </xdr:from>
    <xdr:to>
      <xdr:col>4</xdr:col>
      <xdr:colOff>349897</xdr:colOff>
      <xdr:row>38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16</xdr:row>
      <xdr:rowOff>66674</xdr:rowOff>
    </xdr:from>
    <xdr:to>
      <xdr:col>5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44</xdr:row>
      <xdr:rowOff>190500</xdr:rowOff>
    </xdr:from>
    <xdr:to>
      <xdr:col>6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41</xdr:row>
      <xdr:rowOff>30479</xdr:rowOff>
    </xdr:from>
    <xdr:to>
      <xdr:col>5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39</xdr:row>
      <xdr:rowOff>209549</xdr:rowOff>
    </xdr:from>
    <xdr:to>
      <xdr:col>6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171450</xdr:rowOff>
    </xdr:from>
    <xdr:to>
      <xdr:col>6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30</xdr:row>
      <xdr:rowOff>15239</xdr:rowOff>
    </xdr:from>
    <xdr:to>
      <xdr:col>6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24</xdr:row>
      <xdr:rowOff>1</xdr:rowOff>
    </xdr:from>
    <xdr:to>
      <xdr:col>6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38</xdr:row>
      <xdr:rowOff>146685</xdr:rowOff>
    </xdr:from>
    <xdr:to>
      <xdr:col>1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abSelected="1" topLeftCell="A8" zoomScale="98" zoomScaleNormal="98" workbookViewId="0">
      <selection activeCell="C15" sqref="C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/>
      <c r="E8" s="30"/>
      <c r="F8" s="35" t="s">
        <v>25</v>
      </c>
      <c r="G8" s="36">
        <v>4128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45602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135</v>
      </c>
      <c r="H13" s="50"/>
      <c r="I13" s="30"/>
    </row>
    <row r="14" spans="1:17" ht="18" x14ac:dyDescent="0.35">
      <c r="A14" s="30"/>
      <c r="B14" s="43" t="s">
        <v>16</v>
      </c>
      <c r="C14" s="111">
        <v>56982284875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133</v>
      </c>
      <c r="D16" s="56"/>
      <c r="E16" s="57"/>
      <c r="F16" s="117" t="s">
        <v>17</v>
      </c>
      <c r="G16" s="117"/>
      <c r="H16" s="118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9" t="s">
        <v>18</v>
      </c>
      <c r="C19" s="120"/>
      <c r="D19" s="120"/>
      <c r="E19" s="120"/>
      <c r="F19" s="120"/>
      <c r="G19" s="120"/>
      <c r="H19" s="121"/>
      <c r="I19" s="30"/>
    </row>
    <row r="20" spans="1:16" ht="20.100000000000001" customHeight="1" x14ac:dyDescent="0.35">
      <c r="A20" s="30"/>
      <c r="B20" s="58" t="s">
        <v>128</v>
      </c>
      <c r="C20" s="59" t="s">
        <v>19</v>
      </c>
      <c r="D20" s="59" t="s">
        <v>20</v>
      </c>
      <c r="E20" s="59" t="s">
        <v>7</v>
      </c>
      <c r="F20" s="60" t="s">
        <v>21</v>
      </c>
      <c r="G20" s="58" t="s">
        <v>22</v>
      </c>
      <c r="H20" s="60" t="s">
        <v>4</v>
      </c>
      <c r="I20" s="30"/>
      <c r="N20">
        <v>65000</v>
      </c>
    </row>
    <row r="21" spans="1:16" ht="20.100000000000001" customHeight="1" x14ac:dyDescent="0.35">
      <c r="A21" s="30"/>
      <c r="B21" s="110">
        <v>2</v>
      </c>
      <c r="C21" s="110" t="s">
        <v>139</v>
      </c>
      <c r="D21" s="113">
        <v>3000</v>
      </c>
      <c r="E21" s="113">
        <v>600</v>
      </c>
      <c r="F21" s="110"/>
      <c r="G21" s="112">
        <v>44590</v>
      </c>
      <c r="H21" s="112">
        <f>G21*B21</f>
        <v>89180</v>
      </c>
      <c r="I21" s="30"/>
      <c r="K21" s="11">
        <f>D21/1000</f>
        <v>3</v>
      </c>
      <c r="L21" s="15">
        <f>E21/1000</f>
        <v>0.6</v>
      </c>
      <c r="M21" s="11">
        <f>K21*L21</f>
        <v>1.7999999999999998</v>
      </c>
      <c r="N21" s="11">
        <f>M21*N$20</f>
        <v>116999.99999999999</v>
      </c>
      <c r="O21" s="15"/>
      <c r="P21" s="21"/>
    </row>
    <row r="22" spans="1:16" ht="20.100000000000001" customHeight="1" x14ac:dyDescent="0.35">
      <c r="A22" s="30"/>
      <c r="B22" s="110">
        <v>2</v>
      </c>
      <c r="C22" s="110" t="s">
        <v>140</v>
      </c>
      <c r="D22" s="113">
        <v>3000</v>
      </c>
      <c r="E22" s="113">
        <v>60</v>
      </c>
      <c r="F22" s="110"/>
      <c r="G22" s="112">
        <v>10000</v>
      </c>
      <c r="H22" s="112">
        <f>G22*B22</f>
        <v>20000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14"/>
      <c r="C23" s="114"/>
      <c r="D23" s="115"/>
      <c r="E23" s="115"/>
      <c r="F23" s="114"/>
      <c r="G23" s="116"/>
      <c r="H23" s="116"/>
      <c r="I23" s="30"/>
      <c r="K23" s="11"/>
      <c r="L23" s="15"/>
      <c r="M23" s="11"/>
      <c r="N23" s="11"/>
      <c r="O23" s="15"/>
      <c r="P23" s="21"/>
    </row>
    <row r="24" spans="1:16" ht="18" customHeight="1" x14ac:dyDescent="0.35">
      <c r="A24" s="30"/>
      <c r="B24" s="61"/>
      <c r="C24" s="61"/>
      <c r="D24" s="62"/>
      <c r="E24" s="62"/>
      <c r="F24" s="61"/>
      <c r="G24" s="108"/>
      <c r="H24" s="109"/>
      <c r="I24" s="30"/>
      <c r="K24" s="11"/>
      <c r="L24" s="15"/>
      <c r="M24" s="11"/>
      <c r="N24" s="11"/>
      <c r="O24" s="15"/>
      <c r="P24" s="21"/>
    </row>
    <row r="25" spans="1:16" ht="13.2" customHeight="1" thickBot="1" x14ac:dyDescent="0.4">
      <c r="A25" s="30"/>
      <c r="B25" s="64"/>
      <c r="C25" s="64"/>
      <c r="D25" s="64"/>
      <c r="E25" s="64"/>
      <c r="F25" s="64"/>
      <c r="G25" s="63"/>
      <c r="H25" s="63"/>
      <c r="I25" s="30"/>
    </row>
    <row r="26" spans="1:16" ht="20.100000000000001" customHeight="1" x14ac:dyDescent="0.35">
      <c r="A26" s="30"/>
      <c r="B26" s="30"/>
      <c r="C26" s="30"/>
      <c r="D26" s="30"/>
      <c r="E26" s="30"/>
      <c r="F26" s="30"/>
      <c r="G26" s="65" t="s">
        <v>5</v>
      </c>
      <c r="H26" s="66">
        <f>SUM(H21:H25)</f>
        <v>109180</v>
      </c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67" t="s">
        <v>137</v>
      </c>
      <c r="H27" s="68"/>
      <c r="I27" s="30"/>
    </row>
    <row r="28" spans="1:16" ht="20.100000000000001" customHeight="1" thickBot="1" x14ac:dyDescent="0.4">
      <c r="A28" s="30"/>
      <c r="B28" s="30"/>
      <c r="C28" s="30"/>
      <c r="D28" s="30"/>
      <c r="E28" s="30"/>
      <c r="F28" s="30"/>
      <c r="G28" s="69" t="s">
        <v>4</v>
      </c>
      <c r="H28" s="70">
        <f>H26+H27</f>
        <v>109180</v>
      </c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G29" s="71"/>
      <c r="H29" s="72"/>
      <c r="I29" s="30"/>
    </row>
    <row r="30" spans="1:16" ht="18" x14ac:dyDescent="0.35">
      <c r="A30" s="30"/>
      <c r="B30" s="30"/>
      <c r="C30" s="30"/>
      <c r="D30" s="30"/>
      <c r="E30" s="30"/>
      <c r="F30" s="30"/>
      <c r="G30" s="30"/>
      <c r="H30" s="30"/>
      <c r="I30" s="30"/>
    </row>
    <row r="31" spans="1:16" ht="18" x14ac:dyDescent="0.35">
      <c r="A31" s="30"/>
      <c r="B31" s="73" t="s">
        <v>134</v>
      </c>
      <c r="C31" s="74"/>
      <c r="D31" s="75"/>
      <c r="E31" s="75"/>
      <c r="F31" s="64"/>
      <c r="G31" s="30"/>
      <c r="H31" s="30"/>
      <c r="I31" s="30"/>
    </row>
    <row r="32" spans="1:16" ht="18" x14ac:dyDescent="0.35">
      <c r="A32" s="30"/>
      <c r="B32" s="73" t="s">
        <v>119</v>
      </c>
      <c r="C32" s="74"/>
      <c r="D32" s="75"/>
      <c r="E32" s="75"/>
      <c r="F32" s="64"/>
      <c r="G32" s="30"/>
      <c r="H32" s="30"/>
      <c r="I32" s="30"/>
    </row>
    <row r="33" spans="1:9" ht="18" x14ac:dyDescent="0.35">
      <c r="A33" s="30"/>
      <c r="B33" s="30" t="s">
        <v>23</v>
      </c>
      <c r="C33" s="30"/>
      <c r="D33" s="30"/>
      <c r="E33" s="30"/>
      <c r="F33" s="30"/>
      <c r="G33" s="30"/>
      <c r="H33" s="30"/>
      <c r="I33" s="30"/>
    </row>
    <row r="34" spans="1:9" ht="18" x14ac:dyDescent="0.35">
      <c r="A34" s="30"/>
      <c r="B34" s="76" t="s">
        <v>24</v>
      </c>
      <c r="C34" s="76"/>
      <c r="D34" s="30"/>
      <c r="E34" s="30"/>
      <c r="F34" s="30"/>
      <c r="G34" s="30"/>
      <c r="H34" s="30"/>
      <c r="I34" s="30"/>
    </row>
    <row r="35" spans="1:9" ht="18" x14ac:dyDescent="0.35">
      <c r="A35" s="30"/>
      <c r="B35" s="30"/>
      <c r="C35" s="30"/>
      <c r="D35" s="30"/>
      <c r="E35" s="76"/>
      <c r="F35" s="30"/>
      <c r="G35" s="30"/>
      <c r="H35" s="30"/>
      <c r="I35" s="30"/>
    </row>
    <row r="36" spans="1:9" ht="18" x14ac:dyDescent="0.35">
      <c r="A36" s="30"/>
      <c r="B36" s="31" t="s">
        <v>131</v>
      </c>
      <c r="C36" s="31"/>
      <c r="D36" s="31"/>
      <c r="E36" s="77"/>
      <c r="F36" s="30"/>
      <c r="G36" s="30"/>
      <c r="H36" s="30"/>
      <c r="I36" s="30"/>
    </row>
    <row r="37" spans="1:9" ht="18" x14ac:dyDescent="0.35">
      <c r="A37" s="30"/>
      <c r="B37" s="31"/>
      <c r="C37" s="31"/>
      <c r="D37" s="31"/>
      <c r="E37" s="77"/>
      <c r="F37" s="30"/>
      <c r="G37" s="30"/>
      <c r="H37" s="30"/>
      <c r="I37" s="30"/>
    </row>
    <row r="38" spans="1:9" ht="18" x14ac:dyDescent="0.35">
      <c r="A38" s="30"/>
      <c r="B38" s="31" t="s">
        <v>132</v>
      </c>
      <c r="C38" s="30"/>
      <c r="D38" s="30"/>
      <c r="E38" s="76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76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9" ht="15.6" x14ac:dyDescent="0.3">
      <c r="C42" s="1"/>
    </row>
  </sheetData>
  <sortState xmlns:xlrd2="http://schemas.microsoft.com/office/spreadsheetml/2017/richdata2" ref="B43">
    <sortCondition sortBy="fontColor" ref="B43" dxfId="0"/>
  </sortState>
  <mergeCells count="2">
    <mergeCell ref="F16:H16"/>
    <mergeCell ref="B19:H19"/>
  </mergeCells>
  <phoneticPr fontId="8" type="noConversion"/>
  <hyperlinks>
    <hyperlink ref="B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28</v>
      </c>
      <c r="C2" s="122"/>
      <c r="D2" s="122"/>
      <c r="E2" s="12"/>
      <c r="G2" s="122" t="s">
        <v>67</v>
      </c>
      <c r="H2" s="122"/>
      <c r="I2" s="122"/>
      <c r="P2" s="123" t="s">
        <v>55</v>
      </c>
      <c r="Q2" s="123"/>
      <c r="R2" s="123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3" t="s">
        <v>55</v>
      </c>
      <c r="M8" s="123"/>
      <c r="N8" s="123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opLeftCell="A16" zoomScaleNormal="100" workbookViewId="0">
      <selection activeCell="H37" sqref="H37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4" t="s">
        <v>58</v>
      </c>
      <c r="L3" s="124"/>
      <c r="M3" s="124" t="s">
        <v>13</v>
      </c>
      <c r="N3" s="124"/>
    </row>
    <row r="4" spans="1:14" ht="15.75" customHeight="1" x14ac:dyDescent="0.35">
      <c r="A4" s="30"/>
      <c r="B4" s="30"/>
      <c r="C4" s="79" t="s">
        <v>25</v>
      </c>
      <c r="D4" s="80">
        <f>'4637'!G8</f>
        <v>4128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81" t="s">
        <v>64</v>
      </c>
      <c r="D5" s="82" t="str">
        <f>'4637'!C10</f>
        <v>JORGE PEREZ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3"/>
      <c r="D6" s="84"/>
      <c r="E6" s="30"/>
      <c r="F6" s="30"/>
      <c r="G6" s="30"/>
    </row>
    <row r="7" spans="1:14" ht="18" x14ac:dyDescent="0.35">
      <c r="A7" s="30"/>
      <c r="B7" s="30"/>
      <c r="C7" s="94" t="str">
        <f>'4637'!F11</f>
        <v>FECHA LIMITE :</v>
      </c>
      <c r="D7" s="86">
        <f>'4637'!G11</f>
        <v>0</v>
      </c>
      <c r="E7" s="30"/>
      <c r="F7" s="30" t="s">
        <v>136</v>
      </c>
      <c r="G7" s="30"/>
    </row>
    <row r="8" spans="1:14" ht="18" x14ac:dyDescent="0.35">
      <c r="A8" s="30"/>
      <c r="B8" s="30"/>
      <c r="C8" s="95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5" t="s">
        <v>58</v>
      </c>
      <c r="B10" s="125"/>
      <c r="C10" s="125"/>
      <c r="D10" s="125"/>
      <c r="E10" s="125"/>
      <c r="F10" s="125"/>
      <c r="G10" s="30"/>
    </row>
    <row r="11" spans="1:14" ht="18" x14ac:dyDescent="0.35">
      <c r="A11" s="30"/>
      <c r="B11" s="30"/>
      <c r="C11" s="96"/>
      <c r="D11" s="30"/>
      <c r="E11" s="30"/>
      <c r="F11" s="30"/>
      <c r="G11" s="30"/>
    </row>
    <row r="12" spans="1:14" ht="18" x14ac:dyDescent="0.35">
      <c r="A12" s="30"/>
      <c r="B12" s="30"/>
      <c r="C12" s="30"/>
      <c r="D12" s="71" t="s">
        <v>6</v>
      </c>
      <c r="E12" s="71" t="s">
        <v>7</v>
      </c>
      <c r="F12" s="30"/>
      <c r="G12" s="30"/>
    </row>
    <row r="13" spans="1:14" ht="18" x14ac:dyDescent="0.35">
      <c r="A13" s="71" t="s">
        <v>8</v>
      </c>
      <c r="B13" s="97" t="s">
        <v>9</v>
      </c>
      <c r="C13" s="97" t="s">
        <v>10</v>
      </c>
      <c r="D13" s="98">
        <v>100</v>
      </c>
      <c r="E13" s="98"/>
      <c r="F13" s="97" t="s">
        <v>107</v>
      </c>
      <c r="G13" s="30"/>
      <c r="J13" s="5" t="s">
        <v>6</v>
      </c>
      <c r="K13" s="5" t="s">
        <v>7</v>
      </c>
    </row>
    <row r="14" spans="1:14" ht="18" x14ac:dyDescent="0.35">
      <c r="A14" s="107" t="s">
        <v>141</v>
      </c>
      <c r="B14" s="99">
        <f>I14</f>
        <v>2</v>
      </c>
      <c r="C14" s="99"/>
      <c r="D14" s="99">
        <f>J14+D$13</f>
        <v>3100</v>
      </c>
      <c r="E14" s="99">
        <f>K14+E$13</f>
        <v>600</v>
      </c>
      <c r="F14" s="99" t="str">
        <f>C28</f>
        <v>CUB S/R R6</v>
      </c>
      <c r="G14" s="30"/>
      <c r="I14" s="3">
        <f>'4637'!B21</f>
        <v>2</v>
      </c>
      <c r="J14" s="4">
        <f t="shared" ref="J14:K14" si="0">D28</f>
        <v>3000</v>
      </c>
      <c r="K14" s="4">
        <f t="shared" si="0"/>
        <v>600</v>
      </c>
    </row>
    <row r="15" spans="1:14" ht="18" x14ac:dyDescent="0.35">
      <c r="A15" s="107"/>
      <c r="B15" s="99">
        <f>I15</f>
        <v>2</v>
      </c>
      <c r="C15" s="99"/>
      <c r="D15" s="99">
        <f>J15+D$13</f>
        <v>3100</v>
      </c>
      <c r="E15" s="99">
        <v>100</v>
      </c>
      <c r="F15" s="99" t="str">
        <f>C29</f>
        <v>CEN 1V R8</v>
      </c>
      <c r="G15" s="30"/>
      <c r="I15" s="3">
        <f>'4637'!B22</f>
        <v>2</v>
      </c>
      <c r="J15" s="4">
        <f t="shared" ref="J15" si="1">D29</f>
        <v>3000</v>
      </c>
      <c r="K15" s="4">
        <f t="shared" ref="K15" si="2">E29</f>
        <v>60</v>
      </c>
    </row>
    <row r="16" spans="1:14" ht="18" x14ac:dyDescent="0.35">
      <c r="A16" s="88"/>
      <c r="B16" s="78"/>
      <c r="C16" s="78"/>
      <c r="D16" s="78"/>
      <c r="E16" s="78"/>
      <c r="F16" s="78"/>
      <c r="G16" s="30"/>
      <c r="I16" s="23"/>
      <c r="J16" s="2"/>
      <c r="K16" s="2"/>
    </row>
    <row r="17" spans="1:11" ht="6.75" customHeight="1" x14ac:dyDescent="0.35">
      <c r="A17" s="30"/>
      <c r="B17" s="30"/>
      <c r="C17" s="30"/>
      <c r="D17" s="30"/>
      <c r="E17" s="30"/>
      <c r="F17" s="30"/>
      <c r="G17" s="30"/>
    </row>
    <row r="18" spans="1:11" ht="18" x14ac:dyDescent="0.35">
      <c r="A18" s="125" t="s">
        <v>13</v>
      </c>
      <c r="B18" s="125"/>
      <c r="C18" s="125"/>
      <c r="D18" s="125"/>
      <c r="E18" s="125"/>
      <c r="F18" s="125"/>
      <c r="G18" s="30"/>
    </row>
    <row r="19" spans="1:11" ht="10.5" customHeight="1" x14ac:dyDescent="0.35">
      <c r="A19" s="30"/>
      <c r="B19" s="30"/>
      <c r="C19" s="96"/>
      <c r="D19" s="30"/>
      <c r="E19" s="30"/>
      <c r="F19" s="30"/>
      <c r="G19" s="30"/>
    </row>
    <row r="20" spans="1:11" ht="18" x14ac:dyDescent="0.35">
      <c r="A20" s="30"/>
      <c r="B20" s="30"/>
      <c r="C20" s="30"/>
      <c r="D20" s="71" t="s">
        <v>6</v>
      </c>
      <c r="E20" s="71" t="s">
        <v>7</v>
      </c>
      <c r="F20" s="30"/>
      <c r="G20" s="30"/>
    </row>
    <row r="21" spans="1:11" ht="18" x14ac:dyDescent="0.35">
      <c r="A21" s="71" t="s">
        <v>8</v>
      </c>
      <c r="B21" s="87" t="s">
        <v>9</v>
      </c>
      <c r="C21" s="87" t="s">
        <v>10</v>
      </c>
      <c r="D21" s="100">
        <v>80</v>
      </c>
      <c r="E21" s="100">
        <v>60</v>
      </c>
      <c r="F21" s="87" t="s">
        <v>107</v>
      </c>
      <c r="G21" s="30"/>
      <c r="J21" s="5" t="s">
        <v>6</v>
      </c>
      <c r="K21" s="5" t="s">
        <v>7</v>
      </c>
    </row>
    <row r="22" spans="1:11" ht="18" x14ac:dyDescent="0.35">
      <c r="A22" s="107"/>
      <c r="B22" s="101">
        <f t="shared" ref="B22" si="3">I22</f>
        <v>2</v>
      </c>
      <c r="C22" s="101"/>
      <c r="D22" s="101">
        <f>J22+D$21</f>
        <v>3080</v>
      </c>
      <c r="E22" s="101">
        <f>K22+E$21</f>
        <v>660</v>
      </c>
      <c r="F22" s="101" t="str">
        <f>C28</f>
        <v>CUB S/R R6</v>
      </c>
      <c r="G22" s="30"/>
      <c r="I22" s="3">
        <f>B28</f>
        <v>2</v>
      </c>
      <c r="J22" s="4">
        <f>D28</f>
        <v>3000</v>
      </c>
      <c r="K22" s="4">
        <f>E28</f>
        <v>600</v>
      </c>
    </row>
    <row r="23" spans="1:11" ht="18" x14ac:dyDescent="0.35">
      <c r="A23" s="107"/>
      <c r="B23" s="101">
        <f t="shared" ref="B23" si="4">I23</f>
        <v>2</v>
      </c>
      <c r="C23" s="101"/>
      <c r="D23" s="101">
        <f>J23+D$21</f>
        <v>3080</v>
      </c>
      <c r="E23" s="101">
        <f>K23+E$21</f>
        <v>120</v>
      </c>
      <c r="F23" s="101" t="str">
        <f>C29</f>
        <v>CEN 1V R8</v>
      </c>
      <c r="G23" s="30"/>
      <c r="I23" s="3">
        <f>B29</f>
        <v>2</v>
      </c>
      <c r="J23" s="4">
        <f>D29</f>
        <v>3000</v>
      </c>
      <c r="K23" s="4">
        <f>E29</f>
        <v>60</v>
      </c>
    </row>
    <row r="24" spans="1:11" ht="18.600000000000001" thickBot="1" x14ac:dyDescent="0.4">
      <c r="A24" s="88"/>
      <c r="B24" s="78"/>
      <c r="C24" s="78"/>
      <c r="D24" s="78"/>
      <c r="E24" s="78"/>
      <c r="F24" s="78"/>
      <c r="G24" s="30"/>
      <c r="I24" s="23"/>
      <c r="J24" s="2"/>
      <c r="K24" s="2"/>
    </row>
    <row r="25" spans="1:11" ht="18.600000000000001" thickBot="1" x14ac:dyDescent="0.4">
      <c r="A25" s="71"/>
      <c r="B25" s="102" t="s">
        <v>104</v>
      </c>
      <c r="C25" s="33"/>
      <c r="D25" s="33"/>
      <c r="E25" s="33"/>
      <c r="F25" s="103"/>
      <c r="G25" s="30"/>
      <c r="I25" s="2"/>
      <c r="J25" s="2"/>
      <c r="K25" s="2"/>
    </row>
    <row r="26" spans="1:11" ht="10.5" customHeight="1" x14ac:dyDescent="0.35">
      <c r="A26" s="30"/>
      <c r="B26" s="30"/>
      <c r="C26" s="30"/>
      <c r="D26" s="30"/>
      <c r="E26" s="30"/>
      <c r="F26" s="30"/>
      <c r="G26" s="30"/>
    </row>
    <row r="27" spans="1:11" ht="18" x14ac:dyDescent="0.35">
      <c r="A27" s="71" t="s">
        <v>8</v>
      </c>
      <c r="B27" s="104" t="s">
        <v>9</v>
      </c>
      <c r="C27" s="104" t="s">
        <v>107</v>
      </c>
      <c r="D27" s="104" t="s">
        <v>6</v>
      </c>
      <c r="E27" s="104" t="s">
        <v>7</v>
      </c>
      <c r="F27" s="104" t="s">
        <v>21</v>
      </c>
      <c r="G27" s="30"/>
    </row>
    <row r="28" spans="1:11" ht="18" x14ac:dyDescent="0.35">
      <c r="A28" s="107" t="s">
        <v>141</v>
      </c>
      <c r="B28" s="99">
        <f>'4637'!B21</f>
        <v>2</v>
      </c>
      <c r="C28" s="99" t="str">
        <f>'4637'!C21</f>
        <v>CUB S/R R6</v>
      </c>
      <c r="D28" s="99">
        <f>'4637'!D21</f>
        <v>3000</v>
      </c>
      <c r="E28" s="99">
        <f>'4637'!E21</f>
        <v>600</v>
      </c>
      <c r="F28" s="99">
        <f>'4637'!F21</f>
        <v>0</v>
      </c>
      <c r="G28" s="30"/>
      <c r="H28" s="28">
        <f>D28*E28/1000000</f>
        <v>1.8</v>
      </c>
      <c r="I28" s="28">
        <f>H28*B28</f>
        <v>3.6</v>
      </c>
    </row>
    <row r="29" spans="1:11" ht="18" x14ac:dyDescent="0.35">
      <c r="A29" s="107"/>
      <c r="B29" s="99">
        <f>'4637'!B22</f>
        <v>2</v>
      </c>
      <c r="C29" s="99" t="str">
        <f>'4637'!C22</f>
        <v>CEN 1V R8</v>
      </c>
      <c r="D29" s="99">
        <f>'4637'!D22</f>
        <v>3000</v>
      </c>
      <c r="E29" s="99">
        <f>'4637'!E22</f>
        <v>60</v>
      </c>
      <c r="F29" s="99">
        <f>'4637'!F22</f>
        <v>0</v>
      </c>
      <c r="G29" s="30"/>
      <c r="H29" s="28"/>
      <c r="I29" s="28"/>
    </row>
    <row r="30" spans="1:11" ht="18" x14ac:dyDescent="0.35">
      <c r="A30" s="30"/>
      <c r="B30" s="78"/>
      <c r="C30" s="78"/>
      <c r="D30" s="78"/>
      <c r="E30" s="78"/>
      <c r="F30" s="78"/>
      <c r="G30" s="30"/>
    </row>
    <row r="31" spans="1:11" ht="18" x14ac:dyDescent="0.35">
      <c r="A31" s="30"/>
      <c r="B31" s="78"/>
      <c r="C31" s="78"/>
      <c r="D31" s="78"/>
      <c r="E31" s="78"/>
      <c r="F31" s="78"/>
      <c r="G31" s="30"/>
      <c r="I31" s="28">
        <f>SUM(I28:I28)*2</f>
        <v>7.2</v>
      </c>
    </row>
    <row r="32" spans="1:11" ht="18" x14ac:dyDescent="0.35">
      <c r="A32" s="30"/>
      <c r="B32" s="78"/>
      <c r="C32" s="78"/>
      <c r="D32" s="78"/>
      <c r="E32" s="78"/>
      <c r="F32" s="78"/>
      <c r="G32" s="30"/>
    </row>
    <row r="33" spans="1:8" ht="18" x14ac:dyDescent="0.35">
      <c r="A33" s="30"/>
      <c r="B33" s="78"/>
      <c r="C33" s="78"/>
      <c r="D33" s="78"/>
      <c r="E33" s="78"/>
      <c r="F33" s="78"/>
      <c r="G33" s="30"/>
    </row>
    <row r="34" spans="1:8" ht="18" x14ac:dyDescent="0.35">
      <c r="A34" s="30"/>
      <c r="B34" s="78"/>
      <c r="C34" s="78"/>
      <c r="D34" s="78"/>
      <c r="E34" s="78"/>
      <c r="F34" s="78"/>
      <c r="G34" s="30"/>
    </row>
    <row r="35" spans="1:8" ht="18" x14ac:dyDescent="0.35">
      <c r="A35" s="30"/>
      <c r="B35" s="78"/>
      <c r="C35" s="78"/>
      <c r="D35" s="78"/>
      <c r="E35" s="78"/>
      <c r="F35" s="78"/>
      <c r="G35" s="30"/>
    </row>
    <row r="36" spans="1:8" ht="18" x14ac:dyDescent="0.35">
      <c r="A36" s="30"/>
      <c r="B36" s="78"/>
      <c r="C36" s="78"/>
      <c r="D36" s="78"/>
      <c r="E36" s="78"/>
      <c r="F36" s="78"/>
      <c r="G36" s="30"/>
    </row>
    <row r="37" spans="1:8" ht="18" x14ac:dyDescent="0.35">
      <c r="A37" s="30"/>
      <c r="B37" s="78"/>
      <c r="C37" s="78"/>
      <c r="D37" s="78"/>
      <c r="E37" s="78"/>
      <c r="F37" s="78"/>
      <c r="G37" s="30"/>
    </row>
    <row r="38" spans="1:8" ht="18" x14ac:dyDescent="0.35">
      <c r="A38" s="30"/>
      <c r="B38" s="78"/>
      <c r="C38" s="78"/>
      <c r="D38" s="78"/>
      <c r="E38" s="78"/>
      <c r="F38" s="78"/>
      <c r="G38" s="30"/>
    </row>
    <row r="39" spans="1:8" ht="18" x14ac:dyDescent="0.35">
      <c r="A39" s="30"/>
      <c r="B39" s="30"/>
      <c r="C39" s="30"/>
      <c r="D39" s="30"/>
      <c r="E39" s="30"/>
      <c r="F39" s="30"/>
      <c r="G39" s="30"/>
    </row>
    <row r="40" spans="1:8" ht="18" x14ac:dyDescent="0.35">
      <c r="A40" s="30"/>
      <c r="B40" s="30"/>
      <c r="C40" s="79" t="s">
        <v>25</v>
      </c>
      <c r="D40" s="80">
        <f>'4637'!G8</f>
        <v>4128</v>
      </c>
      <c r="E40" s="30"/>
      <c r="F40" s="30"/>
      <c r="G40" s="30"/>
    </row>
    <row r="41" spans="1:8" ht="17.25" customHeight="1" x14ac:dyDescent="0.35">
      <c r="A41" s="30"/>
      <c r="B41" s="30"/>
      <c r="C41" s="81" t="s">
        <v>64</v>
      </c>
      <c r="D41" s="82" t="str">
        <f>'4637'!C10</f>
        <v>JORGE PEREZ</v>
      </c>
      <c r="E41" s="48"/>
      <c r="F41" s="48"/>
      <c r="G41" s="30"/>
    </row>
    <row r="42" spans="1:8" ht="4.5" customHeight="1" x14ac:dyDescent="0.35">
      <c r="A42" s="30"/>
      <c r="B42" s="30"/>
      <c r="C42" s="83"/>
      <c r="D42" s="84"/>
      <c r="E42" s="30"/>
      <c r="F42" s="30"/>
      <c r="G42" s="30"/>
    </row>
    <row r="43" spans="1:8" ht="18" x14ac:dyDescent="0.35">
      <c r="A43" s="30"/>
      <c r="B43" s="30"/>
      <c r="C43" s="85" t="str">
        <f>'4637'!F11</f>
        <v>FECHA LIMITE :</v>
      </c>
      <c r="D43" s="86">
        <f>'4637'!G11</f>
        <v>0</v>
      </c>
      <c r="E43" s="30"/>
      <c r="F43" s="30"/>
      <c r="G43" s="30"/>
    </row>
    <row r="44" spans="1:8" ht="18" x14ac:dyDescent="0.35">
      <c r="A44" s="30"/>
      <c r="B44" s="30"/>
      <c r="C44" s="30"/>
      <c r="D44" s="30"/>
      <c r="E44" s="30"/>
      <c r="F44" s="30" t="s">
        <v>136</v>
      </c>
      <c r="G44" s="30"/>
    </row>
    <row r="45" spans="1:8" ht="18" x14ac:dyDescent="0.35">
      <c r="A45" s="30"/>
      <c r="B45" s="30"/>
      <c r="C45" s="30"/>
      <c r="D45" s="30"/>
      <c r="E45" s="30"/>
      <c r="F45" s="30"/>
      <c r="G45" s="30"/>
    </row>
    <row r="46" spans="1:8" ht="18" x14ac:dyDescent="0.35">
      <c r="A46" s="126" t="s">
        <v>65</v>
      </c>
      <c r="B46" s="126"/>
      <c r="C46" s="126"/>
      <c r="D46" s="126"/>
      <c r="E46" s="126"/>
      <c r="F46" s="126"/>
      <c r="G46" s="30"/>
    </row>
    <row r="47" spans="1:8" ht="18" x14ac:dyDescent="0.35">
      <c r="A47" s="30"/>
      <c r="B47" s="30"/>
      <c r="C47" s="30"/>
      <c r="D47" s="30"/>
      <c r="E47" s="30"/>
      <c r="F47" s="30"/>
      <c r="G47" s="30"/>
    </row>
    <row r="48" spans="1:8" ht="20.100000000000001" customHeight="1" x14ac:dyDescent="0.35">
      <c r="A48" s="30"/>
      <c r="B48" s="127" t="s">
        <v>66</v>
      </c>
      <c r="C48" s="128"/>
      <c r="D48" s="129"/>
      <c r="E48" s="129"/>
      <c r="F48" s="130"/>
      <c r="G48" s="30"/>
      <c r="H48" s="25" t="s">
        <v>130</v>
      </c>
    </row>
    <row r="49" spans="1:12" s="10" customFormat="1" ht="20.100000000000001" customHeight="1" x14ac:dyDescent="0.35">
      <c r="A49" s="30"/>
      <c r="B49" s="89" t="s">
        <v>9</v>
      </c>
      <c r="C49" s="90" t="s">
        <v>10</v>
      </c>
      <c r="D49" s="93" t="s">
        <v>6</v>
      </c>
      <c r="E49" s="93" t="s">
        <v>7</v>
      </c>
      <c r="F49" s="91" t="s">
        <v>11</v>
      </c>
      <c r="G49" s="30"/>
      <c r="J49" s="10">
        <v>15000</v>
      </c>
    </row>
    <row r="50" spans="1:12" s="10" customFormat="1" ht="20.100000000000001" customHeight="1" x14ac:dyDescent="0.35">
      <c r="A50" s="106" t="s">
        <v>141</v>
      </c>
      <c r="B50" s="101">
        <f>'4637'!B21</f>
        <v>2</v>
      </c>
      <c r="C50" s="101" t="str">
        <f>'4637'!C21</f>
        <v>CUB S/R R6</v>
      </c>
      <c r="D50" s="105">
        <f>'4637'!D21</f>
        <v>3000</v>
      </c>
      <c r="E50" s="105">
        <f>'4637'!E21</f>
        <v>600</v>
      </c>
      <c r="F50" s="101">
        <f>'4637'!F21</f>
        <v>0</v>
      </c>
      <c r="G50" s="30"/>
      <c r="H50" s="10">
        <f>D50*E50/1000000</f>
        <v>1.8</v>
      </c>
      <c r="I50" s="10">
        <f>H50*B50</f>
        <v>3.6</v>
      </c>
      <c r="J50" s="26">
        <f>I50*J$49</f>
        <v>54000</v>
      </c>
      <c r="L50" s="24">
        <v>12096</v>
      </c>
    </row>
    <row r="51" spans="1:12" s="10" customFormat="1" ht="20.100000000000001" customHeight="1" x14ac:dyDescent="0.35">
      <c r="A51" s="106"/>
      <c r="B51" s="101">
        <f>'4637'!B22</f>
        <v>2</v>
      </c>
      <c r="C51" s="101" t="str">
        <f>'4637'!C22</f>
        <v>CEN 1V R8</v>
      </c>
      <c r="D51" s="105">
        <f>'4637'!D22</f>
        <v>3000</v>
      </c>
      <c r="E51" s="105">
        <f>'4637'!E22</f>
        <v>60</v>
      </c>
      <c r="F51" s="101">
        <f>'4637'!F22</f>
        <v>0</v>
      </c>
      <c r="G51" s="30"/>
      <c r="J51" s="26"/>
      <c r="L51" s="29"/>
    </row>
    <row r="52" spans="1:12" s="10" customFormat="1" ht="15" customHeight="1" x14ac:dyDescent="0.35">
      <c r="A52" s="88"/>
      <c r="B52" s="71"/>
      <c r="C52" s="71"/>
      <c r="D52" s="71"/>
      <c r="E52" s="71"/>
      <c r="F52" s="71"/>
      <c r="G52" s="30"/>
      <c r="J52" s="26"/>
      <c r="L52" s="29"/>
    </row>
    <row r="53" spans="1:12" s="10" customFormat="1" ht="15" customHeight="1" x14ac:dyDescent="0.35">
      <c r="A53" s="88"/>
      <c r="B53" s="71"/>
      <c r="C53" s="71"/>
      <c r="D53" s="71"/>
      <c r="E53" s="71"/>
      <c r="F53" s="71"/>
      <c r="G53" s="30"/>
    </row>
    <row r="54" spans="1:12" ht="18" x14ac:dyDescent="0.35">
      <c r="A54" s="78"/>
      <c r="B54" s="78"/>
      <c r="C54" s="30"/>
      <c r="D54" s="78"/>
      <c r="E54" s="78"/>
      <c r="F54" s="83"/>
      <c r="G54" s="30"/>
    </row>
    <row r="55" spans="1:12" ht="18" x14ac:dyDescent="0.35">
      <c r="A55" s="78"/>
      <c r="B55" s="78"/>
      <c r="C55" s="30"/>
      <c r="D55" s="78"/>
      <c r="E55" s="78"/>
      <c r="F55" s="78"/>
      <c r="G55" s="30"/>
      <c r="I55" s="10">
        <f>SUM(I50:I50)</f>
        <v>3.6</v>
      </c>
      <c r="J55" s="27">
        <f>SUM(J50:J50)</f>
        <v>54000</v>
      </c>
    </row>
    <row r="56" spans="1:12" ht="18" x14ac:dyDescent="0.35">
      <c r="A56" s="30"/>
      <c r="B56" s="30"/>
      <c r="C56" s="30"/>
      <c r="D56" s="30"/>
      <c r="E56" s="30"/>
      <c r="F56" s="30"/>
      <c r="G56" s="30"/>
    </row>
    <row r="57" spans="1:12" ht="18" x14ac:dyDescent="0.35">
      <c r="A57" s="30"/>
      <c r="B57" s="30"/>
      <c r="C57" s="30"/>
      <c r="D57" s="30"/>
      <c r="E57" s="30"/>
      <c r="F57" s="30"/>
      <c r="G57" s="30"/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5" customHeight="1" x14ac:dyDescent="0.35">
      <c r="A59" s="30"/>
      <c r="B59" s="30"/>
      <c r="C59" s="30"/>
      <c r="D59" s="30"/>
      <c r="E59" s="30"/>
      <c r="F59" s="30"/>
      <c r="G59" s="30"/>
    </row>
    <row r="60" spans="1:12" ht="18" x14ac:dyDescent="0.35">
      <c r="A60" s="30"/>
      <c r="B60" s="30"/>
      <c r="C60" s="30"/>
      <c r="D60" s="30"/>
      <c r="E60" s="30"/>
      <c r="F60" s="30"/>
      <c r="G60" s="30"/>
    </row>
    <row r="61" spans="1:12" ht="18" x14ac:dyDescent="0.35">
      <c r="A61" s="78"/>
      <c r="B61" s="92"/>
      <c r="C61" s="30"/>
      <c r="D61" s="30"/>
      <c r="E61" s="30"/>
      <c r="F61" s="30"/>
      <c r="G61" s="30"/>
    </row>
    <row r="62" spans="1:12" ht="18" x14ac:dyDescent="0.35">
      <c r="A62" s="30"/>
      <c r="B62" s="30"/>
      <c r="C62" s="30"/>
      <c r="D62" s="30"/>
      <c r="E62" s="30"/>
      <c r="F62" s="30"/>
      <c r="G62" s="30"/>
    </row>
    <row r="63" spans="1:12" x14ac:dyDescent="0.3">
      <c r="B63" s="14"/>
      <c r="C63" s="14"/>
      <c r="E63" s="14"/>
      <c r="F63" s="14"/>
    </row>
    <row r="64" spans="1:12" x14ac:dyDescent="0.3">
      <c r="B64" s="14"/>
      <c r="C64" s="14"/>
      <c r="E64" s="14"/>
      <c r="F64" s="14"/>
    </row>
  </sheetData>
  <mergeCells count="6">
    <mergeCell ref="M3:N3"/>
    <mergeCell ref="A18:F18"/>
    <mergeCell ref="A10:F10"/>
    <mergeCell ref="A46:F46"/>
    <mergeCell ref="B48:F48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2024-11-07T11:26:29Z</cp:lastPrinted>
  <dcterms:created xsi:type="dcterms:W3CDTF">2013-03-19T12:54:14Z</dcterms:created>
  <dcterms:modified xsi:type="dcterms:W3CDTF">2024-11-07T11:28:12Z</dcterms:modified>
</cp:coreProperties>
</file>