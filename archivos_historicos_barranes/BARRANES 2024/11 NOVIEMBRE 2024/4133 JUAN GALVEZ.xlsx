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4C0205C0-1680-4CEE-AD42-DFF807FF1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CUBIERTA!$A$46:$F$73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K16" i="3"/>
  <c r="E16" i="3" s="1"/>
  <c r="F17" i="3"/>
  <c r="I17" i="3"/>
  <c r="B17" i="3" s="1"/>
  <c r="J17" i="3"/>
  <c r="K17" i="3"/>
  <c r="E17" i="3" s="1"/>
  <c r="F29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37" i="3"/>
  <c r="I28" i="3" s="1"/>
  <c r="B28" i="3" s="1"/>
  <c r="C37" i="3"/>
  <c r="F28" i="3" s="1"/>
  <c r="D37" i="3"/>
  <c r="J28" i="3" s="1"/>
  <c r="E37" i="3"/>
  <c r="K28" i="3" s="1"/>
  <c r="E28" i="3" s="1"/>
  <c r="F37" i="3"/>
  <c r="B38" i="3"/>
  <c r="I29" i="3" s="1"/>
  <c r="B29" i="3" s="1"/>
  <c r="C38" i="3"/>
  <c r="D38" i="3"/>
  <c r="J29" i="3" s="1"/>
  <c r="E38" i="3"/>
  <c r="K29" i="3" s="1"/>
  <c r="E29" i="3" s="1"/>
  <c r="F38" i="3"/>
  <c r="B60" i="3"/>
  <c r="C60" i="3"/>
  <c r="D60" i="3"/>
  <c r="E60" i="3"/>
  <c r="F60" i="3"/>
  <c r="B61" i="3"/>
  <c r="C61" i="3"/>
  <c r="D61" i="3"/>
  <c r="E61" i="3"/>
  <c r="F61" i="3"/>
  <c r="B62" i="3"/>
  <c r="C62" i="3"/>
  <c r="D62" i="3"/>
  <c r="E62" i="3"/>
  <c r="F62" i="3"/>
  <c r="H22" i="4"/>
  <c r="H23" i="4"/>
  <c r="H24" i="4"/>
  <c r="H21" i="4" l="1"/>
  <c r="B59" i="3" l="1"/>
  <c r="C59" i="3"/>
  <c r="D59" i="3"/>
  <c r="E59" i="3"/>
  <c r="F59" i="3"/>
  <c r="B35" i="3"/>
  <c r="C35" i="3"/>
  <c r="F26" i="3" s="1"/>
  <c r="D35" i="3"/>
  <c r="J14" i="3" s="1"/>
  <c r="D14" i="3" s="1"/>
  <c r="E35" i="3"/>
  <c r="K14" i="3" s="1"/>
  <c r="E14" i="3" s="1"/>
  <c r="F35" i="3"/>
  <c r="I26" i="3" l="1"/>
  <c r="F14" i="3"/>
  <c r="K26" i="3"/>
  <c r="E26" i="3" s="1"/>
  <c r="J26" i="3"/>
  <c r="D26" i="3" s="1"/>
  <c r="B26" i="3" l="1"/>
  <c r="I14" i="3"/>
  <c r="B14" i="3" s="1"/>
  <c r="H30" i="4"/>
  <c r="N5" i="3" l="1"/>
  <c r="M5" i="3" l="1"/>
  <c r="L5" i="3"/>
  <c r="K5" i="3"/>
  <c r="C52" i="3" l="1"/>
  <c r="C7" i="3"/>
  <c r="D50" i="3"/>
  <c r="D5" i="3"/>
  <c r="D52" i="3"/>
  <c r="D7" i="3"/>
  <c r="D49" i="3"/>
  <c r="D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<sst xmlns="http://schemas.openxmlformats.org/spreadsheetml/2006/main" count="247" uniqueCount="143">
  <si>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</si>
  <si>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</si>
  <si>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</si>
  <si>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</si>
  <si>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</si>
  <si>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</si>
  <si>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</si>
  <si>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</si>
  <si>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</si>
  <si>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</si>
  <si>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</si>
  <si>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</si>
  <si>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</si>
  <si>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</si>
  <si>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</si>
  <si>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</si>
  <si>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</si>
  <si>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</si>
  <si>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</si>
  <si>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</si>
  <si>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</si>
  <si>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</si>
  <si>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</si>
  <si>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</si>
  <si>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</si>
  <si>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</si>
  <si>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</si>
  <si>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</si>
  <si>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</si>
  <si>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</si>
  <si>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</si>
  <si>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</si>
  <si>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</si>
  <si>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</si>
  <si>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</si>
  <si>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</si>
  <si>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</si>
  <si>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</si>
  <si>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</si>
  <si>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</si>
  <si>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</si>
  <si>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</si>
  <si>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</si>
  <si>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</si>
  <si>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</si>
  <si>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</si>
  <si>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</si>
  <si>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</si>
  <si>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</si>
  <si>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</si>
  <si>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</si>
  <si>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</si>
  <si>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</si>
  <si>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</si>
  <si>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</si>
  <si>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</si>
  <si>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</si>
  <si>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</si>
  <si>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</si>
  <si>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</si>
  <si>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</si>
  <si>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</si>
  <si>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</si>
  <si>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</si>
  <si>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</si>
  <si>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</si>
  <si>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</si>
  <si>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</si>
  <si>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</si>
  <si>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</si>
  <si>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</si>
  <si>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</si>
  <si>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</si>
  <si>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</si>
  <si>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</si>
  <si>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</si>
  <si>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</si>
  <si>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</si>
  <si>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</si>
  <si>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</si>
  <si>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</si>
  <si>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</si>
  <si>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</si>
  <si>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</si>
  <si>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</si>
  <si>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</si>
  <si>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</si>
  <si>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</si>
  <si>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</si>
  <si>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</si>
  <si>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</si>
  <si>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</si>
  <si>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</si>
  <si>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</si>
  <si>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</si>
  <si>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</si>
  <si>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</si>
  <si>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</si>
  <si>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</si>
  <si>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</si>
  <si>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</si>
  <si>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</si>
  <si>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</si>
  <si>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</si>
  <si>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</si>
  <si>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</si>
  <si>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</si>
  <si>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</si>
  <si>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</si>
  <si>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</si>
  <si>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</si>
  <si>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</si>
  <si>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</si>
  <si>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</si>
  <si>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</si>
  <si>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</si>
  <si>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</si>
  <si>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</si>
  <si>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</si>
  <si>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</si>
  <si>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</si>
  <si>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</si>
  <si>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</si>
  <si>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</si>
  <si>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</si>
  <si>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</si>
  <si>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</si>
  <si>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</si>
  <si>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</si>
  <si>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</si>
  <si>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</si>
  <si>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</si>
  <si>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</si>
  <si>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</si>
  <si>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</si>
  <si>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</si>
  <si>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</si>
  <si>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</si>
  <si>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N° 11159</t>
  </si>
  <si>
    <t>JUAN IGNACIO GALVEZ</t>
  </si>
  <si>
    <t>+569 8419 4237</t>
  </si>
  <si>
    <t>CUB CON RESPALDO R6</t>
  </si>
  <si>
    <t>CUB MESA 2 LADOS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</si>
</sst>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6" fillId="3" borderId="0" xfId="2" applyFill="1"/>
    <xf numFmtId="0" fontId="19" fillId="0" borderId="0" xfId="0" quotePrefix="1" applyFont="1"/>
    <xf numFmtId="1" fontId="15" fillId="0" borderId="33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CLIENTE APORTA SUSTRATO MAS LAMINA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1685924</xdr:colOff>
      <xdr:row>55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38100</xdr:rowOff>
    </xdr:from>
    <xdr:to>
      <xdr:col>6</xdr:col>
      <xdr:colOff>0</xdr:colOff>
      <xdr:row>50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190500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190500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190500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190500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190500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190500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40</xdr:row>
      <xdr:rowOff>15239</xdr:rowOff>
    </xdr:from>
    <xdr:to>
      <xdr:col>6</xdr:col>
      <xdr:colOff>68580</xdr:colOff>
      <xdr:row>44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67</xdr:row>
      <xdr:rowOff>32385</xdr:rowOff>
    </xdr:from>
    <xdr:to>
      <xdr:col>6</xdr:col>
      <xdr:colOff>19050</xdr:colOff>
      <xdr:row>71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194310</xdr:rowOff>
    </xdr:from>
    <xdr:to>
      <xdr:col>2</xdr:col>
      <xdr:colOff>100723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9" workbookViewId="0">
      <selection activeCell="F26" sqref="F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95">
        <v>4133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139</v>
      </c>
      <c r="D10" s="55"/>
      <c r="E10" s="55"/>
      <c r="F10" s="56" t="s">
        <v>28</v>
      </c>
      <c r="G10" s="57">
        <v>45616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7"/>
      <c r="D11" s="60"/>
      <c r="E11" s="60"/>
      <c r="F11" s="60" t="s">
        <v>124</v>
      </c>
      <c r="G11" s="61">
        <v>45611</v>
      </c>
      <c r="H11" s="62"/>
      <c r="I11" s="1"/>
    </row>
    <row r="12" spans="1:17" ht="16.8" x14ac:dyDescent="0.4">
      <c r="A12" s="1"/>
      <c r="B12" s="63" t="s">
        <v>133</v>
      </c>
      <c r="C12" s="11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19"/>
      <c r="D14" s="66"/>
      <c r="E14" s="60"/>
      <c r="F14" s="60" t="s">
        <v>29</v>
      </c>
      <c r="G14" s="60" t="s">
        <v>137</v>
      </c>
      <c r="H14" s="62"/>
      <c r="I14" s="1"/>
    </row>
    <row r="15" spans="1:17" ht="15.6" x14ac:dyDescent="0.3">
      <c r="A15" s="1"/>
      <c r="B15" s="63" t="s">
        <v>1</v>
      </c>
      <c r="C15" s="120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25" t="s">
        <v>18</v>
      </c>
      <c r="G16" s="125"/>
      <c r="H16" s="12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7" t="s">
        <v>19</v>
      </c>
      <c r="C19" s="128"/>
      <c r="D19" s="128"/>
      <c r="E19" s="128"/>
      <c r="F19" s="128"/>
      <c r="G19" s="128"/>
      <c r="H19" s="129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9">
        <v>2</v>
      </c>
      <c r="C21" s="110" t="s">
        <v>141</v>
      </c>
      <c r="D21" s="121">
        <v>3000</v>
      </c>
      <c r="E21" s="121">
        <v>450</v>
      </c>
      <c r="F21" s="110"/>
      <c r="G21" s="111">
        <v>40500</v>
      </c>
      <c r="H21" s="105">
        <f>G21*B21</f>
        <v>81000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2">
        <v>1</v>
      </c>
      <c r="C22" s="104" t="s">
        <v>142</v>
      </c>
      <c r="D22" s="122">
        <v>1200</v>
      </c>
      <c r="E22" s="122">
        <v>1020</v>
      </c>
      <c r="F22" s="104"/>
      <c r="G22" s="107">
        <v>36720</v>
      </c>
      <c r="H22" s="105">
        <f t="shared" ref="H22:H24" si="0">G22*B22</f>
        <v>36720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2">
        <v>2</v>
      </c>
      <c r="C23" s="104" t="s">
        <v>142</v>
      </c>
      <c r="D23" s="122">
        <v>2400</v>
      </c>
      <c r="E23" s="122">
        <v>650</v>
      </c>
      <c r="F23" s="104"/>
      <c r="G23" s="107">
        <v>46800</v>
      </c>
      <c r="H23" s="105">
        <f t="shared" si="0"/>
        <v>93600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13">
        <v>2</v>
      </c>
      <c r="C24" s="114" t="s">
        <v>142</v>
      </c>
      <c r="D24" s="123">
        <v>2400</v>
      </c>
      <c r="E24" s="123">
        <v>340</v>
      </c>
      <c r="F24" s="114"/>
      <c r="G24" s="115">
        <v>24480</v>
      </c>
      <c r="H24" s="105">
        <f t="shared" si="0"/>
        <v>48960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97"/>
      <c r="D25" s="116"/>
      <c r="E25" s="116"/>
      <c r="F25" s="97"/>
      <c r="G25" s="75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v>260000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/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260000</v>
      </c>
      <c r="I30" s="108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31</v>
      </c>
      <c r="C2" s="130"/>
      <c r="D2" s="130"/>
      <c r="E2" s="18"/>
      <c r="G2" s="130" t="s">
        <v>70</v>
      </c>
      <c r="H2" s="130"/>
      <c r="I2" s="130"/>
      <c r="P2" s="131" t="s">
        <v>58</v>
      </c>
      <c r="Q2" s="131"/>
      <c r="R2" s="13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1" t="s">
        <v>58</v>
      </c>
      <c r="M8" s="131"/>
      <c r="N8" s="13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5"/>
  <sheetViews>
    <sheetView topLeftCell="A30" zoomScaleNormal="100" workbookViewId="0">
      <selection activeCell="A46" sqref="A46:F7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2" t="s">
        <v>61</v>
      </c>
      <c r="L3" s="132"/>
      <c r="M3" s="132" t="s">
        <v>14</v>
      </c>
      <c r="N3" s="132"/>
    </row>
    <row r="4" spans="1:14" ht="15.75" customHeight="1" x14ac:dyDescent="0.3">
      <c r="A4" s="1"/>
      <c r="B4" s="1"/>
      <c r="C4" s="40" t="s">
        <v>27</v>
      </c>
      <c r="D4" s="14">
        <f>'4637'!G8</f>
        <v>4133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IGNACIO GALVEZ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45611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3" t="s">
        <v>61</v>
      </c>
      <c r="B10" s="133"/>
      <c r="C10" s="133"/>
      <c r="D10" s="133"/>
      <c r="E10" s="133"/>
      <c r="F10" s="13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2</v>
      </c>
      <c r="C14" s="25"/>
      <c r="D14" s="25">
        <f>J14+D$13</f>
        <v>3050</v>
      </c>
      <c r="E14" s="35">
        <f>K14</f>
        <v>450</v>
      </c>
      <c r="F14" s="102" t="str">
        <f t="shared" ref="F14" si="1">C35</f>
        <v>CUB CON RESPALDO R6</v>
      </c>
      <c r="G14" s="1"/>
      <c r="I14" s="3">
        <f t="shared" ref="I14:I17" si="2">I26</f>
        <v>2</v>
      </c>
      <c r="J14" s="4">
        <f t="shared" ref="J14:K14" si="3">D35</f>
        <v>3000</v>
      </c>
      <c r="K14" s="4">
        <f t="shared" si="3"/>
        <v>450</v>
      </c>
    </row>
    <row r="15" spans="1:14" ht="15.6" x14ac:dyDescent="0.3">
      <c r="A15" s="96"/>
      <c r="B15" s="25">
        <f t="shared" ref="B15:B17" si="4">I15</f>
        <v>1</v>
      </c>
      <c r="C15" s="25"/>
      <c r="D15" s="25">
        <f t="shared" ref="D15" si="5">J15+D$13</f>
        <v>1250</v>
      </c>
      <c r="E15" s="35">
        <f t="shared" ref="E15:E17" si="6">K15</f>
        <v>1020</v>
      </c>
      <c r="F15" s="102" t="str">
        <f t="shared" ref="F15:F17" si="7">C36</f>
        <v>CUB MESA 2 LADOS R6</v>
      </c>
      <c r="G15" s="1"/>
      <c r="I15" s="3">
        <f t="shared" si="2"/>
        <v>1</v>
      </c>
      <c r="J15" s="4">
        <f t="shared" ref="J15:J17" si="8">D36</f>
        <v>1200</v>
      </c>
      <c r="K15" s="4">
        <f t="shared" ref="K15:K17" si="9">E36</f>
        <v>1020</v>
      </c>
    </row>
    <row r="16" spans="1:14" ht="15.6" x14ac:dyDescent="0.3">
      <c r="A16" s="96"/>
      <c r="B16" s="25">
        <f t="shared" si="4"/>
        <v>2</v>
      </c>
      <c r="C16" s="25"/>
      <c r="D16" s="25">
        <v>2440</v>
      </c>
      <c r="E16" s="35">
        <f t="shared" si="6"/>
        <v>650</v>
      </c>
      <c r="F16" s="102" t="str">
        <f t="shared" si="7"/>
        <v>CUB MESA 2 LADOS R6</v>
      </c>
      <c r="G16" s="1"/>
      <c r="I16" s="3">
        <f t="shared" si="2"/>
        <v>2</v>
      </c>
      <c r="J16" s="4">
        <f t="shared" si="8"/>
        <v>2400</v>
      </c>
      <c r="K16" s="4">
        <f t="shared" si="9"/>
        <v>650</v>
      </c>
    </row>
    <row r="17" spans="1:11" ht="15.6" x14ac:dyDescent="0.3">
      <c r="A17" s="96"/>
      <c r="B17" s="25">
        <f t="shared" si="4"/>
        <v>2</v>
      </c>
      <c r="C17" s="25"/>
      <c r="D17" s="25">
        <v>2440</v>
      </c>
      <c r="E17" s="35">
        <f t="shared" si="6"/>
        <v>340</v>
      </c>
      <c r="F17" s="102" t="str">
        <f t="shared" si="7"/>
        <v>CUB MESA 2 LADOS R6</v>
      </c>
      <c r="G17" s="1"/>
      <c r="I17" s="3">
        <f t="shared" si="2"/>
        <v>2</v>
      </c>
      <c r="J17" s="4">
        <f t="shared" si="8"/>
        <v>2400</v>
      </c>
      <c r="K17" s="4">
        <f t="shared" si="9"/>
        <v>340</v>
      </c>
    </row>
    <row r="18" spans="1:11" ht="15.6" x14ac:dyDescent="0.3">
      <c r="A18" s="96"/>
      <c r="B18" s="6"/>
      <c r="C18" s="6"/>
      <c r="D18" s="6"/>
      <c r="E18" s="89"/>
      <c r="F18" s="106"/>
      <c r="G18" s="1"/>
      <c r="I18" s="90"/>
      <c r="J18" s="2"/>
      <c r="K18" s="2"/>
    </row>
    <row r="19" spans="1:11" ht="15.6" x14ac:dyDescent="0.3">
      <c r="A19" s="96"/>
      <c r="B19" s="6"/>
      <c r="C19" s="6"/>
      <c r="D19" s="6"/>
      <c r="E19" s="89"/>
      <c r="F19" s="106"/>
      <c r="G19" s="1"/>
      <c r="I19" s="90"/>
      <c r="J19" s="2"/>
      <c r="K19" s="2"/>
    </row>
    <row r="20" spans="1:11" ht="15.6" x14ac:dyDescent="0.3">
      <c r="A20" s="52"/>
      <c r="B20" s="6"/>
      <c r="C20" s="6"/>
      <c r="D20" s="6"/>
      <c r="E20" s="89"/>
      <c r="F20" s="6"/>
      <c r="G20" s="1"/>
      <c r="I20" s="90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33" t="s">
        <v>14</v>
      </c>
      <c r="B22" s="133"/>
      <c r="C22" s="133"/>
      <c r="D22" s="133"/>
      <c r="E22" s="133"/>
      <c r="F22" s="133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1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130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6" t="s">
        <v>131</v>
      </c>
      <c r="B26" s="16">
        <f t="shared" ref="B26" si="10">I26</f>
        <v>2</v>
      </c>
      <c r="C26" s="16"/>
      <c r="D26" s="16">
        <f>J26+D$25</f>
        <v>3040</v>
      </c>
      <c r="E26" s="16">
        <f>K26+E$25</f>
        <v>580</v>
      </c>
      <c r="F26" s="103" t="str">
        <f t="shared" ref="F26" si="11">C35</f>
        <v>CUB CON RESPALDO R6</v>
      </c>
      <c r="G26" s="1"/>
      <c r="I26" s="3">
        <f t="shared" ref="I26" si="12">B35</f>
        <v>2</v>
      </c>
      <c r="J26" s="4">
        <f>D35</f>
        <v>3000</v>
      </c>
      <c r="K26" s="4">
        <f>E35</f>
        <v>450</v>
      </c>
    </row>
    <row r="27" spans="1:11" ht="15.6" x14ac:dyDescent="0.3">
      <c r="A27" s="96"/>
      <c r="B27" s="16">
        <f t="shared" ref="B27:B29" si="13">I27</f>
        <v>1</v>
      </c>
      <c r="C27" s="16"/>
      <c r="D27" s="16">
        <f t="shared" ref="D27" si="14">J27+D$25</f>
        <v>1240</v>
      </c>
      <c r="E27" s="16">
        <f>K27+110</f>
        <v>1130</v>
      </c>
      <c r="F27" s="103" t="str">
        <f t="shared" ref="F27:F29" si="15">C36</f>
        <v>CUB MESA 2 LADOS R6</v>
      </c>
      <c r="G27" s="1"/>
      <c r="I27" s="3">
        <f t="shared" ref="I27:I29" si="16">B36</f>
        <v>1</v>
      </c>
      <c r="J27" s="4">
        <f t="shared" ref="J27:K27" si="17">D36</f>
        <v>1200</v>
      </c>
      <c r="K27" s="4">
        <f t="shared" si="17"/>
        <v>1020</v>
      </c>
    </row>
    <row r="28" spans="1:11" ht="15.6" x14ac:dyDescent="0.3">
      <c r="A28" s="96"/>
      <c r="B28" s="16">
        <f t="shared" si="13"/>
        <v>2</v>
      </c>
      <c r="C28" s="16"/>
      <c r="D28" s="16">
        <v>2430</v>
      </c>
      <c r="E28" s="16">
        <f t="shared" ref="E28:E29" si="18">K28+110</f>
        <v>760</v>
      </c>
      <c r="F28" s="103" t="str">
        <f t="shared" si="15"/>
        <v>CUB MESA 2 LADOS R6</v>
      </c>
      <c r="G28" s="1"/>
      <c r="I28" s="3">
        <f t="shared" si="16"/>
        <v>2</v>
      </c>
      <c r="J28" s="4">
        <f t="shared" ref="J28:K28" si="19">D37</f>
        <v>2400</v>
      </c>
      <c r="K28" s="4">
        <f t="shared" si="19"/>
        <v>650</v>
      </c>
    </row>
    <row r="29" spans="1:11" ht="15.6" x14ac:dyDescent="0.3">
      <c r="A29" s="96"/>
      <c r="B29" s="16">
        <f t="shared" si="13"/>
        <v>2</v>
      </c>
      <c r="C29" s="16"/>
      <c r="D29" s="16">
        <v>2430</v>
      </c>
      <c r="E29" s="16">
        <f t="shared" si="18"/>
        <v>450</v>
      </c>
      <c r="F29" s="103" t="str">
        <f t="shared" si="15"/>
        <v>CUB MESA 2 LADOS R6</v>
      </c>
      <c r="G29" s="1"/>
      <c r="I29" s="3">
        <f t="shared" si="16"/>
        <v>2</v>
      </c>
      <c r="J29" s="4">
        <f t="shared" ref="J29:K29" si="20">D38</f>
        <v>2400</v>
      </c>
      <c r="K29" s="4">
        <f t="shared" si="20"/>
        <v>340</v>
      </c>
    </row>
    <row r="30" spans="1:11" ht="15.6" x14ac:dyDescent="0.3">
      <c r="A30" s="96"/>
      <c r="B30" s="6"/>
      <c r="C30" s="6"/>
      <c r="D30" s="6"/>
      <c r="E30" s="6"/>
      <c r="F30" s="106"/>
      <c r="G30" s="1"/>
      <c r="I30" s="90"/>
      <c r="J30" s="2"/>
      <c r="K30" s="2"/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8" t="s">
        <v>10</v>
      </c>
      <c r="C34" s="88" t="s">
        <v>110</v>
      </c>
      <c r="D34" s="88" t="s">
        <v>7</v>
      </c>
      <c r="E34" s="88" t="s">
        <v>8</v>
      </c>
      <c r="F34" s="88" t="s">
        <v>23</v>
      </c>
      <c r="G34" s="1"/>
    </row>
    <row r="35" spans="1:7" ht="15.6" x14ac:dyDescent="0.3">
      <c r="A35" s="96" t="s">
        <v>136</v>
      </c>
      <c r="B35" s="25">
        <f>'4637'!B21</f>
        <v>2</v>
      </c>
      <c r="C35" s="102" t="str">
        <f>'4637'!C21</f>
        <v>CUB CON RESPALDO R6</v>
      </c>
      <c r="D35" s="25">
        <f>'4637'!D21</f>
        <v>3000</v>
      </c>
      <c r="E35" s="25">
        <f>'4637'!E21</f>
        <v>450</v>
      </c>
      <c r="F35" s="25">
        <f>'4637'!F21</f>
        <v>0</v>
      </c>
      <c r="G35" s="1"/>
    </row>
    <row r="36" spans="1:7" ht="15.6" x14ac:dyDescent="0.3">
      <c r="A36" s="96"/>
      <c r="B36" s="25">
        <f>'4637'!B22</f>
        <v>1</v>
      </c>
      <c r="C36" s="102" t="str">
        <f>'4637'!C22</f>
        <v>CUB MESA 2 LADOS R6</v>
      </c>
      <c r="D36" s="25">
        <f>'4637'!D22</f>
        <v>1200</v>
      </c>
      <c r="E36" s="25">
        <f>'4637'!E22</f>
        <v>1020</v>
      </c>
      <c r="F36" s="25">
        <f>'4637'!F22</f>
        <v>0</v>
      </c>
      <c r="G36" s="1"/>
    </row>
    <row r="37" spans="1:7" ht="15.6" x14ac:dyDescent="0.3">
      <c r="A37" s="96"/>
      <c r="B37" s="25">
        <f>'4637'!B23</f>
        <v>2</v>
      </c>
      <c r="C37" s="102" t="str">
        <f>'4637'!C23</f>
        <v>CUB MESA 2 LADOS R6</v>
      </c>
      <c r="D37" s="25">
        <f>'4637'!D23</f>
        <v>2400</v>
      </c>
      <c r="E37" s="25">
        <f>'4637'!E23</f>
        <v>650</v>
      </c>
      <c r="F37" s="25">
        <f>'4637'!F23</f>
        <v>0</v>
      </c>
      <c r="G37" s="1"/>
    </row>
    <row r="38" spans="1:7" ht="15.6" x14ac:dyDescent="0.3">
      <c r="A38" s="96"/>
      <c r="B38" s="25">
        <f>'4637'!B24</f>
        <v>2</v>
      </c>
      <c r="C38" s="102" t="str">
        <f>'4637'!C24</f>
        <v>CUB MESA 2 LADOS R6</v>
      </c>
      <c r="D38" s="25">
        <f>'4637'!D24</f>
        <v>2400</v>
      </c>
      <c r="E38" s="25">
        <f>'4637'!E24</f>
        <v>340</v>
      </c>
      <c r="F38" s="25">
        <f>'4637'!F24</f>
        <v>0</v>
      </c>
      <c r="G38" s="1"/>
    </row>
    <row r="39" spans="1:7" ht="15.6" x14ac:dyDescent="0.3">
      <c r="A39" s="52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40" t="s">
        <v>27</v>
      </c>
      <c r="D49" s="14">
        <f>'4637'!G8</f>
        <v>4133</v>
      </c>
      <c r="E49" s="1"/>
      <c r="F49" s="1"/>
      <c r="G49" s="1"/>
    </row>
    <row r="50" spans="1:7" ht="17.25" customHeight="1" x14ac:dyDescent="0.3">
      <c r="A50" s="1"/>
      <c r="B50" s="1"/>
      <c r="C50" s="41" t="s">
        <v>67</v>
      </c>
      <c r="D50" s="42" t="str">
        <f>'4637'!C10</f>
        <v>JUAN IGNACIO GALVEZ</v>
      </c>
      <c r="E50" s="43"/>
      <c r="F50" s="43"/>
      <c r="G50" s="1"/>
    </row>
    <row r="51" spans="1:7" ht="4.5" customHeight="1" x14ac:dyDescent="0.3">
      <c r="A51" s="1"/>
      <c r="B51" s="1"/>
      <c r="C51" s="44"/>
      <c r="D51" s="45"/>
      <c r="E51" s="1"/>
      <c r="F51" s="1"/>
      <c r="G51" s="1"/>
    </row>
    <row r="52" spans="1:7" ht="15.6" x14ac:dyDescent="0.3">
      <c r="A52" s="1"/>
      <c r="B52" s="1"/>
      <c r="C52" s="46" t="str">
        <f>'4637'!F11</f>
        <v>FECHA LIMITE :</v>
      </c>
      <c r="D52" s="13">
        <f>'4637'!G11</f>
        <v>45611</v>
      </c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33" t="s">
        <v>68</v>
      </c>
      <c r="B55" s="133"/>
      <c r="C55" s="133"/>
      <c r="D55" s="133"/>
      <c r="E55" s="133"/>
      <c r="F55" s="133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75" customHeight="1" x14ac:dyDescent="0.3">
      <c r="A57" s="1"/>
      <c r="B57" s="134" t="s">
        <v>69</v>
      </c>
      <c r="C57" s="135"/>
      <c r="D57" s="136"/>
      <c r="E57" s="136"/>
      <c r="F57" s="137"/>
      <c r="G57" s="1"/>
    </row>
    <row r="58" spans="1:7" s="15" customFormat="1" ht="12.75" customHeight="1" x14ac:dyDescent="0.3">
      <c r="A58" s="1"/>
      <c r="B58" s="36" t="s">
        <v>10</v>
      </c>
      <c r="C58" s="47" t="s">
        <v>11</v>
      </c>
      <c r="D58" s="48" t="s">
        <v>7</v>
      </c>
      <c r="E58" s="48" t="s">
        <v>8</v>
      </c>
      <c r="F58" s="49" t="s">
        <v>12</v>
      </c>
      <c r="G58" s="1"/>
    </row>
    <row r="59" spans="1:7" s="15" customFormat="1" ht="15" customHeight="1" x14ac:dyDescent="0.3">
      <c r="A59" s="96"/>
      <c r="B59" s="38">
        <f>'4637'!B21</f>
        <v>2</v>
      </c>
      <c r="C59" s="101" t="str">
        <f>'4637'!C21</f>
        <v>CUB CON RESPALDO R6</v>
      </c>
      <c r="D59" s="39">
        <f>'4637'!D21</f>
        <v>3000</v>
      </c>
      <c r="E59" s="39">
        <f>'4637'!E21</f>
        <v>450</v>
      </c>
      <c r="F59" s="38">
        <f>'4637'!F21</f>
        <v>0</v>
      </c>
      <c r="G59" s="1"/>
    </row>
    <row r="60" spans="1:7" s="15" customFormat="1" ht="15" customHeight="1" x14ac:dyDescent="0.3">
      <c r="A60" s="96"/>
      <c r="B60" s="38">
        <f>'4637'!B22</f>
        <v>1</v>
      </c>
      <c r="C60" s="101" t="str">
        <f>'4637'!C22</f>
        <v>CUB MESA 2 LADOS R6</v>
      </c>
      <c r="D60" s="39">
        <f>'4637'!D22</f>
        <v>1200</v>
      </c>
      <c r="E60" s="39">
        <f>'4637'!E22</f>
        <v>1020</v>
      </c>
      <c r="F60" s="38">
        <f>'4637'!F22</f>
        <v>0</v>
      </c>
      <c r="G60" s="1"/>
    </row>
    <row r="61" spans="1:7" s="15" customFormat="1" ht="15" customHeight="1" x14ac:dyDescent="0.3">
      <c r="A61" s="96"/>
      <c r="B61" s="38">
        <f>'4637'!B23</f>
        <v>2</v>
      </c>
      <c r="C61" s="101" t="str">
        <f>'4637'!C23</f>
        <v>CUB MESA 2 LADOS R6</v>
      </c>
      <c r="D61" s="39">
        <f>'4637'!D23</f>
        <v>2400</v>
      </c>
      <c r="E61" s="39">
        <f>'4637'!E23</f>
        <v>650</v>
      </c>
      <c r="F61" s="38">
        <f>'4637'!F23</f>
        <v>0</v>
      </c>
      <c r="G61" s="1"/>
    </row>
    <row r="62" spans="1:7" s="15" customFormat="1" ht="15" customHeight="1" x14ac:dyDescent="0.3">
      <c r="A62" s="96"/>
      <c r="B62" s="38">
        <f>'4637'!B24</f>
        <v>2</v>
      </c>
      <c r="C62" s="101" t="str">
        <f>'4637'!C24</f>
        <v>CUB MESA 2 LADOS R6</v>
      </c>
      <c r="D62" s="39">
        <f>'4637'!D24</f>
        <v>2400</v>
      </c>
      <c r="E62" s="39">
        <f>'4637'!E24</f>
        <v>340</v>
      </c>
      <c r="F62" s="38">
        <f>'4637'!F24</f>
        <v>0</v>
      </c>
      <c r="G62" s="1"/>
    </row>
    <row r="63" spans="1:7" s="15" customFormat="1" ht="15" customHeight="1" x14ac:dyDescent="0.3">
      <c r="A63" s="96"/>
      <c r="B63" s="52"/>
      <c r="C63" s="124"/>
      <c r="D63" s="52"/>
      <c r="E63" s="52"/>
      <c r="F63" s="52"/>
      <c r="G63" s="1"/>
    </row>
    <row r="64" spans="1:7" s="15" customFormat="1" ht="15" customHeight="1" x14ac:dyDescent="0.3">
      <c r="A64" s="50"/>
      <c r="B64" s="52"/>
      <c r="C64" s="52"/>
      <c r="D64" s="52"/>
      <c r="E64" s="52"/>
      <c r="F64" s="52"/>
      <c r="G64" s="1"/>
    </row>
    <row r="65" spans="1:7" ht="15.6" x14ac:dyDescent="0.3">
      <c r="A65" s="6"/>
      <c r="B65" s="6"/>
      <c r="C65" s="1"/>
      <c r="D65" s="6"/>
      <c r="E65" s="6"/>
      <c r="F65" s="44"/>
      <c r="G65" s="1"/>
    </row>
    <row r="66" spans="1:7" ht="15.6" x14ac:dyDescent="0.3">
      <c r="A66" s="6"/>
      <c r="B66" s="6"/>
      <c r="C66" s="1"/>
      <c r="D66" s="6"/>
      <c r="E66" s="6"/>
      <c r="F66" s="6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" customHeight="1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6"/>
      <c r="B72" s="5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x14ac:dyDescent="0.3">
      <c r="B74" s="20"/>
      <c r="C74" s="20"/>
      <c r="D74" s="20"/>
      <c r="E74" s="20"/>
      <c r="F74" s="20"/>
    </row>
    <row r="75" spans="1:7" x14ac:dyDescent="0.3">
      <c r="B75" s="20"/>
      <c r="C75" s="20"/>
      <c r="E75" s="20"/>
      <c r="F75" s="20"/>
    </row>
  </sheetData>
  <mergeCells count="6">
    <mergeCell ref="M3:N3"/>
    <mergeCell ref="A22:F22"/>
    <mergeCell ref="A10:F10"/>
    <mergeCell ref="A55:F55"/>
    <mergeCell ref="B57:F5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2024-11-12T18:31:39Z</cp:lastPrinted>
  <dcterms:created xsi:type="dcterms:W3CDTF">2013-03-19T12:54:14Z</dcterms:created>
  <dcterms:modified xsi:type="dcterms:W3CDTF">2024-11-20T12:47:16Z</dcterms:modified>
</cp:coreProperties>
</file>