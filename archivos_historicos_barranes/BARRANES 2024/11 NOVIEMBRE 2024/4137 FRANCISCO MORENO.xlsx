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BARRANES\BARRANES\11 NOVIEMBRE 2024\"/>
    </mc:Choice>
  </mc:AlternateContent>
  <xr:revisionPtr revIDLastSave="0" documentId="13_ncr:1_{AB190437-70AC-4099-9CA7-5E7AD36DB71D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'4637'!$B$1:$H$60</definedName>
    <definedName name="_xlnm.Print_Area" localSheetId="2">CUBIERTA!$A$2:$G$71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5" i="4" l="1"/>
  <c r="H34" i="4"/>
  <c r="H33" i="4"/>
  <c r="H32" i="4"/>
  <c r="H31" i="4"/>
  <c r="H30" i="4"/>
  <c r="H29" i="4"/>
  <c r="H28" i="4"/>
  <c r="H27" i="4"/>
  <c r="H26" i="4"/>
  <c r="H25" i="4"/>
  <c r="H24" i="4"/>
  <c r="H23" i="4"/>
  <c r="H22" i="4"/>
  <c r="H21" i="4"/>
  <c r="H36" i="4" l="1"/>
  <c r="J25" i="3"/>
  <c r="C25" i="3" s="1"/>
  <c r="J24" i="3"/>
  <c r="C24" i="3" s="1"/>
  <c r="J26" i="3"/>
  <c r="C26" i="3" s="1"/>
  <c r="C63" i="3"/>
  <c r="J45" i="3" s="1"/>
  <c r="C45" i="3" s="1"/>
  <c r="D63" i="3"/>
  <c r="G45" i="3" s="1"/>
  <c r="E63" i="3"/>
  <c r="K45" i="3" s="1"/>
  <c r="E45" i="3" s="1"/>
  <c r="F63" i="3"/>
  <c r="L45" i="3" s="1"/>
  <c r="F45" i="3" s="1"/>
  <c r="G63" i="3"/>
  <c r="C97" i="3"/>
  <c r="D97" i="3"/>
  <c r="E97" i="3"/>
  <c r="F97" i="3"/>
  <c r="G97" i="3"/>
  <c r="J15" i="3"/>
  <c r="C15" i="3" s="1"/>
  <c r="J16" i="3"/>
  <c r="C16" i="3" s="1"/>
  <c r="J17" i="3"/>
  <c r="C17" i="3" s="1"/>
  <c r="J18" i="3"/>
  <c r="C18" i="3" s="1"/>
  <c r="J19" i="3"/>
  <c r="C19" i="3" s="1"/>
  <c r="J20" i="3"/>
  <c r="C20" i="3" s="1"/>
  <c r="J21" i="3"/>
  <c r="C21" i="3" s="1"/>
  <c r="J22" i="3"/>
  <c r="C22" i="3" s="1"/>
  <c r="J23" i="3"/>
  <c r="C23" i="3" s="1"/>
  <c r="C53" i="3"/>
  <c r="J35" i="3" s="1"/>
  <c r="C35" i="3" s="1"/>
  <c r="D53" i="3"/>
  <c r="G35" i="3" s="1"/>
  <c r="E53" i="3"/>
  <c r="K35" i="3" s="1"/>
  <c r="E35" i="3" s="1"/>
  <c r="F53" i="3"/>
  <c r="L35" i="3" s="1"/>
  <c r="F35" i="3" s="1"/>
  <c r="G53" i="3"/>
  <c r="C54" i="3"/>
  <c r="J36" i="3" s="1"/>
  <c r="C36" i="3" s="1"/>
  <c r="D54" i="3"/>
  <c r="G36" i="3" s="1"/>
  <c r="E54" i="3"/>
  <c r="K36" i="3" s="1"/>
  <c r="E36" i="3" s="1"/>
  <c r="F54" i="3"/>
  <c r="L36" i="3" s="1"/>
  <c r="F36" i="3" s="1"/>
  <c r="G54" i="3"/>
  <c r="C55" i="3"/>
  <c r="J37" i="3" s="1"/>
  <c r="C37" i="3" s="1"/>
  <c r="D55" i="3"/>
  <c r="G37" i="3" s="1"/>
  <c r="E55" i="3"/>
  <c r="K37" i="3" s="1"/>
  <c r="E37" i="3" s="1"/>
  <c r="F55" i="3"/>
  <c r="L37" i="3" s="1"/>
  <c r="F37" i="3" s="1"/>
  <c r="G55" i="3"/>
  <c r="C56" i="3"/>
  <c r="J38" i="3" s="1"/>
  <c r="C38" i="3" s="1"/>
  <c r="D56" i="3"/>
  <c r="G38" i="3" s="1"/>
  <c r="E56" i="3"/>
  <c r="K38" i="3" s="1"/>
  <c r="E38" i="3" s="1"/>
  <c r="F56" i="3"/>
  <c r="L38" i="3" s="1"/>
  <c r="F38" i="3" s="1"/>
  <c r="G56" i="3"/>
  <c r="C57" i="3"/>
  <c r="J39" i="3" s="1"/>
  <c r="C39" i="3" s="1"/>
  <c r="D57" i="3"/>
  <c r="G39" i="3" s="1"/>
  <c r="E57" i="3"/>
  <c r="K39" i="3" s="1"/>
  <c r="E39" i="3" s="1"/>
  <c r="F57" i="3"/>
  <c r="L39" i="3" s="1"/>
  <c r="F39" i="3" s="1"/>
  <c r="G57" i="3"/>
  <c r="C58" i="3"/>
  <c r="J40" i="3" s="1"/>
  <c r="C40" i="3" s="1"/>
  <c r="D58" i="3"/>
  <c r="G40" i="3" s="1"/>
  <c r="E58" i="3"/>
  <c r="K40" i="3" s="1"/>
  <c r="E40" i="3" s="1"/>
  <c r="F58" i="3"/>
  <c r="L40" i="3" s="1"/>
  <c r="F40" i="3" s="1"/>
  <c r="G58" i="3"/>
  <c r="C59" i="3"/>
  <c r="J41" i="3" s="1"/>
  <c r="C41" i="3" s="1"/>
  <c r="D59" i="3"/>
  <c r="G41" i="3" s="1"/>
  <c r="E59" i="3"/>
  <c r="K41" i="3" s="1"/>
  <c r="E41" i="3" s="1"/>
  <c r="F59" i="3"/>
  <c r="L41" i="3" s="1"/>
  <c r="F41" i="3" s="1"/>
  <c r="G59" i="3"/>
  <c r="C60" i="3"/>
  <c r="J42" i="3" s="1"/>
  <c r="C42" i="3" s="1"/>
  <c r="D60" i="3"/>
  <c r="G42" i="3" s="1"/>
  <c r="E60" i="3"/>
  <c r="K42" i="3" s="1"/>
  <c r="E42" i="3" s="1"/>
  <c r="F60" i="3"/>
  <c r="L42" i="3" s="1"/>
  <c r="F42" i="3" s="1"/>
  <c r="G60" i="3"/>
  <c r="C61" i="3"/>
  <c r="J43" i="3" s="1"/>
  <c r="C43" i="3" s="1"/>
  <c r="D61" i="3"/>
  <c r="G43" i="3" s="1"/>
  <c r="E61" i="3"/>
  <c r="K43" i="3" s="1"/>
  <c r="E43" i="3" s="1"/>
  <c r="F61" i="3"/>
  <c r="L43" i="3" s="1"/>
  <c r="F43" i="3" s="1"/>
  <c r="G61" i="3"/>
  <c r="C62" i="3"/>
  <c r="D62" i="3"/>
  <c r="G44" i="3" s="1"/>
  <c r="E62" i="3"/>
  <c r="K44" i="3" s="1"/>
  <c r="F62" i="3"/>
  <c r="L44" i="3" s="1"/>
  <c r="F44" i="3" s="1"/>
  <c r="G62" i="3"/>
  <c r="C87" i="3"/>
  <c r="D87" i="3"/>
  <c r="E87" i="3"/>
  <c r="F87" i="3"/>
  <c r="G87" i="3"/>
  <c r="C88" i="3"/>
  <c r="D88" i="3"/>
  <c r="E88" i="3"/>
  <c r="F88" i="3"/>
  <c r="G88" i="3"/>
  <c r="C89" i="3"/>
  <c r="D89" i="3"/>
  <c r="E89" i="3"/>
  <c r="F89" i="3"/>
  <c r="G89" i="3"/>
  <c r="C90" i="3"/>
  <c r="D90" i="3"/>
  <c r="E90" i="3"/>
  <c r="F90" i="3"/>
  <c r="G90" i="3"/>
  <c r="C91" i="3"/>
  <c r="D91" i="3"/>
  <c r="E91" i="3"/>
  <c r="F91" i="3"/>
  <c r="G91" i="3"/>
  <c r="C92" i="3"/>
  <c r="D92" i="3"/>
  <c r="E92" i="3"/>
  <c r="F92" i="3"/>
  <c r="G92" i="3"/>
  <c r="C93" i="3"/>
  <c r="D93" i="3"/>
  <c r="E93" i="3"/>
  <c r="F93" i="3"/>
  <c r="G93" i="3"/>
  <c r="C94" i="3"/>
  <c r="D94" i="3"/>
  <c r="E94" i="3"/>
  <c r="F94" i="3"/>
  <c r="G94" i="3"/>
  <c r="C95" i="3"/>
  <c r="D95" i="3"/>
  <c r="E95" i="3"/>
  <c r="F95" i="3"/>
  <c r="G95" i="3"/>
  <c r="C96" i="3"/>
  <c r="D96" i="3"/>
  <c r="E96" i="3"/>
  <c r="F96" i="3"/>
  <c r="G96" i="3"/>
  <c r="L26" i="3" l="1"/>
  <c r="F26" i="3" s="1"/>
  <c r="K25" i="3"/>
  <c r="E25" i="3" s="1"/>
  <c r="E44" i="3"/>
  <c r="J44" i="3"/>
  <c r="C44" i="3" s="1"/>
  <c r="L25" i="3"/>
  <c r="F25" i="3" s="1"/>
  <c r="L24" i="3"/>
  <c r="F24" i="3" s="1"/>
  <c r="K26" i="3"/>
  <c r="E26" i="3" s="1"/>
  <c r="K24" i="3"/>
  <c r="E24" i="3" s="1"/>
  <c r="G26" i="3"/>
  <c r="G25" i="3"/>
  <c r="G24" i="3"/>
  <c r="K23" i="3"/>
  <c r="E23" i="3" s="1"/>
  <c r="K19" i="3"/>
  <c r="E19" i="3" s="1"/>
  <c r="K17" i="3"/>
  <c r="E17" i="3" s="1"/>
  <c r="K21" i="3"/>
  <c r="E21" i="3" s="1"/>
  <c r="K18" i="3"/>
  <c r="E18" i="3" s="1"/>
  <c r="K22" i="3"/>
  <c r="E22" i="3" s="1"/>
  <c r="G23" i="3"/>
  <c r="G22" i="3"/>
  <c r="G21" i="3"/>
  <c r="G20" i="3"/>
  <c r="G19" i="3"/>
  <c r="G18" i="3"/>
  <c r="G17" i="3"/>
  <c r="G16" i="3"/>
  <c r="K20" i="3"/>
  <c r="E20" i="3" s="1"/>
  <c r="K16" i="3"/>
  <c r="E16" i="3" s="1"/>
  <c r="L23" i="3"/>
  <c r="F23" i="3" s="1"/>
  <c r="L22" i="3"/>
  <c r="F22" i="3" s="1"/>
  <c r="L21" i="3"/>
  <c r="F21" i="3" s="1"/>
  <c r="L20" i="3"/>
  <c r="F20" i="3" s="1"/>
  <c r="L19" i="3"/>
  <c r="F19" i="3" s="1"/>
  <c r="L18" i="3"/>
  <c r="F18" i="3" s="1"/>
  <c r="L17" i="3"/>
  <c r="F17" i="3" s="1"/>
  <c r="L16" i="3"/>
  <c r="F16" i="3" s="1"/>
  <c r="C52" i="3"/>
  <c r="J34" i="3" s="1"/>
  <c r="C34" i="3" s="1"/>
  <c r="D52" i="3"/>
  <c r="E52" i="3"/>
  <c r="F52" i="3"/>
  <c r="G52" i="3"/>
  <c r="C86" i="3"/>
  <c r="D86" i="3"/>
  <c r="E86" i="3"/>
  <c r="F86" i="3"/>
  <c r="G86" i="3"/>
  <c r="J14" i="3"/>
  <c r="C14" i="3" s="1"/>
  <c r="G34" i="3" l="1"/>
  <c r="G15" i="3"/>
  <c r="L34" i="3"/>
  <c r="F34" i="3" s="1"/>
  <c r="L15" i="3"/>
  <c r="F15" i="3" s="1"/>
  <c r="K34" i="3"/>
  <c r="E34" i="3" s="1"/>
  <c r="K15" i="3"/>
  <c r="E15" i="3" s="1"/>
  <c r="D85" i="3"/>
  <c r="L21" i="4" l="1"/>
  <c r="K21" i="4"/>
  <c r="M21" i="4" l="1"/>
  <c r="N21" i="4" s="1"/>
  <c r="C51" i="3" l="1"/>
  <c r="J33" i="3" s="1"/>
  <c r="C33" i="3" s="1"/>
  <c r="D51" i="3"/>
  <c r="G33" i="3" s="1"/>
  <c r="E51" i="3"/>
  <c r="F51" i="3"/>
  <c r="L33" i="3" s="1"/>
  <c r="F33" i="3" s="1"/>
  <c r="G51" i="3"/>
  <c r="C85" i="3"/>
  <c r="E85" i="3"/>
  <c r="F85" i="3"/>
  <c r="G85" i="3"/>
  <c r="I51" i="3" l="1"/>
  <c r="J51" i="3" s="1"/>
  <c r="K33" i="3"/>
  <c r="E33" i="3" s="1"/>
  <c r="I85" i="3"/>
  <c r="J85" i="3" s="1"/>
  <c r="K14" i="3"/>
  <c r="E14" i="3" s="1"/>
  <c r="G14" i="3"/>
  <c r="L14" i="3"/>
  <c r="F14" i="3" s="1"/>
  <c r="J66" i="3" l="1"/>
  <c r="K85" i="3"/>
  <c r="J100" i="3"/>
  <c r="H38" i="4"/>
  <c r="O5" i="3"/>
  <c r="K100" i="3" l="1"/>
  <c r="N5" i="3"/>
  <c r="M5" i="3"/>
  <c r="L5" i="3"/>
  <c r="D78" i="3" l="1"/>
  <c r="D7" i="3"/>
  <c r="E76" i="3"/>
  <c r="E5" i="3"/>
  <c r="E78" i="3"/>
  <c r="E7" i="3"/>
  <c r="E75" i="3"/>
  <c r="E4" i="3"/>
</calcChain>
</file>

<file path=xl/sharedStrings.xml><?xml version="1.0" encoding="utf-8"?>
<sst xmlns="http://schemas.openxmlformats.org/spreadsheetml/2006/main" count="272" uniqueCount="144">
  <si>
    <t>SEPTIMA AVENIDA 1631, SAN MIGUEL</t>
  </si>
  <si>
    <t>DIRECCION:</t>
  </si>
  <si>
    <t>RUT:</t>
  </si>
  <si>
    <t>CIUDAD:</t>
  </si>
  <si>
    <t>TOTAL</t>
  </si>
  <si>
    <t>NETO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</si>
  <si>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</si>
  <si>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</si>
  <si>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</si>
  <si>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</si>
  <si>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</si>
  <si>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</si>
  <si>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</si>
  <si>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</si>
  <si>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</si>
  <si>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</si>
  <si>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</si>
  <si>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</si>
  <si>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</si>
  <si>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</si>
  <si>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</si>
  <si>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</si>
  <si>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</si>
  <si>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</si>
  <si>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</si>
  <si>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</si>
  <si>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</si>
  <si>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</si>
  <si>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</si>
  <si>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</si>
  <si>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</si>
  <si>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</si>
  <si>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</si>
  <si>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</si>
  <si>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</si>
  <si>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</si>
  <si>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</si>
  <si>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</si>
  <si>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</si>
  <si>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</si>
  <si>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</si>
  <si>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</si>
  <si>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</si>
  <si>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</si>
  <si>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</si>
  <si>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</si>
  <si>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</si>
  <si>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</si>
  <si>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</si>
  <si>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</si>
  <si>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</si>
  <si>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</si>
  <si>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</si>
  <si>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</si>
  <si>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</si>
  <si>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</si>
  <si>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</si>
  <si>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</si>
  <si>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</si>
  <si>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</si>
  <si>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</si>
  <si>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</si>
  <si>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</si>
  <si>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</si>
  <si>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</si>
  <si>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</si>
  <si>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</si>
  <si>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</si>
  <si>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</si>
  <si>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</si>
  <si>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</si>
  <si>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</si>
  <si>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</si>
  <si>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</si>
  <si>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</si>
  <si>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</si>
  <si>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</si>
  <si>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</si>
  <si>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</si>
  <si>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</si>
  <si>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</si>
  <si>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</si>
  <si>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</si>
  <si>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</si>
  <si>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</si>
  <si>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</si>
  <si>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</si>
  <si>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</si>
  <si>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</si>
  <si>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</si>
  <si>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</si>
  <si>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</si>
  <si>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</si>
  <si>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</si>
  <si>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</si>
  <si>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</si>
  <si>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</si>
  <si>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</si>
  <si>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</si>
  <si>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</si>
  <si>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</si>
  <si>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</si>
  <si>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</si>
  <si>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</si>
  <si>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</si>
  <si>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</si>
  <si>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</si>
  <si>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</si>
  <si>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</si>
  <si>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</si>
  <si>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</si>
  <si>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</si>
  <si>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</si>
  <si>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</si>
  <si>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</si>
  <si>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</si>
  <si>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</si>
  <si>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</si>
  <si>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</si>
  <si>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</si>
  <si>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</si>
  <si>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</si>
  <si>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</si>
  <si>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</si>
  <si>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</si>
  <si>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</si>
  <si>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>CONTACTO:</t>
  </si>
  <si>
    <t>GIRO:</t>
  </si>
  <si>
    <t>UNIDAD</t>
  </si>
  <si>
    <t>CONTADO</t>
  </si>
  <si>
    <t>MT2</t>
  </si>
  <si>
    <t xml:space="preserve">FIRMA CONFORME    </t>
  </si>
  <si>
    <t xml:space="preserve">VENDEDOR </t>
  </si>
  <si>
    <t xml:space="preserve">CUENTA CORRIENTE BANCO SANTANDER N° 87316181 A NOMBRE DE </t>
  </si>
  <si>
    <t>MELAMIL18 MM</t>
  </si>
  <si>
    <t>MELAMIL18MM</t>
  </si>
  <si>
    <t>FD</t>
  </si>
  <si>
    <t>HECHO POR: FD</t>
  </si>
  <si>
    <t>MELAMIL 18MM</t>
  </si>
  <si>
    <t>ABONO</t>
  </si>
  <si>
    <t>FRANCISCO MORENO</t>
  </si>
  <si>
    <t>+569 9004 4098</t>
  </si>
  <si>
    <t>PLATINUM  21059 SF</t>
  </si>
  <si>
    <t>LAMINAS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</si>
</sst>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 &quot;$&quot;* #,##0_ ;_ &quot;$&quot;* \-#,##0_ ;_ &quot;$&quot;* &quot;-&quot;_ ;_ @_ "/>
    <numFmt numFmtId="41" formatCode="_ * #,##0_ ;_ * \-#,##0_ ;_ 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20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  <font>
      <u/>
      <sz val="14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5">
    <xf numFmtId="0" fontId="0" fillId="0" borderId="0"/>
    <xf numFmtId="164" fontId="3" fillId="0" borderId="0" applyFont="0" applyFill="0" applyBorder="0" applyAlignment="0" applyProtection="0"/>
    <xf numFmtId="0" fontId="5" fillId="0" borderId="0" applyNumberFormat="0" applyFill="0" applyBorder="0" applyAlignment="0" applyProtection="0"/>
    <xf numFmtId="42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150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7" fillId="6" borderId="2" xfId="0" applyFont="1" applyFill="1" applyBorder="1" applyAlignment="1">
      <alignment horizontal="center"/>
    </xf>
    <xf numFmtId="0" fontId="1" fillId="0" borderId="0" xfId="0" applyFont="1"/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7" fillId="6" borderId="0" xfId="0" applyFont="1" applyFill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166" fontId="0" fillId="0" borderId="0" xfId="0" applyNumberFormat="1"/>
    <xf numFmtId="0" fontId="4" fillId="0" borderId="0" xfId="0" applyFont="1"/>
    <xf numFmtId="0" fontId="0" fillId="2" borderId="0" xfId="0" applyFill="1" applyAlignment="1">
      <alignment horizontal="center"/>
    </xf>
    <xf numFmtId="42" fontId="9" fillId="0" borderId="2" xfId="3" applyFont="1" applyBorder="1" applyAlignment="1">
      <alignment horizontal="center" vertical="center"/>
    </xf>
    <xf numFmtId="0" fontId="4" fillId="9" borderId="0" xfId="0" applyFont="1" applyFill="1" applyAlignment="1">
      <alignment horizontal="center"/>
    </xf>
    <xf numFmtId="41" fontId="1" fillId="0" borderId="0" xfId="4" applyFont="1"/>
    <xf numFmtId="41" fontId="1" fillId="0" borderId="0" xfId="0" applyNumberFormat="1" applyFont="1"/>
    <xf numFmtId="165" fontId="0" fillId="0" borderId="0" xfId="0" applyNumberFormat="1"/>
    <xf numFmtId="42" fontId="9" fillId="0" borderId="0" xfId="3" applyFont="1" applyBorder="1" applyAlignment="1">
      <alignment horizontal="center" vertical="center"/>
    </xf>
    <xf numFmtId="0" fontId="10" fillId="0" borderId="0" xfId="0" applyFont="1"/>
    <xf numFmtId="0" fontId="11" fillId="0" borderId="0" xfId="0" applyFont="1"/>
    <xf numFmtId="0" fontId="11" fillId="0" borderId="15" xfId="0" applyFont="1" applyBorder="1" applyAlignment="1">
      <alignment horizontal="left" indent="1"/>
    </xf>
    <xf numFmtId="0" fontId="11" fillId="0" borderId="16" xfId="0" applyFont="1" applyBorder="1"/>
    <xf numFmtId="0" fontId="11" fillId="0" borderId="17" xfId="0" applyFont="1" applyBorder="1" applyAlignment="1">
      <alignment horizontal="center"/>
    </xf>
    <xf numFmtId="0" fontId="11" fillId="0" borderId="15" xfId="0" applyFont="1" applyBorder="1" applyAlignment="1">
      <alignment horizontal="left"/>
    </xf>
    <xf numFmtId="0" fontId="10" fillId="0" borderId="17" xfId="0" applyFont="1" applyBorder="1" applyAlignment="1">
      <alignment horizontal="left"/>
    </xf>
    <xf numFmtId="0" fontId="11" fillId="3" borderId="3" xfId="0" applyFont="1" applyFill="1" applyBorder="1"/>
    <xf numFmtId="0" fontId="10" fillId="3" borderId="4" xfId="0" applyFont="1" applyFill="1" applyBorder="1"/>
    <xf numFmtId="0" fontId="10" fillId="3" borderId="4" xfId="0" applyFont="1" applyFill="1" applyBorder="1" applyAlignment="1">
      <alignment horizontal="left"/>
    </xf>
    <xf numFmtId="14" fontId="10" fillId="3" borderId="4" xfId="0" applyNumberFormat="1" applyFont="1" applyFill="1" applyBorder="1" applyAlignment="1">
      <alignment horizontal="left"/>
    </xf>
    <xf numFmtId="0" fontId="10" fillId="3" borderId="5" xfId="0" applyFont="1" applyFill="1" applyBorder="1"/>
    <xf numFmtId="0" fontId="10" fillId="4" borderId="6" xfId="0" applyFont="1" applyFill="1" applyBorder="1"/>
    <xf numFmtId="14" fontId="10" fillId="4" borderId="26" xfId="0" applyNumberFormat="1" applyFont="1" applyFill="1" applyBorder="1" applyAlignment="1">
      <alignment horizontal="left"/>
    </xf>
    <xf numFmtId="0" fontId="10" fillId="4" borderId="7" xfId="0" applyFont="1" applyFill="1" applyBorder="1"/>
    <xf numFmtId="0" fontId="10" fillId="3" borderId="6" xfId="0" applyFont="1" applyFill="1" applyBorder="1"/>
    <xf numFmtId="0" fontId="10" fillId="3" borderId="0" xfId="0" applyFont="1" applyFill="1"/>
    <xf numFmtId="0" fontId="10" fillId="3" borderId="7" xfId="0" applyFont="1" applyFill="1" applyBorder="1"/>
    <xf numFmtId="0" fontId="10" fillId="4" borderId="8" xfId="0" applyFont="1" applyFill="1" applyBorder="1"/>
    <xf numFmtId="0" fontId="10" fillId="4" borderId="9" xfId="2" applyFont="1" applyFill="1" applyBorder="1" applyAlignment="1">
      <alignment horizontal="left"/>
    </xf>
    <xf numFmtId="0" fontId="10" fillId="4" borderId="9" xfId="0" applyFont="1" applyFill="1" applyBorder="1"/>
    <xf numFmtId="0" fontId="11" fillId="8" borderId="29" xfId="0" applyFont="1" applyFill="1" applyBorder="1" applyAlignment="1">
      <alignment horizontal="center" vertical="center"/>
    </xf>
    <xf numFmtId="166" fontId="10" fillId="0" borderId="0" xfId="1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11" xfId="0" applyFont="1" applyBorder="1" applyAlignment="1">
      <alignment horizontal="center"/>
    </xf>
    <xf numFmtId="166" fontId="11" fillId="0" borderId="12" xfId="1" applyNumberFormat="1" applyFont="1" applyFill="1" applyBorder="1"/>
    <xf numFmtId="3" fontId="11" fillId="3" borderId="13" xfId="0" applyNumberFormat="1" applyFont="1" applyFill="1" applyBorder="1" applyAlignment="1">
      <alignment horizontal="center"/>
    </xf>
    <xf numFmtId="166" fontId="11" fillId="0" borderId="28" xfId="1" applyNumberFormat="1" applyFont="1" applyFill="1" applyBorder="1"/>
    <xf numFmtId="0" fontId="11" fillId="0" borderId="14" xfId="0" applyFont="1" applyBorder="1" applyAlignment="1">
      <alignment horizontal="center"/>
    </xf>
    <xf numFmtId="166" fontId="11" fillId="0" borderId="27" xfId="1" applyNumberFormat="1" applyFont="1" applyFill="1" applyBorder="1"/>
    <xf numFmtId="0" fontId="11" fillId="0" borderId="0" xfId="0" applyFont="1" applyAlignment="1">
      <alignment horizontal="center"/>
    </xf>
    <xf numFmtId="166" fontId="11" fillId="0" borderId="0" xfId="1" applyNumberFormat="1" applyFont="1" applyFill="1" applyBorder="1"/>
    <xf numFmtId="0" fontId="14" fillId="0" borderId="0" xfId="0" applyFont="1" applyAlignment="1">
      <alignment horizontal="left" vertical="center"/>
    </xf>
    <xf numFmtId="0" fontId="15" fillId="0" borderId="0" xfId="0" applyFont="1" applyAlignment="1">
      <alignment horizontal="center" vertical="center"/>
    </xf>
    <xf numFmtId="165" fontId="10" fillId="0" borderId="0" xfId="0" applyNumberFormat="1" applyFont="1" applyAlignment="1">
      <alignment horizontal="center" vertical="center"/>
    </xf>
    <xf numFmtId="0" fontId="16" fillId="0" borderId="0" xfId="2" applyFont="1" applyFill="1" applyBorder="1" applyAlignment="1">
      <alignment horizontal="left" vertical="center" indent="1"/>
    </xf>
    <xf numFmtId="0" fontId="17" fillId="0" borderId="0" xfId="2" applyFont="1" applyFill="1" applyBorder="1" applyAlignment="1">
      <alignment horizontal="left" vertical="center" indent="1"/>
    </xf>
    <xf numFmtId="0" fontId="10" fillId="0" borderId="0" xfId="0" applyFont="1" applyAlignment="1">
      <alignment horizontal="center"/>
    </xf>
    <xf numFmtId="0" fontId="12" fillId="0" borderId="0" xfId="0" applyFont="1" applyAlignment="1">
      <alignment horizontal="left" indent="1"/>
    </xf>
    <xf numFmtId="0" fontId="11" fillId="0" borderId="0" xfId="0" applyFont="1" applyAlignment="1">
      <alignment horizontal="left"/>
    </xf>
    <xf numFmtId="0" fontId="12" fillId="3" borderId="0" xfId="0" applyFont="1" applyFill="1" applyAlignment="1">
      <alignment horizontal="left" indent="1"/>
    </xf>
    <xf numFmtId="0" fontId="13" fillId="3" borderId="0" xfId="0" applyFont="1" applyFill="1" applyAlignment="1">
      <alignment horizontal="left"/>
    </xf>
    <xf numFmtId="0" fontId="10" fillId="0" borderId="0" xfId="0" applyFont="1" applyAlignment="1">
      <alignment horizontal="left" indent="1"/>
    </xf>
    <xf numFmtId="14" fontId="10" fillId="0" borderId="0" xfId="0" applyNumberFormat="1" applyFont="1" applyAlignment="1">
      <alignment horizontal="right" vertical="top"/>
    </xf>
    <xf numFmtId="14" fontId="12" fillId="0" borderId="0" xfId="0" applyNumberFormat="1" applyFont="1" applyAlignment="1">
      <alignment horizontal="left" indent="1"/>
    </xf>
    <xf numFmtId="14" fontId="11" fillId="0" borderId="0" xfId="0" applyNumberFormat="1" applyFont="1" applyAlignment="1">
      <alignment horizontal="left" wrapText="1" shrinkToFit="1"/>
    </xf>
    <xf numFmtId="0" fontId="13" fillId="0" borderId="18" xfId="0" applyFont="1" applyBorder="1" applyAlignment="1">
      <alignment horizontal="center"/>
    </xf>
    <xf numFmtId="0" fontId="10" fillId="0" borderId="0" xfId="0" applyFont="1" applyAlignment="1">
      <alignment horizontal="right"/>
    </xf>
    <xf numFmtId="0" fontId="11" fillId="0" borderId="18" xfId="0" applyFont="1" applyBorder="1" applyAlignment="1">
      <alignment horizontal="center"/>
    </xf>
    <xf numFmtId="0" fontId="11" fillId="0" borderId="21" xfId="0" applyFont="1" applyBorder="1" applyAlignment="1">
      <alignment horizontal="center"/>
    </xf>
    <xf numFmtId="0" fontId="11" fillId="0" borderId="19" xfId="0" applyFont="1" applyBorder="1" applyAlignment="1">
      <alignment horizontal="center"/>
    </xf>
    <xf numFmtId="0" fontId="10" fillId="0" borderId="0" xfId="0" applyFont="1" applyAlignment="1">
      <alignment vertical="center"/>
    </xf>
    <xf numFmtId="0" fontId="11" fillId="0" borderId="2" xfId="0" applyFont="1" applyBorder="1" applyAlignment="1">
      <alignment horizontal="center"/>
    </xf>
    <xf numFmtId="14" fontId="12" fillId="0" borderId="0" xfId="0" applyNumberFormat="1" applyFont="1" applyAlignment="1">
      <alignment horizontal="left" vertical="top" indent="1"/>
    </xf>
    <xf numFmtId="0" fontId="10" fillId="0" borderId="0" xfId="0" applyFont="1" applyAlignment="1">
      <alignment horizontal="left"/>
    </xf>
    <xf numFmtId="0" fontId="13" fillId="0" borderId="0" xfId="0" applyFont="1"/>
    <xf numFmtId="0" fontId="13" fillId="0" borderId="23" xfId="0" applyFont="1" applyBorder="1" applyAlignment="1">
      <alignment horizontal="center"/>
    </xf>
    <xf numFmtId="0" fontId="10" fillId="7" borderId="23" xfId="0" applyFont="1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7" borderId="18" xfId="0" applyFont="1" applyFill="1" applyBorder="1" applyAlignment="1">
      <alignment horizontal="center"/>
    </xf>
    <xf numFmtId="0" fontId="10" fillId="0" borderId="18" xfId="0" applyFont="1" applyBorder="1" applyAlignment="1">
      <alignment horizontal="center"/>
    </xf>
    <xf numFmtId="0" fontId="11" fillId="0" borderId="15" xfId="0" applyFont="1" applyBorder="1"/>
    <xf numFmtId="0" fontId="11" fillId="0" borderId="17" xfId="0" applyFont="1" applyBorder="1"/>
    <xf numFmtId="0" fontId="11" fillId="0" borderId="2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/>
    </xf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0" fontId="9" fillId="0" borderId="2" xfId="0" applyFont="1" applyBorder="1" applyAlignment="1">
      <alignment horizontal="center" vertical="center"/>
    </xf>
    <xf numFmtId="1" fontId="9" fillId="0" borderId="2" xfId="0" applyNumberFormat="1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166" fontId="2" fillId="0" borderId="0" xfId="1" applyNumberFormat="1" applyFont="1" applyFill="1" applyBorder="1" applyAlignment="1">
      <alignment horizontal="center" vertical="center"/>
    </xf>
    <xf numFmtId="0" fontId="0" fillId="10" borderId="2" xfId="0" applyFill="1" applyBorder="1" applyAlignment="1">
      <alignment horizontal="center"/>
    </xf>
    <xf numFmtId="0" fontId="0" fillId="0" borderId="0" xfId="0" applyAlignment="1">
      <alignment horizontal="left"/>
    </xf>
    <xf numFmtId="0" fontId="0" fillId="11" borderId="2" xfId="0" applyFill="1" applyBorder="1" applyAlignment="1">
      <alignment horizontal="center"/>
    </xf>
    <xf numFmtId="0" fontId="0" fillId="12" borderId="2" xfId="0" applyFill="1" applyBorder="1" applyAlignment="1">
      <alignment horizontal="center"/>
    </xf>
    <xf numFmtId="166" fontId="2" fillId="0" borderId="30" xfId="1" applyNumberFormat="1" applyFont="1" applyFill="1" applyBorder="1" applyAlignment="1">
      <alignment horizontal="center" vertical="center"/>
    </xf>
    <xf numFmtId="0" fontId="11" fillId="8" borderId="31" xfId="0" applyFont="1" applyFill="1" applyBorder="1" applyAlignment="1">
      <alignment horizontal="center" vertical="center"/>
    </xf>
    <xf numFmtId="0" fontId="11" fillId="8" borderId="12" xfId="0" applyFont="1" applyFill="1" applyBorder="1" applyAlignment="1">
      <alignment horizontal="center" vertical="center"/>
    </xf>
    <xf numFmtId="0" fontId="11" fillId="8" borderId="11" xfId="0" applyFont="1" applyFill="1" applyBorder="1" applyAlignment="1">
      <alignment horizontal="center" vertical="center"/>
    </xf>
    <xf numFmtId="0" fontId="0" fillId="9" borderId="0" xfId="0" applyFill="1"/>
    <xf numFmtId="0" fontId="0" fillId="9" borderId="0" xfId="0" applyFill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0" fillId="12" borderId="0" xfId="0" applyFill="1" applyAlignment="1">
      <alignment horizontal="center"/>
    </xf>
    <xf numFmtId="165" fontId="9" fillId="0" borderId="0" xfId="0" applyNumberFormat="1" applyFont="1" applyAlignment="1">
      <alignment horizontal="center" vertical="center"/>
    </xf>
    <xf numFmtId="166" fontId="2" fillId="0" borderId="2" xfId="1" applyNumberFormat="1" applyFont="1" applyFill="1" applyBorder="1" applyAlignment="1">
      <alignment horizontal="center" vertical="center"/>
    </xf>
    <xf numFmtId="0" fontId="12" fillId="4" borderId="9" xfId="0" applyFont="1" applyFill="1" applyBorder="1" applyAlignment="1">
      <alignment horizontal="left"/>
    </xf>
    <xf numFmtId="0" fontId="12" fillId="4" borderId="10" xfId="0" applyFont="1" applyFill="1" applyBorder="1" applyAlignment="1">
      <alignment horizontal="left"/>
    </xf>
    <xf numFmtId="0" fontId="13" fillId="3" borderId="15" xfId="0" applyFont="1" applyFill="1" applyBorder="1" applyAlignment="1">
      <alignment horizontal="center" vertical="center"/>
    </xf>
    <xf numFmtId="0" fontId="13" fillId="3" borderId="16" xfId="0" applyFont="1" applyFill="1" applyBorder="1" applyAlignment="1">
      <alignment horizontal="center" vertical="center"/>
    </xf>
    <xf numFmtId="0" fontId="13" fillId="3" borderId="17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13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1" fillId="3" borderId="20" xfId="0" applyFont="1" applyFill="1" applyBorder="1" applyAlignment="1">
      <alignment horizontal="left" vertical="top" indent="28"/>
    </xf>
    <xf numFmtId="0" fontId="11" fillId="3" borderId="21" xfId="0" applyFont="1" applyFill="1" applyBorder="1" applyAlignment="1">
      <alignment horizontal="left" vertical="top" indent="28"/>
    </xf>
    <xf numFmtId="0" fontId="11" fillId="3" borderId="25" xfId="0" applyFont="1" applyFill="1" applyBorder="1" applyAlignment="1">
      <alignment horizontal="left" vertical="top" indent="28"/>
    </xf>
    <xf numFmtId="0" fontId="11" fillId="3" borderId="19" xfId="0" applyFont="1" applyFill="1" applyBorder="1" applyAlignment="1">
      <alignment horizontal="left" vertical="top" indent="28"/>
    </xf>
    <xf numFmtId="0" fontId="4" fillId="3" borderId="4" xfId="0" applyFont="1" applyFill="1" applyBorder="1"/>
    <xf numFmtId="0" fontId="18" fillId="0" borderId="0" xfId="0" applyFont="1" applyBorder="1"/>
    <xf numFmtId="0" fontId="10" fillId="4" borderId="0" xfId="0" applyFont="1" applyFill="1" applyBorder="1"/>
    <xf numFmtId="0" fontId="18" fillId="3" borderId="0" xfId="0" applyFont="1" applyFill="1" applyBorder="1"/>
    <xf numFmtId="0" fontId="10" fillId="3" borderId="0" xfId="0" applyFont="1" applyFill="1" applyBorder="1"/>
    <xf numFmtId="0" fontId="10" fillId="3" borderId="0" xfId="0" applyFont="1" applyFill="1" applyBorder="1" applyAlignment="1">
      <alignment horizontal="left"/>
    </xf>
    <xf numFmtId="0" fontId="0" fillId="0" borderId="0" xfId="0" applyBorder="1"/>
    <xf numFmtId="0" fontId="19" fillId="0" borderId="0" xfId="0" quotePrefix="1" applyFont="1" applyBorder="1"/>
    <xf numFmtId="0" fontId="10" fillId="4" borderId="0" xfId="0" applyFont="1" applyFill="1" applyBorder="1" applyAlignment="1">
      <alignment horizontal="left"/>
    </xf>
    <xf numFmtId="0" fontId="11" fillId="3" borderId="0" xfId="0" applyFont="1" applyFill="1" applyBorder="1"/>
    <xf numFmtId="0" fontId="18" fillId="3" borderId="9" xfId="0" applyFont="1" applyFill="1" applyBorder="1"/>
    <xf numFmtId="0" fontId="9" fillId="0" borderId="11" xfId="0" applyFont="1" applyBorder="1" applyAlignment="1">
      <alignment horizontal="center" vertical="center"/>
    </xf>
    <xf numFmtId="0" fontId="9" fillId="0" borderId="31" xfId="0" applyFont="1" applyBorder="1" applyAlignment="1">
      <alignment horizontal="center" vertical="center"/>
    </xf>
    <xf numFmtId="166" fontId="2" fillId="0" borderId="31" xfId="1" applyNumberFormat="1" applyFont="1" applyFill="1" applyBorder="1" applyAlignment="1">
      <alignment horizontal="center" vertical="center"/>
    </xf>
    <xf numFmtId="0" fontId="9" fillId="0" borderId="29" xfId="0" applyFont="1" applyBorder="1" applyAlignment="1">
      <alignment horizontal="center" vertical="center"/>
    </xf>
    <xf numFmtId="0" fontId="9" fillId="0" borderId="32" xfId="0" applyFont="1" applyBorder="1" applyAlignment="1">
      <alignment horizontal="center" vertical="center"/>
    </xf>
    <xf numFmtId="166" fontId="2" fillId="0" borderId="32" xfId="1" applyNumberFormat="1" applyFont="1" applyFill="1" applyBorder="1" applyAlignment="1">
      <alignment horizontal="center" vertical="center"/>
    </xf>
    <xf numFmtId="1" fontId="9" fillId="0" borderId="31" xfId="0" applyNumberFormat="1" applyFont="1" applyBorder="1" applyAlignment="1">
      <alignment horizontal="center" vertical="center"/>
    </xf>
    <xf numFmtId="1" fontId="9" fillId="0" borderId="32" xfId="0" applyNumberFormat="1" applyFont="1" applyBorder="1" applyAlignment="1">
      <alignment horizontal="center" vertical="center"/>
    </xf>
  </cellXfs>
  <cellStyles count="5">
    <cellStyle name="Hipervínculo" xfId="2" builtinId="8"/>
    <cellStyle name="Millares" xfId="1" builtinId="3"/>
    <cellStyle name="Millares [0]" xfId="4" builtinId="6"/>
    <cellStyle name="Moneda [0]" xfId="3" builtinId="7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19592</xdr:colOff>
      <xdr:row>35</xdr:row>
      <xdr:rowOff>23327</xdr:rowOff>
    </xdr:from>
    <xdr:to>
      <xdr:col>5</xdr:col>
      <xdr:colOff>1562878</xdr:colOff>
      <xdr:row>38</xdr:row>
      <xdr:rowOff>139961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13980" y="9859347"/>
          <a:ext cx="6270796" cy="863083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 i="0"/>
            <a:t>OBSERVACIONES :ABONO $ 315.097.-</a:t>
          </a:r>
          <a:endParaRPr lang="es-CL" sz="900" b="1" i="0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5</xdr:row>
      <xdr:rowOff>36390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  <xdr:twoCellAnchor>
    <xdr:from>
      <xdr:col>2</xdr:col>
      <xdr:colOff>690076</xdr:colOff>
      <xdr:row>55</xdr:row>
      <xdr:rowOff>0</xdr:rowOff>
    </xdr:from>
    <xdr:to>
      <xdr:col>4</xdr:col>
      <xdr:colOff>369336</xdr:colOff>
      <xdr:row>55</xdr:row>
      <xdr:rowOff>9719</xdr:rowOff>
    </xdr:to>
    <xdr:cxnSp macro="">
      <xdr:nvCxnSpPr>
        <xdr:cNvPr id="4" name="Conector recto 3">
          <a:extLst>
            <a:ext uri="{FF2B5EF4-FFF2-40B4-BE49-F238E27FC236}">
              <a16:creationId xmlns:a16="http://schemas.microsoft.com/office/drawing/2014/main" id="{77D990E8-1892-AE67-ABC8-CD86F9FAE551}"/>
            </a:ext>
          </a:extLst>
        </xdr:cNvPr>
        <xdr:cNvCxnSpPr/>
      </xdr:nvCxnSpPr>
      <xdr:spPr>
        <a:xfrm>
          <a:off x="1632857" y="11225893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670637</xdr:colOff>
      <xdr:row>57</xdr:row>
      <xdr:rowOff>1</xdr:rowOff>
    </xdr:from>
    <xdr:to>
      <xdr:col>4</xdr:col>
      <xdr:colOff>349897</xdr:colOff>
      <xdr:row>57</xdr:row>
      <xdr:rowOff>9720</xdr:rowOff>
    </xdr:to>
    <xdr:cxnSp macro="">
      <xdr:nvCxnSpPr>
        <xdr:cNvPr id="7" name="Conector recto 6">
          <a:extLst>
            <a:ext uri="{FF2B5EF4-FFF2-40B4-BE49-F238E27FC236}">
              <a16:creationId xmlns:a16="http://schemas.microsoft.com/office/drawing/2014/main" id="{15C0F3E4-8032-4291-A55D-857CC1B0D1DF}"/>
            </a:ext>
          </a:extLst>
        </xdr:cNvPr>
        <xdr:cNvCxnSpPr/>
      </xdr:nvCxnSpPr>
      <xdr:spPr>
        <a:xfrm>
          <a:off x="1613418" y="11634108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923925</xdr:colOff>
      <xdr:row>4</xdr:row>
      <xdr:rowOff>28575</xdr:rowOff>
    </xdr:from>
    <xdr:to>
      <xdr:col>7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923925</xdr:colOff>
      <xdr:row>2</xdr:row>
      <xdr:rowOff>180975</xdr:rowOff>
    </xdr:from>
    <xdr:to>
      <xdr:col>7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27</xdr:row>
      <xdr:rowOff>66674</xdr:rowOff>
    </xdr:from>
    <xdr:to>
      <xdr:col>6</xdr:col>
      <xdr:colOff>2914649</xdr:colOff>
      <xdr:row>29</xdr:row>
      <xdr:rowOff>19049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066800" y="2952749"/>
          <a:ext cx="9191624" cy="23812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2</xdr:col>
      <xdr:colOff>19050</xdr:colOff>
      <xdr:row>9</xdr:row>
      <xdr:rowOff>19050</xdr:rowOff>
    </xdr:from>
    <xdr:to>
      <xdr:col>7</xdr:col>
      <xdr:colOff>9525</xdr:colOff>
      <xdr:row>10</xdr:row>
      <xdr:rowOff>66675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085850" y="1714500"/>
          <a:ext cx="9182100" cy="23812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1</xdr:col>
      <xdr:colOff>1047750</xdr:colOff>
      <xdr:row>79</xdr:row>
      <xdr:rowOff>190500</xdr:rowOff>
    </xdr:from>
    <xdr:to>
      <xdr:col>7</xdr:col>
      <xdr:colOff>9524</xdr:colOff>
      <xdr:row>81</xdr:row>
      <xdr:rowOff>38100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047750" y="8524875"/>
          <a:ext cx="9220199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912495</xdr:colOff>
      <xdr:row>76</xdr:row>
      <xdr:rowOff>30479</xdr:rowOff>
    </xdr:from>
    <xdr:to>
      <xdr:col>6</xdr:col>
      <xdr:colOff>2912745</xdr:colOff>
      <xdr:row>77</xdr:row>
      <xdr:rowOff>238124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979295" y="9260204"/>
          <a:ext cx="8229600" cy="26479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3</xdr:col>
      <xdr:colOff>0</xdr:colOff>
      <xdr:row>74</xdr:row>
      <xdr:rowOff>209549</xdr:rowOff>
    </xdr:from>
    <xdr:to>
      <xdr:col>7</xdr:col>
      <xdr:colOff>0</xdr:colOff>
      <xdr:row>76</xdr:row>
      <xdr:rowOff>38100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981200" y="8982074"/>
          <a:ext cx="8229600" cy="285751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3</xdr:col>
      <xdr:colOff>0</xdr:colOff>
      <xdr:row>73</xdr:row>
      <xdr:rowOff>171450</xdr:rowOff>
    </xdr:from>
    <xdr:to>
      <xdr:col>7</xdr:col>
      <xdr:colOff>19050</xdr:colOff>
      <xdr:row>74</xdr:row>
      <xdr:rowOff>209550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981200" y="8705850"/>
          <a:ext cx="8248650" cy="2762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98</xdr:row>
      <xdr:rowOff>0</xdr:rowOff>
    </xdr:from>
    <xdr:to>
      <xdr:col>3</xdr:col>
      <xdr:colOff>38100</xdr:colOff>
      <xdr:row>99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723900" y="12900660"/>
          <a:ext cx="975360" cy="20764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3</xdr:col>
      <xdr:colOff>38100</xdr:colOff>
      <xdr:row>98</xdr:row>
      <xdr:rowOff>0</xdr:rowOff>
    </xdr:from>
    <xdr:to>
      <xdr:col>3</xdr:col>
      <xdr:colOff>1019175</xdr:colOff>
      <xdr:row>99</xdr:row>
      <xdr:rowOff>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699260" y="12900660"/>
          <a:ext cx="98107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1009650</xdr:colOff>
      <xdr:row>98</xdr:row>
      <xdr:rowOff>0</xdr:rowOff>
    </xdr:from>
    <xdr:to>
      <xdr:col>4</xdr:col>
      <xdr:colOff>352425</xdr:colOff>
      <xdr:row>99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670810" y="12900660"/>
          <a:ext cx="288607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352425</xdr:colOff>
      <xdr:row>98</xdr:row>
      <xdr:rowOff>0</xdr:rowOff>
    </xdr:from>
    <xdr:to>
      <xdr:col>5</xdr:col>
      <xdr:colOff>257175</xdr:colOff>
      <xdr:row>99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5556885" y="12900660"/>
          <a:ext cx="100203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247650</xdr:colOff>
      <xdr:row>98</xdr:row>
      <xdr:rowOff>0</xdr:rowOff>
    </xdr:from>
    <xdr:to>
      <xdr:col>6</xdr:col>
      <xdr:colOff>447675</xdr:colOff>
      <xdr:row>99</xdr:row>
      <xdr:rowOff>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6549390" y="12900660"/>
          <a:ext cx="106870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6</xdr:col>
      <xdr:colOff>457200</xdr:colOff>
      <xdr:row>98</xdr:row>
      <xdr:rowOff>0</xdr:rowOff>
    </xdr:from>
    <xdr:to>
      <xdr:col>7</xdr:col>
      <xdr:colOff>0</xdr:colOff>
      <xdr:row>99</xdr:row>
      <xdr:rowOff>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7627620" y="12900660"/>
          <a:ext cx="253746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2</xdr:col>
      <xdr:colOff>0</xdr:colOff>
      <xdr:row>99</xdr:row>
      <xdr:rowOff>0</xdr:rowOff>
    </xdr:from>
    <xdr:to>
      <xdr:col>3</xdr:col>
      <xdr:colOff>304800</xdr:colOff>
      <xdr:row>100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723900" y="13098780"/>
          <a:ext cx="12420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38100</xdr:colOff>
      <xdr:row>99</xdr:row>
      <xdr:rowOff>0</xdr:rowOff>
    </xdr:from>
    <xdr:to>
      <xdr:col>3</xdr:col>
      <xdr:colOff>1276350</xdr:colOff>
      <xdr:row>100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699260" y="13098780"/>
          <a:ext cx="123825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1009650</xdr:colOff>
      <xdr:row>99</xdr:row>
      <xdr:rowOff>0</xdr:rowOff>
    </xdr:from>
    <xdr:to>
      <xdr:col>4</xdr:col>
      <xdr:colOff>619125</xdr:colOff>
      <xdr:row>100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670810" y="13098780"/>
          <a:ext cx="3152775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352425</xdr:colOff>
      <xdr:row>99</xdr:row>
      <xdr:rowOff>0</xdr:rowOff>
    </xdr:from>
    <xdr:to>
      <xdr:col>5</xdr:col>
      <xdr:colOff>523875</xdr:colOff>
      <xdr:row>100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5556885" y="13098780"/>
          <a:ext cx="12687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247650</xdr:colOff>
      <xdr:row>99</xdr:row>
      <xdr:rowOff>0</xdr:rowOff>
    </xdr:from>
    <xdr:to>
      <xdr:col>6</xdr:col>
      <xdr:colOff>723900</xdr:colOff>
      <xdr:row>100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6549390" y="13098780"/>
          <a:ext cx="13449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6</xdr:col>
      <xdr:colOff>457200</xdr:colOff>
      <xdr:row>99</xdr:row>
      <xdr:rowOff>0</xdr:rowOff>
    </xdr:from>
    <xdr:to>
      <xdr:col>7</xdr:col>
      <xdr:colOff>0</xdr:colOff>
      <xdr:row>100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7627620" y="13098780"/>
          <a:ext cx="25374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7620</xdr:colOff>
      <xdr:row>65</xdr:row>
      <xdr:rowOff>15239</xdr:rowOff>
    </xdr:from>
    <xdr:to>
      <xdr:col>7</xdr:col>
      <xdr:colOff>0</xdr:colOff>
      <xdr:row>69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1074420" y="8178164"/>
          <a:ext cx="9136380" cy="112776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1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lang="es-CL" sz="14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400" b="1" i="0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CL" sz="1400" b="1" i="0" u="non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PUERTAS SE ENTREGAN SIN CORTES</a:t>
          </a:r>
          <a:endParaRPr lang="es-ES" sz="1400">
            <a:effectLst/>
          </a:endParaRPr>
        </a:p>
      </xdr:txBody>
    </xdr:sp>
    <xdr:clientData/>
  </xdr:twoCellAnchor>
  <xdr:twoCellAnchor>
    <xdr:from>
      <xdr:col>1</xdr:col>
      <xdr:colOff>1057274</xdr:colOff>
      <xdr:row>47</xdr:row>
      <xdr:rowOff>1</xdr:rowOff>
    </xdr:from>
    <xdr:to>
      <xdr:col>7</xdr:col>
      <xdr:colOff>19048</xdr:colOff>
      <xdr:row>48</xdr:row>
      <xdr:rowOff>1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057274" y="4314826"/>
          <a:ext cx="9220199" cy="20955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20955</xdr:colOff>
      <xdr:row>101</xdr:row>
      <xdr:rowOff>32385</xdr:rowOff>
    </xdr:from>
    <xdr:to>
      <xdr:col>7</xdr:col>
      <xdr:colOff>0</xdr:colOff>
      <xdr:row>105</xdr:row>
      <xdr:rowOff>161925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0500360"/>
          <a:ext cx="9170670" cy="92011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4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r>
            <a:rPr lang="es-CL" sz="1400" b="1" i="0" u="non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PUERTAS SE ENTREGAN SIN CORTES</a:t>
          </a:r>
          <a:endParaRPr lang="es-CL" sz="1400" i="0" u="none">
            <a:effectLst/>
          </a:endParaRPr>
        </a:p>
      </xdr:txBody>
    </xdr:sp>
    <xdr:clientData/>
  </xdr:twoCellAnchor>
  <xdr:twoCellAnchor editAs="oneCell">
    <xdr:from>
      <xdr:col>1</xdr:col>
      <xdr:colOff>379095</xdr:colOff>
      <xdr:row>73</xdr:row>
      <xdr:rowOff>146685</xdr:rowOff>
    </xdr:from>
    <xdr:to>
      <xdr:col>2</xdr:col>
      <xdr:colOff>786523</xdr:colOff>
      <xdr:row>79</xdr:row>
      <xdr:rowOff>91440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095" y="8681085"/>
          <a:ext cx="1550428" cy="117348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</xdr:row>
      <xdr:rowOff>174138</xdr:rowOff>
    </xdr:from>
    <xdr:to>
      <xdr:col>2</xdr:col>
      <xdr:colOff>413385</xdr:colOff>
      <xdr:row>7</xdr:row>
      <xdr:rowOff>175260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74163"/>
          <a:ext cx="1556385" cy="1172697"/>
        </a:xfrm>
        <a:prstGeom prst="rect">
          <a:avLst/>
        </a:prstGeom>
      </xdr:spPr>
    </xdr:pic>
    <xdr:clientData/>
  </xdr:twoCellAnchor>
  <xdr:twoCellAnchor>
    <xdr:from>
      <xdr:col>2</xdr:col>
      <xdr:colOff>923925</xdr:colOff>
      <xdr:row>7</xdr:row>
      <xdr:rowOff>28575</xdr:rowOff>
    </xdr:from>
    <xdr:to>
      <xdr:col>7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4</xdr:col>
      <xdr:colOff>0</xdr:colOff>
      <xdr:row>107</xdr:row>
      <xdr:rowOff>0</xdr:rowOff>
    </xdr:from>
    <xdr:to>
      <xdr:col>4</xdr:col>
      <xdr:colOff>304800</xdr:colOff>
      <xdr:row>108</xdr:row>
      <xdr:rowOff>114300</xdr:rowOff>
    </xdr:to>
    <xdr:sp macro="" textlink="">
      <xdr:nvSpPr>
        <xdr:cNvPr id="2050" name="AutoShape 2">
          <a:extLst>
            <a:ext uri="{FF2B5EF4-FFF2-40B4-BE49-F238E27FC236}">
              <a16:creationId xmlns:a16="http://schemas.microsoft.com/office/drawing/2014/main" id="{1044E8E0-C541-5C81-19ED-23F766B3641B}"/>
            </a:ext>
          </a:extLst>
        </xdr:cNvPr>
        <xdr:cNvSpPr>
          <a:spLocks noChangeAspect="1" noChangeArrowheads="1"/>
        </xdr:cNvSpPr>
      </xdr:nvSpPr>
      <xdr:spPr bwMode="auto">
        <a:xfrm>
          <a:off x="5204460" y="14676120"/>
          <a:ext cx="304800" cy="297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61"/>
  <sheetViews>
    <sheetView topLeftCell="A4" zoomScale="98" zoomScaleNormal="98" workbookViewId="0">
      <selection activeCell="E8" sqref="E8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5.33203125" customWidth="1"/>
    <col min="4" max="5" width="11.109375" customWidth="1"/>
    <col min="6" max="6" width="34.88671875" customWidth="1"/>
    <col min="7" max="7" width="14.6640625" customWidth="1"/>
    <col min="8" max="8" width="14.88671875" customWidth="1"/>
  </cols>
  <sheetData>
    <row r="1" spans="1:17" ht="18" x14ac:dyDescent="0.35">
      <c r="A1" s="30"/>
      <c r="B1" s="30"/>
      <c r="C1" s="30"/>
      <c r="D1" s="30"/>
      <c r="E1" s="30"/>
      <c r="F1" s="30"/>
      <c r="G1" s="30"/>
      <c r="H1" s="30"/>
      <c r="I1" s="30"/>
    </row>
    <row r="2" spans="1:17" ht="18" x14ac:dyDescent="0.35">
      <c r="A2" s="30"/>
      <c r="B2" s="30"/>
      <c r="C2" s="30"/>
      <c r="D2" s="30"/>
      <c r="E2" s="30"/>
      <c r="F2" s="31" t="s">
        <v>116</v>
      </c>
      <c r="G2" s="30"/>
      <c r="H2" s="30"/>
      <c r="I2" s="30"/>
    </row>
    <row r="3" spans="1:17" ht="18" x14ac:dyDescent="0.35">
      <c r="A3" s="30"/>
      <c r="B3" s="30"/>
      <c r="C3" s="30"/>
      <c r="D3" s="30"/>
      <c r="E3" s="30"/>
      <c r="F3" s="30" t="s">
        <v>117</v>
      </c>
      <c r="G3" s="30"/>
      <c r="H3" s="30"/>
      <c r="I3" s="30"/>
    </row>
    <row r="4" spans="1:17" ht="18" x14ac:dyDescent="0.35">
      <c r="A4" s="30"/>
      <c r="B4" s="30"/>
      <c r="C4" s="30"/>
      <c r="D4" s="30"/>
      <c r="E4" s="30"/>
      <c r="F4" s="30" t="s">
        <v>118</v>
      </c>
      <c r="G4" s="30"/>
      <c r="H4" s="30"/>
      <c r="I4" s="30"/>
    </row>
    <row r="5" spans="1:17" ht="18" x14ac:dyDescent="0.35">
      <c r="A5" s="30"/>
      <c r="B5" s="30"/>
      <c r="C5" s="30"/>
      <c r="D5" s="30"/>
      <c r="E5" s="30"/>
      <c r="F5" s="30" t="s">
        <v>0</v>
      </c>
      <c r="G5" s="30"/>
      <c r="H5" s="30"/>
      <c r="I5" s="30"/>
    </row>
    <row r="6" spans="1:17" ht="18" x14ac:dyDescent="0.35">
      <c r="A6" s="30"/>
      <c r="B6" s="30"/>
      <c r="C6" s="30"/>
      <c r="D6" s="30"/>
      <c r="E6" s="30"/>
      <c r="F6" s="30" t="s">
        <v>14</v>
      </c>
      <c r="G6" s="30"/>
      <c r="H6" s="30"/>
      <c r="I6" s="30"/>
    </row>
    <row r="7" spans="1:17" ht="18.600000000000001" thickBot="1" x14ac:dyDescent="0.4">
      <c r="A7" s="30"/>
      <c r="B7" s="30"/>
      <c r="C7" s="30"/>
      <c r="D7" s="30"/>
      <c r="E7" s="30"/>
      <c r="F7" s="30" t="s">
        <v>12</v>
      </c>
      <c r="G7" s="30"/>
      <c r="H7" s="30"/>
      <c r="I7" s="30"/>
    </row>
    <row r="8" spans="1:17" ht="18.600000000000001" thickBot="1" x14ac:dyDescent="0.4">
      <c r="A8" s="30"/>
      <c r="B8" s="32" t="s">
        <v>15</v>
      </c>
      <c r="C8" s="33"/>
      <c r="D8" s="34">
        <v>11181</v>
      </c>
      <c r="E8" s="30"/>
      <c r="F8" s="35" t="s">
        <v>25</v>
      </c>
      <c r="G8" s="36">
        <v>4137</v>
      </c>
      <c r="H8" s="30"/>
      <c r="I8" s="30"/>
    </row>
    <row r="9" spans="1:17" ht="18.600000000000001" thickBot="1" x14ac:dyDescent="0.4">
      <c r="A9" s="30"/>
      <c r="B9" s="30"/>
      <c r="C9" s="30"/>
      <c r="D9" s="30"/>
      <c r="E9" s="30"/>
      <c r="F9" s="30"/>
      <c r="G9" s="30"/>
      <c r="H9" s="30"/>
      <c r="I9" s="30"/>
    </row>
    <row r="10" spans="1:17" ht="18.600000000000001" thickBot="1" x14ac:dyDescent="0.4">
      <c r="A10" s="30"/>
      <c r="B10" s="37" t="s">
        <v>125</v>
      </c>
      <c r="C10" s="131" t="s">
        <v>140</v>
      </c>
      <c r="D10" s="38"/>
      <c r="E10" s="38"/>
      <c r="F10" s="39" t="s">
        <v>26</v>
      </c>
      <c r="G10" s="40">
        <v>45623</v>
      </c>
      <c r="H10" s="41"/>
      <c r="I10" s="30"/>
      <c r="J10" s="1"/>
      <c r="K10" s="1"/>
      <c r="L10" s="1"/>
      <c r="M10" s="1"/>
      <c r="N10" s="1"/>
      <c r="O10" s="1"/>
      <c r="P10" s="1"/>
      <c r="Q10" s="1"/>
    </row>
    <row r="11" spans="1:17" ht="19.2" thickBot="1" x14ac:dyDescent="0.45">
      <c r="A11" s="30"/>
      <c r="B11" s="42" t="s">
        <v>2</v>
      </c>
      <c r="C11" s="132"/>
      <c r="D11" s="133"/>
      <c r="E11" s="133"/>
      <c r="F11" s="133" t="s">
        <v>120</v>
      </c>
      <c r="G11" s="43">
        <v>45632</v>
      </c>
      <c r="H11" s="44"/>
      <c r="I11" s="30"/>
    </row>
    <row r="12" spans="1:17" ht="18.600000000000001" x14ac:dyDescent="0.4">
      <c r="A12" s="30"/>
      <c r="B12" s="45" t="s">
        <v>126</v>
      </c>
      <c r="C12" s="134"/>
      <c r="D12" s="135"/>
      <c r="E12" s="135"/>
      <c r="F12" s="135" t="s">
        <v>27</v>
      </c>
      <c r="G12" s="136"/>
      <c r="H12" s="47"/>
      <c r="I12" s="30"/>
    </row>
    <row r="13" spans="1:17" ht="18" x14ac:dyDescent="0.35">
      <c r="A13" s="30"/>
      <c r="B13" s="45" t="s">
        <v>127</v>
      </c>
      <c r="C13" s="137"/>
      <c r="D13" s="135"/>
      <c r="E13" s="135"/>
      <c r="F13" s="135" t="s">
        <v>124</v>
      </c>
      <c r="G13" s="136" t="s">
        <v>136</v>
      </c>
      <c r="H13" s="47"/>
      <c r="I13" s="30"/>
    </row>
    <row r="14" spans="1:17" ht="18" x14ac:dyDescent="0.35">
      <c r="A14" s="30"/>
      <c r="B14" s="42" t="s">
        <v>16</v>
      </c>
      <c r="C14" s="138" t="s">
        <v>141</v>
      </c>
      <c r="D14" s="139"/>
      <c r="E14" s="133"/>
      <c r="F14" s="133"/>
      <c r="G14" s="133"/>
      <c r="H14" s="44"/>
      <c r="I14" s="30"/>
    </row>
    <row r="15" spans="1:17" ht="18" x14ac:dyDescent="0.35">
      <c r="A15" s="30"/>
      <c r="B15" s="45" t="s">
        <v>1</v>
      </c>
      <c r="C15" s="137"/>
      <c r="D15" s="135"/>
      <c r="E15" s="135"/>
      <c r="F15" s="140" t="s">
        <v>72</v>
      </c>
      <c r="G15" s="140" t="s">
        <v>129</v>
      </c>
      <c r="H15" s="47"/>
      <c r="I15" s="30"/>
    </row>
    <row r="16" spans="1:17" ht="19.2" thickBot="1" x14ac:dyDescent="0.45">
      <c r="A16" s="30"/>
      <c r="B16" s="48" t="s">
        <v>3</v>
      </c>
      <c r="C16" s="141"/>
      <c r="D16" s="49"/>
      <c r="E16" s="50"/>
      <c r="F16" s="117" t="s">
        <v>17</v>
      </c>
      <c r="G16" s="117"/>
      <c r="H16" s="118"/>
      <c r="I16" s="30"/>
    </row>
    <row r="17" spans="1:16" ht="18" x14ac:dyDescent="0.35">
      <c r="A17" s="30"/>
      <c r="B17" s="30"/>
      <c r="C17" s="30"/>
      <c r="D17" s="30"/>
      <c r="E17" s="30"/>
      <c r="F17" s="30"/>
      <c r="G17" s="30"/>
      <c r="H17" s="30"/>
      <c r="I17" s="30"/>
    </row>
    <row r="18" spans="1:16" ht="18.600000000000001" thickBot="1" x14ac:dyDescent="0.4">
      <c r="A18" s="30"/>
      <c r="B18" s="30"/>
      <c r="C18" s="30"/>
      <c r="D18" s="30"/>
      <c r="E18" s="30"/>
      <c r="F18" s="30"/>
      <c r="G18" s="30"/>
      <c r="H18" s="30"/>
      <c r="I18" s="30"/>
    </row>
    <row r="19" spans="1:16" ht="20.100000000000001" customHeight="1" thickBot="1" x14ac:dyDescent="0.4">
      <c r="A19" s="30"/>
      <c r="B19" s="119" t="s">
        <v>18</v>
      </c>
      <c r="C19" s="120"/>
      <c r="D19" s="120"/>
      <c r="E19" s="120"/>
      <c r="F19" s="120"/>
      <c r="G19" s="120"/>
      <c r="H19" s="121"/>
      <c r="I19" s="30"/>
    </row>
    <row r="20" spans="1:16" ht="20.100000000000001" customHeight="1" thickBot="1" x14ac:dyDescent="0.4">
      <c r="A20" s="30"/>
      <c r="B20" s="51" t="s">
        <v>128</v>
      </c>
      <c r="C20" s="107" t="s">
        <v>19</v>
      </c>
      <c r="D20" s="107" t="s">
        <v>20</v>
      </c>
      <c r="E20" s="107" t="s">
        <v>7</v>
      </c>
      <c r="F20" s="108" t="s">
        <v>21</v>
      </c>
      <c r="G20" s="109" t="s">
        <v>22</v>
      </c>
      <c r="H20" s="108" t="s">
        <v>4</v>
      </c>
      <c r="I20" s="30"/>
      <c r="N20">
        <v>65000</v>
      </c>
    </row>
    <row r="21" spans="1:16" ht="20.100000000000001" customHeight="1" thickBot="1" x14ac:dyDescent="0.4">
      <c r="A21" s="30"/>
      <c r="B21" s="142">
        <v>2</v>
      </c>
      <c r="C21" s="143" t="s">
        <v>59</v>
      </c>
      <c r="D21" s="148">
        <v>850</v>
      </c>
      <c r="E21" s="148">
        <v>447</v>
      </c>
      <c r="F21" s="143" t="s">
        <v>142</v>
      </c>
      <c r="G21" s="144">
        <v>31486</v>
      </c>
      <c r="H21" s="106">
        <f t="shared" ref="H21:H34" si="0">G21*B21</f>
        <v>62972</v>
      </c>
      <c r="I21" s="30"/>
      <c r="K21" s="11">
        <f>D21/1000</f>
        <v>0.85</v>
      </c>
      <c r="L21" s="15">
        <f>E21/1000</f>
        <v>0.44700000000000001</v>
      </c>
      <c r="M21" s="11">
        <f>K21*L21</f>
        <v>0.37995000000000001</v>
      </c>
      <c r="N21" s="11">
        <f>M21*N$20</f>
        <v>24696.75</v>
      </c>
      <c r="O21" s="15"/>
      <c r="P21" s="21"/>
    </row>
    <row r="22" spans="1:16" ht="20.100000000000001" customHeight="1" thickBot="1" x14ac:dyDescent="0.4">
      <c r="A22" s="30"/>
      <c r="B22" s="142">
        <v>2</v>
      </c>
      <c r="C22" s="143" t="s">
        <v>59</v>
      </c>
      <c r="D22" s="148">
        <v>700</v>
      </c>
      <c r="E22" s="148">
        <v>297</v>
      </c>
      <c r="F22" s="143" t="s">
        <v>142</v>
      </c>
      <c r="G22" s="144">
        <v>18432</v>
      </c>
      <c r="H22" s="106">
        <f t="shared" si="0"/>
        <v>36864</v>
      </c>
      <c r="I22" s="30"/>
      <c r="K22" s="11"/>
      <c r="L22" s="15"/>
      <c r="M22" s="11"/>
      <c r="N22" s="11"/>
      <c r="O22" s="15"/>
      <c r="P22" s="21"/>
    </row>
    <row r="23" spans="1:16" ht="20.100000000000001" customHeight="1" thickBot="1" x14ac:dyDescent="0.4">
      <c r="A23" s="30"/>
      <c r="B23" s="142">
        <v>2</v>
      </c>
      <c r="C23" s="143" t="s">
        <v>59</v>
      </c>
      <c r="D23" s="148">
        <v>450</v>
      </c>
      <c r="E23" s="148">
        <v>323</v>
      </c>
      <c r="F23" s="143" t="s">
        <v>142</v>
      </c>
      <c r="G23" s="144">
        <v>14142</v>
      </c>
      <c r="H23" s="106">
        <f t="shared" si="0"/>
        <v>28284</v>
      </c>
      <c r="I23" s="30"/>
      <c r="K23" s="11"/>
      <c r="L23" s="15"/>
      <c r="M23" s="11"/>
      <c r="N23" s="11"/>
      <c r="O23" s="15"/>
      <c r="P23" s="21"/>
    </row>
    <row r="24" spans="1:16" ht="20.100000000000001" customHeight="1" thickBot="1" x14ac:dyDescent="0.4">
      <c r="A24" s="30"/>
      <c r="B24" s="142">
        <v>1</v>
      </c>
      <c r="C24" s="143" t="s">
        <v>59</v>
      </c>
      <c r="D24" s="148">
        <v>850</v>
      </c>
      <c r="E24" s="148">
        <v>467</v>
      </c>
      <c r="F24" s="143" t="s">
        <v>142</v>
      </c>
      <c r="G24" s="144">
        <v>32805</v>
      </c>
      <c r="H24" s="106">
        <f t="shared" si="0"/>
        <v>32805</v>
      </c>
      <c r="I24" s="30"/>
      <c r="K24" s="11"/>
      <c r="L24" s="15"/>
      <c r="M24" s="11"/>
      <c r="N24" s="11"/>
      <c r="O24" s="15"/>
      <c r="P24" s="21"/>
    </row>
    <row r="25" spans="1:16" ht="20.100000000000001" customHeight="1" thickBot="1" x14ac:dyDescent="0.4">
      <c r="A25" s="30"/>
      <c r="B25" s="142">
        <v>2</v>
      </c>
      <c r="C25" s="143" t="s">
        <v>59</v>
      </c>
      <c r="D25" s="148">
        <v>500</v>
      </c>
      <c r="E25" s="148">
        <v>473</v>
      </c>
      <c r="F25" s="143" t="s">
        <v>142</v>
      </c>
      <c r="G25" s="144">
        <v>21459</v>
      </c>
      <c r="H25" s="106">
        <f t="shared" si="0"/>
        <v>42918</v>
      </c>
      <c r="I25" s="30"/>
      <c r="K25" s="11"/>
      <c r="L25" s="15"/>
      <c r="M25" s="11"/>
      <c r="N25" s="11"/>
      <c r="O25" s="15"/>
      <c r="P25" s="21"/>
    </row>
    <row r="26" spans="1:16" ht="20.100000000000001" customHeight="1" thickBot="1" x14ac:dyDescent="0.4">
      <c r="A26" s="30"/>
      <c r="B26" s="142">
        <v>2</v>
      </c>
      <c r="C26" s="143" t="s">
        <v>59</v>
      </c>
      <c r="D26" s="148">
        <v>700</v>
      </c>
      <c r="E26" s="148">
        <v>447</v>
      </c>
      <c r="F26" s="143" t="s">
        <v>142</v>
      </c>
      <c r="G26" s="144">
        <v>26730</v>
      </c>
      <c r="H26" s="106">
        <f t="shared" si="0"/>
        <v>53460</v>
      </c>
      <c r="I26" s="30"/>
      <c r="K26" s="11"/>
      <c r="L26" s="15"/>
      <c r="M26" s="11"/>
      <c r="N26" s="11"/>
      <c r="O26" s="15"/>
      <c r="P26" s="21"/>
    </row>
    <row r="27" spans="1:16" ht="20.100000000000001" customHeight="1" thickBot="1" x14ac:dyDescent="0.4">
      <c r="A27" s="30"/>
      <c r="B27" s="142">
        <v>1</v>
      </c>
      <c r="C27" s="143" t="s">
        <v>59</v>
      </c>
      <c r="D27" s="148">
        <v>800</v>
      </c>
      <c r="E27" s="148">
        <v>377</v>
      </c>
      <c r="F27" s="143" t="s">
        <v>142</v>
      </c>
      <c r="G27" s="144">
        <v>25532</v>
      </c>
      <c r="H27" s="106">
        <f t="shared" si="0"/>
        <v>25532</v>
      </c>
      <c r="I27" s="30"/>
      <c r="K27" s="11"/>
      <c r="L27" s="15"/>
      <c r="M27" s="11"/>
      <c r="N27" s="11"/>
      <c r="O27" s="15"/>
      <c r="P27" s="21"/>
    </row>
    <row r="28" spans="1:16" ht="20.100000000000001" customHeight="1" thickBot="1" x14ac:dyDescent="0.4">
      <c r="A28" s="30"/>
      <c r="B28" s="142">
        <v>1</v>
      </c>
      <c r="C28" s="143" t="s">
        <v>59</v>
      </c>
      <c r="D28" s="148">
        <v>700</v>
      </c>
      <c r="E28" s="148">
        <v>147</v>
      </c>
      <c r="F28" s="143" t="s">
        <v>142</v>
      </c>
      <c r="G28" s="144">
        <v>10133</v>
      </c>
      <c r="H28" s="106">
        <f t="shared" si="0"/>
        <v>10133</v>
      </c>
      <c r="I28" s="30"/>
      <c r="K28" s="11"/>
      <c r="L28" s="15"/>
      <c r="M28" s="11"/>
      <c r="N28" s="11"/>
      <c r="O28" s="15"/>
      <c r="P28" s="21"/>
    </row>
    <row r="29" spans="1:16" ht="20.100000000000001" customHeight="1" thickBot="1" x14ac:dyDescent="0.4">
      <c r="A29" s="30"/>
      <c r="B29" s="142">
        <v>1</v>
      </c>
      <c r="C29" s="143" t="s">
        <v>59</v>
      </c>
      <c r="D29" s="148">
        <v>150</v>
      </c>
      <c r="E29" s="148">
        <v>597</v>
      </c>
      <c r="F29" s="143" t="s">
        <v>142</v>
      </c>
      <c r="G29" s="144">
        <v>11739</v>
      </c>
      <c r="H29" s="106">
        <f t="shared" si="0"/>
        <v>11739</v>
      </c>
      <c r="I29" s="30"/>
      <c r="K29" s="11"/>
      <c r="L29" s="15"/>
      <c r="M29" s="11"/>
      <c r="N29" s="11"/>
      <c r="O29" s="15"/>
      <c r="P29" s="21"/>
    </row>
    <row r="30" spans="1:16" ht="20.100000000000001" customHeight="1" thickBot="1" x14ac:dyDescent="0.4">
      <c r="A30" s="30"/>
      <c r="B30" s="142">
        <v>1</v>
      </c>
      <c r="C30" s="143" t="s">
        <v>59</v>
      </c>
      <c r="D30" s="148">
        <v>700</v>
      </c>
      <c r="E30" s="148">
        <v>247</v>
      </c>
      <c r="F30" s="143" t="s">
        <v>142</v>
      </c>
      <c r="G30" s="144">
        <v>15665</v>
      </c>
      <c r="H30" s="106">
        <f t="shared" si="0"/>
        <v>15665</v>
      </c>
      <c r="I30" s="30"/>
      <c r="K30" s="11"/>
      <c r="L30" s="15"/>
      <c r="M30" s="11"/>
      <c r="N30" s="11"/>
      <c r="O30" s="15"/>
      <c r="P30" s="21"/>
    </row>
    <row r="31" spans="1:16" ht="20.100000000000001" customHeight="1" thickBot="1" x14ac:dyDescent="0.4">
      <c r="A31" s="30"/>
      <c r="B31" s="142">
        <v>2</v>
      </c>
      <c r="C31" s="143" t="s">
        <v>59</v>
      </c>
      <c r="D31" s="148">
        <v>700</v>
      </c>
      <c r="E31" s="148">
        <v>383</v>
      </c>
      <c r="F31" s="143" t="s">
        <v>142</v>
      </c>
      <c r="G31" s="144">
        <v>23189</v>
      </c>
      <c r="H31" s="106">
        <f t="shared" si="0"/>
        <v>46378</v>
      </c>
      <c r="I31" s="30"/>
      <c r="K31" s="11"/>
      <c r="L31" s="15"/>
      <c r="M31" s="11"/>
      <c r="N31" s="11"/>
      <c r="O31" s="15"/>
      <c r="P31" s="21"/>
    </row>
    <row r="32" spans="1:16" ht="20.100000000000001" customHeight="1" thickBot="1" x14ac:dyDescent="0.4">
      <c r="A32" s="30"/>
      <c r="B32" s="142">
        <v>1</v>
      </c>
      <c r="C32" s="143" t="s">
        <v>59</v>
      </c>
      <c r="D32" s="148">
        <v>800</v>
      </c>
      <c r="E32" s="148">
        <v>600</v>
      </c>
      <c r="F32" s="143" t="s">
        <v>142</v>
      </c>
      <c r="G32" s="144">
        <v>39451</v>
      </c>
      <c r="H32" s="106">
        <f t="shared" si="0"/>
        <v>39451</v>
      </c>
      <c r="I32" s="30"/>
      <c r="K32" s="11"/>
      <c r="L32" s="15"/>
      <c r="M32" s="11"/>
      <c r="N32" s="11"/>
      <c r="O32" s="15"/>
      <c r="P32" s="21"/>
    </row>
    <row r="33" spans="1:16" ht="20.100000000000001" customHeight="1" x14ac:dyDescent="0.35">
      <c r="A33" s="30"/>
      <c r="B33" s="145">
        <v>4</v>
      </c>
      <c r="C33" s="146" t="s">
        <v>59</v>
      </c>
      <c r="D33" s="149">
        <v>700</v>
      </c>
      <c r="E33" s="149">
        <v>413</v>
      </c>
      <c r="F33" s="146" t="s">
        <v>142</v>
      </c>
      <c r="G33" s="147">
        <v>24849</v>
      </c>
      <c r="H33" s="106">
        <f t="shared" si="0"/>
        <v>99396</v>
      </c>
      <c r="I33" s="30"/>
      <c r="K33" s="11"/>
      <c r="L33" s="15"/>
      <c r="M33" s="11"/>
      <c r="N33" s="11"/>
      <c r="O33" s="15"/>
      <c r="P33" s="21"/>
    </row>
    <row r="34" spans="1:16" ht="20.100000000000001" customHeight="1" x14ac:dyDescent="0.35">
      <c r="A34" s="30"/>
      <c r="B34" s="97">
        <v>3</v>
      </c>
      <c r="C34" s="97" t="s">
        <v>143</v>
      </c>
      <c r="D34" s="98">
        <v>3050</v>
      </c>
      <c r="E34" s="98">
        <v>1220</v>
      </c>
      <c r="F34" s="97" t="s">
        <v>142</v>
      </c>
      <c r="G34" s="116">
        <v>36500</v>
      </c>
      <c r="H34" s="106">
        <f t="shared" si="0"/>
        <v>109500</v>
      </c>
      <c r="I34" s="30"/>
      <c r="K34" s="11"/>
      <c r="L34" s="15"/>
      <c r="M34" s="11"/>
      <c r="N34" s="11"/>
      <c r="O34" s="15"/>
      <c r="P34" s="21"/>
    </row>
    <row r="35" spans="1:16" ht="20.100000000000001" customHeight="1" thickBot="1" x14ac:dyDescent="0.4">
      <c r="A35" s="30"/>
      <c r="B35" s="99">
        <f>SUM(B21:B34)</f>
        <v>25</v>
      </c>
      <c r="C35" s="99"/>
      <c r="D35" s="115"/>
      <c r="E35" s="115"/>
      <c r="F35" s="99"/>
      <c r="G35" s="101"/>
      <c r="H35" s="101"/>
      <c r="I35" s="30"/>
      <c r="K35" s="11"/>
      <c r="L35" s="15"/>
      <c r="M35" s="11"/>
      <c r="N35" s="11"/>
      <c r="O35" s="15"/>
      <c r="P35" s="21"/>
    </row>
    <row r="36" spans="1:16" ht="20.100000000000001" customHeight="1" x14ac:dyDescent="0.35">
      <c r="A36" s="30"/>
      <c r="B36" s="99"/>
      <c r="C36" s="99"/>
      <c r="D36" s="115"/>
      <c r="E36" s="115"/>
      <c r="F36" s="99"/>
      <c r="G36" s="54" t="s">
        <v>5</v>
      </c>
      <c r="H36" s="55">
        <f>SUM(H21:H35)</f>
        <v>615097</v>
      </c>
      <c r="I36" s="30"/>
      <c r="K36" s="11"/>
      <c r="L36" s="15"/>
      <c r="M36" s="11"/>
      <c r="N36" s="11"/>
      <c r="O36" s="15"/>
      <c r="P36" s="21"/>
    </row>
    <row r="37" spans="1:16" ht="20.100000000000001" customHeight="1" x14ac:dyDescent="0.35">
      <c r="A37" s="30"/>
      <c r="B37" s="99"/>
      <c r="C37" s="99"/>
      <c r="D37" s="115"/>
      <c r="E37" s="115"/>
      <c r="F37" s="99"/>
      <c r="G37" s="56" t="s">
        <v>139</v>
      </c>
      <c r="H37" s="57"/>
      <c r="I37" s="30"/>
      <c r="K37" s="11"/>
      <c r="L37" s="15"/>
      <c r="M37" s="11"/>
      <c r="N37" s="11"/>
      <c r="O37" s="15"/>
      <c r="P37" s="21"/>
    </row>
    <row r="38" spans="1:16" ht="20.100000000000001" customHeight="1" thickBot="1" x14ac:dyDescent="0.4">
      <c r="A38" s="30"/>
      <c r="B38" s="99"/>
      <c r="C38" s="99"/>
      <c r="D38" s="115"/>
      <c r="E38" s="115"/>
      <c r="F38" s="99"/>
      <c r="G38" s="58" t="s">
        <v>4</v>
      </c>
      <c r="H38" s="59">
        <f>H36+H37</f>
        <v>615097</v>
      </c>
      <c r="I38" s="30"/>
      <c r="K38" s="11"/>
      <c r="L38" s="15"/>
      <c r="M38" s="11"/>
      <c r="N38" s="11"/>
      <c r="O38" s="15"/>
      <c r="P38" s="21"/>
    </row>
    <row r="39" spans="1:16" ht="20.100000000000001" customHeight="1" x14ac:dyDescent="0.35">
      <c r="A39" s="30"/>
      <c r="B39" s="99"/>
      <c r="C39" s="99"/>
      <c r="D39" s="115"/>
      <c r="E39" s="115"/>
      <c r="F39" s="99"/>
      <c r="I39" s="30"/>
      <c r="K39" s="11"/>
      <c r="L39" s="15"/>
      <c r="M39" s="11"/>
      <c r="N39" s="11"/>
      <c r="O39" s="15"/>
      <c r="P39" s="21"/>
    </row>
    <row r="40" spans="1:16" ht="20.100000000000001" customHeight="1" x14ac:dyDescent="0.35">
      <c r="A40" s="30"/>
      <c r="B40" s="99"/>
      <c r="C40" s="99"/>
      <c r="D40" s="115"/>
      <c r="E40" s="115"/>
      <c r="F40" s="99"/>
      <c r="G40" s="101"/>
      <c r="H40" s="101"/>
      <c r="I40" s="30"/>
      <c r="K40" s="11"/>
      <c r="L40" s="15"/>
      <c r="M40" s="11"/>
      <c r="N40" s="11"/>
      <c r="O40" s="15"/>
      <c r="P40" s="21"/>
    </row>
    <row r="41" spans="1:16" ht="20.100000000000001" customHeight="1" x14ac:dyDescent="0.35">
      <c r="A41" s="30"/>
      <c r="B41" s="99"/>
      <c r="C41" s="99"/>
      <c r="D41" s="115"/>
      <c r="E41" s="115"/>
      <c r="F41" s="99"/>
      <c r="G41" s="101"/>
      <c r="H41" s="101"/>
      <c r="I41" s="30"/>
      <c r="K41" s="11"/>
      <c r="L41" s="15"/>
      <c r="M41" s="11"/>
      <c r="N41" s="11"/>
      <c r="O41" s="15"/>
      <c r="P41" s="21"/>
    </row>
    <row r="42" spans="1:16" ht="20.100000000000001" customHeight="1" x14ac:dyDescent="0.35">
      <c r="A42" s="30"/>
      <c r="B42" s="99"/>
      <c r="C42" s="99"/>
      <c r="D42" s="100"/>
      <c r="E42" s="100"/>
      <c r="F42" s="99"/>
      <c r="G42" s="101"/>
      <c r="H42" s="101"/>
      <c r="I42" s="30"/>
      <c r="K42" s="11"/>
      <c r="L42" s="15"/>
      <c r="M42" s="11"/>
      <c r="N42" s="11"/>
      <c r="O42" s="15"/>
      <c r="P42" s="21"/>
    </row>
    <row r="43" spans="1:16" ht="20.100000000000001" customHeight="1" x14ac:dyDescent="0.35">
      <c r="A43" s="30"/>
      <c r="B43" s="99"/>
      <c r="C43" s="99"/>
      <c r="D43" s="100"/>
      <c r="E43" s="100"/>
      <c r="F43" s="99"/>
      <c r="G43" s="101"/>
      <c r="H43" s="101"/>
      <c r="I43" s="30"/>
      <c r="K43" s="11"/>
      <c r="L43" s="15"/>
      <c r="M43" s="11"/>
      <c r="N43" s="11"/>
      <c r="O43" s="15"/>
      <c r="P43" s="21"/>
    </row>
    <row r="44" spans="1:16" ht="13.2" customHeight="1" x14ac:dyDescent="0.35">
      <c r="A44" s="30"/>
      <c r="B44" s="53"/>
      <c r="C44" s="53"/>
      <c r="D44" s="53"/>
      <c r="E44" s="53"/>
      <c r="F44" s="53"/>
      <c r="G44" s="52"/>
      <c r="H44" s="52"/>
      <c r="I44" s="30"/>
    </row>
    <row r="45" spans="1:16" ht="20.100000000000001" customHeight="1" x14ac:dyDescent="0.35">
      <c r="A45" s="30"/>
      <c r="B45" s="30"/>
      <c r="C45" s="30"/>
      <c r="D45" s="30"/>
      <c r="E45" s="30"/>
      <c r="F45" s="30"/>
      <c r="I45" s="30"/>
    </row>
    <row r="46" spans="1:16" ht="20.100000000000001" customHeight="1" x14ac:dyDescent="0.35">
      <c r="A46" s="30"/>
      <c r="B46" s="30"/>
      <c r="C46" s="30"/>
      <c r="D46" s="30"/>
      <c r="E46" s="30"/>
      <c r="F46" s="30"/>
      <c r="I46" s="30"/>
    </row>
    <row r="47" spans="1:16" ht="20.100000000000001" customHeight="1" x14ac:dyDescent="0.35">
      <c r="A47" s="30"/>
      <c r="B47" s="30"/>
      <c r="C47" s="30"/>
      <c r="D47" s="30"/>
      <c r="E47" s="30"/>
      <c r="F47" s="30"/>
      <c r="I47" s="30"/>
    </row>
    <row r="48" spans="1:16" ht="20.100000000000001" customHeight="1" x14ac:dyDescent="0.35">
      <c r="A48" s="30"/>
      <c r="B48" s="30"/>
      <c r="C48" s="30"/>
      <c r="D48" s="30"/>
      <c r="E48" s="30"/>
      <c r="F48" s="30"/>
      <c r="G48" s="60"/>
      <c r="H48" s="61"/>
      <c r="I48" s="30"/>
    </row>
    <row r="49" spans="1:9" ht="18" x14ac:dyDescent="0.35">
      <c r="A49" s="30"/>
      <c r="B49" s="30"/>
      <c r="C49" s="30"/>
      <c r="D49" s="30"/>
      <c r="E49" s="30"/>
      <c r="F49" s="30"/>
      <c r="G49" s="30"/>
      <c r="H49" s="30"/>
      <c r="I49" s="30"/>
    </row>
    <row r="50" spans="1:9" ht="18" x14ac:dyDescent="0.35">
      <c r="A50" s="30"/>
      <c r="B50" s="62" t="s">
        <v>133</v>
      </c>
      <c r="C50" s="63"/>
      <c r="D50" s="64"/>
      <c r="E50" s="64"/>
      <c r="F50" s="53"/>
      <c r="G50" s="30"/>
      <c r="H50" s="30"/>
      <c r="I50" s="30"/>
    </row>
    <row r="51" spans="1:9" ht="18" x14ac:dyDescent="0.35">
      <c r="A51" s="30"/>
      <c r="B51" s="62" t="s">
        <v>119</v>
      </c>
      <c r="C51" s="63"/>
      <c r="D51" s="64"/>
      <c r="E51" s="64"/>
      <c r="F51" s="53"/>
      <c r="G51" s="30"/>
      <c r="H51" s="30"/>
      <c r="I51" s="30"/>
    </row>
    <row r="52" spans="1:9" ht="18" x14ac:dyDescent="0.35">
      <c r="A52" s="30"/>
      <c r="B52" s="30" t="s">
        <v>23</v>
      </c>
      <c r="C52" s="30"/>
      <c r="D52" s="30"/>
      <c r="E52" s="30"/>
      <c r="F52" s="30"/>
      <c r="G52" s="30"/>
      <c r="H52" s="30"/>
      <c r="I52" s="30"/>
    </row>
    <row r="53" spans="1:9" ht="18" x14ac:dyDescent="0.35">
      <c r="A53" s="30"/>
      <c r="B53" s="65" t="s">
        <v>24</v>
      </c>
      <c r="C53" s="65"/>
      <c r="D53" s="30"/>
      <c r="E53" s="30"/>
      <c r="F53" s="30"/>
      <c r="G53" s="30"/>
      <c r="H53" s="30"/>
      <c r="I53" s="30"/>
    </row>
    <row r="54" spans="1:9" ht="18" x14ac:dyDescent="0.35">
      <c r="A54" s="30"/>
      <c r="B54" s="30"/>
      <c r="C54" s="30"/>
      <c r="D54" s="30"/>
      <c r="E54" s="65"/>
      <c r="F54" s="30"/>
      <c r="G54" s="30"/>
      <c r="H54" s="30"/>
      <c r="I54" s="30"/>
    </row>
    <row r="55" spans="1:9" ht="18" x14ac:dyDescent="0.35">
      <c r="A55" s="30"/>
      <c r="B55" s="31" t="s">
        <v>131</v>
      </c>
      <c r="C55" s="31"/>
      <c r="D55" s="31"/>
      <c r="E55" s="66"/>
      <c r="F55" s="30"/>
      <c r="G55" s="30"/>
      <c r="H55" s="30"/>
      <c r="I55" s="30"/>
    </row>
    <row r="56" spans="1:9" ht="18" x14ac:dyDescent="0.35">
      <c r="A56" s="30"/>
      <c r="B56" s="31"/>
      <c r="C56" s="31"/>
      <c r="D56" s="31"/>
      <c r="E56" s="66"/>
      <c r="F56" s="30"/>
      <c r="G56" s="30"/>
      <c r="H56" s="30"/>
      <c r="I56" s="30"/>
    </row>
    <row r="57" spans="1:9" ht="18" x14ac:dyDescent="0.35">
      <c r="A57" s="30"/>
      <c r="B57" s="31" t="s">
        <v>132</v>
      </c>
      <c r="C57" s="30"/>
      <c r="D57" s="30"/>
      <c r="E57" s="65"/>
      <c r="F57" s="30"/>
      <c r="G57" s="30"/>
      <c r="H57" s="30"/>
      <c r="I57" s="30"/>
    </row>
    <row r="58" spans="1:9" ht="18" x14ac:dyDescent="0.35">
      <c r="A58" s="30"/>
      <c r="B58" s="30"/>
      <c r="C58" s="30"/>
      <c r="D58" s="30"/>
      <c r="E58" s="65"/>
      <c r="F58" s="30"/>
      <c r="G58" s="30"/>
      <c r="H58" s="30"/>
      <c r="I58" s="30"/>
    </row>
    <row r="59" spans="1:9" ht="18" x14ac:dyDescent="0.35">
      <c r="A59" s="30"/>
      <c r="B59" s="30"/>
      <c r="C59" s="30"/>
      <c r="D59" s="30"/>
      <c r="E59" s="30"/>
      <c r="F59" s="30"/>
      <c r="G59" s="30"/>
      <c r="H59" s="30"/>
      <c r="I59" s="30"/>
    </row>
    <row r="60" spans="1:9" ht="18" x14ac:dyDescent="0.35">
      <c r="A60" s="30"/>
      <c r="B60" s="30"/>
      <c r="C60" s="30"/>
      <c r="D60" s="30"/>
      <c r="E60" s="30"/>
      <c r="F60" s="30"/>
      <c r="G60" s="30"/>
      <c r="H60" s="30"/>
      <c r="I60" s="30"/>
    </row>
    <row r="61" spans="1:9" ht="15.6" x14ac:dyDescent="0.3">
      <c r="C61" s="1"/>
    </row>
  </sheetData>
  <sortState xmlns:xlrd2="http://schemas.microsoft.com/office/spreadsheetml/2017/richdata2" ref="B62">
    <sortCondition sortBy="fontColor" ref="B62" dxfId="0"/>
  </sortState>
  <mergeCells count="2">
    <mergeCell ref="F16:H16"/>
    <mergeCell ref="B19:H19"/>
  </mergeCells>
  <phoneticPr fontId="8" type="noConversion"/>
  <hyperlinks>
    <hyperlink ref="B53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64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22" t="s">
        <v>28</v>
      </c>
      <c r="C2" s="122"/>
      <c r="D2" s="122"/>
      <c r="E2" s="12"/>
      <c r="G2" s="122" t="s">
        <v>67</v>
      </c>
      <c r="H2" s="122"/>
      <c r="I2" s="122"/>
      <c r="P2" s="123" t="s">
        <v>55</v>
      </c>
      <c r="Q2" s="123"/>
      <c r="R2" s="123"/>
    </row>
    <row r="3" spans="2:18" x14ac:dyDescent="0.3">
      <c r="B3" s="9" t="s">
        <v>6</v>
      </c>
      <c r="C3" s="9" t="s">
        <v>7</v>
      </c>
      <c r="D3" s="9" t="s">
        <v>19</v>
      </c>
      <c r="E3" s="13"/>
      <c r="G3" s="9" t="s">
        <v>6</v>
      </c>
      <c r="H3" s="9" t="s">
        <v>7</v>
      </c>
      <c r="I3" s="9" t="s">
        <v>19</v>
      </c>
      <c r="P3" s="9" t="s">
        <v>6</v>
      </c>
      <c r="Q3" s="9" t="s">
        <v>7</v>
      </c>
      <c r="R3" s="9" t="s">
        <v>19</v>
      </c>
    </row>
    <row r="4" spans="2:18" x14ac:dyDescent="0.3">
      <c r="B4" s="7">
        <v>40</v>
      </c>
      <c r="C4" s="7">
        <v>60</v>
      </c>
      <c r="D4" s="8" t="s">
        <v>110</v>
      </c>
      <c r="E4" s="6" t="s">
        <v>98</v>
      </c>
      <c r="G4" s="18">
        <v>50</v>
      </c>
      <c r="H4" s="18">
        <v>100</v>
      </c>
      <c r="I4" s="19" t="s">
        <v>110</v>
      </c>
      <c r="J4" s="20" t="s">
        <v>106</v>
      </c>
      <c r="K4" s="20"/>
      <c r="L4" s="20"/>
      <c r="M4" s="20"/>
      <c r="P4">
        <v>50</v>
      </c>
      <c r="Q4">
        <v>-30</v>
      </c>
      <c r="R4" t="s">
        <v>29</v>
      </c>
    </row>
    <row r="5" spans="2:18" x14ac:dyDescent="0.3">
      <c r="B5" s="7">
        <v>40</v>
      </c>
      <c r="C5" s="7">
        <v>90</v>
      </c>
      <c r="D5" s="8" t="s">
        <v>111</v>
      </c>
      <c r="E5" s="6" t="s">
        <v>99</v>
      </c>
      <c r="G5" s="18">
        <v>50</v>
      </c>
      <c r="H5" s="18"/>
      <c r="I5" s="19" t="s">
        <v>112</v>
      </c>
      <c r="J5" s="20" t="s">
        <v>114</v>
      </c>
      <c r="K5" s="20"/>
      <c r="L5" s="20"/>
      <c r="M5" s="20"/>
      <c r="P5">
        <v>50</v>
      </c>
      <c r="Q5">
        <v>-30</v>
      </c>
      <c r="R5" t="s">
        <v>29</v>
      </c>
    </row>
    <row r="6" spans="2:18" x14ac:dyDescent="0.3">
      <c r="B6" s="7">
        <v>40</v>
      </c>
      <c r="C6" s="7">
        <v>100</v>
      </c>
      <c r="D6" s="8" t="s">
        <v>53</v>
      </c>
      <c r="E6" s="6" t="s">
        <v>100</v>
      </c>
      <c r="G6" s="7">
        <v>50</v>
      </c>
      <c r="H6" s="7">
        <v>100</v>
      </c>
      <c r="I6" s="8" t="s">
        <v>53</v>
      </c>
      <c r="P6">
        <v>50</v>
      </c>
      <c r="Q6">
        <v>-30</v>
      </c>
      <c r="R6" t="s">
        <v>31</v>
      </c>
    </row>
    <row r="7" spans="2:18" x14ac:dyDescent="0.3">
      <c r="B7" s="7">
        <v>40</v>
      </c>
      <c r="C7" s="7">
        <v>150</v>
      </c>
      <c r="D7" s="8" t="s">
        <v>54</v>
      </c>
      <c r="E7" s="6" t="s">
        <v>101</v>
      </c>
      <c r="G7" s="7">
        <v>50</v>
      </c>
      <c r="H7" s="7"/>
      <c r="I7" s="8" t="s">
        <v>54</v>
      </c>
      <c r="P7">
        <v>50</v>
      </c>
      <c r="Q7">
        <v>-30</v>
      </c>
      <c r="R7" t="s">
        <v>41</v>
      </c>
    </row>
    <row r="8" spans="2:18" x14ac:dyDescent="0.3">
      <c r="B8" s="7">
        <v>40</v>
      </c>
      <c r="C8" s="7">
        <v>100</v>
      </c>
      <c r="D8" s="8" t="s">
        <v>37</v>
      </c>
      <c r="E8" s="6" t="s">
        <v>102</v>
      </c>
      <c r="G8" s="7">
        <v>50</v>
      </c>
      <c r="H8" s="7">
        <v>100</v>
      </c>
      <c r="I8" s="8" t="s">
        <v>37</v>
      </c>
      <c r="L8" s="123" t="s">
        <v>55</v>
      </c>
      <c r="M8" s="123"/>
      <c r="N8" s="123"/>
      <c r="P8">
        <v>50</v>
      </c>
      <c r="Q8">
        <v>-30</v>
      </c>
      <c r="R8" t="s">
        <v>47</v>
      </c>
    </row>
    <row r="9" spans="2:18" x14ac:dyDescent="0.3">
      <c r="B9" s="7">
        <v>40</v>
      </c>
      <c r="C9" s="7">
        <v>50</v>
      </c>
      <c r="D9" s="8" t="s">
        <v>51</v>
      </c>
      <c r="E9" s="6" t="s">
        <v>73</v>
      </c>
      <c r="G9" s="7">
        <v>50</v>
      </c>
      <c r="H9" s="7">
        <v>100</v>
      </c>
      <c r="I9" s="8" t="s">
        <v>36</v>
      </c>
      <c r="L9" s="9" t="s">
        <v>6</v>
      </c>
      <c r="M9" s="9" t="s">
        <v>7</v>
      </c>
      <c r="N9" s="9" t="s">
        <v>19</v>
      </c>
      <c r="P9">
        <v>50</v>
      </c>
      <c r="Q9">
        <v>0</v>
      </c>
      <c r="R9" t="s">
        <v>42</v>
      </c>
    </row>
    <row r="10" spans="2:18" x14ac:dyDescent="0.3">
      <c r="B10" s="7">
        <v>40</v>
      </c>
      <c r="C10" s="7">
        <v>80</v>
      </c>
      <c r="D10" s="8" t="s">
        <v>52</v>
      </c>
      <c r="E10" s="6" t="s">
        <v>74</v>
      </c>
      <c r="G10" s="7">
        <v>50</v>
      </c>
      <c r="H10" s="7"/>
      <c r="I10" s="8" t="s">
        <v>38</v>
      </c>
      <c r="L10" s="7">
        <v>50</v>
      </c>
      <c r="M10" s="7">
        <v>-30</v>
      </c>
      <c r="N10" s="8" t="s">
        <v>29</v>
      </c>
      <c r="P10">
        <v>50</v>
      </c>
      <c r="Q10">
        <v>0</v>
      </c>
      <c r="R10" t="s">
        <v>30</v>
      </c>
    </row>
    <row r="11" spans="2:18" x14ac:dyDescent="0.3">
      <c r="B11" s="7">
        <v>40</v>
      </c>
      <c r="C11" s="7">
        <v>60</v>
      </c>
      <c r="D11" s="8" t="s">
        <v>68</v>
      </c>
      <c r="E11" s="6" t="s">
        <v>75</v>
      </c>
      <c r="G11" s="7">
        <v>50</v>
      </c>
      <c r="H11" s="7">
        <v>100</v>
      </c>
      <c r="I11" s="8" t="s">
        <v>51</v>
      </c>
      <c r="L11" s="7">
        <v>50</v>
      </c>
      <c r="M11" s="7">
        <v>0</v>
      </c>
      <c r="N11" s="8" t="s">
        <v>56</v>
      </c>
      <c r="P11">
        <v>50</v>
      </c>
      <c r="Q11">
        <v>0</v>
      </c>
      <c r="R11" t="s">
        <v>33</v>
      </c>
    </row>
    <row r="12" spans="2:18" x14ac:dyDescent="0.3">
      <c r="B12" s="7">
        <v>40</v>
      </c>
      <c r="C12" s="7">
        <v>100</v>
      </c>
      <c r="D12" s="8" t="s">
        <v>69</v>
      </c>
      <c r="E12" s="6" t="s">
        <v>76</v>
      </c>
      <c r="G12" s="7">
        <v>50</v>
      </c>
      <c r="H12" s="7"/>
      <c r="I12" s="8" t="s">
        <v>52</v>
      </c>
      <c r="L12" s="7">
        <v>50</v>
      </c>
      <c r="M12" s="7">
        <v>-2</v>
      </c>
      <c r="N12" s="8" t="s">
        <v>57</v>
      </c>
      <c r="P12">
        <v>50</v>
      </c>
      <c r="Q12">
        <v>0</v>
      </c>
      <c r="R12" t="s">
        <v>34</v>
      </c>
    </row>
    <row r="13" spans="2:18" x14ac:dyDescent="0.3">
      <c r="B13" s="7">
        <v>40</v>
      </c>
      <c r="C13" s="7">
        <v>130</v>
      </c>
      <c r="D13" s="8" t="s">
        <v>123</v>
      </c>
      <c r="E13" s="6" t="s">
        <v>77</v>
      </c>
      <c r="G13" s="7">
        <v>50</v>
      </c>
      <c r="H13" s="7">
        <v>-30</v>
      </c>
      <c r="I13" s="8" t="s">
        <v>29</v>
      </c>
      <c r="P13">
        <v>50</v>
      </c>
      <c r="Q13">
        <v>0</v>
      </c>
      <c r="R13" t="s">
        <v>35</v>
      </c>
    </row>
    <row r="14" spans="2:18" x14ac:dyDescent="0.3">
      <c r="B14" s="7">
        <v>40</v>
      </c>
      <c r="C14" s="7">
        <v>150</v>
      </c>
      <c r="D14" s="8" t="s">
        <v>31</v>
      </c>
      <c r="E14" s="6"/>
      <c r="G14" s="7">
        <v>50</v>
      </c>
      <c r="H14" s="7">
        <v>-30</v>
      </c>
      <c r="I14" s="8" t="s">
        <v>31</v>
      </c>
    </row>
    <row r="15" spans="2:18" x14ac:dyDescent="0.3">
      <c r="B15" s="7">
        <v>40</v>
      </c>
      <c r="C15" s="7">
        <v>150</v>
      </c>
      <c r="D15" s="8" t="s">
        <v>113</v>
      </c>
      <c r="E15" s="6" t="s">
        <v>78</v>
      </c>
      <c r="G15" s="7">
        <v>50</v>
      </c>
      <c r="H15" s="7">
        <v>-30</v>
      </c>
      <c r="I15" s="8" t="s">
        <v>41</v>
      </c>
      <c r="P15">
        <v>50</v>
      </c>
      <c r="Q15">
        <v>0</v>
      </c>
      <c r="R15" t="s">
        <v>32</v>
      </c>
    </row>
    <row r="16" spans="2:18" x14ac:dyDescent="0.3">
      <c r="B16" s="7">
        <v>40</v>
      </c>
      <c r="C16" s="7">
        <v>130</v>
      </c>
      <c r="D16" s="8" t="s">
        <v>103</v>
      </c>
      <c r="E16" s="6" t="s">
        <v>79</v>
      </c>
      <c r="G16" s="7">
        <v>50</v>
      </c>
      <c r="H16" s="7">
        <v>-30</v>
      </c>
      <c r="I16" s="8" t="s">
        <v>71</v>
      </c>
      <c r="P16">
        <v>50</v>
      </c>
      <c r="Q16">
        <v>0</v>
      </c>
      <c r="R16" t="s">
        <v>43</v>
      </c>
    </row>
    <row r="17" spans="2:18" x14ac:dyDescent="0.3">
      <c r="B17" s="7">
        <v>40</v>
      </c>
      <c r="C17" s="7">
        <v>150</v>
      </c>
      <c r="D17" s="8" t="s">
        <v>33</v>
      </c>
      <c r="E17" s="6" t="s">
        <v>80</v>
      </c>
      <c r="G17" s="7">
        <v>50</v>
      </c>
      <c r="H17" s="7"/>
      <c r="I17" s="8" t="s">
        <v>33</v>
      </c>
      <c r="P17">
        <v>50</v>
      </c>
      <c r="Q17">
        <v>0</v>
      </c>
      <c r="R17" t="s">
        <v>44</v>
      </c>
    </row>
    <row r="18" spans="2:18" x14ac:dyDescent="0.3">
      <c r="B18" s="7">
        <v>140</v>
      </c>
      <c r="C18" s="7">
        <v>150</v>
      </c>
      <c r="D18" s="8" t="s">
        <v>34</v>
      </c>
      <c r="E18" s="6" t="s">
        <v>81</v>
      </c>
      <c r="G18" s="7">
        <v>50</v>
      </c>
      <c r="H18" s="7"/>
      <c r="I18" s="8" t="s">
        <v>34</v>
      </c>
      <c r="P18">
        <v>50</v>
      </c>
      <c r="Q18">
        <v>0</v>
      </c>
      <c r="R18" t="s">
        <v>45</v>
      </c>
    </row>
    <row r="19" spans="2:18" x14ac:dyDescent="0.3">
      <c r="B19" s="7">
        <v>150</v>
      </c>
      <c r="C19" s="7">
        <v>150</v>
      </c>
      <c r="D19" s="8" t="s">
        <v>35</v>
      </c>
      <c r="E19" s="6" t="s">
        <v>82</v>
      </c>
      <c r="G19" s="7">
        <v>50</v>
      </c>
      <c r="H19" s="7"/>
      <c r="I19" s="8" t="s">
        <v>35</v>
      </c>
      <c r="P19">
        <v>50</v>
      </c>
      <c r="Q19">
        <v>0</v>
      </c>
      <c r="R19" t="s">
        <v>48</v>
      </c>
    </row>
    <row r="20" spans="2:18" x14ac:dyDescent="0.3">
      <c r="B20" s="7">
        <v>40</v>
      </c>
      <c r="C20" s="7">
        <v>100</v>
      </c>
      <c r="D20" s="8" t="s">
        <v>115</v>
      </c>
      <c r="E20" s="6" t="s">
        <v>83</v>
      </c>
      <c r="G20" s="7">
        <v>50</v>
      </c>
      <c r="H20" s="7">
        <v>0</v>
      </c>
      <c r="I20" s="8" t="s">
        <v>115</v>
      </c>
      <c r="J20" s="20" t="s">
        <v>108</v>
      </c>
      <c r="K20" s="20"/>
      <c r="L20" s="20"/>
      <c r="M20" s="20"/>
      <c r="P20">
        <v>50</v>
      </c>
      <c r="Q20">
        <v>0</v>
      </c>
      <c r="R20" t="s">
        <v>49</v>
      </c>
    </row>
    <row r="21" spans="2:18" x14ac:dyDescent="0.3">
      <c r="B21" s="7">
        <v>100</v>
      </c>
      <c r="C21" s="7">
        <v>100</v>
      </c>
      <c r="D21" s="8" t="s">
        <v>109</v>
      </c>
      <c r="E21" s="6" t="s">
        <v>84</v>
      </c>
      <c r="G21" s="7">
        <v>50</v>
      </c>
      <c r="H21" s="7">
        <v>0</v>
      </c>
      <c r="I21" s="8" t="s">
        <v>109</v>
      </c>
      <c r="P21">
        <v>50</v>
      </c>
      <c r="Q21">
        <v>0</v>
      </c>
      <c r="R21" t="s">
        <v>50</v>
      </c>
    </row>
    <row r="22" spans="2:18" x14ac:dyDescent="0.3">
      <c r="B22" s="7">
        <v>100</v>
      </c>
      <c r="C22" s="7">
        <v>100</v>
      </c>
      <c r="D22" s="8" t="s">
        <v>32</v>
      </c>
      <c r="E22" s="6" t="s">
        <v>85</v>
      </c>
      <c r="G22" s="18"/>
      <c r="H22" s="18"/>
      <c r="I22" s="19" t="s">
        <v>32</v>
      </c>
      <c r="P22">
        <v>50</v>
      </c>
      <c r="Q22">
        <v>0</v>
      </c>
      <c r="R22" t="s">
        <v>46</v>
      </c>
    </row>
    <row r="23" spans="2:18" x14ac:dyDescent="0.3">
      <c r="B23" s="7">
        <v>40</v>
      </c>
      <c r="C23" s="7">
        <v>150</v>
      </c>
      <c r="D23" s="8" t="s">
        <v>43</v>
      </c>
      <c r="E23" s="6" t="s">
        <v>86</v>
      </c>
      <c r="G23" s="7">
        <v>50</v>
      </c>
      <c r="H23" s="7"/>
      <c r="I23" s="8" t="s">
        <v>43</v>
      </c>
      <c r="R23" t="s">
        <v>39</v>
      </c>
    </row>
    <row r="24" spans="2:18" x14ac:dyDescent="0.3">
      <c r="B24" s="7">
        <v>140</v>
      </c>
      <c r="C24" s="7">
        <v>150</v>
      </c>
      <c r="D24" s="8" t="s">
        <v>44</v>
      </c>
      <c r="E24" s="6" t="s">
        <v>87</v>
      </c>
      <c r="G24" s="7">
        <v>50</v>
      </c>
      <c r="H24" s="7"/>
      <c r="I24" s="8" t="s">
        <v>44</v>
      </c>
      <c r="R24" t="s">
        <v>40</v>
      </c>
    </row>
    <row r="25" spans="2:18" x14ac:dyDescent="0.3">
      <c r="B25" s="7">
        <v>150</v>
      </c>
      <c r="C25" s="7">
        <v>150</v>
      </c>
      <c r="D25" s="8" t="s">
        <v>45</v>
      </c>
      <c r="E25" s="6" t="s">
        <v>88</v>
      </c>
      <c r="G25" s="7">
        <v>50</v>
      </c>
      <c r="H25" s="7"/>
      <c r="I25" s="8" t="s">
        <v>45</v>
      </c>
      <c r="R25" t="s">
        <v>53</v>
      </c>
    </row>
    <row r="26" spans="2:18" x14ac:dyDescent="0.3">
      <c r="B26" s="7">
        <v>40</v>
      </c>
      <c r="C26" s="7">
        <v>77</v>
      </c>
      <c r="D26" s="8" t="s">
        <v>48</v>
      </c>
      <c r="E26" s="6" t="s">
        <v>89</v>
      </c>
      <c r="G26" s="7">
        <v>50</v>
      </c>
      <c r="H26" s="7"/>
      <c r="I26" s="8" t="s">
        <v>48</v>
      </c>
      <c r="R26" t="s">
        <v>54</v>
      </c>
    </row>
    <row r="27" spans="2:18" x14ac:dyDescent="0.3">
      <c r="B27" s="7">
        <v>110</v>
      </c>
      <c r="C27" s="7">
        <v>77</v>
      </c>
      <c r="D27" s="8" t="s">
        <v>49</v>
      </c>
      <c r="E27" s="6" t="s">
        <v>90</v>
      </c>
      <c r="G27" s="7">
        <v>50</v>
      </c>
      <c r="H27" s="7"/>
      <c r="I27" s="8" t="s">
        <v>49</v>
      </c>
      <c r="R27" t="s">
        <v>37</v>
      </c>
    </row>
    <row r="28" spans="2:18" x14ac:dyDescent="0.3">
      <c r="B28" s="7">
        <v>120</v>
      </c>
      <c r="C28" s="7">
        <v>77</v>
      </c>
      <c r="D28" s="8" t="s">
        <v>50</v>
      </c>
      <c r="E28" s="6" t="s">
        <v>91</v>
      </c>
      <c r="G28" s="7">
        <v>50</v>
      </c>
      <c r="H28" s="7"/>
      <c r="I28" s="8" t="s">
        <v>50</v>
      </c>
      <c r="R28" t="s">
        <v>36</v>
      </c>
    </row>
    <row r="29" spans="2:18" x14ac:dyDescent="0.3">
      <c r="B29" s="7">
        <v>40</v>
      </c>
      <c r="C29" s="7">
        <v>50</v>
      </c>
      <c r="D29" s="8" t="s">
        <v>46</v>
      </c>
      <c r="E29" s="6" t="s">
        <v>92</v>
      </c>
      <c r="G29" s="7">
        <v>50</v>
      </c>
      <c r="H29" s="7"/>
      <c r="I29" s="8" t="s">
        <v>46</v>
      </c>
      <c r="R29" t="s">
        <v>38</v>
      </c>
    </row>
    <row r="30" spans="2:18" x14ac:dyDescent="0.3">
      <c r="B30" s="7">
        <v>40</v>
      </c>
      <c r="C30" s="7">
        <v>60</v>
      </c>
      <c r="D30" s="8" t="s">
        <v>70</v>
      </c>
      <c r="E30" s="6" t="s">
        <v>93</v>
      </c>
      <c r="G30" s="7">
        <v>50</v>
      </c>
      <c r="H30" s="7"/>
      <c r="I30" s="8" t="s">
        <v>30</v>
      </c>
      <c r="R30" t="s">
        <v>51</v>
      </c>
    </row>
    <row r="31" spans="2:18" x14ac:dyDescent="0.3">
      <c r="B31" s="7">
        <v>40</v>
      </c>
      <c r="C31" s="7">
        <v>100</v>
      </c>
      <c r="D31" s="8" t="s">
        <v>42</v>
      </c>
      <c r="E31" s="6" t="s">
        <v>94</v>
      </c>
      <c r="G31" s="7">
        <v>50</v>
      </c>
      <c r="H31" s="7"/>
      <c r="I31" s="8" t="s">
        <v>42</v>
      </c>
      <c r="R31" t="s">
        <v>52</v>
      </c>
    </row>
    <row r="32" spans="2:18" x14ac:dyDescent="0.3">
      <c r="B32" s="7">
        <v>40</v>
      </c>
      <c r="C32" s="7">
        <v>60</v>
      </c>
      <c r="D32" s="8" t="s">
        <v>105</v>
      </c>
      <c r="E32" s="6" t="s">
        <v>95</v>
      </c>
      <c r="G32" s="7">
        <v>50</v>
      </c>
      <c r="H32" s="7"/>
      <c r="I32" s="8" t="s">
        <v>105</v>
      </c>
      <c r="R32" t="s">
        <v>59</v>
      </c>
    </row>
    <row r="33" spans="2:18" x14ac:dyDescent="0.3">
      <c r="B33" s="7">
        <v>40</v>
      </c>
      <c r="C33" s="7">
        <v>90</v>
      </c>
      <c r="D33" s="8" t="s">
        <v>62</v>
      </c>
      <c r="E33" s="6" t="s">
        <v>96</v>
      </c>
      <c r="G33" s="7">
        <v>50</v>
      </c>
      <c r="H33" s="7">
        <v>-2</v>
      </c>
      <c r="I33" s="8" t="s">
        <v>62</v>
      </c>
      <c r="R33" t="s">
        <v>60</v>
      </c>
    </row>
    <row r="34" spans="2:18" x14ac:dyDescent="0.3">
      <c r="B34" s="7">
        <v>40</v>
      </c>
      <c r="C34" s="7">
        <v>90</v>
      </c>
      <c r="D34" s="8" t="s">
        <v>63</v>
      </c>
      <c r="E34" s="6"/>
      <c r="G34" s="7">
        <v>50</v>
      </c>
      <c r="H34" s="7">
        <v>-2</v>
      </c>
      <c r="I34" s="8" t="s">
        <v>63</v>
      </c>
    </row>
    <row r="35" spans="2:18" x14ac:dyDescent="0.3">
      <c r="B35" s="7">
        <v>40</v>
      </c>
      <c r="C35" s="7">
        <v>90</v>
      </c>
      <c r="D35" s="8" t="s">
        <v>59</v>
      </c>
      <c r="E35" s="6" t="s">
        <v>97</v>
      </c>
      <c r="G35" s="7">
        <v>50</v>
      </c>
      <c r="H35" s="7">
        <v>-2</v>
      </c>
      <c r="I35" s="8" t="s">
        <v>59</v>
      </c>
      <c r="R35" t="s">
        <v>61</v>
      </c>
    </row>
    <row r="36" spans="2:18" x14ac:dyDescent="0.3">
      <c r="B36" s="16">
        <v>40</v>
      </c>
      <c r="C36" s="16">
        <v>90</v>
      </c>
      <c r="D36" s="17" t="s">
        <v>60</v>
      </c>
      <c r="G36" s="7">
        <v>50</v>
      </c>
      <c r="H36" s="7">
        <v>-2</v>
      </c>
      <c r="I36" s="8" t="s">
        <v>60</v>
      </c>
      <c r="R36" t="s">
        <v>62</v>
      </c>
    </row>
    <row r="37" spans="2:18" x14ac:dyDescent="0.3">
      <c r="B37" s="16">
        <v>40</v>
      </c>
      <c r="C37" s="16">
        <v>90</v>
      </c>
      <c r="D37" s="17" t="s">
        <v>61</v>
      </c>
      <c r="G37" s="7">
        <v>50</v>
      </c>
      <c r="H37" s="7">
        <v>-2</v>
      </c>
      <c r="I37" s="8" t="s">
        <v>61</v>
      </c>
      <c r="R37" t="s">
        <v>63</v>
      </c>
    </row>
    <row r="48" spans="2:18" x14ac:dyDescent="0.3">
      <c r="B48" s="7">
        <v>40</v>
      </c>
      <c r="C48" s="7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O109"/>
  <sheetViews>
    <sheetView tabSelected="1" zoomScaleNormal="100" workbookViewId="0">
      <selection activeCell="A2" sqref="A2:G71"/>
    </sheetView>
  </sheetViews>
  <sheetFormatPr baseColWidth="10" defaultRowHeight="14.4" x14ac:dyDescent="0.3"/>
  <cols>
    <col min="2" max="2" width="17.109375" customWidth="1"/>
    <col min="3" max="3" width="13.6640625" customWidth="1"/>
    <col min="4" max="4" width="38.88671875" customWidth="1"/>
    <col min="5" max="5" width="15.33203125" customWidth="1"/>
    <col min="6" max="6" width="12.6640625" bestFit="1" customWidth="1"/>
    <col min="7" max="7" width="43.6640625" customWidth="1"/>
    <col min="10" max="10" width="10" customWidth="1"/>
    <col min="11" max="11" width="9.33203125" customWidth="1"/>
    <col min="12" max="12" width="8.6640625" customWidth="1"/>
  </cols>
  <sheetData>
    <row r="1" spans="1:15" ht="18" x14ac:dyDescent="0.35">
      <c r="B1" s="30"/>
      <c r="C1" s="30"/>
      <c r="D1" s="30"/>
      <c r="E1" s="30"/>
      <c r="F1" s="30"/>
      <c r="G1" s="30"/>
      <c r="H1" s="30"/>
    </row>
    <row r="2" spans="1:15" ht="16.5" customHeight="1" x14ac:dyDescent="0.35">
      <c r="B2" s="30"/>
      <c r="C2" s="30"/>
      <c r="D2" s="30"/>
      <c r="E2" s="30"/>
      <c r="F2" s="30"/>
      <c r="G2" s="30"/>
      <c r="H2" s="30"/>
      <c r="L2" s="22" t="s">
        <v>122</v>
      </c>
      <c r="M2" s="22"/>
      <c r="N2" s="22"/>
    </row>
    <row r="3" spans="1:15" ht="18" x14ac:dyDescent="0.35">
      <c r="B3" s="30"/>
      <c r="C3" s="30"/>
      <c r="D3" s="30"/>
      <c r="E3" s="30"/>
      <c r="F3" s="30"/>
      <c r="G3" s="30"/>
      <c r="H3" s="30"/>
      <c r="L3" s="124" t="s">
        <v>58</v>
      </c>
      <c r="M3" s="124"/>
      <c r="N3" s="124" t="s">
        <v>13</v>
      </c>
      <c r="O3" s="124"/>
    </row>
    <row r="4" spans="1:15" ht="15.75" customHeight="1" x14ac:dyDescent="0.35">
      <c r="B4" s="30"/>
      <c r="C4" s="30"/>
      <c r="D4" s="68" t="s">
        <v>25</v>
      </c>
      <c r="E4" s="69">
        <f>'4637'!G8</f>
        <v>4137</v>
      </c>
      <c r="F4" s="30"/>
      <c r="G4" s="30"/>
      <c r="H4" s="30"/>
      <c r="L4" t="s">
        <v>6</v>
      </c>
      <c r="M4" t="s">
        <v>7</v>
      </c>
      <c r="N4" t="s">
        <v>6</v>
      </c>
      <c r="O4" t="s">
        <v>7</v>
      </c>
    </row>
    <row r="5" spans="1:15" ht="18" customHeight="1" x14ac:dyDescent="0.35">
      <c r="B5" s="30"/>
      <c r="C5" s="30"/>
      <c r="D5" s="70" t="s">
        <v>64</v>
      </c>
      <c r="E5" s="71" t="str">
        <f>'4637'!C10</f>
        <v>FRANCISCO MORENO</v>
      </c>
      <c r="F5" s="46"/>
      <c r="G5" s="46"/>
      <c r="H5" s="30"/>
      <c r="L5" t="e">
        <f>LOOKUP(#REF!,REGLAS!$I$4:$I$37,REGLAS!$G$4:$G$37)+#REF!</f>
        <v>#REF!</v>
      </c>
      <c r="M5" t="e">
        <f>LOOKUP(#REF!,REGLAS!$I$4:$I$37,REGLAS!$H$4:$H$37)+#REF!</f>
        <v>#REF!</v>
      </c>
      <c r="N5" t="e">
        <f>LOOKUP(#REF!,REGLAS!$D$4:$D$37,REGLAS!$B$4:$B$37)+#REF!</f>
        <v>#REF!</v>
      </c>
      <c r="O5" t="e">
        <f>LOOKUP(#REF!,REGLAS!$D$4:$D$37,REGLAS!$C$4:$C$37)+#REF!</f>
        <v>#REF!</v>
      </c>
    </row>
    <row r="6" spans="1:15" ht="4.5" customHeight="1" x14ac:dyDescent="0.35">
      <c r="B6" s="30"/>
      <c r="C6" s="30"/>
      <c r="D6" s="72"/>
      <c r="E6" s="73"/>
      <c r="F6" s="30"/>
      <c r="G6" s="30"/>
      <c r="H6" s="30"/>
    </row>
    <row r="7" spans="1:15" ht="18" x14ac:dyDescent="0.35">
      <c r="B7" s="30"/>
      <c r="C7" s="30"/>
      <c r="D7" s="83" t="str">
        <f>'4637'!F11</f>
        <v>FECHA LIMITE :</v>
      </c>
      <c r="E7" s="75">
        <f>'4637'!G11</f>
        <v>45632</v>
      </c>
      <c r="F7" s="30"/>
      <c r="G7" s="30" t="s">
        <v>137</v>
      </c>
      <c r="H7" s="30"/>
    </row>
    <row r="8" spans="1:15" ht="18" x14ac:dyDescent="0.35">
      <c r="B8" s="30"/>
      <c r="C8" s="30"/>
      <c r="D8" s="84" t="s">
        <v>121</v>
      </c>
      <c r="E8" s="30"/>
      <c r="F8" s="30"/>
      <c r="G8" s="30"/>
      <c r="H8" s="30"/>
    </row>
    <row r="9" spans="1:15" ht="18" x14ac:dyDescent="0.35">
      <c r="B9" s="30"/>
      <c r="C9" s="30"/>
      <c r="D9" s="30"/>
      <c r="E9" s="30"/>
      <c r="F9" s="30"/>
      <c r="G9" s="30"/>
      <c r="H9" s="30"/>
    </row>
    <row r="10" spans="1:15" ht="15" customHeight="1" x14ac:dyDescent="0.35">
      <c r="B10" s="125" t="s">
        <v>58</v>
      </c>
      <c r="C10" s="125"/>
      <c r="D10" s="125"/>
      <c r="E10" s="125"/>
      <c r="F10" s="125"/>
      <c r="G10" s="125"/>
      <c r="H10" s="30"/>
    </row>
    <row r="11" spans="1:15" ht="18" x14ac:dyDescent="0.35">
      <c r="B11" s="30"/>
      <c r="C11" s="30"/>
      <c r="D11" s="85"/>
      <c r="E11" s="30"/>
      <c r="F11" s="30"/>
      <c r="G11" s="30"/>
      <c r="H11" s="30"/>
    </row>
    <row r="12" spans="1:15" ht="18" x14ac:dyDescent="0.35">
      <c r="B12" s="30"/>
      <c r="C12" s="30"/>
      <c r="D12" s="30"/>
      <c r="E12" s="60" t="s">
        <v>6</v>
      </c>
      <c r="F12" s="60" t="s">
        <v>7</v>
      </c>
      <c r="G12" s="30"/>
      <c r="H12" s="30"/>
    </row>
    <row r="13" spans="1:15" ht="18" x14ac:dyDescent="0.35">
      <c r="B13" s="60" t="s">
        <v>8</v>
      </c>
      <c r="C13" s="86" t="s">
        <v>9</v>
      </c>
      <c r="D13" s="86" t="s">
        <v>10</v>
      </c>
      <c r="E13" s="87">
        <v>70</v>
      </c>
      <c r="F13" s="87">
        <v>-2</v>
      </c>
      <c r="G13" s="86" t="s">
        <v>107</v>
      </c>
      <c r="H13" s="30"/>
      <c r="K13" s="5" t="s">
        <v>6</v>
      </c>
      <c r="L13" s="5" t="s">
        <v>7</v>
      </c>
    </row>
    <row r="14" spans="1:15" ht="18" x14ac:dyDescent="0.35">
      <c r="A14" s="112">
        <v>1</v>
      </c>
      <c r="B14" s="96" t="s">
        <v>138</v>
      </c>
      <c r="C14" s="88">
        <f>J14</f>
        <v>2</v>
      </c>
      <c r="D14" s="88"/>
      <c r="E14" s="88">
        <f>K14+E$13</f>
        <v>920</v>
      </c>
      <c r="F14" s="88">
        <f>L14+F$13</f>
        <v>445</v>
      </c>
      <c r="G14" s="88" t="str">
        <f>D51</f>
        <v>PR2</v>
      </c>
      <c r="H14" s="30"/>
      <c r="J14" s="3">
        <f>'4637'!B21</f>
        <v>2</v>
      </c>
      <c r="K14" s="4">
        <f t="shared" ref="K14:L14" si="0">E51</f>
        <v>850</v>
      </c>
      <c r="L14" s="4">
        <f t="shared" si="0"/>
        <v>447</v>
      </c>
    </row>
    <row r="15" spans="1:15" ht="18" x14ac:dyDescent="0.35">
      <c r="A15" s="112">
        <v>2</v>
      </c>
      <c r="B15" s="96"/>
      <c r="C15" s="88">
        <f t="shared" ref="C15:C23" si="1">J15</f>
        <v>2</v>
      </c>
      <c r="D15" s="88"/>
      <c r="E15" s="88">
        <f t="shared" ref="E15:E23" si="2">K15+E$13</f>
        <v>770</v>
      </c>
      <c r="F15" s="88">
        <f>L15+F$13</f>
        <v>295</v>
      </c>
      <c r="G15" s="88" t="str">
        <f>D52</f>
        <v>PR2</v>
      </c>
      <c r="H15" s="30"/>
      <c r="J15" s="3">
        <f>'4637'!B22</f>
        <v>2</v>
      </c>
      <c r="K15" s="4">
        <f>E52</f>
        <v>700</v>
      </c>
      <c r="L15" s="4">
        <f>F52</f>
        <v>297</v>
      </c>
    </row>
    <row r="16" spans="1:15" ht="18" x14ac:dyDescent="0.35">
      <c r="A16" s="112">
        <v>3</v>
      </c>
      <c r="C16" s="88">
        <f t="shared" si="1"/>
        <v>2</v>
      </c>
      <c r="D16" s="88"/>
      <c r="E16" s="88">
        <f t="shared" si="2"/>
        <v>520</v>
      </c>
      <c r="F16" s="88">
        <f t="shared" ref="F16:F26" si="3">L16+F$13</f>
        <v>321</v>
      </c>
      <c r="G16" s="88" t="str">
        <f t="shared" ref="G16:G23" si="4">D53</f>
        <v>PR2</v>
      </c>
      <c r="H16" s="30"/>
      <c r="J16" s="3">
        <f>'4637'!B23</f>
        <v>2</v>
      </c>
      <c r="K16" s="4">
        <f t="shared" ref="K16:K23" si="5">E53</f>
        <v>450</v>
      </c>
      <c r="L16" s="4">
        <f t="shared" ref="L16:L23" si="6">F53</f>
        <v>323</v>
      </c>
    </row>
    <row r="17" spans="1:12" ht="18" x14ac:dyDescent="0.35">
      <c r="A17" s="112">
        <v>4</v>
      </c>
      <c r="B17" s="96"/>
      <c r="C17" s="88">
        <f t="shared" si="1"/>
        <v>1</v>
      </c>
      <c r="D17" s="88"/>
      <c r="E17" s="88">
        <f t="shared" si="2"/>
        <v>920</v>
      </c>
      <c r="F17" s="88">
        <f t="shared" si="3"/>
        <v>465</v>
      </c>
      <c r="G17" s="88" t="str">
        <f t="shared" si="4"/>
        <v>PR2</v>
      </c>
      <c r="H17" s="30"/>
      <c r="J17" s="3">
        <f>'4637'!B24</f>
        <v>1</v>
      </c>
      <c r="K17" s="4">
        <f t="shared" si="5"/>
        <v>850</v>
      </c>
      <c r="L17" s="4">
        <f t="shared" si="6"/>
        <v>467</v>
      </c>
    </row>
    <row r="18" spans="1:12" ht="18" x14ac:dyDescent="0.35">
      <c r="A18" s="112">
        <v>5</v>
      </c>
      <c r="B18" s="96"/>
      <c r="C18" s="88">
        <f t="shared" si="1"/>
        <v>2</v>
      </c>
      <c r="D18" s="88"/>
      <c r="E18" s="88">
        <f t="shared" si="2"/>
        <v>570</v>
      </c>
      <c r="F18" s="88">
        <f t="shared" si="3"/>
        <v>471</v>
      </c>
      <c r="G18" s="88" t="str">
        <f t="shared" si="4"/>
        <v>PR2</v>
      </c>
      <c r="H18" s="30"/>
      <c r="J18" s="3">
        <f>'4637'!B25</f>
        <v>2</v>
      </c>
      <c r="K18" s="4">
        <f t="shared" si="5"/>
        <v>500</v>
      </c>
      <c r="L18" s="4">
        <f t="shared" si="6"/>
        <v>473</v>
      </c>
    </row>
    <row r="19" spans="1:12" ht="18" x14ac:dyDescent="0.35">
      <c r="A19" s="112">
        <v>6</v>
      </c>
      <c r="B19" s="96"/>
      <c r="C19" s="88">
        <f t="shared" si="1"/>
        <v>2</v>
      </c>
      <c r="D19" s="88"/>
      <c r="E19" s="88">
        <f t="shared" si="2"/>
        <v>770</v>
      </c>
      <c r="F19" s="88">
        <f t="shared" si="3"/>
        <v>445</v>
      </c>
      <c r="G19" s="88" t="str">
        <f t="shared" si="4"/>
        <v>PR2</v>
      </c>
      <c r="H19" s="30"/>
      <c r="J19" s="3">
        <f>'4637'!B26</f>
        <v>2</v>
      </c>
      <c r="K19" s="4">
        <f t="shared" si="5"/>
        <v>700</v>
      </c>
      <c r="L19" s="4">
        <f t="shared" si="6"/>
        <v>447</v>
      </c>
    </row>
    <row r="20" spans="1:12" ht="18" x14ac:dyDescent="0.35">
      <c r="A20" s="112">
        <v>7</v>
      </c>
      <c r="B20" s="96"/>
      <c r="C20" s="88">
        <f t="shared" si="1"/>
        <v>1</v>
      </c>
      <c r="D20" s="88"/>
      <c r="E20" s="88">
        <f t="shared" si="2"/>
        <v>870</v>
      </c>
      <c r="F20" s="88">
        <f t="shared" si="3"/>
        <v>375</v>
      </c>
      <c r="G20" s="88" t="str">
        <f t="shared" si="4"/>
        <v>PR2</v>
      </c>
      <c r="H20" s="30"/>
      <c r="J20" s="3">
        <f>'4637'!B27</f>
        <v>1</v>
      </c>
      <c r="K20" s="4">
        <f t="shared" si="5"/>
        <v>800</v>
      </c>
      <c r="L20" s="4">
        <f t="shared" si="6"/>
        <v>377</v>
      </c>
    </row>
    <row r="21" spans="1:12" ht="18" x14ac:dyDescent="0.35">
      <c r="A21" s="112">
        <v>8</v>
      </c>
      <c r="B21" s="96"/>
      <c r="C21" s="88">
        <f t="shared" si="1"/>
        <v>1</v>
      </c>
      <c r="D21" s="88"/>
      <c r="E21" s="88">
        <f t="shared" si="2"/>
        <v>770</v>
      </c>
      <c r="F21" s="88">
        <f t="shared" si="3"/>
        <v>145</v>
      </c>
      <c r="G21" s="88" t="str">
        <f t="shared" si="4"/>
        <v>PR2</v>
      </c>
      <c r="H21" s="30"/>
      <c r="J21" s="3">
        <f>'4637'!B28</f>
        <v>1</v>
      </c>
      <c r="K21" s="4">
        <f t="shared" si="5"/>
        <v>700</v>
      </c>
      <c r="L21" s="4">
        <f t="shared" si="6"/>
        <v>147</v>
      </c>
    </row>
    <row r="22" spans="1:12" ht="18" x14ac:dyDescent="0.35">
      <c r="A22" s="112">
        <v>9</v>
      </c>
      <c r="B22" s="96"/>
      <c r="C22" s="88">
        <f t="shared" si="1"/>
        <v>1</v>
      </c>
      <c r="D22" s="88"/>
      <c r="E22" s="88">
        <f t="shared" si="2"/>
        <v>220</v>
      </c>
      <c r="F22" s="88">
        <f t="shared" si="3"/>
        <v>595</v>
      </c>
      <c r="G22" s="88" t="str">
        <f t="shared" si="4"/>
        <v>PR2</v>
      </c>
      <c r="H22" s="30"/>
      <c r="J22" s="3">
        <f>'4637'!B29</f>
        <v>1</v>
      </c>
      <c r="K22" s="4">
        <f t="shared" si="5"/>
        <v>150</v>
      </c>
      <c r="L22" s="4">
        <f t="shared" si="6"/>
        <v>597</v>
      </c>
    </row>
    <row r="23" spans="1:12" ht="18" x14ac:dyDescent="0.35">
      <c r="A23" s="112">
        <v>10</v>
      </c>
      <c r="B23" s="96"/>
      <c r="C23" s="88">
        <f t="shared" si="1"/>
        <v>1</v>
      </c>
      <c r="D23" s="88"/>
      <c r="E23" s="88">
        <f t="shared" si="2"/>
        <v>770</v>
      </c>
      <c r="F23" s="88">
        <f t="shared" si="3"/>
        <v>245</v>
      </c>
      <c r="G23" s="88" t="str">
        <f t="shared" si="4"/>
        <v>PR2</v>
      </c>
      <c r="H23" s="30"/>
      <c r="J23" s="3">
        <f>'4637'!B30</f>
        <v>1</v>
      </c>
      <c r="K23" s="4">
        <f t="shared" si="5"/>
        <v>700</v>
      </c>
      <c r="L23" s="4">
        <f t="shared" si="6"/>
        <v>247</v>
      </c>
    </row>
    <row r="24" spans="1:12" ht="18" x14ac:dyDescent="0.35">
      <c r="A24" s="112">
        <v>11</v>
      </c>
      <c r="B24" s="96"/>
      <c r="C24" s="88">
        <f t="shared" ref="C24:C26" si="7">J24</f>
        <v>2</v>
      </c>
      <c r="D24" s="88"/>
      <c r="E24" s="88">
        <f t="shared" ref="E24:E26" si="8">K24+E$13</f>
        <v>770</v>
      </c>
      <c r="F24" s="88">
        <f t="shared" si="3"/>
        <v>381</v>
      </c>
      <c r="G24" s="88" t="str">
        <f>D61</f>
        <v>PR2</v>
      </c>
      <c r="H24" s="30"/>
      <c r="J24" s="3">
        <f>'4637'!B31</f>
        <v>2</v>
      </c>
      <c r="K24" s="4">
        <f t="shared" ref="K24:L26" si="9">E61</f>
        <v>700</v>
      </c>
      <c r="L24" s="4">
        <f t="shared" si="9"/>
        <v>383</v>
      </c>
    </row>
    <row r="25" spans="1:12" ht="18" x14ac:dyDescent="0.35">
      <c r="A25" s="112">
        <v>12</v>
      </c>
      <c r="B25" s="96"/>
      <c r="C25" s="88">
        <f t="shared" si="7"/>
        <v>1</v>
      </c>
      <c r="D25" s="88"/>
      <c r="E25" s="88">
        <f t="shared" si="8"/>
        <v>870</v>
      </c>
      <c r="F25" s="88">
        <f t="shared" si="3"/>
        <v>598</v>
      </c>
      <c r="G25" s="88" t="str">
        <f>D62</f>
        <v>PR2</v>
      </c>
      <c r="H25" s="30"/>
      <c r="J25" s="3">
        <f>'4637'!B32</f>
        <v>1</v>
      </c>
      <c r="K25" s="4">
        <f t="shared" si="9"/>
        <v>800</v>
      </c>
      <c r="L25" s="4">
        <f t="shared" si="9"/>
        <v>600</v>
      </c>
    </row>
    <row r="26" spans="1:12" ht="18" x14ac:dyDescent="0.35">
      <c r="A26" s="112">
        <v>13</v>
      </c>
      <c r="B26" s="96"/>
      <c r="C26" s="88">
        <f t="shared" si="7"/>
        <v>4</v>
      </c>
      <c r="D26" s="88"/>
      <c r="E26" s="88">
        <f t="shared" si="8"/>
        <v>770</v>
      </c>
      <c r="F26" s="88">
        <f t="shared" si="3"/>
        <v>411</v>
      </c>
      <c r="G26" s="88" t="str">
        <f>D63</f>
        <v>PR2</v>
      </c>
      <c r="H26" s="30"/>
      <c r="J26" s="3">
        <f>'4637'!B33</f>
        <v>4</v>
      </c>
      <c r="K26" s="4">
        <f t="shared" si="9"/>
        <v>700</v>
      </c>
      <c r="L26" s="4">
        <f t="shared" si="9"/>
        <v>413</v>
      </c>
    </row>
    <row r="27" spans="1:12" ht="18" x14ac:dyDescent="0.35">
      <c r="A27" s="2"/>
      <c r="B27" s="77"/>
      <c r="C27" s="67"/>
      <c r="D27" s="67"/>
      <c r="E27" s="67"/>
      <c r="F27" s="67"/>
      <c r="G27" s="67"/>
      <c r="H27" s="30"/>
      <c r="J27" s="23"/>
      <c r="K27" s="2"/>
      <c r="L27" s="2"/>
    </row>
    <row r="28" spans="1:12" ht="6.75" customHeight="1" x14ac:dyDescent="0.35">
      <c r="A28" s="2"/>
      <c r="B28" s="30"/>
      <c r="C28" s="30"/>
      <c r="D28" s="30"/>
      <c r="E28" s="30"/>
      <c r="F28" s="30"/>
      <c r="G28" s="30"/>
      <c r="H28" s="30"/>
    </row>
    <row r="29" spans="1:12" ht="18" x14ac:dyDescent="0.35">
      <c r="A29" s="2"/>
      <c r="B29" s="125" t="s">
        <v>13</v>
      </c>
      <c r="C29" s="125"/>
      <c r="D29" s="125"/>
      <c r="E29" s="125"/>
      <c r="F29" s="125"/>
      <c r="G29" s="125"/>
      <c r="H29" s="30"/>
    </row>
    <row r="30" spans="1:12" ht="10.5" customHeight="1" x14ac:dyDescent="0.35">
      <c r="A30" s="2"/>
      <c r="B30" s="30"/>
      <c r="C30" s="30"/>
      <c r="D30" s="85"/>
      <c r="E30" s="30"/>
      <c r="F30" s="30"/>
      <c r="G30" s="30"/>
      <c r="H30" s="30"/>
    </row>
    <row r="31" spans="1:12" ht="18" x14ac:dyDescent="0.35">
      <c r="A31" s="2"/>
      <c r="B31" s="30"/>
      <c r="C31" s="30"/>
      <c r="D31" s="30"/>
      <c r="E31" s="60" t="s">
        <v>6</v>
      </c>
      <c r="F31" s="60" t="s">
        <v>7</v>
      </c>
      <c r="G31" s="30"/>
      <c r="H31" s="30"/>
    </row>
    <row r="32" spans="1:12" ht="18" x14ac:dyDescent="0.35">
      <c r="A32" s="2"/>
      <c r="B32" s="60" t="s">
        <v>8</v>
      </c>
      <c r="C32" s="76" t="s">
        <v>9</v>
      </c>
      <c r="D32" s="76" t="s">
        <v>10</v>
      </c>
      <c r="E32" s="89">
        <v>40</v>
      </c>
      <c r="F32" s="89">
        <v>90</v>
      </c>
      <c r="G32" s="76" t="s">
        <v>107</v>
      </c>
      <c r="H32" s="30"/>
      <c r="K32" s="5" t="s">
        <v>6</v>
      </c>
      <c r="L32" s="5" t="s">
        <v>7</v>
      </c>
    </row>
    <row r="33" spans="1:13" ht="18" x14ac:dyDescent="0.35">
      <c r="A33" s="112">
        <v>1</v>
      </c>
      <c r="B33" s="96"/>
      <c r="C33" s="90">
        <f t="shared" ref="C33" si="10">J33</f>
        <v>2</v>
      </c>
      <c r="D33" s="90"/>
      <c r="E33" s="90">
        <f>K33+E$32</f>
        <v>890</v>
      </c>
      <c r="F33" s="90">
        <f t="shared" ref="F33:F34" si="11">L33+F$32</f>
        <v>537</v>
      </c>
      <c r="G33" s="90" t="str">
        <f>D51</f>
        <v>PR2</v>
      </c>
      <c r="H33" s="30"/>
      <c r="J33" s="3">
        <f>C51</f>
        <v>2</v>
      </c>
      <c r="K33" s="105">
        <f>E51</f>
        <v>850</v>
      </c>
      <c r="L33" s="105">
        <f>F51</f>
        <v>447</v>
      </c>
    </row>
    <row r="34" spans="1:13" ht="18" x14ac:dyDescent="0.35">
      <c r="A34" s="112">
        <v>2</v>
      </c>
      <c r="B34" s="96"/>
      <c r="C34" s="90">
        <f t="shared" ref="C34:C43" si="12">J34</f>
        <v>2</v>
      </c>
      <c r="D34" s="90"/>
      <c r="E34" s="90">
        <f>K34+E$32</f>
        <v>740</v>
      </c>
      <c r="F34" s="90">
        <f t="shared" si="11"/>
        <v>387</v>
      </c>
      <c r="G34" s="90" t="str">
        <f t="shared" ref="G34:G43" si="13">D52</f>
        <v>PR2</v>
      </c>
      <c r="H34" s="30"/>
      <c r="J34" s="3">
        <f t="shared" ref="J34:J43" si="14">C52</f>
        <v>2</v>
      </c>
      <c r="K34" s="102">
        <f t="shared" ref="K34:L34" si="15">E52</f>
        <v>700</v>
      </c>
      <c r="L34" s="102">
        <f t="shared" si="15"/>
        <v>297</v>
      </c>
    </row>
    <row r="35" spans="1:13" ht="18" x14ac:dyDescent="0.35">
      <c r="A35" s="112">
        <v>3</v>
      </c>
      <c r="B35" s="96"/>
      <c r="C35" s="90">
        <f t="shared" si="12"/>
        <v>2</v>
      </c>
      <c r="D35" s="90"/>
      <c r="E35" s="90">
        <f>K35+E$32</f>
        <v>490</v>
      </c>
      <c r="F35" s="90">
        <f>L35+90</f>
        <v>413</v>
      </c>
      <c r="G35" s="90" t="str">
        <f t="shared" si="13"/>
        <v>PR2</v>
      </c>
      <c r="H35" s="30"/>
      <c r="J35" s="3">
        <f t="shared" si="14"/>
        <v>2</v>
      </c>
      <c r="K35" s="104">
        <f t="shared" ref="K35:L35" si="16">E53</f>
        <v>450</v>
      </c>
      <c r="L35" s="104">
        <f t="shared" si="16"/>
        <v>323</v>
      </c>
    </row>
    <row r="36" spans="1:13" ht="18" x14ac:dyDescent="0.35">
      <c r="A36" s="112">
        <v>4</v>
      </c>
      <c r="B36" s="96"/>
      <c r="C36" s="90">
        <f t="shared" si="12"/>
        <v>1</v>
      </c>
      <c r="D36" s="90"/>
      <c r="E36" s="90">
        <f>K36+E$32</f>
        <v>890</v>
      </c>
      <c r="F36" s="90">
        <f t="shared" ref="F36:F45" si="17">L36+90</f>
        <v>557</v>
      </c>
      <c r="G36" s="90" t="str">
        <f t="shared" si="13"/>
        <v>PR2</v>
      </c>
      <c r="H36" s="30"/>
      <c r="J36" s="3">
        <f t="shared" si="14"/>
        <v>1</v>
      </c>
      <c r="K36" s="102">
        <f t="shared" ref="K36:L36" si="18">E54</f>
        <v>850</v>
      </c>
      <c r="L36" s="102">
        <f t="shared" si="18"/>
        <v>467</v>
      </c>
      <c r="M36" s="103">
        <v>2</v>
      </c>
    </row>
    <row r="37" spans="1:13" ht="18" x14ac:dyDescent="0.35">
      <c r="A37" s="112">
        <v>5</v>
      </c>
      <c r="B37" s="96"/>
      <c r="C37" s="90">
        <f t="shared" si="12"/>
        <v>2</v>
      </c>
      <c r="D37" s="90"/>
      <c r="E37" s="90">
        <f>K37+E$32</f>
        <v>540</v>
      </c>
      <c r="F37" s="90">
        <f t="shared" si="17"/>
        <v>563</v>
      </c>
      <c r="G37" s="90" t="str">
        <f t="shared" si="13"/>
        <v>PR2</v>
      </c>
      <c r="H37" s="30"/>
      <c r="J37" s="3">
        <f t="shared" si="14"/>
        <v>2</v>
      </c>
      <c r="K37" s="105">
        <f t="shared" ref="K37:L37" si="19">E55</f>
        <v>500</v>
      </c>
      <c r="L37" s="105">
        <f t="shared" si="19"/>
        <v>473</v>
      </c>
    </row>
    <row r="38" spans="1:13" ht="18" x14ac:dyDescent="0.35">
      <c r="A38" s="112">
        <v>6</v>
      </c>
      <c r="B38" s="96"/>
      <c r="C38" s="90">
        <f t="shared" si="12"/>
        <v>2</v>
      </c>
      <c r="D38" s="90"/>
      <c r="E38" s="90">
        <f>K38+E$32</f>
        <v>740</v>
      </c>
      <c r="F38" s="90">
        <f t="shared" si="17"/>
        <v>537</v>
      </c>
      <c r="G38" s="90" t="str">
        <f t="shared" si="13"/>
        <v>PR2</v>
      </c>
      <c r="H38" s="30"/>
      <c r="J38" s="3">
        <f t="shared" si="14"/>
        <v>2</v>
      </c>
      <c r="K38" s="102">
        <f t="shared" ref="K38:L38" si="20">E56</f>
        <v>700</v>
      </c>
      <c r="L38" s="102">
        <f t="shared" si="20"/>
        <v>447</v>
      </c>
      <c r="M38" s="103">
        <v>2</v>
      </c>
    </row>
    <row r="39" spans="1:13" ht="18" x14ac:dyDescent="0.35">
      <c r="A39" s="112">
        <v>7</v>
      </c>
      <c r="B39" s="96"/>
      <c r="C39" s="90">
        <f t="shared" si="12"/>
        <v>1</v>
      </c>
      <c r="D39" s="90"/>
      <c r="E39" s="90">
        <f>K39+E$32</f>
        <v>840</v>
      </c>
      <c r="F39" s="90">
        <f t="shared" si="17"/>
        <v>467</v>
      </c>
      <c r="G39" s="90" t="str">
        <f t="shared" si="13"/>
        <v>PR2</v>
      </c>
      <c r="H39" s="30"/>
      <c r="J39" s="3">
        <f t="shared" si="14"/>
        <v>1</v>
      </c>
      <c r="K39" s="104">
        <f t="shared" ref="K39:L39" si="21">E57</f>
        <v>800</v>
      </c>
      <c r="L39" s="104">
        <f t="shared" si="21"/>
        <v>377</v>
      </c>
    </row>
    <row r="40" spans="1:13" ht="18" x14ac:dyDescent="0.35">
      <c r="A40" s="112">
        <v>8</v>
      </c>
      <c r="B40" s="96"/>
      <c r="C40" s="90">
        <f t="shared" si="12"/>
        <v>1</v>
      </c>
      <c r="D40" s="90"/>
      <c r="E40" s="90">
        <f>K40+E$32</f>
        <v>740</v>
      </c>
      <c r="F40" s="90">
        <f t="shared" si="17"/>
        <v>237</v>
      </c>
      <c r="G40" s="90" t="str">
        <f t="shared" si="13"/>
        <v>PR2</v>
      </c>
      <c r="H40" s="30"/>
      <c r="J40" s="3">
        <f t="shared" si="14"/>
        <v>1</v>
      </c>
      <c r="K40" s="104">
        <f t="shared" ref="K40:L40" si="22">E58</f>
        <v>700</v>
      </c>
      <c r="L40" s="104">
        <f t="shared" si="22"/>
        <v>147</v>
      </c>
    </row>
    <row r="41" spans="1:13" ht="18" x14ac:dyDescent="0.35">
      <c r="A41" s="112">
        <v>9</v>
      </c>
      <c r="B41" s="96"/>
      <c r="C41" s="90">
        <f t="shared" si="12"/>
        <v>1</v>
      </c>
      <c r="D41" s="90"/>
      <c r="E41" s="90">
        <f>K41+E$32</f>
        <v>190</v>
      </c>
      <c r="F41" s="90">
        <f t="shared" si="17"/>
        <v>687</v>
      </c>
      <c r="G41" s="90" t="str">
        <f t="shared" si="13"/>
        <v>PR2</v>
      </c>
      <c r="H41" s="30"/>
      <c r="J41" s="3">
        <f t="shared" si="14"/>
        <v>1</v>
      </c>
      <c r="K41" s="104">
        <f t="shared" ref="K41:L41" si="23">E59</f>
        <v>150</v>
      </c>
      <c r="L41" s="104">
        <f t="shared" si="23"/>
        <v>597</v>
      </c>
    </row>
    <row r="42" spans="1:13" ht="18" x14ac:dyDescent="0.35">
      <c r="A42" s="112">
        <v>10</v>
      </c>
      <c r="B42" s="96"/>
      <c r="C42" s="90">
        <f t="shared" si="12"/>
        <v>1</v>
      </c>
      <c r="D42" s="90"/>
      <c r="E42" s="90">
        <f>K42+E$32</f>
        <v>740</v>
      </c>
      <c r="F42" s="90">
        <f t="shared" si="17"/>
        <v>337</v>
      </c>
      <c r="G42" s="90" t="str">
        <f t="shared" si="13"/>
        <v>PR2</v>
      </c>
      <c r="H42" s="30"/>
      <c r="J42" s="3">
        <f t="shared" si="14"/>
        <v>1</v>
      </c>
      <c r="K42" s="104">
        <f t="shared" ref="K42:L42" si="24">E60</f>
        <v>700</v>
      </c>
      <c r="L42" s="104">
        <f t="shared" si="24"/>
        <v>247</v>
      </c>
    </row>
    <row r="43" spans="1:13" ht="18" x14ac:dyDescent="0.35">
      <c r="A43" s="112">
        <v>11</v>
      </c>
      <c r="B43" s="96"/>
      <c r="C43" s="90">
        <f t="shared" si="12"/>
        <v>2</v>
      </c>
      <c r="D43" s="90"/>
      <c r="E43" s="90">
        <f>K43+E$32</f>
        <v>740</v>
      </c>
      <c r="F43" s="90">
        <f t="shared" si="17"/>
        <v>473</v>
      </c>
      <c r="G43" s="90" t="str">
        <f t="shared" si="13"/>
        <v>PR2</v>
      </c>
      <c r="H43" s="30"/>
      <c r="J43" s="3">
        <f t="shared" si="14"/>
        <v>2</v>
      </c>
      <c r="K43" s="105">
        <f t="shared" ref="K43:L43" si="25">E61</f>
        <v>700</v>
      </c>
      <c r="L43" s="105">
        <f t="shared" si="25"/>
        <v>383</v>
      </c>
    </row>
    <row r="44" spans="1:13" ht="18" x14ac:dyDescent="0.35">
      <c r="A44" s="112">
        <v>12</v>
      </c>
      <c r="B44" s="96"/>
      <c r="C44" s="90">
        <f t="shared" ref="C44" si="26">J44</f>
        <v>1</v>
      </c>
      <c r="D44" s="90"/>
      <c r="E44" s="90">
        <f>K44+E$32</f>
        <v>840</v>
      </c>
      <c r="F44" s="90">
        <f t="shared" si="17"/>
        <v>690</v>
      </c>
      <c r="G44" s="90" t="str">
        <f>D62</f>
        <v>PR2</v>
      </c>
      <c r="H44" s="30"/>
      <c r="J44" s="3">
        <f t="shared" ref="J44" si="27">C62</f>
        <v>1</v>
      </c>
      <c r="K44" s="105">
        <f t="shared" ref="K44" si="28">E62</f>
        <v>800</v>
      </c>
      <c r="L44" s="105">
        <f t="shared" ref="L44" si="29">F62</f>
        <v>600</v>
      </c>
    </row>
    <row r="45" spans="1:13" ht="18" x14ac:dyDescent="0.35">
      <c r="A45" s="112">
        <v>13</v>
      </c>
      <c r="B45" s="96"/>
      <c r="C45" s="90">
        <f t="shared" ref="C45" si="30">J45</f>
        <v>4</v>
      </c>
      <c r="D45" s="90"/>
      <c r="E45" s="90">
        <f>K45+E$32</f>
        <v>740</v>
      </c>
      <c r="F45" s="90">
        <f t="shared" si="17"/>
        <v>503</v>
      </c>
      <c r="G45" s="90" t="str">
        <f>D63</f>
        <v>PR2</v>
      </c>
      <c r="H45" s="30"/>
      <c r="J45" s="3">
        <f>C63</f>
        <v>4</v>
      </c>
      <c r="K45" s="105">
        <f>E63</f>
        <v>700</v>
      </c>
      <c r="L45" s="105">
        <f>F63</f>
        <v>413</v>
      </c>
    </row>
    <row r="46" spans="1:13" ht="18" x14ac:dyDescent="0.35">
      <c r="A46" s="112"/>
      <c r="B46" s="96"/>
      <c r="C46" s="67"/>
      <c r="D46" s="67"/>
      <c r="E46" s="67"/>
      <c r="F46" s="67"/>
      <c r="G46" s="67"/>
      <c r="H46" s="30"/>
      <c r="J46" s="23"/>
      <c r="K46" s="114"/>
      <c r="L46" s="114"/>
    </row>
    <row r="47" spans="1:13" ht="18.600000000000001" thickBot="1" x14ac:dyDescent="0.4">
      <c r="A47" s="2"/>
      <c r="B47" s="77"/>
      <c r="C47" s="67"/>
      <c r="D47" s="67"/>
      <c r="E47" s="67"/>
      <c r="F47" s="67"/>
      <c r="G47" s="67"/>
      <c r="H47" s="30"/>
      <c r="I47" s="110"/>
      <c r="J47" s="111"/>
      <c r="K47" s="111"/>
      <c r="L47" s="111"/>
    </row>
    <row r="48" spans="1:13" ht="18.600000000000001" thickBot="1" x14ac:dyDescent="0.4">
      <c r="A48" s="2"/>
      <c r="B48" s="60"/>
      <c r="C48" s="91" t="s">
        <v>104</v>
      </c>
      <c r="D48" s="33"/>
      <c r="E48" s="33"/>
      <c r="F48" s="33"/>
      <c r="G48" s="92"/>
      <c r="H48" s="30"/>
      <c r="J48" s="2"/>
      <c r="K48" s="2"/>
      <c r="L48" s="2"/>
    </row>
    <row r="49" spans="1:10" ht="10.5" customHeight="1" x14ac:dyDescent="0.35">
      <c r="A49" s="2"/>
      <c r="B49" s="30"/>
      <c r="C49" s="30"/>
      <c r="D49" s="30"/>
      <c r="E49" s="30"/>
      <c r="F49" s="30"/>
      <c r="G49" s="30"/>
      <c r="H49" s="30"/>
    </row>
    <row r="50" spans="1:10" ht="18" x14ac:dyDescent="0.35">
      <c r="A50" s="2"/>
      <c r="B50" s="60" t="s">
        <v>8</v>
      </c>
      <c r="C50" s="93" t="s">
        <v>9</v>
      </c>
      <c r="D50" s="93" t="s">
        <v>107</v>
      </c>
      <c r="E50" s="93" t="s">
        <v>6</v>
      </c>
      <c r="F50" s="93" t="s">
        <v>7</v>
      </c>
      <c r="G50" s="93" t="s">
        <v>21</v>
      </c>
      <c r="H50" s="30"/>
    </row>
    <row r="51" spans="1:10" ht="18" x14ac:dyDescent="0.35">
      <c r="A51" s="112">
        <v>1</v>
      </c>
      <c r="B51" s="96" t="s">
        <v>135</v>
      </c>
      <c r="C51" s="88">
        <f>'4637'!B21</f>
        <v>2</v>
      </c>
      <c r="D51" s="88" t="str">
        <f>'4637'!C21</f>
        <v>PR2</v>
      </c>
      <c r="E51" s="88">
        <f>'4637'!D21</f>
        <v>850</v>
      </c>
      <c r="F51" s="88">
        <f>'4637'!E21</f>
        <v>447</v>
      </c>
      <c r="G51" s="88" t="str">
        <f>'4637'!F21</f>
        <v>PLATINUM  21059 SF</v>
      </c>
      <c r="H51" s="30"/>
      <c r="I51" s="28">
        <f>E51*F51/1000000</f>
        <v>0.37995000000000001</v>
      </c>
      <c r="J51" s="28">
        <f>I51*C51</f>
        <v>0.75990000000000002</v>
      </c>
    </row>
    <row r="52" spans="1:10" ht="18" x14ac:dyDescent="0.35">
      <c r="A52" s="112">
        <v>2</v>
      </c>
      <c r="B52" s="96"/>
      <c r="C52" s="88">
        <f>'4637'!B22</f>
        <v>2</v>
      </c>
      <c r="D52" s="88" t="str">
        <f>'4637'!C22</f>
        <v>PR2</v>
      </c>
      <c r="E52" s="88">
        <f>'4637'!D22</f>
        <v>700</v>
      </c>
      <c r="F52" s="88">
        <f>'4637'!E22</f>
        <v>297</v>
      </c>
      <c r="G52" s="88" t="str">
        <f>'4637'!F22</f>
        <v>PLATINUM  21059 SF</v>
      </c>
      <c r="H52" s="30"/>
      <c r="I52" s="28"/>
      <c r="J52" s="28"/>
    </row>
    <row r="53" spans="1:10" ht="18" x14ac:dyDescent="0.35">
      <c r="A53" s="112">
        <v>3</v>
      </c>
      <c r="C53" s="88">
        <f>'4637'!B23</f>
        <v>2</v>
      </c>
      <c r="D53" s="88" t="str">
        <f>'4637'!C23</f>
        <v>PR2</v>
      </c>
      <c r="E53" s="88">
        <f>'4637'!D23</f>
        <v>450</v>
      </c>
      <c r="F53" s="88">
        <f>'4637'!E23</f>
        <v>323</v>
      </c>
      <c r="G53" s="88" t="str">
        <f>'4637'!F23</f>
        <v>PLATINUM  21059 SF</v>
      </c>
      <c r="H53" s="30"/>
      <c r="I53" s="28"/>
      <c r="J53" s="28"/>
    </row>
    <row r="54" spans="1:10" ht="18" x14ac:dyDescent="0.35">
      <c r="A54" s="112">
        <v>4</v>
      </c>
      <c r="B54" s="96"/>
      <c r="C54" s="88">
        <f>'4637'!B24</f>
        <v>1</v>
      </c>
      <c r="D54" s="88" t="str">
        <f>'4637'!C24</f>
        <v>PR2</v>
      </c>
      <c r="E54" s="88">
        <f>'4637'!D24</f>
        <v>850</v>
      </c>
      <c r="F54" s="88">
        <f>'4637'!E24</f>
        <v>467</v>
      </c>
      <c r="G54" s="88" t="str">
        <f>'4637'!F24</f>
        <v>PLATINUM  21059 SF</v>
      </c>
      <c r="H54" s="30"/>
      <c r="I54" s="28"/>
      <c r="J54" s="28"/>
    </row>
    <row r="55" spans="1:10" ht="18" x14ac:dyDescent="0.35">
      <c r="A55" s="112">
        <v>5</v>
      </c>
      <c r="B55" s="96"/>
      <c r="C55" s="88">
        <f>'4637'!B25</f>
        <v>2</v>
      </c>
      <c r="D55" s="88" t="str">
        <f>'4637'!C25</f>
        <v>PR2</v>
      </c>
      <c r="E55" s="88">
        <f>'4637'!D25</f>
        <v>500</v>
      </c>
      <c r="F55" s="88">
        <f>'4637'!E25</f>
        <v>473</v>
      </c>
      <c r="G55" s="88" t="str">
        <f>'4637'!F25</f>
        <v>PLATINUM  21059 SF</v>
      </c>
      <c r="H55" s="30"/>
      <c r="I55" s="28"/>
      <c r="J55" s="28"/>
    </row>
    <row r="56" spans="1:10" ht="18" x14ac:dyDescent="0.35">
      <c r="A56" s="112">
        <v>6</v>
      </c>
      <c r="B56" s="96"/>
      <c r="C56" s="88">
        <f>'4637'!B26</f>
        <v>2</v>
      </c>
      <c r="D56" s="88" t="str">
        <f>'4637'!C26</f>
        <v>PR2</v>
      </c>
      <c r="E56" s="88">
        <f>'4637'!D26</f>
        <v>700</v>
      </c>
      <c r="F56" s="88">
        <f>'4637'!E26</f>
        <v>447</v>
      </c>
      <c r="G56" s="88" t="str">
        <f>'4637'!F26</f>
        <v>PLATINUM  21059 SF</v>
      </c>
      <c r="H56" s="30"/>
      <c r="I56" s="28"/>
      <c r="J56" s="28"/>
    </row>
    <row r="57" spans="1:10" ht="18" x14ac:dyDescent="0.35">
      <c r="A57" s="112">
        <v>7</v>
      </c>
      <c r="B57" s="96"/>
      <c r="C57" s="88">
        <f>'4637'!B27</f>
        <v>1</v>
      </c>
      <c r="D57" s="88" t="str">
        <f>'4637'!C27</f>
        <v>PR2</v>
      </c>
      <c r="E57" s="88">
        <f>'4637'!D27</f>
        <v>800</v>
      </c>
      <c r="F57" s="88">
        <f>'4637'!E27</f>
        <v>377</v>
      </c>
      <c r="G57" s="88" t="str">
        <f>'4637'!F27</f>
        <v>PLATINUM  21059 SF</v>
      </c>
      <c r="H57" s="30"/>
      <c r="I57" s="28"/>
      <c r="J57" s="28"/>
    </row>
    <row r="58" spans="1:10" ht="18" x14ac:dyDescent="0.35">
      <c r="A58" s="112">
        <v>8</v>
      </c>
      <c r="B58" s="96"/>
      <c r="C58" s="88">
        <f>'4637'!B28</f>
        <v>1</v>
      </c>
      <c r="D58" s="88" t="str">
        <f>'4637'!C28</f>
        <v>PR2</v>
      </c>
      <c r="E58" s="88">
        <f>'4637'!D28</f>
        <v>700</v>
      </c>
      <c r="F58" s="88">
        <f>'4637'!E28</f>
        <v>147</v>
      </c>
      <c r="G58" s="88" t="str">
        <f>'4637'!F28</f>
        <v>PLATINUM  21059 SF</v>
      </c>
      <c r="H58" s="30"/>
      <c r="I58" s="28"/>
      <c r="J58" s="28"/>
    </row>
    <row r="59" spans="1:10" ht="18" x14ac:dyDescent="0.35">
      <c r="A59" s="112">
        <v>9</v>
      </c>
      <c r="B59" s="96"/>
      <c r="C59" s="88">
        <f>'4637'!B29</f>
        <v>1</v>
      </c>
      <c r="D59" s="88" t="str">
        <f>'4637'!C29</f>
        <v>PR2</v>
      </c>
      <c r="E59" s="88">
        <f>'4637'!D29</f>
        <v>150</v>
      </c>
      <c r="F59" s="88">
        <f>'4637'!E29</f>
        <v>597</v>
      </c>
      <c r="G59" s="88" t="str">
        <f>'4637'!F29</f>
        <v>PLATINUM  21059 SF</v>
      </c>
      <c r="H59" s="30"/>
      <c r="I59" s="28"/>
      <c r="J59" s="28"/>
    </row>
    <row r="60" spans="1:10" ht="18" x14ac:dyDescent="0.35">
      <c r="A60" s="112">
        <v>10</v>
      </c>
      <c r="B60" s="96"/>
      <c r="C60" s="88">
        <f>'4637'!B30</f>
        <v>1</v>
      </c>
      <c r="D60" s="88" t="str">
        <f>'4637'!C30</f>
        <v>PR2</v>
      </c>
      <c r="E60" s="88">
        <f>'4637'!D30</f>
        <v>700</v>
      </c>
      <c r="F60" s="88">
        <f>'4637'!E30</f>
        <v>247</v>
      </c>
      <c r="G60" s="88" t="str">
        <f>'4637'!F30</f>
        <v>PLATINUM  21059 SF</v>
      </c>
      <c r="H60" s="30"/>
      <c r="I60" s="28"/>
      <c r="J60" s="28"/>
    </row>
    <row r="61" spans="1:10" ht="18" x14ac:dyDescent="0.35">
      <c r="A61" s="112">
        <v>11</v>
      </c>
      <c r="B61" s="96"/>
      <c r="C61" s="88">
        <f>'4637'!B31</f>
        <v>2</v>
      </c>
      <c r="D61" s="88" t="str">
        <f>'4637'!C31</f>
        <v>PR2</v>
      </c>
      <c r="E61" s="88">
        <f>'4637'!D31</f>
        <v>700</v>
      </c>
      <c r="F61" s="88">
        <f>'4637'!E31</f>
        <v>383</v>
      </c>
      <c r="G61" s="88" t="str">
        <f>'4637'!F31</f>
        <v>PLATINUM  21059 SF</v>
      </c>
      <c r="H61" s="30"/>
      <c r="I61" s="28"/>
      <c r="J61" s="28"/>
    </row>
    <row r="62" spans="1:10" ht="18" x14ac:dyDescent="0.35">
      <c r="A62" s="112">
        <v>12</v>
      </c>
      <c r="B62" s="77"/>
      <c r="C62" s="88">
        <f>'4637'!B32</f>
        <v>1</v>
      </c>
      <c r="D62" s="88" t="str">
        <f>'4637'!C32</f>
        <v>PR2</v>
      </c>
      <c r="E62" s="88">
        <f>'4637'!D32</f>
        <v>800</v>
      </c>
      <c r="F62" s="88">
        <f>'4637'!E32</f>
        <v>600</v>
      </c>
      <c r="G62" s="88" t="str">
        <f>'4637'!F32</f>
        <v>PLATINUM  21059 SF</v>
      </c>
      <c r="H62" s="30"/>
      <c r="I62" s="28"/>
      <c r="J62" s="28"/>
    </row>
    <row r="63" spans="1:10" ht="18" x14ac:dyDescent="0.35">
      <c r="A63" s="112">
        <v>13</v>
      </c>
      <c r="B63" s="77"/>
      <c r="C63" s="88">
        <f>'4637'!B33</f>
        <v>4</v>
      </c>
      <c r="D63" s="88" t="str">
        <f>'4637'!C33</f>
        <v>PR2</v>
      </c>
      <c r="E63" s="88">
        <f>'4637'!D33</f>
        <v>700</v>
      </c>
      <c r="F63" s="88">
        <f>'4637'!E33</f>
        <v>413</v>
      </c>
      <c r="G63" s="88" t="str">
        <f>'4637'!F33</f>
        <v>PLATINUM  21059 SF</v>
      </c>
      <c r="H63" s="30"/>
      <c r="I63" s="28"/>
      <c r="J63" s="28"/>
    </row>
    <row r="64" spans="1:10" ht="18" x14ac:dyDescent="0.35">
      <c r="A64" s="2"/>
      <c r="B64" s="77"/>
      <c r="C64" s="67"/>
      <c r="D64" s="67"/>
      <c r="E64" s="67"/>
      <c r="F64" s="67"/>
      <c r="G64" s="67"/>
      <c r="H64" s="30"/>
      <c r="I64" s="28"/>
      <c r="J64" s="28"/>
    </row>
    <row r="65" spans="1:10" ht="18" x14ac:dyDescent="0.35">
      <c r="A65" s="2"/>
      <c r="B65" s="30"/>
      <c r="C65" s="67"/>
      <c r="D65" s="67"/>
      <c r="E65" s="67"/>
      <c r="F65" s="67"/>
      <c r="G65" s="67"/>
      <c r="H65" s="30"/>
    </row>
    <row r="66" spans="1:10" ht="18" x14ac:dyDescent="0.35">
      <c r="A66" s="2"/>
      <c r="B66" s="30"/>
      <c r="C66" s="67"/>
      <c r="D66" s="67"/>
      <c r="E66" s="67"/>
      <c r="F66" s="67"/>
      <c r="G66" s="67"/>
      <c r="H66" s="30"/>
      <c r="J66" s="28">
        <f>SUM(J51:J51)*2</f>
        <v>1.5198</v>
      </c>
    </row>
    <row r="67" spans="1:10" ht="18" x14ac:dyDescent="0.35">
      <c r="A67" s="2"/>
      <c r="B67" s="30"/>
      <c r="C67" s="67"/>
      <c r="D67" s="67"/>
      <c r="E67" s="67"/>
      <c r="F67" s="67"/>
      <c r="G67" s="67"/>
      <c r="H67" s="30"/>
    </row>
    <row r="68" spans="1:10" ht="18" x14ac:dyDescent="0.35">
      <c r="A68" s="2"/>
      <c r="B68" s="30"/>
      <c r="C68" s="67"/>
      <c r="D68" s="67"/>
      <c r="E68" s="67"/>
      <c r="F68" s="67"/>
      <c r="G68" s="67"/>
      <c r="H68" s="30"/>
    </row>
    <row r="69" spans="1:10" ht="18" x14ac:dyDescent="0.35">
      <c r="A69" s="2"/>
      <c r="B69" s="30"/>
      <c r="C69" s="67"/>
      <c r="D69" s="67"/>
      <c r="E69" s="67"/>
      <c r="F69" s="67"/>
      <c r="G69" s="67"/>
      <c r="H69" s="30"/>
    </row>
    <row r="70" spans="1:10" ht="18" x14ac:dyDescent="0.35">
      <c r="A70" s="2"/>
      <c r="B70" s="30"/>
      <c r="C70" s="67"/>
      <c r="D70" s="67"/>
      <c r="E70" s="67"/>
      <c r="F70" s="67"/>
      <c r="G70" s="67"/>
      <c r="H70" s="30"/>
    </row>
    <row r="71" spans="1:10" ht="18" x14ac:dyDescent="0.35">
      <c r="A71" s="2"/>
      <c r="B71" s="30"/>
      <c r="C71" s="67"/>
      <c r="D71" s="67"/>
      <c r="E71" s="67"/>
      <c r="F71" s="67"/>
      <c r="G71" s="67"/>
      <c r="H71" s="30"/>
    </row>
    <row r="72" spans="1:10" ht="18" x14ac:dyDescent="0.35">
      <c r="A72" s="2"/>
      <c r="B72" s="30"/>
      <c r="C72" s="67"/>
      <c r="D72" s="67"/>
      <c r="E72" s="67"/>
      <c r="F72" s="67"/>
      <c r="G72" s="67"/>
      <c r="H72" s="30"/>
    </row>
    <row r="73" spans="1:10" ht="18" x14ac:dyDescent="0.35">
      <c r="A73" s="2"/>
      <c r="B73" s="30"/>
      <c r="C73" s="67"/>
      <c r="D73" s="67"/>
      <c r="E73" s="67"/>
      <c r="F73" s="67"/>
      <c r="G73" s="67"/>
      <c r="H73" s="30"/>
    </row>
    <row r="74" spans="1:10" ht="18" x14ac:dyDescent="0.35">
      <c r="A74" s="2"/>
      <c r="B74" s="30"/>
      <c r="C74" s="30"/>
      <c r="D74" s="30"/>
      <c r="E74" s="30"/>
      <c r="F74" s="30"/>
      <c r="G74" s="30"/>
      <c r="H74" s="30"/>
    </row>
    <row r="75" spans="1:10" ht="18" x14ac:dyDescent="0.35">
      <c r="A75" s="2"/>
      <c r="B75" s="30"/>
      <c r="C75" s="30"/>
      <c r="D75" s="68" t="s">
        <v>25</v>
      </c>
      <c r="E75" s="69">
        <f>'4637'!G8</f>
        <v>4137</v>
      </c>
      <c r="F75" s="30"/>
      <c r="G75" s="30"/>
      <c r="H75" s="30"/>
    </row>
    <row r="76" spans="1:10" ht="17.25" customHeight="1" x14ac:dyDescent="0.35">
      <c r="A76" s="2"/>
      <c r="B76" s="30"/>
      <c r="C76" s="30"/>
      <c r="D76" s="70" t="s">
        <v>64</v>
      </c>
      <c r="E76" s="71" t="str">
        <f>'4637'!C10</f>
        <v>FRANCISCO MORENO</v>
      </c>
      <c r="F76" s="46"/>
      <c r="G76" s="46"/>
      <c r="H76" s="30"/>
    </row>
    <row r="77" spans="1:10" ht="4.5" customHeight="1" x14ac:dyDescent="0.35">
      <c r="A77" s="2"/>
      <c r="B77" s="30"/>
      <c r="C77" s="30"/>
      <c r="D77" s="72"/>
      <c r="E77" s="73"/>
      <c r="F77" s="30"/>
      <c r="G77" s="30"/>
      <c r="H77" s="30"/>
    </row>
    <row r="78" spans="1:10" ht="18" x14ac:dyDescent="0.35">
      <c r="A78" s="2"/>
      <c r="B78" s="30"/>
      <c r="C78" s="30"/>
      <c r="D78" s="74" t="str">
        <f>'4637'!F11</f>
        <v>FECHA LIMITE :</v>
      </c>
      <c r="E78" s="75">
        <f>'4637'!G11</f>
        <v>45632</v>
      </c>
      <c r="F78" s="30"/>
      <c r="G78" s="30"/>
      <c r="H78" s="30"/>
    </row>
    <row r="79" spans="1:10" ht="18" x14ac:dyDescent="0.35">
      <c r="A79" s="2"/>
      <c r="B79" s="30"/>
      <c r="C79" s="30"/>
      <c r="D79" s="30"/>
      <c r="E79" s="30"/>
      <c r="F79" s="30"/>
      <c r="G79" s="30" t="s">
        <v>137</v>
      </c>
      <c r="H79" s="30"/>
    </row>
    <row r="80" spans="1:10" ht="18" x14ac:dyDescent="0.35">
      <c r="A80" s="2"/>
      <c r="B80" s="30"/>
      <c r="C80" s="30"/>
      <c r="D80" s="30"/>
      <c r="E80" s="30"/>
      <c r="F80" s="30"/>
      <c r="G80" s="30"/>
      <c r="H80" s="30"/>
    </row>
    <row r="81" spans="1:13" ht="18" x14ac:dyDescent="0.35">
      <c r="A81" s="2"/>
      <c r="B81" s="126" t="s">
        <v>65</v>
      </c>
      <c r="C81" s="126"/>
      <c r="D81" s="126"/>
      <c r="E81" s="126"/>
      <c r="F81" s="126"/>
      <c r="G81" s="126"/>
      <c r="H81" s="30"/>
    </row>
    <row r="82" spans="1:13" ht="18" x14ac:dyDescent="0.35">
      <c r="A82" s="2"/>
      <c r="B82" s="30"/>
      <c r="C82" s="30"/>
      <c r="D82" s="30"/>
      <c r="E82" s="30"/>
      <c r="F82" s="30"/>
      <c r="G82" s="30"/>
      <c r="H82" s="30"/>
    </row>
    <row r="83" spans="1:13" ht="20.100000000000001" customHeight="1" x14ac:dyDescent="0.35">
      <c r="A83" s="2"/>
      <c r="B83" s="30"/>
      <c r="C83" s="127" t="s">
        <v>66</v>
      </c>
      <c r="D83" s="128"/>
      <c r="E83" s="129"/>
      <c r="F83" s="129"/>
      <c r="G83" s="130"/>
      <c r="H83" s="30"/>
      <c r="I83" s="25" t="s">
        <v>130</v>
      </c>
    </row>
    <row r="84" spans="1:13" s="10" customFormat="1" ht="20.100000000000001" customHeight="1" x14ac:dyDescent="0.35">
      <c r="A84" s="113"/>
      <c r="B84" s="30"/>
      <c r="C84" s="78" t="s">
        <v>9</v>
      </c>
      <c r="D84" s="79" t="s">
        <v>10</v>
      </c>
      <c r="E84" s="82" t="s">
        <v>6</v>
      </c>
      <c r="F84" s="82" t="s">
        <v>7</v>
      </c>
      <c r="G84" s="80" t="s">
        <v>11</v>
      </c>
      <c r="H84" s="30"/>
      <c r="K84" s="10">
        <v>15000</v>
      </c>
    </row>
    <row r="85" spans="1:13" s="10" customFormat="1" ht="20.100000000000001" customHeight="1" x14ac:dyDescent="0.35">
      <c r="A85" s="112">
        <v>1</v>
      </c>
      <c r="B85" s="95" t="s">
        <v>134</v>
      </c>
      <c r="C85" s="90">
        <f>'4637'!B21</f>
        <v>2</v>
      </c>
      <c r="D85" s="90" t="str">
        <f>'4637'!C21</f>
        <v>PR2</v>
      </c>
      <c r="E85" s="94">
        <f>'4637'!D21</f>
        <v>850</v>
      </c>
      <c r="F85" s="94">
        <f>'4637'!E21</f>
        <v>447</v>
      </c>
      <c r="G85" s="90" t="str">
        <f>'4637'!F21</f>
        <v>PLATINUM  21059 SF</v>
      </c>
      <c r="H85" s="30"/>
      <c r="I85" s="10">
        <f>E85*F85/1000000</f>
        <v>0.37995000000000001</v>
      </c>
      <c r="J85" s="10">
        <f>I85*C85</f>
        <v>0.75990000000000002</v>
      </c>
      <c r="K85" s="26">
        <f>J85*K$84</f>
        <v>11398.5</v>
      </c>
      <c r="M85" s="24">
        <v>12096</v>
      </c>
    </row>
    <row r="86" spans="1:13" s="10" customFormat="1" ht="20.100000000000001" customHeight="1" x14ac:dyDescent="0.35">
      <c r="A86" s="112">
        <v>2</v>
      </c>
      <c r="B86" s="95"/>
      <c r="C86" s="90">
        <f>'4637'!B22</f>
        <v>2</v>
      </c>
      <c r="D86" s="90" t="str">
        <f>'4637'!C22</f>
        <v>PR2</v>
      </c>
      <c r="E86" s="94">
        <f>'4637'!D22</f>
        <v>700</v>
      </c>
      <c r="F86" s="94">
        <f>'4637'!E22</f>
        <v>297</v>
      </c>
      <c r="G86" s="90" t="str">
        <f>'4637'!F22</f>
        <v>PLATINUM  21059 SF</v>
      </c>
      <c r="H86" s="30"/>
      <c r="K86" s="26"/>
      <c r="M86" s="29"/>
    </row>
    <row r="87" spans="1:13" s="10" customFormat="1" ht="20.100000000000001" customHeight="1" x14ac:dyDescent="0.35">
      <c r="A87" s="112">
        <v>3</v>
      </c>
      <c r="C87" s="90">
        <f>'4637'!B23</f>
        <v>2</v>
      </c>
      <c r="D87" s="90" t="str">
        <f>'4637'!C23</f>
        <v>PR2</v>
      </c>
      <c r="E87" s="94">
        <f>'4637'!D23</f>
        <v>450</v>
      </c>
      <c r="F87" s="94">
        <f>'4637'!E23</f>
        <v>323</v>
      </c>
      <c r="G87" s="90" t="str">
        <f>'4637'!F23</f>
        <v>PLATINUM  21059 SF</v>
      </c>
      <c r="H87" s="30"/>
      <c r="K87" s="26"/>
      <c r="M87" s="29"/>
    </row>
    <row r="88" spans="1:13" s="10" customFormat="1" ht="20.100000000000001" customHeight="1" x14ac:dyDescent="0.35">
      <c r="A88" s="112">
        <v>4</v>
      </c>
      <c r="B88" s="95"/>
      <c r="C88" s="90">
        <f>'4637'!B24</f>
        <v>1</v>
      </c>
      <c r="D88" s="90" t="str">
        <f>'4637'!C24</f>
        <v>PR2</v>
      </c>
      <c r="E88" s="94">
        <f>'4637'!D24</f>
        <v>850</v>
      </c>
      <c r="F88" s="94">
        <f>'4637'!E24</f>
        <v>467</v>
      </c>
      <c r="G88" s="90" t="str">
        <f>'4637'!F24</f>
        <v>PLATINUM  21059 SF</v>
      </c>
      <c r="H88" s="30"/>
      <c r="K88" s="26"/>
      <c r="M88" s="29"/>
    </row>
    <row r="89" spans="1:13" s="10" customFormat="1" ht="20.100000000000001" customHeight="1" x14ac:dyDescent="0.35">
      <c r="A89" s="112">
        <v>5</v>
      </c>
      <c r="B89" s="95"/>
      <c r="C89" s="90">
        <f>'4637'!B25</f>
        <v>2</v>
      </c>
      <c r="D89" s="90" t="str">
        <f>'4637'!C25</f>
        <v>PR2</v>
      </c>
      <c r="E89" s="94">
        <f>'4637'!D25</f>
        <v>500</v>
      </c>
      <c r="F89" s="94">
        <f>'4637'!E25</f>
        <v>473</v>
      </c>
      <c r="G89" s="90" t="str">
        <f>'4637'!F25</f>
        <v>PLATINUM  21059 SF</v>
      </c>
      <c r="H89" s="30"/>
      <c r="K89" s="26"/>
      <c r="M89" s="29"/>
    </row>
    <row r="90" spans="1:13" s="10" customFormat="1" ht="20.100000000000001" customHeight="1" x14ac:dyDescent="0.35">
      <c r="A90" s="112">
        <v>6</v>
      </c>
      <c r="B90" s="95"/>
      <c r="C90" s="90">
        <f>'4637'!B26</f>
        <v>2</v>
      </c>
      <c r="D90" s="90" t="str">
        <f>'4637'!C26</f>
        <v>PR2</v>
      </c>
      <c r="E90" s="94">
        <f>'4637'!D26</f>
        <v>700</v>
      </c>
      <c r="F90" s="94">
        <f>'4637'!E26</f>
        <v>447</v>
      </c>
      <c r="G90" s="90" t="str">
        <f>'4637'!F26</f>
        <v>PLATINUM  21059 SF</v>
      </c>
      <c r="H90" s="30"/>
      <c r="K90" s="26"/>
      <c r="M90" s="29"/>
    </row>
    <row r="91" spans="1:13" s="10" customFormat="1" ht="20.100000000000001" customHeight="1" x14ac:dyDescent="0.35">
      <c r="A91" s="112">
        <v>7</v>
      </c>
      <c r="B91" s="95"/>
      <c r="C91" s="90">
        <f>'4637'!B27</f>
        <v>1</v>
      </c>
      <c r="D91" s="90" t="str">
        <f>'4637'!C27</f>
        <v>PR2</v>
      </c>
      <c r="E91" s="94">
        <f>'4637'!D27</f>
        <v>800</v>
      </c>
      <c r="F91" s="94">
        <f>'4637'!E27</f>
        <v>377</v>
      </c>
      <c r="G91" s="90" t="str">
        <f>'4637'!F27</f>
        <v>PLATINUM  21059 SF</v>
      </c>
      <c r="H91" s="30"/>
      <c r="K91" s="26"/>
      <c r="M91" s="29"/>
    </row>
    <row r="92" spans="1:13" s="10" customFormat="1" ht="20.100000000000001" customHeight="1" x14ac:dyDescent="0.35">
      <c r="A92" s="112">
        <v>8</v>
      </c>
      <c r="B92" s="95"/>
      <c r="C92" s="90">
        <f>'4637'!B28</f>
        <v>1</v>
      </c>
      <c r="D92" s="90" t="str">
        <f>'4637'!C28</f>
        <v>PR2</v>
      </c>
      <c r="E92" s="94">
        <f>'4637'!D28</f>
        <v>700</v>
      </c>
      <c r="F92" s="94">
        <f>'4637'!E28</f>
        <v>147</v>
      </c>
      <c r="G92" s="90" t="str">
        <f>'4637'!F28</f>
        <v>PLATINUM  21059 SF</v>
      </c>
      <c r="H92" s="30"/>
      <c r="K92" s="26"/>
      <c r="M92" s="29"/>
    </row>
    <row r="93" spans="1:13" s="10" customFormat="1" ht="20.100000000000001" customHeight="1" x14ac:dyDescent="0.35">
      <c r="A93" s="112">
        <v>9</v>
      </c>
      <c r="B93" s="95"/>
      <c r="C93" s="90">
        <f>'4637'!B29</f>
        <v>1</v>
      </c>
      <c r="D93" s="90" t="str">
        <f>'4637'!C29</f>
        <v>PR2</v>
      </c>
      <c r="E93" s="94">
        <f>'4637'!D29</f>
        <v>150</v>
      </c>
      <c r="F93" s="94">
        <f>'4637'!E29</f>
        <v>597</v>
      </c>
      <c r="G93" s="90" t="str">
        <f>'4637'!F29</f>
        <v>PLATINUM  21059 SF</v>
      </c>
      <c r="H93" s="30"/>
      <c r="K93" s="26"/>
      <c r="M93" s="29"/>
    </row>
    <row r="94" spans="1:13" s="10" customFormat="1" ht="20.100000000000001" customHeight="1" x14ac:dyDescent="0.35">
      <c r="A94" s="112">
        <v>10</v>
      </c>
      <c r="B94" s="95"/>
      <c r="C94" s="90">
        <f>'4637'!B30</f>
        <v>1</v>
      </c>
      <c r="D94" s="90" t="str">
        <f>'4637'!C30</f>
        <v>PR2</v>
      </c>
      <c r="E94" s="94">
        <f>'4637'!D30</f>
        <v>700</v>
      </c>
      <c r="F94" s="94">
        <f>'4637'!E30</f>
        <v>247</v>
      </c>
      <c r="G94" s="90" t="str">
        <f>'4637'!F30</f>
        <v>PLATINUM  21059 SF</v>
      </c>
      <c r="H94" s="30"/>
      <c r="K94" s="26"/>
      <c r="M94" s="29"/>
    </row>
    <row r="95" spans="1:13" s="10" customFormat="1" ht="20.100000000000001" customHeight="1" x14ac:dyDescent="0.35">
      <c r="A95" s="112">
        <v>11</v>
      </c>
      <c r="B95" s="95"/>
      <c r="C95" s="90">
        <f>'4637'!B31</f>
        <v>2</v>
      </c>
      <c r="D95" s="90" t="str">
        <f>'4637'!C31</f>
        <v>PR2</v>
      </c>
      <c r="E95" s="94">
        <f>'4637'!D31</f>
        <v>700</v>
      </c>
      <c r="F95" s="94">
        <f>'4637'!E31</f>
        <v>383</v>
      </c>
      <c r="G95" s="90" t="str">
        <f>'4637'!F31</f>
        <v>PLATINUM  21059 SF</v>
      </c>
      <c r="H95" s="30"/>
      <c r="K95" s="26"/>
      <c r="M95" s="29"/>
    </row>
    <row r="96" spans="1:13" s="10" customFormat="1" ht="20.100000000000001" customHeight="1" x14ac:dyDescent="0.35">
      <c r="A96" s="112">
        <v>12</v>
      </c>
      <c r="B96" s="95"/>
      <c r="C96" s="90">
        <f>'4637'!B32</f>
        <v>1</v>
      </c>
      <c r="D96" s="90" t="str">
        <f>'4637'!C32</f>
        <v>PR2</v>
      </c>
      <c r="E96" s="94">
        <f>'4637'!D32</f>
        <v>800</v>
      </c>
      <c r="F96" s="94">
        <f>'4637'!E32</f>
        <v>600</v>
      </c>
      <c r="G96" s="90" t="str">
        <f>'4637'!F32</f>
        <v>PLATINUM  21059 SF</v>
      </c>
      <c r="H96" s="30"/>
      <c r="K96" s="26"/>
      <c r="M96" s="29"/>
    </row>
    <row r="97" spans="1:13" s="10" customFormat="1" ht="20.100000000000001" customHeight="1" x14ac:dyDescent="0.35">
      <c r="A97" s="112">
        <v>13</v>
      </c>
      <c r="B97" s="95"/>
      <c r="C97" s="90">
        <f>'4637'!B33</f>
        <v>4</v>
      </c>
      <c r="D97" s="90" t="str">
        <f>'4637'!C33</f>
        <v>PR2</v>
      </c>
      <c r="E97" s="94">
        <f>'4637'!D33</f>
        <v>700</v>
      </c>
      <c r="F97" s="94">
        <f>'4637'!E33</f>
        <v>413</v>
      </c>
      <c r="G97" s="90" t="str">
        <f>'4637'!F33</f>
        <v>PLATINUM  21059 SF</v>
      </c>
      <c r="H97" s="30"/>
      <c r="K97" s="26"/>
      <c r="M97" s="29"/>
    </row>
    <row r="98" spans="1:13" s="10" customFormat="1" ht="15" customHeight="1" x14ac:dyDescent="0.35">
      <c r="B98" s="77"/>
      <c r="C98" s="60"/>
      <c r="D98" s="60"/>
      <c r="E98" s="60"/>
      <c r="F98" s="60"/>
      <c r="G98" s="60"/>
      <c r="H98" s="30"/>
    </row>
    <row r="99" spans="1:13" ht="18" x14ac:dyDescent="0.35">
      <c r="B99" s="67"/>
      <c r="C99" s="67"/>
      <c r="D99" s="30"/>
      <c r="E99" s="67"/>
      <c r="F99" s="67"/>
      <c r="G99" s="72"/>
      <c r="H99" s="30"/>
    </row>
    <row r="100" spans="1:13" ht="18" x14ac:dyDescent="0.35">
      <c r="B100" s="67"/>
      <c r="C100" s="67"/>
      <c r="D100" s="30"/>
      <c r="E100" s="67"/>
      <c r="F100" s="67"/>
      <c r="G100" s="67"/>
      <c r="H100" s="30"/>
      <c r="J100" s="10">
        <f>SUM(J85:J85)</f>
        <v>0.75990000000000002</v>
      </c>
      <c r="K100" s="27">
        <f>SUM(K85:K85)</f>
        <v>11398.5</v>
      </c>
    </row>
    <row r="101" spans="1:13" ht="18" x14ac:dyDescent="0.35">
      <c r="B101" s="30"/>
      <c r="C101" s="30"/>
      <c r="D101" s="30"/>
      <c r="E101" s="30"/>
      <c r="F101" s="30"/>
      <c r="G101" s="30"/>
      <c r="H101" s="30"/>
    </row>
    <row r="102" spans="1:13" ht="18" x14ac:dyDescent="0.35">
      <c r="B102" s="30"/>
      <c r="C102" s="30"/>
      <c r="D102" s="30"/>
      <c r="E102" s="30"/>
      <c r="F102" s="30"/>
      <c r="G102" s="30"/>
      <c r="H102" s="30"/>
    </row>
    <row r="103" spans="1:13" ht="18" x14ac:dyDescent="0.35">
      <c r="B103" s="30"/>
      <c r="C103" s="30"/>
      <c r="D103" s="30"/>
      <c r="E103" s="30"/>
      <c r="F103" s="30"/>
      <c r="G103" s="30"/>
      <c r="H103" s="30"/>
    </row>
    <row r="104" spans="1:13" ht="15" customHeight="1" x14ac:dyDescent="0.35">
      <c r="B104" s="30"/>
      <c r="C104" s="30"/>
      <c r="D104" s="30"/>
      <c r="E104" s="30"/>
      <c r="F104" s="30"/>
      <c r="G104" s="30"/>
      <c r="H104" s="30"/>
    </row>
    <row r="105" spans="1:13" ht="18" x14ac:dyDescent="0.35">
      <c r="B105" s="30"/>
      <c r="C105" s="30"/>
      <c r="D105" s="30"/>
      <c r="E105" s="30"/>
      <c r="F105" s="30"/>
      <c r="G105" s="30"/>
      <c r="H105" s="30"/>
    </row>
    <row r="106" spans="1:13" ht="18" x14ac:dyDescent="0.35">
      <c r="B106" s="67"/>
      <c r="C106" s="81"/>
      <c r="D106" s="30"/>
      <c r="E106" s="30"/>
      <c r="F106" s="30"/>
      <c r="G106" s="30"/>
      <c r="H106" s="30"/>
    </row>
    <row r="107" spans="1:13" ht="18" x14ac:dyDescent="0.35">
      <c r="B107" s="30"/>
      <c r="C107" s="30"/>
      <c r="D107" s="30"/>
      <c r="E107" s="30"/>
      <c r="F107" s="30"/>
      <c r="G107" s="30"/>
      <c r="H107" s="30"/>
    </row>
    <row r="108" spans="1:13" x14ac:dyDescent="0.3">
      <c r="C108" s="14"/>
      <c r="D108" s="14"/>
      <c r="F108" s="14"/>
      <c r="G108" s="14"/>
    </row>
    <row r="109" spans="1:13" x14ac:dyDescent="0.3">
      <c r="C109" s="14"/>
      <c r="D109" s="14"/>
      <c r="F109" s="14"/>
      <c r="G109" s="14"/>
    </row>
  </sheetData>
  <mergeCells count="6">
    <mergeCell ref="N3:O3"/>
    <mergeCell ref="B29:G29"/>
    <mergeCell ref="B10:G10"/>
    <mergeCell ref="B81:G81"/>
    <mergeCell ref="C83:G83"/>
    <mergeCell ref="L3:M3"/>
  </mergeCells>
  <phoneticPr fontId="8" type="noConversion"/>
  <pageMargins left="0.70866141732283472" right="0.70866141732283472" top="0.74803149606299213" bottom="0.74803149606299213" header="0.31496062992125984" footer="0.31496062992125984"/>
  <pageSetup scale="56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2024-11-28T21:30:06Z</cp:lastPrinted>
  <dcterms:created xsi:type="dcterms:W3CDTF">2013-03-19T12:54:14Z</dcterms:created>
  <dcterms:modified xsi:type="dcterms:W3CDTF">2024-11-28T21:30:43Z</dcterms:modified>
</cp:coreProperties>
</file>