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26D40A34-B5A7-4137-AF15-6DAA205648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30" i="3"/>
  <c r="I23" i="3" s="1"/>
  <c r="B23" i="3" s="1"/>
  <c r="C30" i="3"/>
  <c r="F23" i="3" s="1"/>
  <c r="D30" i="3"/>
  <c r="J23" i="3" s="1"/>
  <c r="E30" i="3"/>
  <c r="K23" i="3" s="1"/>
  <c r="E23" i="3" s="1"/>
  <c r="F30" i="3"/>
  <c r="B52" i="3"/>
  <c r="C52" i="3"/>
  <c r="D52" i="3"/>
  <c r="E52" i="3"/>
  <c r="F52" i="3"/>
  <c r="I15" i="3" l="1"/>
  <c r="B15" i="3" s="1"/>
  <c r="K15" i="3"/>
  <c r="E15" i="3" s="1"/>
  <c r="J15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1" i="3"/>
  <c r="C51" i="3"/>
  <c r="D51" i="3"/>
  <c r="E51" i="3"/>
  <c r="F51" i="3"/>
  <c r="H25" i="4"/>
  <c r="K22" i="3" l="1"/>
  <c r="K14" i="3" s="1"/>
  <c r="E14" i="3" s="1"/>
  <c r="D22" i="3"/>
  <c r="J14" i="3"/>
  <c r="D14" i="3" s="1"/>
  <c r="B22" i="3"/>
  <c r="F22" i="3"/>
  <c r="E22" i="3" l="1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<sst xmlns="http://schemas.openxmlformats.org/spreadsheetml/2006/main" count="249" uniqueCount="145">
  <si>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</si>
  <si>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</si>
  <si>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</si>
  <si>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</si>
  <si>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</si>
  <si>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</si>
  <si>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</si>
  <si>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</si>
  <si>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</si>
  <si>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</si>
  <si>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</si>
  <si>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</si>
  <si>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</si>
  <si>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</si>
  <si>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</si>
  <si>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</si>
  <si>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</si>
  <si>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</si>
  <si>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</si>
  <si>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</si>
  <si>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</si>
  <si>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</si>
  <si>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</si>
  <si>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</si>
  <si>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</si>
  <si>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</si>
  <si>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</si>
  <si>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</si>
  <si>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</si>
  <si>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</si>
  <si>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</si>
  <si>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</si>
  <si>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</si>
  <si>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</si>
  <si>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</si>
  <si>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</si>
  <si>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</si>
  <si>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</si>
  <si>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</si>
  <si>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</si>
  <si>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</si>
  <si>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</si>
  <si>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</si>
  <si>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</si>
  <si>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</si>
  <si>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</si>
  <si>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</si>
  <si>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</si>
  <si>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</si>
  <si>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</si>
  <si>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</si>
  <si>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</si>
  <si>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</si>
  <si>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</si>
  <si>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</si>
  <si>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</si>
  <si>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</si>
  <si>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</si>
  <si>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</si>
  <si>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</si>
  <si>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</si>
  <si>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</si>
  <si>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</si>
  <si>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</si>
  <si>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</si>
  <si>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</si>
  <si>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</si>
  <si>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</si>
  <si>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</si>
  <si>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</si>
  <si>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</si>
  <si>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</si>
  <si>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</si>
  <si>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</si>
  <si>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</si>
  <si>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</si>
  <si>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</si>
  <si>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</si>
  <si>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</si>
  <si>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</si>
  <si>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</si>
  <si>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</si>
  <si>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</si>
  <si>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</si>
  <si>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</si>
  <si>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</si>
  <si>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</si>
  <si>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</si>
  <si>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</si>
  <si>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</si>
  <si>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</si>
  <si>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</si>
  <si>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</si>
  <si>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</si>
  <si>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</si>
  <si>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</si>
  <si>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</si>
  <si>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</si>
  <si>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</si>
  <si>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</si>
  <si>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</si>
  <si>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</si>
  <si>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</si>
  <si>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</si>
  <si>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</si>
  <si>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</si>
  <si>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</si>
  <si>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</si>
  <si>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</si>
  <si>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</si>
  <si>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</si>
  <si>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</si>
  <si>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</si>
  <si>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</si>
  <si>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</si>
  <si>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</si>
  <si>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</si>
  <si>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</si>
  <si>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</si>
  <si>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</si>
  <si>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</si>
  <si>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</si>
  <si>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</si>
  <si>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</si>
  <si>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</si>
  <si>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</si>
  <si>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</si>
  <si>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</si>
  <si>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</si>
  <si>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</si>
  <si>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</si>
  <si>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</si>
  <si>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</si>
  <si>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</si>
  <si>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</si>
  <si>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</si>
  <si>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</si>
  <si>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</si>
  <si>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</si>
  <si>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</si>
  <si>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</si>
  <si>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</si>
  <si>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11855</t>
  </si>
  <si>
    <t>CUB MESA  90° R8 2 LADOS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</si>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</sst>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565543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M11" sqref="M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46051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23858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2</v>
      </c>
      <c r="C21" s="102" t="s">
        <v>143</v>
      </c>
      <c r="D21" s="104">
        <v>2000</v>
      </c>
      <c r="E21" s="104">
        <v>1000</v>
      </c>
      <c r="F21" s="102" t="s">
        <v>144</v>
      </c>
      <c r="G21" s="103">
        <v>95786</v>
      </c>
      <c r="H21" s="103">
        <f t="shared" ref="H21:H22" si="0">G21*B21</f>
        <v>191572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3</v>
      </c>
      <c r="C22" s="102" t="s">
        <v>141</v>
      </c>
      <c r="D22" s="104">
        <v>3000</v>
      </c>
      <c r="E22" s="104">
        <v>650</v>
      </c>
      <c r="F22" s="102" t="s">
        <v>144</v>
      </c>
      <c r="G22" s="103">
        <v>92307</v>
      </c>
      <c r="H22" s="103">
        <f t="shared" si="0"/>
        <v>276921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/>
      <c r="C23" s="108"/>
      <c r="D23" s="109"/>
      <c r="E23" s="109"/>
      <c r="F23" s="108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468493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89013.67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557506.67000000004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27" zoomScaleNormal="100" workbookViewId="0">
      <selection activeCell="A39" sqref="A39:F6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7372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2</v>
      </c>
      <c r="C14" s="25"/>
      <c r="D14" s="25">
        <f>J14+80</f>
        <v>2080</v>
      </c>
      <c r="E14" s="35">
        <f>K14</f>
        <v>1000</v>
      </c>
      <c r="F14" s="99" t="str">
        <f>C29</f>
        <v>CUB MESA  90° R8 2 LADOS</v>
      </c>
      <c r="G14" s="1"/>
      <c r="I14" s="89">
        <f t="shared" ref="I14:K15" si="1">I22</f>
        <v>2</v>
      </c>
      <c r="J14" s="4">
        <f t="shared" si="1"/>
        <v>2000</v>
      </c>
      <c r="K14" s="4">
        <f t="shared" si="1"/>
        <v>1000</v>
      </c>
    </row>
    <row r="15" spans="1:14" ht="15.6" x14ac:dyDescent="0.3">
      <c r="A15" s="95"/>
      <c r="B15" s="25">
        <f t="shared" ref="B15" si="2">I15</f>
        <v>3</v>
      </c>
      <c r="C15" s="25"/>
      <c r="D15" s="25">
        <v>3100</v>
      </c>
      <c r="E15" s="35">
        <f>K15+E$13</f>
        <v>620</v>
      </c>
      <c r="F15" s="99" t="str">
        <f>C30</f>
        <v>CUB C/R 90° R8</v>
      </c>
      <c r="G15" s="1"/>
      <c r="I15" s="89">
        <f t="shared" si="1"/>
        <v>3</v>
      </c>
      <c r="J15" s="4">
        <f t="shared" si="1"/>
        <v>3000</v>
      </c>
      <c r="K15" s="4">
        <f t="shared" si="1"/>
        <v>650</v>
      </c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2</v>
      </c>
      <c r="C22" s="16"/>
      <c r="D22" s="16">
        <f>J22+D$21</f>
        <v>2040</v>
      </c>
      <c r="E22" s="16">
        <f>K22+E$21</f>
        <v>1130</v>
      </c>
      <c r="F22" s="100" t="str">
        <f>C29</f>
        <v>CUB MESA  90° R8 2 LADOS</v>
      </c>
      <c r="G22" s="1"/>
      <c r="I22" s="3">
        <f>B29</f>
        <v>2</v>
      </c>
      <c r="J22" s="4">
        <f>D29</f>
        <v>2000</v>
      </c>
      <c r="K22" s="4">
        <f t="shared" ref="K22" si="4">E29</f>
        <v>1000</v>
      </c>
    </row>
    <row r="23" spans="1:11" ht="15.6" x14ac:dyDescent="0.3">
      <c r="A23" s="95"/>
      <c r="B23" s="16">
        <f t="shared" ref="B23" si="5">I23</f>
        <v>3</v>
      </c>
      <c r="C23" s="16"/>
      <c r="D23" s="16">
        <v>3080</v>
      </c>
      <c r="E23" s="16">
        <f>K23+E$21</f>
        <v>780</v>
      </c>
      <c r="F23" s="100" t="str">
        <f>C30</f>
        <v>CUB C/R 90° R8</v>
      </c>
      <c r="G23" s="1"/>
      <c r="I23" s="3">
        <f>B30</f>
        <v>3</v>
      </c>
      <c r="J23" s="4">
        <f>D30</f>
        <v>3000</v>
      </c>
      <c r="K23" s="4">
        <f t="shared" ref="K23" si="6">E30</f>
        <v>650</v>
      </c>
    </row>
    <row r="24" spans="1:11" ht="15.6" x14ac:dyDescent="0.3">
      <c r="A24" s="95"/>
      <c r="B24" s="6"/>
      <c r="C24" s="6"/>
      <c r="D24" s="6"/>
      <c r="E24" s="6"/>
      <c r="F24" s="107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5" t="s">
        <v>140</v>
      </c>
      <c r="B29" s="25">
        <f>'4637'!B21</f>
        <v>2</v>
      </c>
      <c r="C29" s="99" t="str">
        <f>'4637'!C21</f>
        <v>CUB MESA  90° R8 2 LADOS</v>
      </c>
      <c r="D29" s="25">
        <f>'4637'!D21</f>
        <v>2000</v>
      </c>
      <c r="E29" s="25">
        <f>'4637'!E21</f>
        <v>1000</v>
      </c>
      <c r="F29" s="25" t="str">
        <f>'4637'!F21</f>
        <v>BLANCO 2114 MT</v>
      </c>
      <c r="G29" s="1"/>
    </row>
    <row r="30" spans="1:11" ht="15.6" x14ac:dyDescent="0.3">
      <c r="A30" s="95"/>
      <c r="B30" s="25">
        <f>'4637'!B22</f>
        <v>3</v>
      </c>
      <c r="C30" s="99" t="str">
        <f>'4637'!C22</f>
        <v>CUB C/R 90° R8</v>
      </c>
      <c r="D30" s="25">
        <f>'4637'!D22</f>
        <v>3000</v>
      </c>
      <c r="E30" s="25">
        <f>'4637'!E22</f>
        <v>650</v>
      </c>
      <c r="F30" s="25" t="str">
        <f>'4637'!F22</f>
        <v>BLANCO 2114 MT</v>
      </c>
      <c r="G30" s="1"/>
    </row>
    <row r="31" spans="1:11" ht="15.6" x14ac:dyDescent="0.3">
      <c r="A31" s="95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7372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140</v>
      </c>
      <c r="B51" s="38">
        <f>'4637'!B21</f>
        <v>2</v>
      </c>
      <c r="C51" s="98" t="str">
        <f>'4637'!C21</f>
        <v>CUB MESA  90° R8 2 LADOS</v>
      </c>
      <c r="D51" s="39">
        <f>'4637'!D21</f>
        <v>2000</v>
      </c>
      <c r="E51" s="39">
        <f>'4637'!E21</f>
        <v>1000</v>
      </c>
      <c r="F51" s="38" t="str">
        <f>'4637'!F21</f>
        <v>BLANCO 2114 MT</v>
      </c>
      <c r="G51" s="1"/>
    </row>
    <row r="52" spans="1:7" s="15" customFormat="1" ht="15" customHeight="1" x14ac:dyDescent="0.3">
      <c r="A52" s="95"/>
      <c r="B52" s="38">
        <f>'4637'!B22</f>
        <v>3</v>
      </c>
      <c r="C52" s="98" t="str">
        <f>'4637'!C22</f>
        <v>CUB C/R 90° R8</v>
      </c>
      <c r="D52" s="39">
        <f>'4637'!D22</f>
        <v>3000</v>
      </c>
      <c r="E52" s="39">
        <f>'4637'!E22</f>
        <v>650</v>
      </c>
      <c r="F52" s="38" t="str">
        <f>'4637'!F22</f>
        <v>BLANCO 2114 MT</v>
      </c>
      <c r="G52" s="1"/>
    </row>
    <row r="53" spans="1:7" s="15" customFormat="1" ht="15" customHeight="1" x14ac:dyDescent="0.3">
      <c r="B53" s="52"/>
      <c r="C53" s="106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2026-02-03T12:40:46Z</cp:lastPrinted>
  <dcterms:created xsi:type="dcterms:W3CDTF">2013-03-19T12:54:14Z</dcterms:created>
  <dcterms:modified xsi:type="dcterms:W3CDTF">2026-02-03T12:40:53Z</dcterms:modified>
</cp:coreProperties>
</file>