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D7C5170F-69D4-4428-A877-AA781372DB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3" l="1"/>
  <c r="B30" i="3"/>
  <c r="I23" i="3" s="1"/>
  <c r="C30" i="3"/>
  <c r="F23" i="3" s="1"/>
  <c r="D30" i="3"/>
  <c r="J23" i="3" s="1"/>
  <c r="D23" i="3" s="1"/>
  <c r="E30" i="3"/>
  <c r="K23" i="3" s="1"/>
  <c r="F30" i="3"/>
  <c r="D51" i="3"/>
  <c r="E51" i="3"/>
  <c r="F51" i="3"/>
  <c r="D52" i="3"/>
  <c r="E52" i="3"/>
  <c r="F52" i="3"/>
  <c r="C52" i="3"/>
  <c r="H22" i="4"/>
  <c r="H21" i="4"/>
  <c r="H25" i="4" l="1"/>
  <c r="I15" i="3"/>
  <c r="B15" i="3" s="1"/>
  <c r="B23" i="3"/>
  <c r="J15" i="3"/>
  <c r="D15" i="3" s="1"/>
  <c r="K15" i="3"/>
  <c r="E15" i="3" s="1"/>
  <c r="E23" i="3"/>
  <c r="F15" i="3"/>
  <c r="B29" i="3"/>
  <c r="I22" i="3" s="1"/>
  <c r="I14" i="3" s="1"/>
  <c r="B14" i="3" s="1"/>
  <c r="C29" i="3"/>
  <c r="F14" i="3" s="1"/>
  <c r="D29" i="3"/>
  <c r="J22" i="3" s="1"/>
  <c r="E29" i="3"/>
  <c r="F29" i="3"/>
  <c r="B51" i="3"/>
  <c r="C51" i="3"/>
  <c r="K22" i="3" l="1"/>
  <c r="E22" i="3" s="1"/>
  <c r="D22" i="3"/>
  <c r="J14" i="3"/>
  <c r="D14" i="3" s="1"/>
  <c r="B22" i="3"/>
  <c r="F22" i="3"/>
  <c r="K14" i="3" l="1"/>
  <c r="E14" i="3" s="1"/>
  <c r="H26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<sst xmlns="http://schemas.openxmlformats.org/spreadsheetml/2006/main" count="245" uniqueCount="140">
  <si>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</si>
  <si>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</si>
  <si>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</si>
  <si>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</si>
  <si>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</si>
  <si>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</si>
  <si>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</si>
  <si>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</si>
  <si>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</si>
  <si>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</si>
  <si>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</si>
  <si>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</si>
  <si>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</si>
  <si>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</si>
  <si>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</si>
  <si>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</si>
  <si>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</si>
  <si>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</si>
  <si>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</si>
  <si>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</si>
  <si>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</si>
  <si>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</si>
  <si>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</si>
  <si>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</si>
  <si>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</si>
  <si>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</si>
  <si>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</si>
  <si>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</si>
  <si>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</si>
  <si>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</si>
  <si>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</si>
  <si>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</si>
  <si>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</si>
  <si>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</si>
  <si>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</si>
  <si>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</si>
  <si>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</si>
  <si>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</si>
  <si>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</si>
  <si>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</si>
  <si>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</si>
  <si>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</si>
  <si>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</si>
  <si>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</si>
  <si>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</si>
  <si>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</si>
  <si>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</si>
  <si>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</si>
  <si>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</si>
  <si>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</si>
  <si>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</si>
  <si>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</si>
  <si>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</si>
  <si>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</si>
  <si>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</si>
  <si>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</si>
  <si>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</si>
  <si>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</si>
  <si>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</si>
  <si>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</si>
  <si>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</si>
  <si>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</si>
  <si>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</si>
  <si>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</si>
  <si>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</si>
  <si>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</si>
  <si>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</si>
  <si>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</si>
  <si>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</si>
  <si>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</si>
  <si>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</si>
  <si>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</si>
  <si>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</si>
  <si>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</si>
  <si>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</si>
  <si>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</si>
  <si>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</si>
  <si>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</si>
  <si>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</si>
  <si>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</si>
  <si>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</si>
  <si>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</si>
  <si>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</si>
  <si>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</si>
  <si>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</si>
  <si>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</si>
  <si>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</si>
  <si>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</si>
  <si>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</si>
  <si>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</si>
  <si>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</si>
  <si>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</si>
  <si>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</si>
  <si>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</si>
  <si>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</si>
  <si>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</si>
  <si>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</si>
  <si>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</si>
  <si>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</si>
  <si>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</si>
  <si>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</si>
  <si>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</si>
  <si>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</si>
  <si>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</si>
  <si>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</si>
  <si>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</si>
  <si>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</si>
  <si>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</si>
  <si>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</si>
  <si>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</si>
  <si>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</si>
  <si>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</si>
  <si>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</si>
  <si>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</si>
  <si>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</si>
  <si>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</si>
  <si>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</si>
  <si>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</si>
  <si>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</si>
  <si>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</si>
  <si>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</si>
  <si>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</si>
  <si>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</si>
  <si>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</si>
  <si>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</si>
  <si>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</si>
  <si>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</si>
  <si>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</si>
  <si>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</si>
  <si>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</si>
  <si>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</si>
  <si>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</si>
  <si>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</si>
  <si>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</si>
  <si>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</si>
  <si>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</si>
  <si>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</si>
  <si>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</si>
  <si>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</si>
  <si>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>N° 11993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</si>
</sst>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556018</xdr:colOff>
      <xdr:row>45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11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>
        <v>7391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53" t="s">
        <v>129</v>
      </c>
      <c r="C10" s="84" t="s">
        <v>136</v>
      </c>
      <c r="D10" s="54"/>
      <c r="E10" s="54"/>
      <c r="F10" s="55" t="s">
        <v>28</v>
      </c>
      <c r="G10" s="56">
        <v>46071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58" t="s">
        <v>2</v>
      </c>
      <c r="C11" s="1"/>
      <c r="D11" s="59"/>
      <c r="E11" s="59"/>
      <c r="F11" s="59" t="s">
        <v>124</v>
      </c>
      <c r="G11" s="107"/>
      <c r="H11" s="60"/>
      <c r="I11" s="1"/>
    </row>
    <row r="12" spans="1:17" ht="16.2" thickBot="1" x14ac:dyDescent="0.35">
      <c r="A12" s="1"/>
      <c r="B12" s="61" t="s">
        <v>130</v>
      </c>
      <c r="D12" s="42"/>
      <c r="E12" s="42"/>
      <c r="F12" s="42" t="s">
        <v>30</v>
      </c>
      <c r="G12" s="62">
        <v>23972</v>
      </c>
      <c r="H12" s="63"/>
      <c r="I12" s="1"/>
    </row>
    <row r="13" spans="1:17" ht="15.6" x14ac:dyDescent="0.3">
      <c r="A13" s="1"/>
      <c r="B13" s="61" t="s">
        <v>132</v>
      </c>
      <c r="C13" s="84"/>
      <c r="D13" s="42"/>
      <c r="E13" s="42"/>
      <c r="F13" s="42" t="s">
        <v>128</v>
      </c>
      <c r="G13" s="62"/>
      <c r="H13" s="63"/>
      <c r="I13" s="1"/>
    </row>
    <row r="14" spans="1:17" ht="15.6" x14ac:dyDescent="0.3">
      <c r="A14" s="1"/>
      <c r="B14" s="58" t="s">
        <v>17</v>
      </c>
      <c r="C14" s="99"/>
      <c r="D14" s="64"/>
      <c r="E14" s="59"/>
      <c r="F14" s="59" t="s">
        <v>29</v>
      </c>
      <c r="G14" s="59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0">
        <v>1</v>
      </c>
      <c r="C21" s="100" t="s">
        <v>137</v>
      </c>
      <c r="D21" s="102">
        <v>1928</v>
      </c>
      <c r="E21" s="102">
        <v>500</v>
      </c>
      <c r="F21" s="100" t="s">
        <v>138</v>
      </c>
      <c r="G21" s="101">
        <v>50990</v>
      </c>
      <c r="H21" s="101">
        <f t="shared" ref="H21" si="0">G21*B21</f>
        <v>50990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0">
        <v>1</v>
      </c>
      <c r="C22" s="100" t="s">
        <v>137</v>
      </c>
      <c r="D22" s="102">
        <v>1000</v>
      </c>
      <c r="E22" s="102">
        <v>500</v>
      </c>
      <c r="F22" s="100" t="s">
        <v>138</v>
      </c>
      <c r="G22" s="101">
        <v>27425</v>
      </c>
      <c r="H22" s="101">
        <f>G22*B22</f>
        <v>27425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5"/>
      <c r="C23" s="105"/>
      <c r="D23" s="106"/>
      <c r="E23" s="106"/>
      <c r="F23" s="105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78415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14898.85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93313.85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27" zoomScaleNormal="100" workbookViewId="0">
      <selection activeCell="A39" sqref="A39:G63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8" t="s">
        <v>61</v>
      </c>
      <c r="L3" s="108"/>
      <c r="M3" s="108" t="s">
        <v>14</v>
      </c>
      <c r="N3" s="108"/>
    </row>
    <row r="4" spans="1:14" ht="15.75" customHeight="1" x14ac:dyDescent="0.3">
      <c r="A4" s="1"/>
      <c r="B4" s="1"/>
      <c r="C4" s="39" t="s">
        <v>27</v>
      </c>
      <c r="D4" s="14">
        <f>'4637'!G8</f>
        <v>7391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9" t="s">
        <v>61</v>
      </c>
      <c r="B10" s="109"/>
      <c r="C10" s="109"/>
      <c r="D10" s="109"/>
      <c r="E10" s="109"/>
      <c r="F10" s="10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2008</v>
      </c>
      <c r="E14" s="35">
        <f t="shared" ref="E14:E15" si="1">K14+$E$13</f>
        <v>470</v>
      </c>
      <c r="F14" s="97" t="str">
        <f>C29</f>
        <v>CUB C/R R8</v>
      </c>
      <c r="G14" s="1"/>
      <c r="I14" s="87">
        <f>I22</f>
        <v>1</v>
      </c>
      <c r="J14" s="4">
        <f>J22</f>
        <v>1928</v>
      </c>
      <c r="K14" s="4">
        <f>K22</f>
        <v>500</v>
      </c>
    </row>
    <row r="15" spans="1:14" ht="15.6" x14ac:dyDescent="0.3">
      <c r="A15" s="93"/>
      <c r="B15" s="25">
        <f t="shared" ref="B15" si="2">I15</f>
        <v>1</v>
      </c>
      <c r="C15" s="25"/>
      <c r="D15" s="25">
        <f t="shared" ref="D15" si="3">J15+$D$13</f>
        <v>1080</v>
      </c>
      <c r="E15" s="35">
        <f t="shared" si="1"/>
        <v>470</v>
      </c>
      <c r="F15" s="97" t="str">
        <f t="shared" ref="F15" si="4">C30</f>
        <v>CUB C/R R8</v>
      </c>
      <c r="G15" s="1"/>
      <c r="I15" s="87">
        <f t="shared" ref="I15:K15" si="5">I23</f>
        <v>1</v>
      </c>
      <c r="J15" s="4">
        <f t="shared" si="5"/>
        <v>1000</v>
      </c>
      <c r="K15" s="4">
        <f t="shared" si="5"/>
        <v>500</v>
      </c>
    </row>
    <row r="16" spans="1:14" ht="15.6" x14ac:dyDescent="0.3">
      <c r="A16" s="51"/>
      <c r="B16" s="6"/>
      <c r="C16" s="6"/>
      <c r="D16" s="6"/>
      <c r="E16" s="103"/>
      <c r="F16" s="6"/>
      <c r="G16" s="1"/>
      <c r="I16" s="87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09" t="s">
        <v>14</v>
      </c>
      <c r="B18" s="109"/>
      <c r="C18" s="109"/>
      <c r="D18" s="109"/>
      <c r="E18" s="109"/>
      <c r="F18" s="10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6">I22</f>
        <v>1</v>
      </c>
      <c r="C22" s="16"/>
      <c r="D22" s="16">
        <f>J22+D$21</f>
        <v>1968</v>
      </c>
      <c r="E22" s="16">
        <f>K22+E$21</f>
        <v>630</v>
      </c>
      <c r="F22" s="98" t="str">
        <f>C29</f>
        <v>CUB C/R R8</v>
      </c>
      <c r="G22" s="1"/>
      <c r="I22" s="3">
        <f>B29</f>
        <v>1</v>
      </c>
      <c r="J22" s="4">
        <f>D29</f>
        <v>1928</v>
      </c>
      <c r="K22" s="4">
        <f t="shared" ref="K22" si="7">E29</f>
        <v>500</v>
      </c>
    </row>
    <row r="23" spans="1:11" ht="15.6" x14ac:dyDescent="0.3">
      <c r="A23" s="93"/>
      <c r="B23" s="16">
        <f t="shared" ref="B23" si="8">I23</f>
        <v>1</v>
      </c>
      <c r="C23" s="16"/>
      <c r="D23" s="16">
        <f>J23+D$21</f>
        <v>1040</v>
      </c>
      <c r="E23" s="16">
        <f>K23+E$21</f>
        <v>630</v>
      </c>
      <c r="F23" s="98" t="str">
        <f t="shared" ref="F23" si="9">C30</f>
        <v>CUB C/R R8</v>
      </c>
      <c r="G23" s="1"/>
      <c r="I23" s="3">
        <f t="shared" ref="I23" si="10">B30</f>
        <v>1</v>
      </c>
      <c r="J23" s="4">
        <f t="shared" ref="J23" si="11">D30</f>
        <v>1000</v>
      </c>
      <c r="K23" s="4">
        <f t="shared" ref="K23" si="12">E30</f>
        <v>500</v>
      </c>
    </row>
    <row r="24" spans="1:11" ht="15.6" x14ac:dyDescent="0.3">
      <c r="A24" s="93"/>
      <c r="B24" s="6"/>
      <c r="C24" s="6"/>
      <c r="D24" s="6"/>
      <c r="E24" s="6"/>
      <c r="F24" s="104"/>
      <c r="G24" s="1"/>
      <c r="I24" s="87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6" t="s">
        <v>10</v>
      </c>
      <c r="C28" s="86" t="s">
        <v>110</v>
      </c>
      <c r="D28" s="86" t="s">
        <v>7</v>
      </c>
      <c r="E28" s="86" t="s">
        <v>8</v>
      </c>
      <c r="F28" s="86" t="s">
        <v>23</v>
      </c>
      <c r="G28" s="1"/>
    </row>
    <row r="29" spans="1:11" ht="15.6" x14ac:dyDescent="0.3">
      <c r="A29" s="93" t="s">
        <v>135</v>
      </c>
      <c r="B29" s="25">
        <f>'4637'!B21</f>
        <v>1</v>
      </c>
      <c r="C29" s="97" t="str">
        <f>'4637'!C21</f>
        <v>CUB C/R R8</v>
      </c>
      <c r="D29" s="25">
        <f>'4637'!D21</f>
        <v>1928</v>
      </c>
      <c r="E29" s="25">
        <f>'4637'!E21</f>
        <v>500</v>
      </c>
      <c r="F29" s="25" t="str">
        <f>'4637'!F21</f>
        <v>GLACIAL WHITE 22191 SF</v>
      </c>
      <c r="G29" s="1"/>
    </row>
    <row r="30" spans="1:11" ht="15.6" x14ac:dyDescent="0.3">
      <c r="A30" s="93"/>
      <c r="B30" s="25">
        <f>'4637'!B22</f>
        <v>1</v>
      </c>
      <c r="C30" s="97" t="str">
        <f>'4637'!C22</f>
        <v>CUB C/R R8</v>
      </c>
      <c r="D30" s="25">
        <f>'4637'!D22</f>
        <v>1000</v>
      </c>
      <c r="E30" s="25">
        <f>'4637'!E22</f>
        <v>500</v>
      </c>
      <c r="F30" s="25" t="str">
        <f>'4637'!F22</f>
        <v>GLACIAL WHITE 22191 SF</v>
      </c>
      <c r="G30" s="1"/>
    </row>
    <row r="31" spans="1:11" ht="15.6" x14ac:dyDescent="0.3">
      <c r="A31" s="93"/>
      <c r="B31" s="6"/>
      <c r="C31" s="104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9" t="s">
        <v>27</v>
      </c>
      <c r="D41" s="14">
        <f>'4637'!G8</f>
        <v>7391</v>
      </c>
      <c r="E41" s="1"/>
      <c r="F41" s="1"/>
      <c r="G41" s="1"/>
    </row>
    <row r="42" spans="1:7" ht="17.25" customHeight="1" x14ac:dyDescent="0.3">
      <c r="A42" s="1"/>
      <c r="B42" s="1"/>
      <c r="C42" s="40" t="s">
        <v>67</v>
      </c>
      <c r="D42" s="41" t="str">
        <f>'4637'!C10</f>
        <v>MUEBLES ASENJO</v>
      </c>
      <c r="E42" s="42"/>
      <c r="F42" s="42"/>
      <c r="G42" s="1"/>
    </row>
    <row r="43" spans="1:7" ht="4.5" customHeight="1" x14ac:dyDescent="0.3">
      <c r="A43" s="1"/>
      <c r="B43" s="1"/>
      <c r="C43" s="43"/>
      <c r="D43" s="44"/>
      <c r="E43" s="1"/>
      <c r="F43" s="1"/>
      <c r="G43" s="1"/>
    </row>
    <row r="44" spans="1:7" ht="15.6" x14ac:dyDescent="0.3">
      <c r="A44" s="1"/>
      <c r="B44" s="1"/>
      <c r="C44" s="45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09" t="s">
        <v>68</v>
      </c>
      <c r="B47" s="109"/>
      <c r="C47" s="109"/>
      <c r="D47" s="109"/>
      <c r="E47" s="109"/>
      <c r="F47" s="109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0" t="s">
        <v>69</v>
      </c>
      <c r="C49" s="111"/>
      <c r="D49" s="112"/>
      <c r="E49" s="112"/>
      <c r="F49" s="113"/>
      <c r="G49" s="1"/>
    </row>
    <row r="50" spans="1:7" s="15" customFormat="1" ht="12.75" customHeight="1" x14ac:dyDescent="0.3">
      <c r="A50" s="1"/>
      <c r="B50" s="36" t="s">
        <v>10</v>
      </c>
      <c r="C50" s="46" t="s">
        <v>11</v>
      </c>
      <c r="D50" s="47" t="s">
        <v>7</v>
      </c>
      <c r="E50" s="47" t="s">
        <v>8</v>
      </c>
      <c r="F50" s="48" t="s">
        <v>12</v>
      </c>
      <c r="G50" s="1"/>
    </row>
    <row r="51" spans="1:7" s="15" customFormat="1" ht="15" customHeight="1" x14ac:dyDescent="0.3">
      <c r="A51" s="93" t="s">
        <v>135</v>
      </c>
      <c r="B51" s="38">
        <f>'4637'!B21</f>
        <v>1</v>
      </c>
      <c r="C51" s="96" t="str">
        <f>'4637'!C21</f>
        <v>CUB C/R R8</v>
      </c>
      <c r="D51" s="96">
        <f>'4637'!D21</f>
        <v>1928</v>
      </c>
      <c r="E51" s="96">
        <f>'4637'!E21</f>
        <v>500</v>
      </c>
      <c r="F51" s="96" t="str">
        <f>'4637'!F21</f>
        <v>GLACIAL WHITE 22191 SF</v>
      </c>
      <c r="G51" s="1"/>
    </row>
    <row r="52" spans="1:7" s="15" customFormat="1" ht="15" customHeight="1" x14ac:dyDescent="0.3">
      <c r="A52" s="93"/>
      <c r="B52" s="38">
        <f>'4637'!B22</f>
        <v>1</v>
      </c>
      <c r="C52" s="96" t="str">
        <f>'4637'!C22</f>
        <v>CUB C/R R8</v>
      </c>
      <c r="D52" s="96">
        <f>'4637'!D22</f>
        <v>1000</v>
      </c>
      <c r="E52" s="96">
        <f>'4637'!E22</f>
        <v>500</v>
      </c>
      <c r="F52" s="96" t="str">
        <f>'4637'!F22</f>
        <v>GLACIAL WHITE 22191 SF</v>
      </c>
      <c r="G52" s="1"/>
    </row>
    <row r="53" spans="1:7" s="15" customFormat="1" ht="15" customHeight="1" x14ac:dyDescent="0.3">
      <c r="A53" s="49"/>
      <c r="B53" s="51"/>
      <c r="C53" s="51"/>
      <c r="D53" s="51"/>
      <c r="E53" s="51"/>
      <c r="F53" s="51"/>
      <c r="G53" s="1"/>
    </row>
    <row r="54" spans="1:7" ht="15.6" x14ac:dyDescent="0.3">
      <c r="A54" s="6"/>
      <c r="B54" s="6"/>
      <c r="C54" s="1"/>
      <c r="D54" s="6"/>
      <c r="E54" s="6"/>
      <c r="F54" s="43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0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2026-02-19T13:34:04Z</cp:lastPrinted>
  <dcterms:created xsi:type="dcterms:W3CDTF">2013-03-19T12:54:14Z</dcterms:created>
  <dcterms:modified xsi:type="dcterms:W3CDTF">2026-02-19T13:36:48Z</dcterms:modified>
</cp:coreProperties>
</file>