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2680E755-D509-4178-B4A1-A43C911CD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  <externalReference r:id="rId6"/>
  </externalReferences>
  <definedNames>
    <definedName name="_xlnm.Print_Area" localSheetId="0">'4637'!#REF!</definedName>
    <definedName name="_xlnm.Print_Area" localSheetId="2">CUBIERTA!#REF!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G16" i="4"/>
  <c r="C14" i="4"/>
  <c r="D39" i="3"/>
  <c r="D7" i="3"/>
  <c r="D5" i="3"/>
  <c r="D4" i="3"/>
  <c r="D48" i="3"/>
  <c r="D27" i="3" s="1"/>
  <c r="E48" i="3"/>
  <c r="E27" i="3" s="1"/>
  <c r="K14" i="3" s="1"/>
  <c r="F48" i="3"/>
  <c r="F27" i="3" s="1"/>
  <c r="C48" i="3"/>
  <c r="C27" i="3" s="1"/>
  <c r="D38" i="3"/>
  <c r="C41" i="3"/>
  <c r="C7" i="3"/>
  <c r="N5" i="3"/>
  <c r="B22" i="4"/>
  <c r="B48" i="3" l="1"/>
  <c r="B27" i="3" s="1"/>
  <c r="I21" i="3" s="1"/>
  <c r="H22" i="4"/>
  <c r="H24" i="4" s="1"/>
  <c r="H25" i="4" s="1"/>
  <c r="H26" i="4" s="1"/>
  <c r="D8" i="3"/>
  <c r="D41" i="3"/>
  <c r="J14" i="3"/>
  <c r="J21" i="3"/>
  <c r="K21" i="3"/>
  <c r="F21" i="3"/>
  <c r="F14" i="3"/>
  <c r="E21" i="3" l="1"/>
  <c r="D21" i="3"/>
  <c r="E14" i="3"/>
  <c r="D14" i="3"/>
  <c r="I14" i="3"/>
  <c r="B14" i="3" s="1"/>
  <c r="B21" i="3"/>
  <c r="L5" i="3"/>
  <c r="K5" i="3"/>
  <c r="M5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<sst xmlns="http://schemas.openxmlformats.org/spreadsheetml/2006/main" count="248" uniqueCount="145">
  <si>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</si>
  <si>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</si>
  <si>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</si>
  <si>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</si>
  <si>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</si>
  <si>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</si>
  <si>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</si>
  <si>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</si>
  <si>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</si>
  <si>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</si>
  <si>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</si>
  <si>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</si>
  <si>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</si>
  <si>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</si>
  <si>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</si>
  <si>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</si>
  <si>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</si>
  <si>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</si>
  <si>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</si>
  <si>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</si>
  <si>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</si>
  <si>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</si>
  <si>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</si>
  <si>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</si>
  <si>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</si>
  <si>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</si>
  <si>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</si>
  <si>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</si>
  <si>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</si>
  <si>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</si>
  <si>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</si>
  <si>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</si>
  <si>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</si>
  <si>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</si>
  <si>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</si>
  <si>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</si>
  <si>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</si>
  <si>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</si>
  <si>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</si>
  <si>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</si>
  <si>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</si>
  <si>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</si>
  <si>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</si>
  <si>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</si>
  <si>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</si>
  <si>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</si>
  <si>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</si>
  <si>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</si>
  <si>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</si>
  <si>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</si>
  <si>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</si>
  <si>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</si>
  <si>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</si>
  <si>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</si>
  <si>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</si>
  <si>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</si>
  <si>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</si>
  <si>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</si>
  <si>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</si>
  <si>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</si>
  <si>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</si>
  <si>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</si>
  <si>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</si>
  <si>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</si>
  <si>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</si>
  <si>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</si>
  <si>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</si>
  <si>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</si>
  <si>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</si>
  <si>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</si>
  <si>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</si>
  <si>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</si>
  <si>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</si>
  <si>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</si>
  <si>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</si>
  <si>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</si>
  <si>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</si>
  <si>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</si>
  <si>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</si>
  <si>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</si>
  <si>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</si>
  <si>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</si>
  <si>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</si>
  <si>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</si>
  <si>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</si>
  <si>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</si>
  <si>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</si>
  <si>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</si>
  <si>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</si>
  <si>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</si>
  <si>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</si>
  <si>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</si>
  <si>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</si>
  <si>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</si>
  <si>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</si>
  <si>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</si>
  <si>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</si>
  <si>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</si>
  <si>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</si>
  <si>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</si>
  <si>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</si>
  <si>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</si>
  <si>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</si>
  <si>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</si>
  <si>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</si>
  <si>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</si>
  <si>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</si>
  <si>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</si>
  <si>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</si>
  <si>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</si>
  <si>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</si>
  <si>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</si>
  <si>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</si>
  <si>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</si>
  <si>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</si>
  <si>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</si>
  <si>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</si>
  <si>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</si>
  <si>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</si>
  <si>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</si>
  <si>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</si>
  <si>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</si>
  <si>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</si>
  <si>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</si>
  <si>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</si>
  <si>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</si>
  <si>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</si>
  <si>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</si>
  <si>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</si>
  <si>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</si>
  <si>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CELULAR: 963868755</t>
  </si>
  <si>
    <t>E-MAIL: fdonoso@topmobili.cl</t>
  </si>
  <si>
    <t>DESPACHO:</t>
  </si>
  <si>
    <t>CORREO:</t>
  </si>
  <si>
    <t>MDF 18MM</t>
  </si>
  <si>
    <t xml:space="preserve"> MDF 18MM</t>
  </si>
  <si>
    <t>MDF18MM</t>
  </si>
  <si>
    <t>CUB C/R R8</t>
  </si>
  <si>
    <t>MUEBLES ROJO Y NEGRO</t>
  </si>
  <si>
    <t>JIMENA</t>
  </si>
  <si>
    <t>+569 9882 8757</t>
  </si>
  <si>
    <t>FRANCO DONOSO</t>
  </si>
  <si>
    <t>VAINILLA 2109 MT</t>
  </si>
  <si>
    <t>NO</t>
  </si>
  <si>
    <t>N° 12003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</si>
</sst>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21" fillId="0" borderId="0" xfId="0" applyFont="1" applyAlignment="1">
      <alignment horizontal="right"/>
    </xf>
    <xf numFmtId="0" fontId="1" fillId="0" borderId="18" xfId="0" applyFont="1" applyBorder="1" applyAlignment="1">
      <alignment horizontal="center"/>
    </xf>
    <xf numFmtId="0" fontId="0" fillId="3" borderId="0" xfId="0" quotePrefix="1" applyFill="1"/>
    <xf numFmtId="0" fontId="17" fillId="4" borderId="9" xfId="0" applyFont="1" applyFill="1" applyBorder="1" applyAlignment="1">
      <alignment horizontal="left"/>
    </xf>
    <xf numFmtId="0" fontId="17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42" fontId="15" fillId="0" borderId="32" xfId="3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0"/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930CDF6-24E1-4470-9B8F-29FCEBE13091}"/>
            </a:ext>
          </a:extLst>
        </xdr:cNvPr>
        <xdr:cNvSpPr/>
      </xdr:nvSpPr>
      <xdr:spPr>
        <a:xfrm>
          <a:off x="213360" y="482727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$70.000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6</xdr:row>
      <xdr:rowOff>60531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3A98AB-ECE6-44ED-BC87-6D931BCD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2156152</xdr:colOff>
      <xdr:row>6</xdr:row>
      <xdr:rowOff>59126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92E7C2-FCBA-4CF8-AB99-B1ECCCABBB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9ED9340-1B4B-4C0F-BFFB-FCFE5784F0AA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60F4E63-A717-4D31-9C9B-C574E73115F2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1634DB32-ADA2-40F4-AB8C-1B3615023943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FC39A3B-691D-4ED1-B2AF-0A22E5D09A54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9E1E8EB7-6230-4113-90E0-E369FFC6D24B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42</xdr:row>
      <xdr:rowOff>171450</xdr:rowOff>
    </xdr:from>
    <xdr:to>
      <xdr:col>6</xdr:col>
      <xdr:colOff>19050</xdr:colOff>
      <xdr:row>44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FD5F561-8DD5-4174-9467-D798E0DF48A9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AC7FCC96-89EA-4B95-A93D-C1FCD27F4BBE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DB93D3C-4038-40F1-B504-2599D2F172A2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9DAA8D8D-D870-431B-A93B-0CCB7731C6D8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5C63FF73-4571-4F17-9B22-4BCAC4759012}"/>
            </a:ext>
          </a:extLst>
        </xdr:cNvPr>
        <xdr:cNvSpPr/>
      </xdr:nvSpPr>
      <xdr:spPr>
        <a:xfrm>
          <a:off x="723900" y="95631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8E13939-D22F-43A1-9ECF-A18476EE54A6}"/>
            </a:ext>
          </a:extLst>
        </xdr:cNvPr>
        <xdr:cNvSpPr/>
      </xdr:nvSpPr>
      <xdr:spPr>
        <a:xfrm>
          <a:off x="1691640" y="95631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A76B8535-1A11-48D7-8642-7D7C0500A613}"/>
            </a:ext>
          </a:extLst>
        </xdr:cNvPr>
        <xdr:cNvSpPr/>
      </xdr:nvSpPr>
      <xdr:spPr>
        <a:xfrm>
          <a:off x="2663190" y="95631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C769D912-F646-4642-8D46-25DCCCE84A8B}"/>
            </a:ext>
          </a:extLst>
        </xdr:cNvPr>
        <xdr:cNvSpPr/>
      </xdr:nvSpPr>
      <xdr:spPr>
        <a:xfrm>
          <a:off x="4429125" y="95631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15444989-3E88-4A5D-B572-907A8ABC9A63}"/>
            </a:ext>
          </a:extLst>
        </xdr:cNvPr>
        <xdr:cNvSpPr/>
      </xdr:nvSpPr>
      <xdr:spPr>
        <a:xfrm>
          <a:off x="5421630" y="95631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418B7EB-45E6-4CE6-B7FF-0A5E9A263EFB}"/>
            </a:ext>
          </a:extLst>
        </xdr:cNvPr>
        <xdr:cNvSpPr/>
      </xdr:nvSpPr>
      <xdr:spPr>
        <a:xfrm>
          <a:off x="6499860" y="95631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AC181AED-3E13-4B22-AAAC-3ACACCF3AD40}"/>
            </a:ext>
          </a:extLst>
        </xdr:cNvPr>
        <xdr:cNvSpPr/>
      </xdr:nvSpPr>
      <xdr:spPr>
        <a:xfrm>
          <a:off x="723900" y="97536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3AD10851-25EF-48DB-ADAE-5D6027BCF570}"/>
            </a:ext>
          </a:extLst>
        </xdr:cNvPr>
        <xdr:cNvSpPr/>
      </xdr:nvSpPr>
      <xdr:spPr>
        <a:xfrm>
          <a:off x="1691640" y="97536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17AC003-F1DF-479F-9CA7-FB9CF6D8945D}"/>
            </a:ext>
          </a:extLst>
        </xdr:cNvPr>
        <xdr:cNvSpPr/>
      </xdr:nvSpPr>
      <xdr:spPr>
        <a:xfrm>
          <a:off x="2663190" y="97536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B2F19B52-B7C1-41D2-81B0-88A92EBFD883}"/>
            </a:ext>
          </a:extLst>
        </xdr:cNvPr>
        <xdr:cNvSpPr/>
      </xdr:nvSpPr>
      <xdr:spPr>
        <a:xfrm>
          <a:off x="4429125" y="97536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A3A52E15-2144-416A-8DCF-3024EAC5330F}"/>
            </a:ext>
          </a:extLst>
        </xdr:cNvPr>
        <xdr:cNvSpPr/>
      </xdr:nvSpPr>
      <xdr:spPr>
        <a:xfrm>
          <a:off x="5421630" y="97536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6927C96F-19B2-48AA-B23F-F09589356086}"/>
            </a:ext>
          </a:extLst>
        </xdr:cNvPr>
        <xdr:cNvSpPr/>
      </xdr:nvSpPr>
      <xdr:spPr>
        <a:xfrm>
          <a:off x="6499860" y="97536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29</xdr:row>
      <xdr:rowOff>22859</xdr:rowOff>
    </xdr:from>
    <xdr:to>
      <xdr:col>6</xdr:col>
      <xdr:colOff>0</xdr:colOff>
      <xdr:row>33</xdr:row>
      <xdr:rowOff>57150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A7459428-AD0D-45CE-B75D-595A291B286F}"/>
            </a:ext>
          </a:extLst>
        </xdr:cNvPr>
        <xdr:cNvSpPr/>
      </xdr:nvSpPr>
      <xdr:spPr>
        <a:xfrm>
          <a:off x="723900" y="56159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35E96178-DFA7-4983-A8A8-5A9D3FEB631A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BE33EFBB-BD76-44DE-B527-CF2752F3D16F}"/>
            </a:ext>
          </a:extLst>
        </xdr:cNvPr>
        <xdr:cNvSpPr/>
      </xdr:nvSpPr>
      <xdr:spPr>
        <a:xfrm>
          <a:off x="744855" y="101898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ADF2A5C7-A41B-42D1-937C-8D8D3B0653B4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586740</xdr:colOff>
      <xdr:row>8</xdr:row>
      <xdr:rowOff>54694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5DFD4BBE-3414-4C89-B880-0C3AFD15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36</xdr:row>
      <xdr:rowOff>28575</xdr:rowOff>
    </xdr:from>
    <xdr:to>
      <xdr:col>1</xdr:col>
      <xdr:colOff>777240</xdr:colOff>
      <xdr:row>41</xdr:row>
      <xdr:rowOff>130893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B56F3182-5312-4110-B466-6EB613527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990%20JAIME%20SEGUEL.xlsx" TargetMode="External"/><Relationship Id="rId1" Type="http://schemas.openxmlformats.org/officeDocument/2006/relationships/externalLinkPath" Target="/Users/franc/Dropbox/PC/Desktop/POSTFORMADO%202020/COTIZACIONES%20MUEBLES%20SANTA%20FE/2%20FEBRERO%202026/11990%20JAIME%20SEGU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882%20MARIO%20ZAPATA.xlsx" TargetMode="External"/><Relationship Id="rId1" Type="http://schemas.openxmlformats.org/officeDocument/2006/relationships/externalLinkPath" Target="/Users/franc/Dropbox/PC/Desktop/POSTFORMADO%202020/COTIZACIONES%20MUEBLES%20SANTA%20FE/2%20FEBRERO%202026/11882%20MARIO%20ZAP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10">
          <cell r="C10" t="str">
            <v>JAIME Y ANGELICA CHUDER LTDA</v>
          </cell>
        </row>
        <row r="16">
          <cell r="G16" t="str">
            <v>ABONO 50% SALDO C/ENTREGA</v>
          </cell>
        </row>
        <row r="17">
          <cell r="C17" t="str">
            <v>SANTIAGO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11882</v>
          </cell>
        </row>
        <row r="21">
          <cell r="B21">
            <v>1</v>
          </cell>
        </row>
      </sheetData>
      <sheetData sheetId="1"/>
      <sheetData sheetId="2">
        <row r="8">
          <cell r="G8">
            <v>7385</v>
          </cell>
        </row>
        <row r="10">
          <cell r="F10" t="str">
            <v>FECHA :</v>
          </cell>
        </row>
      </sheetData>
      <sheetData sheetId="3">
        <row r="4">
          <cell r="B4">
            <v>40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D5" t="str">
            <v>CEN 2V</v>
          </cell>
          <cell r="G5">
            <v>50</v>
          </cell>
          <cell r="H5"/>
          <cell r="I5" t="str">
            <v xml:space="preserve">CEN 2V </v>
          </cell>
        </row>
        <row r="6">
          <cell r="B6">
            <v>40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D7" t="str">
            <v>CORNISA  FRENTE ESPAÑOL 2 LADO</v>
          </cell>
          <cell r="G7">
            <v>50</v>
          </cell>
          <cell r="H7"/>
          <cell r="I7" t="str">
            <v>CORNISA  FRENTE ESPAÑOL 2 LADO</v>
          </cell>
        </row>
        <row r="8">
          <cell r="B8">
            <v>40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D10" t="str">
            <v>CORNISA PUNTA TIBURON 2 LADOS</v>
          </cell>
          <cell r="G10">
            <v>50</v>
          </cell>
          <cell r="H10"/>
          <cell r="I10" t="str">
            <v>CORNISA 2 LADOS</v>
          </cell>
        </row>
        <row r="11">
          <cell r="B11">
            <v>40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D12" t="str">
            <v>CORNISA R8 2 LADOS</v>
          </cell>
          <cell r="G12">
            <v>50</v>
          </cell>
          <cell r="H12"/>
          <cell r="I12" t="str">
            <v>CORNISA PUNTA TIBURON 2 LADOS</v>
          </cell>
        </row>
        <row r="13">
          <cell r="B13">
            <v>40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D17" t="str">
            <v>CUB MESA 180° 2 LADOS</v>
          </cell>
          <cell r="G17">
            <v>50</v>
          </cell>
          <cell r="H17"/>
          <cell r="I17" t="str">
            <v>CUB MESA 180° 2 LADOS</v>
          </cell>
        </row>
        <row r="18">
          <cell r="B18">
            <v>140</v>
          </cell>
          <cell r="D18" t="str">
            <v>CUB MESA 180° 3 LADOS</v>
          </cell>
          <cell r="G18">
            <v>50</v>
          </cell>
          <cell r="H18"/>
          <cell r="I18" t="str">
            <v>CUB MESA 180° 3 LADOS</v>
          </cell>
        </row>
        <row r="19">
          <cell r="B19">
            <v>150</v>
          </cell>
          <cell r="D19" t="str">
            <v>CUB MESA 180° 4 LADOS</v>
          </cell>
          <cell r="G19">
            <v>50</v>
          </cell>
          <cell r="H19"/>
          <cell r="I19" t="str">
            <v>CUB MESA 180° 4 LADOS</v>
          </cell>
        </row>
        <row r="20">
          <cell r="B20">
            <v>40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D22" t="str">
            <v>CUB MESA 4 LADOS</v>
          </cell>
          <cell r="G22"/>
          <cell r="H22"/>
          <cell r="I22" t="str">
            <v>CUB MESA 4 LADOS</v>
          </cell>
        </row>
        <row r="23">
          <cell r="B23">
            <v>40</v>
          </cell>
          <cell r="D23" t="str">
            <v>CUB MESA FRENTE ESPAÑOL 2 LADOS</v>
          </cell>
          <cell r="G23">
            <v>50</v>
          </cell>
          <cell r="H23"/>
          <cell r="I23" t="str">
            <v>CUB MESA FRENTE ESPAÑOL 2 LADOS</v>
          </cell>
        </row>
        <row r="24">
          <cell r="B24">
            <v>140</v>
          </cell>
          <cell r="D24" t="str">
            <v>CUB MESA FRENTE ESPAÑOL 3 LADOS</v>
          </cell>
          <cell r="G24">
            <v>50</v>
          </cell>
          <cell r="H24"/>
          <cell r="I24" t="str">
            <v>CUB MESA FRENTE ESPAÑOL 3 LADOS</v>
          </cell>
        </row>
        <row r="25">
          <cell r="B25">
            <v>150</v>
          </cell>
          <cell r="D25" t="str">
            <v>CUB MESA FRENTE ESPAÑOL 4 LADOS</v>
          </cell>
          <cell r="G25">
            <v>50</v>
          </cell>
          <cell r="H25"/>
          <cell r="I25" t="str">
            <v>CUB MESA FRENTE ESPAÑOL 4 LADOS</v>
          </cell>
        </row>
        <row r="26">
          <cell r="B26">
            <v>40</v>
          </cell>
          <cell r="D26" t="str">
            <v>CUB MESA PUNTA TIBURON 2 LADOS</v>
          </cell>
          <cell r="G26">
            <v>50</v>
          </cell>
          <cell r="H26"/>
          <cell r="I26" t="str">
            <v>CUB MESA PUNTA TIBURON 2 LADOS</v>
          </cell>
        </row>
        <row r="27">
          <cell r="B27">
            <v>110</v>
          </cell>
          <cell r="D27" t="str">
            <v>CUB MESA PUNTA TIBURON 3 LADOS</v>
          </cell>
          <cell r="G27">
            <v>50</v>
          </cell>
          <cell r="H27"/>
          <cell r="I27" t="str">
            <v>CUB MESA PUNTA TIBURON 3 LADOS</v>
          </cell>
        </row>
        <row r="28">
          <cell r="B28">
            <v>120</v>
          </cell>
          <cell r="D28" t="str">
            <v>CUB MESA PUNTA TIBURON 4 LADOS</v>
          </cell>
          <cell r="G28">
            <v>50</v>
          </cell>
          <cell r="H28"/>
          <cell r="I28" t="str">
            <v>CUB MESA PUNTA TIBURON 4 LADOS</v>
          </cell>
        </row>
        <row r="29">
          <cell r="B29">
            <v>40</v>
          </cell>
          <cell r="D29" t="str">
            <v>CUB PUNTA TIBURON 1 LADO</v>
          </cell>
          <cell r="G29">
            <v>50</v>
          </cell>
          <cell r="H29"/>
          <cell r="I29" t="str">
            <v>CUB PUNTA TIBURON 1 LADO</v>
          </cell>
        </row>
        <row r="30">
          <cell r="B30">
            <v>40</v>
          </cell>
          <cell r="D30" t="str">
            <v xml:space="preserve">CUB S/R </v>
          </cell>
          <cell r="G30">
            <v>50</v>
          </cell>
          <cell r="H30"/>
          <cell r="I30" t="str">
            <v>CUB S/R</v>
          </cell>
        </row>
        <row r="31">
          <cell r="B31">
            <v>40</v>
          </cell>
          <cell r="D31" t="str">
            <v>CUB S/R FRENTE ESPAÑOL</v>
          </cell>
          <cell r="G31">
            <v>50</v>
          </cell>
          <cell r="H31"/>
          <cell r="I31" t="str">
            <v>CUB S/R FRENTE ESPAÑOL</v>
          </cell>
        </row>
        <row r="32">
          <cell r="B32">
            <v>40</v>
          </cell>
          <cell r="D32" t="str">
            <v>CUB S/R R2</v>
          </cell>
          <cell r="G32">
            <v>50</v>
          </cell>
          <cell r="H32"/>
          <cell r="I32" t="str">
            <v>CUB S/R R2</v>
          </cell>
        </row>
        <row r="33">
          <cell r="B33">
            <v>40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1">
          <cell r="F11" t="str">
            <v>FECHA LIMITE :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3" workbookViewId="0">
      <selection activeCell="K22" sqref="K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130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131</v>
      </c>
      <c r="G7" s="1"/>
      <c r="H7" s="1"/>
      <c r="I7" s="1"/>
    </row>
    <row r="8" spans="1:17" ht="16.2" thickBot="1" x14ac:dyDescent="0.35">
      <c r="A8" s="1"/>
      <c r="B8" s="63" t="s">
        <v>14</v>
      </c>
      <c r="C8" s="64"/>
      <c r="D8" s="65" t="s">
        <v>144</v>
      </c>
      <c r="E8" s="1"/>
      <c r="F8" s="66" t="s">
        <v>25</v>
      </c>
      <c r="G8" s="67">
        <v>7394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75" t="s">
        <v>127</v>
      </c>
      <c r="C10" s="76" t="s">
        <v>138</v>
      </c>
      <c r="D10" s="76"/>
      <c r="E10" s="76"/>
      <c r="F10" s="77" t="s">
        <v>26</v>
      </c>
      <c r="G10" s="78">
        <v>46077</v>
      </c>
      <c r="H10" s="79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80" t="s">
        <v>2</v>
      </c>
      <c r="C11" s="8"/>
      <c r="D11" s="81"/>
      <c r="E11" s="81"/>
      <c r="F11" s="81" t="s">
        <v>122</v>
      </c>
      <c r="G11" s="82">
        <v>46084</v>
      </c>
      <c r="H11" s="83"/>
      <c r="I11" s="1"/>
    </row>
    <row r="12" spans="1:17" ht="15.6" x14ac:dyDescent="0.3">
      <c r="A12" s="1"/>
      <c r="B12" s="84" t="s">
        <v>128</v>
      </c>
      <c r="C12" s="85"/>
      <c r="D12" s="85"/>
      <c r="E12" s="85"/>
      <c r="F12" s="85" t="s">
        <v>132</v>
      </c>
      <c r="G12" s="85" t="s">
        <v>143</v>
      </c>
      <c r="H12" s="86"/>
      <c r="I12" s="1"/>
    </row>
    <row r="13" spans="1:17" ht="15.6" x14ac:dyDescent="0.3">
      <c r="A13" s="1"/>
      <c r="B13" s="87" t="s">
        <v>129</v>
      </c>
      <c r="C13" s="8" t="s">
        <v>139</v>
      </c>
      <c r="D13" s="8"/>
      <c r="E13" s="8"/>
      <c r="F13" s="8" t="s">
        <v>28</v>
      </c>
      <c r="G13" s="88"/>
      <c r="H13" s="89"/>
      <c r="I13" s="1"/>
    </row>
    <row r="14" spans="1:17" ht="15.6" x14ac:dyDescent="0.3">
      <c r="A14" s="1"/>
      <c r="B14" s="84" t="s">
        <v>133</v>
      </c>
      <c r="C14" s="85" t="str">
        <f>IF('[1]2229'!C14="","",'[1]2229'!C14)</f>
        <v/>
      </c>
      <c r="D14" s="85"/>
      <c r="E14" s="85"/>
      <c r="F14" s="85" t="s">
        <v>126</v>
      </c>
      <c r="G14" s="90" t="s">
        <v>141</v>
      </c>
      <c r="H14" s="86"/>
      <c r="I14" s="1"/>
    </row>
    <row r="15" spans="1:17" ht="15.6" x14ac:dyDescent="0.3">
      <c r="A15" s="1"/>
      <c r="B15" s="80" t="s">
        <v>15</v>
      </c>
      <c r="C15" s="105" t="s">
        <v>140</v>
      </c>
      <c r="D15" s="91"/>
      <c r="E15" s="81"/>
      <c r="F15" s="81" t="s">
        <v>27</v>
      </c>
      <c r="G15" s="81" t="s">
        <v>143</v>
      </c>
      <c r="H15" s="83"/>
      <c r="I15" s="1"/>
    </row>
    <row r="16" spans="1:17" ht="15.6" x14ac:dyDescent="0.3">
      <c r="A16" s="1"/>
      <c r="B16" s="84" t="s">
        <v>1</v>
      </c>
      <c r="C16" s="85"/>
      <c r="D16" s="85"/>
      <c r="E16" s="85"/>
      <c r="F16" s="85" t="s">
        <v>73</v>
      </c>
      <c r="G16" s="85" t="str">
        <f>'[1]2229'!G16</f>
        <v>ABONO 50% SALDO C/ENTREGA</v>
      </c>
      <c r="H16" s="86"/>
      <c r="I16" s="1"/>
    </row>
    <row r="17" spans="1:16" ht="16.2" thickBot="1" x14ac:dyDescent="0.35">
      <c r="A17" s="1"/>
      <c r="B17" s="92" t="s">
        <v>3</v>
      </c>
      <c r="C17" s="93" t="str">
        <f>IF('[1]2229'!C17="","",'[1]2229'!C17)</f>
        <v>SANTIAGO</v>
      </c>
      <c r="D17" s="94"/>
      <c r="E17" s="95"/>
      <c r="F17" s="106" t="s">
        <v>16</v>
      </c>
      <c r="G17" s="106"/>
      <c r="H17" s="107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08" t="s">
        <v>17</v>
      </c>
      <c r="C20" s="109"/>
      <c r="D20" s="109"/>
      <c r="E20" s="109"/>
      <c r="F20" s="109"/>
      <c r="G20" s="109"/>
      <c r="H20" s="110"/>
      <c r="I20" s="1"/>
    </row>
    <row r="21" spans="1:16" ht="16.2" thickBot="1" x14ac:dyDescent="0.35">
      <c r="A21" s="1"/>
      <c r="B21" s="96" t="s">
        <v>18</v>
      </c>
      <c r="C21" s="97" t="s">
        <v>19</v>
      </c>
      <c r="D21" s="97" t="s">
        <v>20</v>
      </c>
      <c r="E21" s="97" t="s">
        <v>8</v>
      </c>
      <c r="F21" s="98" t="s">
        <v>21</v>
      </c>
      <c r="G21" s="96" t="s">
        <v>22</v>
      </c>
      <c r="H21" s="98" t="s">
        <v>4</v>
      </c>
      <c r="I21" s="1"/>
    </row>
    <row r="22" spans="1:16" ht="16.2" thickBot="1" x14ac:dyDescent="0.35">
      <c r="A22" s="1"/>
      <c r="B22" s="119">
        <f>'[2]2229'!B21</f>
        <v>1</v>
      </c>
      <c r="C22" s="120" t="s">
        <v>137</v>
      </c>
      <c r="D22" s="121">
        <v>2350</v>
      </c>
      <c r="E22" s="121">
        <v>600</v>
      </c>
      <c r="F22" s="122" t="s">
        <v>142</v>
      </c>
      <c r="G22" s="123">
        <v>106642</v>
      </c>
      <c r="H22" s="124">
        <f>G22*B22</f>
        <v>106642</v>
      </c>
      <c r="I22" s="1"/>
      <c r="K22" s="17"/>
      <c r="L22" s="26"/>
      <c r="M22" s="17"/>
      <c r="N22" s="17"/>
      <c r="O22" s="26"/>
      <c r="P22" s="33"/>
    </row>
    <row r="23" spans="1:16" ht="16.2" thickBot="1" x14ac:dyDescent="0.35">
      <c r="A23" s="1"/>
      <c r="B23" s="74"/>
      <c r="C23" s="74"/>
      <c r="D23" s="74"/>
      <c r="E23" s="74"/>
      <c r="F23" s="100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15.6" x14ac:dyDescent="0.3">
      <c r="A24" s="1"/>
      <c r="B24" s="1"/>
      <c r="C24" s="1"/>
      <c r="D24" s="1"/>
      <c r="E24" s="1"/>
      <c r="F24" s="1"/>
      <c r="G24" s="52" t="s">
        <v>5</v>
      </c>
      <c r="H24" s="53">
        <f>SUM(H22:H23)</f>
        <v>106642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54" t="s">
        <v>6</v>
      </c>
      <c r="H25" s="55">
        <f>H24*19%</f>
        <v>20261.98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56" t="s">
        <v>4</v>
      </c>
      <c r="H26" s="57">
        <f>H24+H25</f>
        <v>126903.98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0"/>
      <c r="H27" s="6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58" t="s">
        <v>121</v>
      </c>
      <c r="C29" s="59"/>
      <c r="D29" s="60"/>
      <c r="E29" s="60"/>
      <c r="F29" s="51"/>
      <c r="G29" s="1"/>
      <c r="H29" s="1"/>
      <c r="I29" s="1"/>
    </row>
    <row r="30" spans="1:16" ht="15.6" x14ac:dyDescent="0.3">
      <c r="A30" s="1"/>
      <c r="B30" s="58" t="s">
        <v>120</v>
      </c>
      <c r="C30" s="59"/>
      <c r="D30" s="60"/>
      <c r="E30" s="60"/>
      <c r="F30" s="51"/>
      <c r="G30" s="1"/>
      <c r="H30" s="1"/>
      <c r="I30" s="1"/>
    </row>
    <row r="31" spans="1:16" ht="15.6" x14ac:dyDescent="0.3">
      <c r="A31" s="1"/>
      <c r="B31" s="1" t="s">
        <v>23</v>
      </c>
      <c r="C31" s="1"/>
      <c r="D31" s="1"/>
      <c r="E31" s="61" t="s">
        <v>24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mergeCells count="2">
    <mergeCell ref="F17:H17"/>
    <mergeCell ref="B20:H20"/>
  </mergeCells>
  <phoneticPr fontId="10" type="noConversion"/>
  <hyperlinks>
    <hyperlink ref="E31" r:id="rId1" xr:uid="{F7E22E7D-C52F-4A37-AE46-A4349ACD6A85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1" t="s">
        <v>29</v>
      </c>
      <c r="C2" s="111"/>
      <c r="D2" s="111"/>
      <c r="E2" s="18"/>
      <c r="G2" s="111" t="s">
        <v>68</v>
      </c>
      <c r="H2" s="111"/>
      <c r="I2" s="111"/>
      <c r="P2" s="112" t="s">
        <v>56</v>
      </c>
      <c r="Q2" s="112"/>
      <c r="R2" s="112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2" t="s">
        <v>56</v>
      </c>
      <c r="M8" s="112"/>
      <c r="N8" s="112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2" zoomScaleNormal="100" workbookViewId="0">
      <selection activeCell="G34" sqref="A3:G3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21.441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59</v>
      </c>
      <c r="L3" s="117"/>
      <c r="M3" s="117" t="s">
        <v>13</v>
      </c>
      <c r="N3" s="117"/>
    </row>
    <row r="4" spans="1:14" ht="15.75" customHeight="1" x14ac:dyDescent="0.3">
      <c r="A4" s="1"/>
      <c r="B4" s="1"/>
      <c r="C4" s="38" t="s">
        <v>25</v>
      </c>
      <c r="D4" s="14">
        <f>'4637'!$G$8</f>
        <v>7394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65</v>
      </c>
      <c r="D5" s="40" t="str">
        <f>'4637'!$C$10</f>
        <v>MUEBLES ROJO Y NEGRO</v>
      </c>
      <c r="E5" s="41"/>
      <c r="F5" s="41"/>
      <c r="G5" s="1"/>
      <c r="K5">
        <f>LOOKUP(F14,[2]REGLAS!$I$4:$I$37,[2]REGLAS!$G$4:$G$37)+J14</f>
        <v>2400</v>
      </c>
      <c r="L5">
        <f>LOOKUP(F14,[2]REGLAS!$I$4:$I$37,[2]REGLAS!$H$4:$H$37)+K14</f>
        <v>570</v>
      </c>
      <c r="M5">
        <f>LOOKUP(F14,[2]REGLAS!$D$4:$D$37,[2]REGLAS!$B$4:$B$37)+J21</f>
        <v>2390</v>
      </c>
      <c r="N5">
        <f>H10</f>
        <v>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'[2]NOTA DE VENTA'!$F$10</f>
        <v>FECHA :</v>
      </c>
      <c r="D7" s="101">
        <f>'4637'!$G$10</f>
        <v>46077</v>
      </c>
      <c r="E7" s="1"/>
      <c r="F7" s="1"/>
      <c r="G7" s="1"/>
    </row>
    <row r="8" spans="1:14" ht="15.6" x14ac:dyDescent="0.3">
      <c r="A8" s="1"/>
      <c r="B8" s="1"/>
      <c r="C8" s="38" t="s">
        <v>123</v>
      </c>
      <c r="D8" s="102">
        <f>'4637'!$G$11</f>
        <v>46084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59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3" t="s">
        <v>134</v>
      </c>
      <c r="B14" s="25">
        <f t="shared" ref="B14" si="0">I14</f>
        <v>1</v>
      </c>
      <c r="C14" s="25"/>
      <c r="D14" s="25">
        <f>LOOKUP(F14,REGLAS!$I$4:$I$37,REGLAS!$G$4:$G$37)+J14</f>
        <v>2400</v>
      </c>
      <c r="E14" s="35">
        <f>LOOKUP(F14,REGLAS!$I$4:$I$37,REGLAS!$H$4:$H$37)+K14</f>
        <v>570</v>
      </c>
      <c r="F14" s="70" t="str">
        <f>C27</f>
        <v>CUB C/R R8</v>
      </c>
      <c r="G14" s="1"/>
      <c r="I14" s="3">
        <f>I21</f>
        <v>1</v>
      </c>
      <c r="J14" s="4">
        <f t="shared" ref="J14:K14" si="1">D27</f>
        <v>2350</v>
      </c>
      <c r="K14" s="4">
        <f t="shared" si="1"/>
        <v>600</v>
      </c>
    </row>
    <row r="15" spans="1:14" ht="15.6" x14ac:dyDescent="0.3">
      <c r="A15" s="50"/>
      <c r="B15" s="6"/>
      <c r="C15" s="6"/>
      <c r="D15" s="6"/>
      <c r="E15" s="72"/>
      <c r="F15" s="6"/>
      <c r="G15" s="1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13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103" t="s">
        <v>135</v>
      </c>
      <c r="B21" s="16">
        <f t="shared" ref="B21" si="2">I21</f>
        <v>1</v>
      </c>
      <c r="C21" s="16"/>
      <c r="D21" s="16">
        <f>LOOKUP(F21,REGLAS!$D$4:$D$37,REGLAS!B4:B37)+J21</f>
        <v>2390</v>
      </c>
      <c r="E21" s="16">
        <f>LOOKUP(F21,REGLAS!$D$4:$D$37,REGLAS!$C$4:$C$37)+K21</f>
        <v>730</v>
      </c>
      <c r="F21" s="71" t="str">
        <f>C27</f>
        <v>CUB C/R R8</v>
      </c>
      <c r="G21" s="1"/>
      <c r="I21" s="3">
        <f>B27</f>
        <v>1</v>
      </c>
      <c r="J21" s="4">
        <f>D27</f>
        <v>2350</v>
      </c>
      <c r="K21" s="4">
        <f>E27</f>
        <v>600</v>
      </c>
    </row>
    <row r="22" spans="1:11" ht="15.6" x14ac:dyDescent="0.3">
      <c r="A22" s="68"/>
      <c r="B22" s="6"/>
      <c r="C22" s="6"/>
      <c r="D22" s="6"/>
      <c r="E22" s="6"/>
      <c r="F22" s="6"/>
      <c r="G22" s="1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62" t="s">
        <v>10</v>
      </c>
      <c r="C26" s="62" t="s">
        <v>108</v>
      </c>
      <c r="D26" s="62" t="s">
        <v>7</v>
      </c>
      <c r="E26" s="62" t="s">
        <v>8</v>
      </c>
      <c r="F26" s="62" t="s">
        <v>21</v>
      </c>
      <c r="G26" s="1"/>
    </row>
    <row r="27" spans="1:11" ht="15.6" x14ac:dyDescent="0.3">
      <c r="A27" s="103" t="s">
        <v>134</v>
      </c>
      <c r="B27" s="25">
        <f>B48</f>
        <v>1</v>
      </c>
      <c r="C27" s="25" t="str">
        <f t="shared" ref="C27:F27" si="3">C48</f>
        <v>CUB C/R R8</v>
      </c>
      <c r="D27" s="25">
        <f t="shared" si="3"/>
        <v>2350</v>
      </c>
      <c r="E27" s="25">
        <f t="shared" si="3"/>
        <v>600</v>
      </c>
      <c r="F27" s="25" t="str">
        <f t="shared" si="3"/>
        <v>VAINILLA 2109 MT</v>
      </c>
      <c r="G27" s="1"/>
    </row>
    <row r="28" spans="1:11" ht="15.6" x14ac:dyDescent="0.3">
      <c r="A28" s="50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8" t="s">
        <v>25</v>
      </c>
      <c r="D38" s="14">
        <f>'4637'!G8</f>
        <v>7394</v>
      </c>
      <c r="E38" s="1"/>
      <c r="F38" s="1"/>
      <c r="G38" s="1"/>
    </row>
    <row r="39" spans="1:7" ht="17.25" customHeight="1" x14ac:dyDescent="0.3">
      <c r="A39" s="1"/>
      <c r="B39" s="1"/>
      <c r="C39" s="39" t="s">
        <v>65</v>
      </c>
      <c r="D39" s="40" t="str">
        <f>'4637'!C10</f>
        <v>MUEBLES ROJO Y NEGRO</v>
      </c>
      <c r="E39" s="41"/>
      <c r="F39" s="41"/>
      <c r="G39" s="1"/>
    </row>
    <row r="40" spans="1:7" ht="4.5" customHeight="1" x14ac:dyDescent="0.3">
      <c r="A40" s="1"/>
      <c r="B40" s="1"/>
      <c r="C40" s="42"/>
      <c r="D40" s="43"/>
      <c r="E40" s="1"/>
      <c r="F40" s="1"/>
      <c r="G40" s="1"/>
    </row>
    <row r="41" spans="1:7" ht="15.6" x14ac:dyDescent="0.3">
      <c r="A41" s="1"/>
      <c r="B41" s="1"/>
      <c r="C41" s="44" t="str">
        <f>'[3]4637'!F11</f>
        <v>FECHA LIMITE :</v>
      </c>
      <c r="D41" s="13">
        <f>'4637'!G11</f>
        <v>46084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66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3" t="s">
        <v>67</v>
      </c>
      <c r="C46" s="114"/>
      <c r="D46" s="115"/>
      <c r="E46" s="115"/>
      <c r="F46" s="116"/>
      <c r="G46" s="1"/>
    </row>
    <row r="47" spans="1:7" s="15" customFormat="1" ht="12.75" customHeight="1" x14ac:dyDescent="0.3">
      <c r="A47" s="1"/>
      <c r="B47" s="36" t="s">
        <v>10</v>
      </c>
      <c r="C47" s="45" t="s">
        <v>11</v>
      </c>
      <c r="D47" s="46" t="s">
        <v>7</v>
      </c>
      <c r="E47" s="46" t="s">
        <v>8</v>
      </c>
      <c r="F47" s="47" t="s">
        <v>12</v>
      </c>
      <c r="G47" s="1"/>
    </row>
    <row r="48" spans="1:7" s="15" customFormat="1" ht="15" customHeight="1" x14ac:dyDescent="0.3">
      <c r="A48" s="103" t="s">
        <v>136</v>
      </c>
      <c r="B48" s="104">
        <f>'4637'!$B$22</f>
        <v>1</v>
      </c>
      <c r="C48" s="104" t="str">
        <f>'4637'!C22</f>
        <v>CUB C/R R8</v>
      </c>
      <c r="D48" s="104">
        <f>'4637'!D22</f>
        <v>2350</v>
      </c>
      <c r="E48" s="104">
        <f>'4637'!E22</f>
        <v>600</v>
      </c>
      <c r="F48" s="104" t="str">
        <f>'4637'!F22</f>
        <v>VAINILLA 2109 MT</v>
      </c>
      <c r="G48" s="1"/>
    </row>
    <row r="49" spans="1:7" s="15" customFormat="1" ht="15" customHeight="1" x14ac:dyDescent="0.3">
      <c r="A49" s="68"/>
      <c r="B49" s="50"/>
      <c r="C49" s="73"/>
      <c r="D49" s="50"/>
      <c r="E49" s="50"/>
      <c r="F49" s="50"/>
      <c r="G49" s="1"/>
    </row>
    <row r="50" spans="1:7" s="15" customFormat="1" ht="15" customHeight="1" x14ac:dyDescent="0.3">
      <c r="A50" s="48"/>
      <c r="B50" s="50"/>
      <c r="C50" s="50"/>
      <c r="D50" s="50"/>
      <c r="E50" s="50"/>
      <c r="F50" s="50"/>
      <c r="G50" s="1"/>
    </row>
    <row r="51" spans="1:7" ht="15.6" x14ac:dyDescent="0.3">
      <c r="A51" s="6"/>
      <c r="B51" s="6"/>
      <c r="C51" s="1"/>
      <c r="D51" s="6"/>
      <c r="E51" s="6"/>
      <c r="F51" s="42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9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B46:F46"/>
    <mergeCell ref="M3:N3"/>
    <mergeCell ref="A17:F17"/>
    <mergeCell ref="A10:F10"/>
    <mergeCell ref="K3:L3"/>
    <mergeCell ref="A44:F44"/>
  </mergeCells>
  <phoneticPr fontId="10" type="noConversion"/>
  <pageMargins left="0.70866141732283472" right="0.70866141732283472" top="0.74803149606299213" bottom="0.74803149606299213" header="0.31496062992125984" footer="0.31496062992125984"/>
  <pageSetup scale="3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4637</vt:lpstr>
      <vt:lpstr>REGLAS</vt:lpstr>
      <vt:lpstr>CUBIERTA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2026-02-24T12:25:05Z</cp:lastPrinted>
  <dcterms:created xsi:type="dcterms:W3CDTF">2013-03-19T12:54:14Z</dcterms:created>
  <dcterms:modified xsi:type="dcterms:W3CDTF">2026-02-24T14:30:23Z</dcterms:modified>
</cp:coreProperties>
</file>