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70F32067-4FFD-4B3B-B1EF-E0106593F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CUBIERTA!$A$40:$G$65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C31" i="3"/>
  <c r="D31" i="3"/>
  <c r="E31" i="3"/>
  <c r="F31" i="3"/>
  <c r="B54" i="3"/>
  <c r="C54" i="3"/>
  <c r="D54" i="3"/>
  <c r="E54" i="3"/>
  <c r="F54" i="3"/>
  <c r="H23" i="4"/>
  <c r="H21" i="4" l="1"/>
  <c r="H22" i="4"/>
  <c r="B53" i="3"/>
  <c r="B30" i="3"/>
  <c r="I23" i="3" s="1"/>
  <c r="C30" i="3"/>
  <c r="F23" i="3" s="1"/>
  <c r="D30" i="3"/>
  <c r="J23" i="3" s="1"/>
  <c r="D23" i="3" s="1"/>
  <c r="E30" i="3"/>
  <c r="K23" i="3" s="1"/>
  <c r="F30" i="3"/>
  <c r="D52" i="3"/>
  <c r="E52" i="3"/>
  <c r="F52" i="3"/>
  <c r="D53" i="3"/>
  <c r="E53" i="3"/>
  <c r="F53" i="3"/>
  <c r="C53" i="3"/>
  <c r="H26" i="4" l="1"/>
  <c r="I15" i="3"/>
  <c r="B15" i="3" s="1"/>
  <c r="B23" i="3"/>
  <c r="J15" i="3"/>
  <c r="D15" i="3" s="1"/>
  <c r="K15" i="3"/>
  <c r="E15" i="3" s="1"/>
  <c r="E23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2" i="3"/>
  <c r="C52" i="3"/>
  <c r="K22" i="3" l="1"/>
  <c r="E22" i="3" s="1"/>
  <c r="D22" i="3"/>
  <c r="J14" i="3"/>
  <c r="D14" i="3" s="1"/>
  <c r="B22" i="3"/>
  <c r="F22" i="3"/>
  <c r="K14" i="3" l="1"/>
  <c r="E14" i="3" s="1"/>
  <c r="H27" i="4"/>
  <c r="H28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<sst xmlns="http://schemas.openxmlformats.org/spreadsheetml/2006/main" count="249" uniqueCount="143">
  <si>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</si>
  <si>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</si>
  <si>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</si>
  <si>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</si>
  <si>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</si>
  <si>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</si>
  <si>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</si>
  <si>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</si>
  <si>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</si>
  <si>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</si>
  <si>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</si>
  <si>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</si>
  <si>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</si>
  <si>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</si>
  <si>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</si>
  <si>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</si>
  <si>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</si>
  <si>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</si>
  <si>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</si>
  <si>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</si>
  <si>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</si>
  <si>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</si>
  <si>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</si>
  <si>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</si>
  <si>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</si>
  <si>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</si>
  <si>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</si>
  <si>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</si>
  <si>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</si>
  <si>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</si>
  <si>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</si>
  <si>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</si>
  <si>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</si>
  <si>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</si>
  <si>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</si>
  <si>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</si>
  <si>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</si>
  <si>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</si>
  <si>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</si>
  <si>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</si>
  <si>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</si>
  <si>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</si>
  <si>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</si>
  <si>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</si>
  <si>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</si>
  <si>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</si>
  <si>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</si>
  <si>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</si>
  <si>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</si>
  <si>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</si>
  <si>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</si>
  <si>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</si>
  <si>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</si>
  <si>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</si>
  <si>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</si>
  <si>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</si>
  <si>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</si>
  <si>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</si>
  <si>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</si>
  <si>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</si>
  <si>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</si>
  <si>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</si>
  <si>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</si>
  <si>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</si>
  <si>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</si>
  <si>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</si>
  <si>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</si>
  <si>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</si>
  <si>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</si>
  <si>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</si>
  <si>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</si>
  <si>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</si>
  <si>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</si>
  <si>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</si>
  <si>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</si>
  <si>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</si>
  <si>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</si>
  <si>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</si>
  <si>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</si>
  <si>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</si>
  <si>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</si>
  <si>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</si>
  <si>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</si>
  <si>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</si>
  <si>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</si>
  <si>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</si>
  <si>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</si>
  <si>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</si>
  <si>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</si>
  <si>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</si>
  <si>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</si>
  <si>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</si>
  <si>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</si>
  <si>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</si>
  <si>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</si>
  <si>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</si>
  <si>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</si>
  <si>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</si>
  <si>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</si>
  <si>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</si>
  <si>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</si>
  <si>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</si>
  <si>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</si>
  <si>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</si>
  <si>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</si>
  <si>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</si>
  <si>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</si>
  <si>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</si>
  <si>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</si>
  <si>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</si>
  <si>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</si>
  <si>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</si>
  <si>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</si>
  <si>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</si>
  <si>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</si>
  <si>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</si>
  <si>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</si>
  <si>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</si>
  <si>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</si>
  <si>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</si>
  <si>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</si>
  <si>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</si>
  <si>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</si>
  <si>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</si>
  <si>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</si>
  <si>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</si>
  <si>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</si>
  <si>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</si>
  <si>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</si>
  <si>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</si>
  <si>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</si>
  <si>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</si>
  <si>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</si>
  <si>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</si>
  <si>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</si>
  <si>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</si>
  <si>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</si>
  <si>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</si>
  <si>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</si>
  <si>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11993</t>
  </si>
  <si>
    <t>7391R</t>
  </si>
  <si>
    <t>SHELL WHITE 22011 SF</t>
  </si>
  <si>
    <t xml:space="preserve"> Y  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</si>
</sst>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24</xdr:row>
      <xdr:rowOff>95250</xdr:rowOff>
    </xdr:from>
    <xdr:to>
      <xdr:col>5</xdr:col>
      <xdr:colOff>1409700</xdr:colOff>
      <xdr:row>27</xdr:row>
      <xdr:rowOff>200025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6220" y="5025390"/>
          <a:ext cx="52882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REPOSICIÓN</a:t>
          </a:r>
          <a:r>
            <a:rPr lang="es-CL" sz="900" b="1" i="1" baseline="0"/>
            <a:t> NOTA VENTA 7380  Y NOTA VENTA 7377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1500X600 EN STOCK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1500 X 600 ESTA EN STOCK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556018</xdr:colOff>
      <xdr:row>46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5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 t="s">
        <v>140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53" t="s">
        <v>129</v>
      </c>
      <c r="C10" s="84" t="s">
        <v>136</v>
      </c>
      <c r="D10" s="54"/>
      <c r="E10" s="54"/>
      <c r="F10" s="55" t="s">
        <v>28</v>
      </c>
      <c r="G10" s="56">
        <v>46083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58" t="s">
        <v>2</v>
      </c>
      <c r="C11" s="1"/>
      <c r="D11" s="59"/>
      <c r="E11" s="59"/>
      <c r="F11" s="59" t="s">
        <v>124</v>
      </c>
      <c r="G11" s="107"/>
      <c r="H11" s="60"/>
      <c r="I11" s="1"/>
    </row>
    <row r="12" spans="1:17" ht="16.2" thickBot="1" x14ac:dyDescent="0.35">
      <c r="A12" s="1"/>
      <c r="B12" s="61" t="s">
        <v>130</v>
      </c>
      <c r="D12" s="42"/>
      <c r="E12" s="42"/>
      <c r="F12" s="42" t="s">
        <v>30</v>
      </c>
      <c r="G12" s="62">
        <v>23972</v>
      </c>
      <c r="H12" s="63"/>
      <c r="I12" s="1"/>
    </row>
    <row r="13" spans="1:17" ht="15.6" x14ac:dyDescent="0.3">
      <c r="A13" s="1"/>
      <c r="B13" s="61" t="s">
        <v>132</v>
      </c>
      <c r="C13" s="84"/>
      <c r="D13" s="42"/>
      <c r="E13" s="42"/>
      <c r="F13" s="42" t="s">
        <v>128</v>
      </c>
      <c r="G13" s="62"/>
      <c r="H13" s="63"/>
      <c r="I13" s="1"/>
    </row>
    <row r="14" spans="1:17" ht="15.6" x14ac:dyDescent="0.3">
      <c r="A14" s="1"/>
      <c r="B14" s="58" t="s">
        <v>17</v>
      </c>
      <c r="C14" s="99"/>
      <c r="D14" s="64"/>
      <c r="E14" s="59"/>
      <c r="F14" s="59" t="s">
        <v>29</v>
      </c>
      <c r="G14" s="59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4" t="s">
        <v>18</v>
      </c>
      <c r="G16" s="114"/>
      <c r="H16" s="115"/>
      <c r="I16" s="1"/>
      <c r="K16" t="s">
        <v>142</v>
      </c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0">
        <v>1</v>
      </c>
      <c r="C21" s="100" t="s">
        <v>137</v>
      </c>
      <c r="D21" s="102">
        <v>1928</v>
      </c>
      <c r="E21" s="102">
        <v>500</v>
      </c>
      <c r="F21" s="100" t="s">
        <v>138</v>
      </c>
      <c r="G21" s="101">
        <v>50990</v>
      </c>
      <c r="H21" s="101">
        <f t="shared" ref="H21" si="0">G21*B21</f>
        <v>50990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0">
        <v>1</v>
      </c>
      <c r="C22" s="100" t="s">
        <v>137</v>
      </c>
      <c r="D22" s="102">
        <v>3500</v>
      </c>
      <c r="E22" s="102">
        <v>600</v>
      </c>
      <c r="F22" s="100" t="s">
        <v>138</v>
      </c>
      <c r="G22" s="101">
        <v>84003</v>
      </c>
      <c r="H22" s="101">
        <f>G22*B22</f>
        <v>84003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21">
        <v>1</v>
      </c>
      <c r="C23" s="122" t="s">
        <v>137</v>
      </c>
      <c r="D23" s="123">
        <v>1500</v>
      </c>
      <c r="E23" s="123">
        <v>600</v>
      </c>
      <c r="F23" s="122" t="s">
        <v>141</v>
      </c>
      <c r="G23" s="124">
        <v>53663</v>
      </c>
      <c r="H23" s="125">
        <f t="shared" ref="H23" si="1">G23*B23</f>
        <v>53663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/>
      <c r="C24" s="105"/>
      <c r="D24" s="106"/>
      <c r="E24" s="106"/>
      <c r="F24" s="105"/>
      <c r="G24" s="73"/>
      <c r="H24" s="73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2"/>
      <c r="C25" s="72"/>
      <c r="D25" s="72"/>
      <c r="E25" s="72"/>
      <c r="F25" s="72"/>
      <c r="G25" s="73"/>
      <c r="H25" s="73"/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5</v>
      </c>
      <c r="H26" s="75">
        <f>SUM(H21:H25)</f>
        <v>188656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6</v>
      </c>
      <c r="H27" s="77">
        <f>H26*19%</f>
        <v>35844.639999999999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8" t="s">
        <v>4</v>
      </c>
      <c r="H28" s="79">
        <f>H26+H27</f>
        <v>224500.64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4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0" t="s">
        <v>123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80" t="s">
        <v>122</v>
      </c>
      <c r="C32" s="81"/>
      <c r="D32" s="82"/>
      <c r="E32" s="82"/>
      <c r="F32" s="72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3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activeCell="J40" sqref="J4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8" t="s">
        <v>61</v>
      </c>
      <c r="L3" s="108"/>
      <c r="M3" s="108" t="s">
        <v>14</v>
      </c>
      <c r="N3" s="108"/>
    </row>
    <row r="4" spans="1:14" ht="15.75" customHeight="1" x14ac:dyDescent="0.3">
      <c r="A4" s="1"/>
      <c r="B4" s="1"/>
      <c r="C4" s="39" t="s">
        <v>27</v>
      </c>
      <c r="D4" s="14" t="str">
        <f>'4637'!G8</f>
        <v>7391R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9" t="s">
        <v>61</v>
      </c>
      <c r="B10" s="109"/>
      <c r="C10" s="109"/>
      <c r="D10" s="109"/>
      <c r="E10" s="109"/>
      <c r="F10" s="10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2008</v>
      </c>
      <c r="E14" s="35">
        <f t="shared" ref="E14:E15" si="1">K14+$E$13</f>
        <v>470</v>
      </c>
      <c r="F14" s="97" t="str">
        <f>C29</f>
        <v>CUB C/R R8</v>
      </c>
      <c r="G14" s="1"/>
      <c r="I14" s="87">
        <f>I22</f>
        <v>1</v>
      </c>
      <c r="J14" s="4">
        <f>J22</f>
        <v>1928</v>
      </c>
      <c r="K14" s="4">
        <f>K22</f>
        <v>500</v>
      </c>
    </row>
    <row r="15" spans="1:14" ht="15.6" x14ac:dyDescent="0.3">
      <c r="A15" s="93"/>
      <c r="B15" s="25">
        <f t="shared" ref="B15" si="2">I15</f>
        <v>1</v>
      </c>
      <c r="C15" s="25"/>
      <c r="D15" s="25">
        <f t="shared" ref="D15" si="3">J15+$D$13</f>
        <v>3580</v>
      </c>
      <c r="E15" s="35">
        <f t="shared" si="1"/>
        <v>570</v>
      </c>
      <c r="F15" s="97" t="str">
        <f t="shared" ref="F15" si="4">C30</f>
        <v>CUB C/R R8</v>
      </c>
      <c r="G15" s="1"/>
      <c r="I15" s="87">
        <f t="shared" ref="I15:K15" si="5">I23</f>
        <v>1</v>
      </c>
      <c r="J15" s="4">
        <f t="shared" si="5"/>
        <v>3500</v>
      </c>
      <c r="K15" s="4">
        <f t="shared" si="5"/>
        <v>600</v>
      </c>
    </row>
    <row r="16" spans="1:14" ht="15.6" x14ac:dyDescent="0.3">
      <c r="A16" s="51"/>
      <c r="B16" s="6"/>
      <c r="C16" s="6"/>
      <c r="D16" s="6"/>
      <c r="E16" s="103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09" t="s">
        <v>14</v>
      </c>
      <c r="B18" s="109"/>
      <c r="C18" s="109"/>
      <c r="D18" s="109"/>
      <c r="E18" s="109"/>
      <c r="F18" s="10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6">I22</f>
        <v>1</v>
      </c>
      <c r="C22" s="16"/>
      <c r="D22" s="16">
        <f>J22+D$21</f>
        <v>1968</v>
      </c>
      <c r="E22" s="16">
        <f>K22+E$21</f>
        <v>630</v>
      </c>
      <c r="F22" s="98" t="str">
        <f>C29</f>
        <v>CUB C/R R8</v>
      </c>
      <c r="G22" s="1"/>
      <c r="I22" s="3">
        <f>B29</f>
        <v>1</v>
      </c>
      <c r="J22" s="4">
        <f>D29</f>
        <v>1928</v>
      </c>
      <c r="K22" s="4">
        <f t="shared" ref="K22" si="7">E29</f>
        <v>500</v>
      </c>
    </row>
    <row r="23" spans="1:11" ht="15.6" x14ac:dyDescent="0.3">
      <c r="A23" s="93"/>
      <c r="B23" s="16">
        <f t="shared" ref="B23" si="8">I23</f>
        <v>1</v>
      </c>
      <c r="C23" s="16"/>
      <c r="D23" s="16">
        <f>J23+D$21</f>
        <v>3540</v>
      </c>
      <c r="E23" s="16">
        <f>K23+E$21</f>
        <v>730</v>
      </c>
      <c r="F23" s="98" t="str">
        <f t="shared" ref="F23" si="9">C30</f>
        <v>CUB C/R R8</v>
      </c>
      <c r="G23" s="1"/>
      <c r="I23" s="3">
        <f t="shared" ref="I23" si="10">B30</f>
        <v>1</v>
      </c>
      <c r="J23" s="4">
        <f t="shared" ref="J23" si="11">D30</f>
        <v>3500</v>
      </c>
      <c r="K23" s="4">
        <f t="shared" ref="K23" si="12">E30</f>
        <v>600</v>
      </c>
    </row>
    <row r="24" spans="1:11" ht="15.6" x14ac:dyDescent="0.3">
      <c r="A24" s="93"/>
      <c r="B24" s="6"/>
      <c r="C24" s="6"/>
      <c r="D24" s="6"/>
      <c r="E24" s="6"/>
      <c r="F24" s="104"/>
      <c r="G24" s="1"/>
      <c r="I24" s="87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3" t="s">
        <v>135</v>
      </c>
      <c r="B29" s="25">
        <f>'4637'!B21</f>
        <v>1</v>
      </c>
      <c r="C29" s="97" t="str">
        <f>'4637'!C21</f>
        <v>CUB C/R R8</v>
      </c>
      <c r="D29" s="25">
        <f>'4637'!D21</f>
        <v>1928</v>
      </c>
      <c r="E29" s="25">
        <f>'4637'!E21</f>
        <v>500</v>
      </c>
      <c r="F29" s="25" t="str">
        <f>'4637'!F21</f>
        <v>GLACIAL WHITE 22191 SF</v>
      </c>
      <c r="G29" s="1"/>
    </row>
    <row r="30" spans="1:11" ht="15.6" x14ac:dyDescent="0.3">
      <c r="A30" s="93"/>
      <c r="B30" s="25">
        <f>'4637'!B22</f>
        <v>1</v>
      </c>
      <c r="C30" s="97" t="str">
        <f>'4637'!C22</f>
        <v>CUB C/R R8</v>
      </c>
      <c r="D30" s="25">
        <f>'4637'!D22</f>
        <v>3500</v>
      </c>
      <c r="E30" s="25">
        <f>'4637'!E22</f>
        <v>600</v>
      </c>
      <c r="F30" s="25" t="str">
        <f>'4637'!F22</f>
        <v>GLACIAL WHITE 22191 SF</v>
      </c>
      <c r="G30" s="1"/>
    </row>
    <row r="31" spans="1:11" ht="15.6" x14ac:dyDescent="0.3">
      <c r="A31" s="93"/>
      <c r="B31" s="25">
        <f>'4637'!B23</f>
        <v>1</v>
      </c>
      <c r="C31" s="97" t="str">
        <f>'4637'!C23</f>
        <v>CUB C/R R8</v>
      </c>
      <c r="D31" s="25">
        <f>'4637'!D23</f>
        <v>1500</v>
      </c>
      <c r="E31" s="25">
        <f>'4637'!E23</f>
        <v>600</v>
      </c>
      <c r="F31" s="25" t="str">
        <f>'4637'!F23</f>
        <v>SHELL WHITE 22011 SF</v>
      </c>
      <c r="G31" s="1"/>
    </row>
    <row r="32" spans="1:11" ht="15.6" x14ac:dyDescent="0.3">
      <c r="A32" s="93"/>
      <c r="B32" s="6"/>
      <c r="C32" s="104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39" t="s">
        <v>27</v>
      </c>
      <c r="D42" s="14" t="str">
        <f>'4637'!G8</f>
        <v>7391R</v>
      </c>
      <c r="E42" s="1"/>
      <c r="F42" s="1"/>
      <c r="G42" s="1"/>
    </row>
    <row r="43" spans="1:7" ht="17.25" customHeight="1" x14ac:dyDescent="0.3">
      <c r="A43" s="1"/>
      <c r="B43" s="1"/>
      <c r="C43" s="40" t="s">
        <v>67</v>
      </c>
      <c r="D43" s="41" t="str">
        <f>'4637'!C10</f>
        <v>MUEBLES ASENJO</v>
      </c>
      <c r="E43" s="42"/>
      <c r="F43" s="42"/>
      <c r="G43" s="1"/>
    </row>
    <row r="44" spans="1:7" ht="4.5" customHeight="1" x14ac:dyDescent="0.3">
      <c r="A44" s="1"/>
      <c r="B44" s="1"/>
      <c r="C44" s="43"/>
      <c r="D44" s="44"/>
      <c r="E44" s="1"/>
      <c r="F44" s="1"/>
      <c r="G44" s="1"/>
    </row>
    <row r="45" spans="1:7" ht="15.6" x14ac:dyDescent="0.3">
      <c r="A45" s="1"/>
      <c r="B45" s="1"/>
      <c r="C45" s="45" t="str">
        <f>'4637'!F11</f>
        <v>FECHA LIMITE :</v>
      </c>
      <c r="D45" s="13">
        <f>'4637'!G11</f>
        <v>0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09" t="s">
        <v>68</v>
      </c>
      <c r="B48" s="109"/>
      <c r="C48" s="109"/>
      <c r="D48" s="109"/>
      <c r="E48" s="109"/>
      <c r="F48" s="109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10" t="s">
        <v>69</v>
      </c>
      <c r="C50" s="111"/>
      <c r="D50" s="112"/>
      <c r="E50" s="112"/>
      <c r="F50" s="113"/>
      <c r="G50" s="1"/>
    </row>
    <row r="51" spans="1:7" s="15" customFormat="1" ht="12.75" customHeight="1" x14ac:dyDescent="0.3">
      <c r="A51" s="1"/>
      <c r="B51" s="36" t="s">
        <v>10</v>
      </c>
      <c r="C51" s="46" t="s">
        <v>11</v>
      </c>
      <c r="D51" s="47" t="s">
        <v>7</v>
      </c>
      <c r="E51" s="47" t="s">
        <v>8</v>
      </c>
      <c r="F51" s="48" t="s">
        <v>12</v>
      </c>
      <c r="G51" s="1"/>
    </row>
    <row r="52" spans="1:7" s="15" customFormat="1" ht="15" customHeight="1" x14ac:dyDescent="0.3">
      <c r="A52" s="93" t="s">
        <v>135</v>
      </c>
      <c r="B52" s="38">
        <f>'4637'!B21</f>
        <v>1</v>
      </c>
      <c r="C52" s="96" t="str">
        <f>'4637'!C21</f>
        <v>CUB C/R R8</v>
      </c>
      <c r="D52" s="96">
        <f>'4637'!D21</f>
        <v>1928</v>
      </c>
      <c r="E52" s="96">
        <f>'4637'!E21</f>
        <v>500</v>
      </c>
      <c r="F52" s="96" t="str">
        <f>'4637'!F21</f>
        <v>GLACIAL WHITE 22191 SF</v>
      </c>
      <c r="G52" s="1"/>
    </row>
    <row r="53" spans="1:7" s="15" customFormat="1" ht="15" customHeight="1" x14ac:dyDescent="0.3">
      <c r="A53" s="93"/>
      <c r="B53" s="38">
        <f>'4637'!B22</f>
        <v>1</v>
      </c>
      <c r="C53" s="96" t="str">
        <f>'4637'!C22</f>
        <v>CUB C/R R8</v>
      </c>
      <c r="D53" s="96">
        <f>'4637'!D22</f>
        <v>3500</v>
      </c>
      <c r="E53" s="96">
        <f>'4637'!E22</f>
        <v>600</v>
      </c>
      <c r="F53" s="96" t="str">
        <f>'4637'!F22</f>
        <v>GLACIAL WHITE 22191 SF</v>
      </c>
      <c r="G53" s="1"/>
    </row>
    <row r="54" spans="1:7" s="15" customFormat="1" ht="15" customHeight="1" x14ac:dyDescent="0.3">
      <c r="A54" s="93"/>
      <c r="B54" s="38">
        <f>'4637'!B23</f>
        <v>1</v>
      </c>
      <c r="C54" s="96" t="str">
        <f>'4637'!C23</f>
        <v>CUB C/R R8</v>
      </c>
      <c r="D54" s="96">
        <f>'4637'!D23</f>
        <v>1500</v>
      </c>
      <c r="E54" s="96">
        <f>'4637'!E23</f>
        <v>600</v>
      </c>
      <c r="F54" s="96" t="str">
        <f>'4637'!F23</f>
        <v>SHELL WHITE 22011 SF</v>
      </c>
      <c r="G54" s="1"/>
    </row>
    <row r="55" spans="1:7" s="15" customFormat="1" ht="15" customHeight="1" x14ac:dyDescent="0.3">
      <c r="A55" s="49"/>
      <c r="B55" s="51"/>
      <c r="C55" s="51"/>
      <c r="D55" s="51"/>
      <c r="E55" s="51"/>
      <c r="F55" s="51"/>
      <c r="G55" s="1"/>
    </row>
    <row r="56" spans="1:7" ht="15.6" x14ac:dyDescent="0.3">
      <c r="A56" s="6"/>
      <c r="B56" s="6"/>
      <c r="C56" s="1"/>
      <c r="D56" s="6"/>
      <c r="E56" s="6"/>
      <c r="F56" s="43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0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8:F18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2026-02-19T13:34:04Z</cp:lastPrinted>
  <dcterms:created xsi:type="dcterms:W3CDTF">2013-03-19T12:54:14Z</dcterms:created>
  <dcterms:modified xsi:type="dcterms:W3CDTF">2026-03-02T13:03:24Z</dcterms:modified>
</cp:coreProperties>
</file>