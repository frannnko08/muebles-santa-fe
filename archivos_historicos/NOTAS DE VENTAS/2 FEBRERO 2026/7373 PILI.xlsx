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50D06680-D2F3-4B1A-B125-C1B0FF4C5EFF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D21" i="3"/>
  <c r="J14" i="3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<sst xmlns="http://schemas.openxmlformats.org/spreadsheetml/2006/main" count="243" uniqueCount="140">
  <si>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</si>
  <si>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</si>
  <si>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</si>
  <si>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</si>
  <si>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</si>
  <si>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</si>
  <si>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</si>
  <si>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</si>
  <si>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</si>
  <si>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</si>
  <si>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</si>
  <si>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</si>
  <si>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</si>
  <si>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</si>
  <si>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</si>
  <si>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</si>
  <si>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</si>
  <si>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</si>
  <si>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</si>
  <si>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</si>
  <si>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</si>
  <si>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</si>
  <si>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</si>
  <si>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</si>
  <si>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</si>
  <si>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</si>
  <si>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</si>
  <si>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</si>
  <si>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</si>
  <si>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</si>
  <si>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</si>
  <si>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</si>
  <si>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</si>
  <si>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</si>
  <si>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</si>
  <si>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</si>
  <si>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</si>
  <si>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</si>
  <si>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</si>
  <si>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</si>
  <si>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</si>
  <si>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</si>
  <si>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</si>
  <si>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</si>
  <si>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</si>
  <si>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</si>
  <si>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</si>
  <si>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</si>
  <si>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</si>
  <si>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</si>
  <si>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</si>
  <si>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</si>
  <si>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</si>
  <si>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</si>
  <si>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</si>
  <si>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</si>
  <si>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</si>
  <si>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</si>
  <si>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</si>
  <si>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</si>
  <si>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</si>
  <si>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</si>
  <si>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</si>
  <si>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</si>
  <si>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</si>
  <si>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</si>
  <si>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</si>
  <si>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</si>
  <si>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</si>
  <si>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</si>
  <si>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</si>
  <si>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</si>
  <si>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</si>
  <si>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</si>
  <si>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</si>
  <si>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</si>
  <si>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</si>
  <si>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</si>
  <si>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</si>
  <si>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</si>
  <si>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</si>
  <si>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</si>
  <si>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</si>
  <si>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</si>
  <si>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</si>
  <si>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</si>
  <si>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</si>
  <si>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</si>
  <si>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</si>
  <si>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</si>
  <si>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</si>
  <si>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</si>
  <si>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</si>
  <si>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</si>
  <si>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</si>
  <si>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</si>
  <si>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</si>
  <si>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</si>
  <si>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</si>
  <si>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</si>
  <si>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</si>
  <si>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</si>
  <si>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</si>
  <si>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</si>
  <si>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</si>
  <si>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</si>
  <si>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</si>
  <si>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</si>
  <si>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</si>
  <si>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</si>
  <si>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</si>
  <si>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</si>
  <si>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</si>
  <si>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</si>
  <si>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</si>
  <si>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</si>
  <si>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</si>
  <si>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</si>
  <si>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</si>
  <si>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</si>
  <si>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</si>
  <si>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</si>
  <si>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</si>
  <si>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</si>
  <si>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</si>
  <si>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</si>
  <si>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</si>
  <si>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</si>
  <si>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</si>
  <si>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</si>
  <si>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</si>
  <si>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</si>
  <si>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</si>
  <si>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</si>
  <si>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</si>
  <si>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</si>
  <si>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PILI</t>
  </si>
  <si>
    <t>N° 11858</t>
  </si>
  <si>
    <t>CUB C/R R8</t>
  </si>
  <si>
    <t>SHELL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</si>
</sst>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0" workbookViewId="0">
      <selection activeCell="G30" sqref="G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7373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46055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46058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/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138</v>
      </c>
      <c r="D21" s="104">
        <v>1800</v>
      </c>
      <c r="E21" s="104">
        <v>600</v>
      </c>
      <c r="F21" s="102" t="s">
        <v>139</v>
      </c>
      <c r="G21" s="103">
        <v>91477</v>
      </c>
      <c r="H21" s="103">
        <f t="shared" ref="H21" si="0">G21*B21</f>
        <v>91477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91477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17380.63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108857.63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42" zoomScaleNormal="100" workbookViewId="0">
      <selection activeCell="E62" sqref="E6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7373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PILI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46058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135</v>
      </c>
      <c r="B14" s="25">
        <f t="shared" ref="B14" si="0">I14</f>
        <v>1</v>
      </c>
      <c r="C14" s="25"/>
      <c r="D14" s="25">
        <f>J14+$D$13</f>
        <v>1850</v>
      </c>
      <c r="E14" s="35">
        <f>K14+$E$13</f>
        <v>570</v>
      </c>
      <c r="F14" s="99" t="str">
        <f>C27</f>
        <v>CUB C/R R8</v>
      </c>
      <c r="G14" s="1"/>
      <c r="I14" s="89">
        <f>I21</f>
        <v>1</v>
      </c>
      <c r="J14" s="4">
        <f>J21</f>
        <v>1800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05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J21+D$20</f>
        <v>1840</v>
      </c>
      <c r="E21" s="16">
        <f>K21+E$20</f>
        <v>730</v>
      </c>
      <c r="F21" s="100" t="str">
        <f>C27</f>
        <v>CUB C/R R8</v>
      </c>
      <c r="G21" s="1"/>
      <c r="I21" s="3">
        <f>B27</f>
        <v>1</v>
      </c>
      <c r="J21" s="4">
        <f>D27</f>
        <v>1800</v>
      </c>
      <c r="K21" s="4">
        <f t="shared" ref="K21" si="2">E27</f>
        <v>600</v>
      </c>
    </row>
    <row r="22" spans="1:11" ht="15.6" x14ac:dyDescent="0.3">
      <c r="A22" s="95"/>
      <c r="B22" s="6"/>
      <c r="C22" s="6"/>
      <c r="D22" s="6"/>
      <c r="E22" s="6"/>
      <c r="F22" s="107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135</v>
      </c>
      <c r="B27" s="25">
        <f>'4637'!B21</f>
        <v>1</v>
      </c>
      <c r="C27" s="99" t="str">
        <f>'4637'!C21</f>
        <v>CUB C/R R8</v>
      </c>
      <c r="D27" s="25">
        <f>'4637'!D21</f>
        <v>1800</v>
      </c>
      <c r="E27" s="25">
        <f>'4637'!E21</f>
        <v>600</v>
      </c>
      <c r="F27" s="25" t="str">
        <f>'4637'!F21</f>
        <v>SHELL WHITE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7373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PILI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46058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135</v>
      </c>
      <c r="B48" s="38">
        <f>'4637'!B21</f>
        <v>1</v>
      </c>
      <c r="C48" s="98" t="str">
        <f>'4637'!C21</f>
        <v>CUB C/R R8</v>
      </c>
      <c r="D48" s="39">
        <f>'4637'!D21</f>
        <v>1800</v>
      </c>
      <c r="E48" s="39">
        <f>'4637'!E21</f>
        <v>600</v>
      </c>
      <c r="F48" s="38" t="str">
        <f>'4637'!F21</f>
        <v>SHELL WHITE</v>
      </c>
      <c r="G48" s="1"/>
    </row>
    <row r="49" spans="1:7" s="15" customFormat="1" ht="15" customHeight="1" x14ac:dyDescent="0.3">
      <c r="B49" s="52"/>
      <c r="C49" s="106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2026-02-03T15:28:30Z</cp:lastPrinted>
  <dcterms:created xsi:type="dcterms:W3CDTF">2013-03-19T12:54:14Z</dcterms:created>
  <dcterms:modified xsi:type="dcterms:W3CDTF">2026-02-03T15:34:00Z</dcterms:modified>
</cp:coreProperties>
</file>