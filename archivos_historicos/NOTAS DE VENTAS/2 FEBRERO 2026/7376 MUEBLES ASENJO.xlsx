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43193C48-2FE7-4F07-A65F-C7D2ED981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I21" i="3" s="1"/>
  <c r="C27" i="3"/>
  <c r="F21" i="3" s="1"/>
  <c r="D27" i="3"/>
  <c r="J21" i="3" s="1"/>
  <c r="E27" i="3"/>
  <c r="K21" i="3" s="1"/>
  <c r="K14" i="3" s="1"/>
  <c r="E14" i="3" s="1"/>
  <c r="F27" i="3"/>
  <c r="D48" i="3"/>
  <c r="E48" i="3"/>
  <c r="F48" i="3"/>
  <c r="C48" i="3"/>
  <c r="H21" i="4"/>
  <c r="B21" i="3" l="1"/>
  <c r="I14" i="3"/>
  <c r="B14" i="3" s="1"/>
  <c r="D21" i="3"/>
  <c r="J14" i="3"/>
  <c r="D14" i="3" s="1"/>
  <c r="F14" i="3"/>
  <c r="E21" i="3"/>
  <c r="H25" i="4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<sst xmlns="http://schemas.openxmlformats.org/spreadsheetml/2006/main" count="243" uniqueCount="139">
  <si>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</si>
  <si>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</si>
  <si>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</si>
  <si>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</si>
  <si>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</si>
  <si>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</si>
  <si>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</si>
  <si>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</si>
  <si>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</si>
  <si>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</si>
  <si>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</si>
  <si>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</si>
  <si>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</si>
  <si>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</si>
  <si>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</si>
  <si>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</si>
  <si>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</si>
  <si>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</si>
  <si>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</si>
  <si>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</si>
  <si>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</si>
  <si>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</si>
  <si>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</si>
  <si>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</si>
  <si>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</si>
  <si>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</si>
  <si>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</si>
  <si>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</si>
  <si>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</si>
  <si>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</si>
  <si>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</si>
  <si>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</si>
  <si>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</si>
  <si>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</si>
  <si>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</si>
  <si>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</si>
  <si>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</si>
  <si>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</si>
  <si>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</si>
  <si>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</si>
  <si>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</si>
  <si>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</si>
  <si>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</si>
  <si>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</si>
  <si>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</si>
  <si>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</si>
  <si>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</si>
  <si>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</si>
  <si>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</si>
  <si>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</si>
  <si>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</si>
  <si>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</si>
  <si>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</si>
  <si>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</si>
  <si>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</si>
  <si>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</si>
  <si>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</si>
  <si>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</si>
  <si>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</si>
  <si>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</si>
  <si>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</si>
  <si>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</si>
  <si>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</si>
  <si>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</si>
  <si>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</si>
  <si>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</si>
  <si>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</si>
  <si>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</si>
  <si>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</si>
  <si>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</si>
  <si>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</si>
  <si>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</si>
  <si>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</si>
  <si>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</si>
  <si>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</si>
  <si>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</si>
  <si>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</si>
  <si>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</si>
  <si>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</si>
  <si>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</si>
  <si>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</si>
  <si>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</si>
  <si>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</si>
  <si>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</si>
  <si>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</si>
  <si>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</si>
  <si>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</si>
  <si>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</si>
  <si>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</si>
  <si>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</si>
  <si>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</si>
  <si>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</si>
  <si>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</si>
  <si>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</si>
  <si>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</si>
  <si>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</si>
  <si>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</si>
  <si>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</si>
  <si>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</si>
  <si>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</si>
  <si>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</si>
  <si>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</si>
  <si>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</si>
  <si>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</si>
  <si>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</si>
  <si>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</si>
  <si>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</si>
  <si>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</si>
  <si>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</si>
  <si>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</si>
  <si>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</si>
  <si>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</si>
  <si>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</si>
  <si>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</si>
  <si>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</si>
  <si>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</si>
  <si>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</si>
  <si>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</si>
  <si>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</si>
  <si>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</si>
  <si>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</si>
  <si>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</si>
  <si>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</si>
  <si>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</si>
  <si>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</si>
  <si>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</si>
  <si>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</si>
  <si>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</si>
  <si>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</si>
  <si>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</si>
  <si>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</si>
  <si>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</si>
  <si>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</si>
  <si>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</si>
  <si>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</si>
  <si>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MUEBLES ASENJO</t>
  </si>
  <si>
    <t>GLACIAL WHITE 22191 SF</t>
  </si>
  <si>
    <t>N° 11865</t>
  </si>
  <si>
    <t>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</si>
</sst>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7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556018</xdr:colOff>
      <xdr:row>42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6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137</v>
      </c>
      <c r="E8" s="1"/>
      <c r="F8" s="91" t="s">
        <v>27</v>
      </c>
      <c r="G8" s="92">
        <v>7376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135</v>
      </c>
      <c r="D10" s="53"/>
      <c r="E10" s="53"/>
      <c r="F10" s="54" t="s">
        <v>28</v>
      </c>
      <c r="G10" s="55">
        <v>46056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/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/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/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thickBot="1" x14ac:dyDescent="0.35">
      <c r="A21" s="1"/>
      <c r="B21" s="105">
        <v>1</v>
      </c>
      <c r="C21" s="106" t="s">
        <v>127</v>
      </c>
      <c r="D21" s="107">
        <v>3300</v>
      </c>
      <c r="E21" s="107">
        <v>600</v>
      </c>
      <c r="F21" s="106" t="s">
        <v>136</v>
      </c>
      <c r="G21" s="108">
        <v>124314</v>
      </c>
      <c r="H21" s="109">
        <f t="shared" ref="H21" si="0">G21*B21</f>
        <v>124314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/>
      <c r="C22" s="103"/>
      <c r="D22" s="104"/>
      <c r="E22" s="104"/>
      <c r="F22" s="103"/>
      <c r="G22" s="73"/>
      <c r="H22" s="73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3"/>
      <c r="C23" s="103"/>
      <c r="D23" s="104"/>
      <c r="E23" s="104"/>
      <c r="F23" s="103"/>
      <c r="G23" s="73"/>
      <c r="H23" s="73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2"/>
      <c r="C24" s="72"/>
      <c r="D24" s="72"/>
      <c r="E24" s="72"/>
      <c r="F24" s="72"/>
      <c r="G24" s="73"/>
      <c r="H24" s="73"/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SUM(H21:H24)</f>
        <v>124314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H25*19%</f>
        <v>23619.66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147933.66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0" t="s">
        <v>123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80" t="s">
        <v>122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3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zoomScaleNormal="100" workbookViewId="0">
      <selection activeCell="G34" sqref="A2:G3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38" t="s">
        <v>27</v>
      </c>
      <c r="D4" s="14">
        <f>'4637'!G8</f>
        <v>7376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MUEBLES ASENJO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138</v>
      </c>
      <c r="B14" s="25">
        <f t="shared" ref="B14" si="0">I14</f>
        <v>1</v>
      </c>
      <c r="C14" s="25"/>
      <c r="D14" s="25">
        <f t="shared" ref="D14" si="1">J14+$D$13</f>
        <v>3350</v>
      </c>
      <c r="E14" s="35">
        <f t="shared" ref="E14" si="2">K14+$E$13</f>
        <v>570</v>
      </c>
      <c r="F14" s="97" t="str">
        <f>C27</f>
        <v>CUB C/R R6</v>
      </c>
      <c r="G14" s="1"/>
      <c r="I14" s="87">
        <f t="shared" ref="I14:K14" si="3">I21</f>
        <v>1</v>
      </c>
      <c r="J14" s="4">
        <f t="shared" si="3"/>
        <v>3300</v>
      </c>
      <c r="K14" s="4">
        <f t="shared" si="3"/>
        <v>600</v>
      </c>
    </row>
    <row r="15" spans="1:14" ht="15.6" x14ac:dyDescent="0.3">
      <c r="A15" s="50"/>
      <c r="B15" s="6"/>
      <c r="C15" s="6"/>
      <c r="D15" s="6"/>
      <c r="E15" s="100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8" t="s">
        <v>14</v>
      </c>
      <c r="B17" s="118"/>
      <c r="C17" s="118"/>
      <c r="D17" s="118"/>
      <c r="E17" s="118"/>
      <c r="F17" s="118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4">I21</f>
        <v>1</v>
      </c>
      <c r="C21" s="16"/>
      <c r="D21" s="16">
        <f t="shared" ref="D21" si="5">J21+D$20</f>
        <v>3340</v>
      </c>
      <c r="E21" s="16">
        <f t="shared" ref="E21" si="6">K21+E$20</f>
        <v>730</v>
      </c>
      <c r="F21" s="98" t="str">
        <f>C27</f>
        <v>CUB C/R R6</v>
      </c>
      <c r="G21" s="1"/>
      <c r="I21" s="3">
        <f>B27</f>
        <v>1</v>
      </c>
      <c r="J21" s="4">
        <f>D27</f>
        <v>3300</v>
      </c>
      <c r="K21" s="4">
        <f>E27</f>
        <v>600</v>
      </c>
    </row>
    <row r="22" spans="1:11" ht="15.6" x14ac:dyDescent="0.3">
      <c r="A22" s="93"/>
      <c r="B22" s="6"/>
      <c r="C22" s="6"/>
      <c r="D22" s="6"/>
      <c r="E22" s="6"/>
      <c r="F22" s="102"/>
      <c r="G22" s="1"/>
      <c r="I22" s="87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138</v>
      </c>
      <c r="B27" s="25">
        <f>'4637'!B21</f>
        <v>1</v>
      </c>
      <c r="C27" s="97" t="str">
        <f>'4637'!C21</f>
        <v>CUB C/R R6</v>
      </c>
      <c r="D27" s="25">
        <f>'4637'!D21</f>
        <v>3300</v>
      </c>
      <c r="E27" s="25">
        <f>'4637'!E21</f>
        <v>600</v>
      </c>
      <c r="F27" s="25" t="str">
        <f>'4637'!F21</f>
        <v>GLACIAL WHITE 22191 SF</v>
      </c>
      <c r="G27" s="1"/>
    </row>
    <row r="28" spans="1:11" ht="15.6" x14ac:dyDescent="0.3">
      <c r="A28" s="93"/>
      <c r="B28" s="6"/>
      <c r="C28" s="102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8" t="s">
        <v>27</v>
      </c>
      <c r="D38" s="14">
        <f>'4637'!G8</f>
        <v>7376</v>
      </c>
      <c r="E38" s="1"/>
      <c r="F38" s="1"/>
      <c r="G38" s="1"/>
    </row>
    <row r="39" spans="1:7" ht="17.25" customHeight="1" x14ac:dyDescent="0.3">
      <c r="A39" s="1"/>
      <c r="B39" s="1"/>
      <c r="C39" s="39" t="s">
        <v>67</v>
      </c>
      <c r="D39" s="40" t="str">
        <f>'4637'!C10</f>
        <v>MUEBLES ASENJO</v>
      </c>
      <c r="E39" s="41"/>
      <c r="F39" s="41"/>
      <c r="G39" s="1"/>
    </row>
    <row r="40" spans="1:7" ht="4.5" customHeight="1" x14ac:dyDescent="0.3">
      <c r="A40" s="1"/>
      <c r="B40" s="1"/>
      <c r="C40" s="42"/>
      <c r="D40" s="43"/>
      <c r="E40" s="1"/>
      <c r="F40" s="1"/>
      <c r="G40" s="1"/>
    </row>
    <row r="41" spans="1:7" ht="15.6" x14ac:dyDescent="0.3">
      <c r="A41" s="1"/>
      <c r="B41" s="1"/>
      <c r="C41" s="44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8" t="s">
        <v>68</v>
      </c>
      <c r="B44" s="118"/>
      <c r="C44" s="118"/>
      <c r="D44" s="118"/>
      <c r="E44" s="118"/>
      <c r="F44" s="118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9" t="s">
        <v>69</v>
      </c>
      <c r="C46" s="120"/>
      <c r="D46" s="121"/>
      <c r="E46" s="121"/>
      <c r="F46" s="122"/>
      <c r="G46" s="1"/>
    </row>
    <row r="47" spans="1:7" s="15" customFormat="1" ht="12.75" customHeight="1" x14ac:dyDescent="0.3">
      <c r="A47" s="1"/>
      <c r="B47" s="37" t="s">
        <v>10</v>
      </c>
      <c r="C47" s="45" t="s">
        <v>11</v>
      </c>
      <c r="D47" s="46" t="s">
        <v>7</v>
      </c>
      <c r="E47" s="46" t="s">
        <v>8</v>
      </c>
      <c r="F47" s="47" t="s">
        <v>12</v>
      </c>
      <c r="G47" s="1"/>
    </row>
    <row r="48" spans="1:7" s="15" customFormat="1" ht="15" customHeight="1" x14ac:dyDescent="0.3">
      <c r="A48" s="93" t="s">
        <v>138</v>
      </c>
      <c r="B48" s="124">
        <v>1</v>
      </c>
      <c r="C48" s="123" t="str">
        <f>'4637'!C21</f>
        <v>CUB C/R R6</v>
      </c>
      <c r="D48" s="96">
        <f>'4637'!D21</f>
        <v>3300</v>
      </c>
      <c r="E48" s="96">
        <f>'4637'!E21</f>
        <v>600</v>
      </c>
      <c r="F48" s="96" t="str">
        <f>'4637'!F21</f>
        <v>GLACIAL WHITE 22191 SF</v>
      </c>
      <c r="G48" s="1"/>
    </row>
    <row r="49" spans="1:7" s="15" customFormat="1" ht="15" customHeight="1" x14ac:dyDescent="0.3">
      <c r="B49" s="50"/>
      <c r="C49" s="101"/>
      <c r="D49" s="50"/>
      <c r="E49" s="50"/>
      <c r="F49" s="50"/>
      <c r="G49" s="1"/>
    </row>
    <row r="50" spans="1:7" s="15" customFormat="1" ht="15" customHeight="1" x14ac:dyDescent="0.3">
      <c r="A50" s="48"/>
      <c r="B50" s="50"/>
      <c r="C50" s="50"/>
      <c r="D50" s="50"/>
      <c r="E50" s="50"/>
      <c r="F50" s="50"/>
      <c r="G50" s="1"/>
    </row>
    <row r="51" spans="1:7" ht="15.6" x14ac:dyDescent="0.3">
      <c r="A51" s="6"/>
      <c r="B51" s="6"/>
      <c r="C51" s="1"/>
      <c r="D51" s="6"/>
      <c r="E51" s="6"/>
      <c r="F51" s="42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49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2026-02-04T12:27:22Z</cp:lastPrinted>
  <dcterms:created xsi:type="dcterms:W3CDTF">2013-03-19T12:54:14Z</dcterms:created>
  <dcterms:modified xsi:type="dcterms:W3CDTF">2026-02-04T12:27:28Z</dcterms:modified>
</cp:coreProperties>
</file>