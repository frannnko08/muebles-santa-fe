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2 FEBRERO 2026\"/>
    </mc:Choice>
  </mc:AlternateContent>
  <xr:revisionPtr revIDLastSave="0" documentId="13_ncr:1_{1913D464-4C28-46CA-8015-F1513EFA139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3" l="1"/>
  <c r="E22" i="3"/>
  <c r="E15" i="3"/>
  <c r="E14" i="3"/>
  <c r="F15" i="3"/>
  <c r="I15" i="3"/>
  <c r="B15" i="3" s="1"/>
  <c r="J15" i="3"/>
  <c r="K15" i="3"/>
  <c r="B29" i="3"/>
  <c r="I23" i="3" s="1"/>
  <c r="B23" i="3" s="1"/>
  <c r="C29" i="3"/>
  <c r="F23" i="3" s="1"/>
  <c r="D29" i="3"/>
  <c r="J23" i="3" s="1"/>
  <c r="E29" i="3"/>
  <c r="K23" i="3" s="1"/>
  <c r="F29" i="3"/>
  <c r="B50" i="3"/>
  <c r="C50" i="3"/>
  <c r="D50" i="3"/>
  <c r="E50" i="3"/>
  <c r="F50" i="3"/>
  <c r="H22" i="4"/>
  <c r="H21" i="4"/>
  <c r="B28" i="3" l="1"/>
  <c r="I22" i="3" s="1"/>
  <c r="I14" i="3" s="1"/>
  <c r="B14" i="3" s="1"/>
  <c r="C28" i="3"/>
  <c r="F14" i="3" s="1"/>
  <c r="D28" i="3"/>
  <c r="J22" i="3" s="1"/>
  <c r="E28" i="3"/>
  <c r="F28" i="3"/>
  <c r="B49" i="3"/>
  <c r="C49" i="3"/>
  <c r="D49" i="3"/>
  <c r="E49" i="3"/>
  <c r="F49" i="3"/>
  <c r="H25" i="4"/>
  <c r="K22" i="3" l="1"/>
  <c r="K14" i="3" s="1"/>
  <c r="J14" i="3"/>
  <c r="B22" i="3"/>
  <c r="F22" i="3"/>
  <c r="H26" i="4" l="1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<sst xmlns="http://schemas.openxmlformats.org/spreadsheetml/2006/main" count="248" uniqueCount="143">
  <si>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</si>
  <si>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</si>
  <si>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</si>
  <si>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</si>
  <si>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</si>
  <si>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</si>
  <si>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</si>
  <si>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</si>
  <si>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</si>
  <si>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</si>
  <si>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</si>
  <si>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</si>
  <si>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</si>
  <si>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</si>
  <si>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</si>
  <si>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</si>
  <si>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</si>
  <si>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</si>
  <si>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</si>
  <si>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</si>
  <si>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</si>
  <si>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</si>
  <si>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</si>
  <si>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</si>
  <si>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</si>
  <si>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</si>
  <si>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</si>
  <si>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</si>
  <si>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</si>
  <si>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</si>
  <si>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</si>
  <si>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</si>
  <si>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</si>
  <si>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</si>
  <si>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</si>
  <si>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</si>
  <si>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</si>
  <si>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</si>
  <si>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</si>
  <si>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</si>
  <si>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</si>
  <si>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</si>
  <si>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</si>
  <si>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</si>
  <si>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</si>
  <si>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</si>
  <si>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</si>
  <si>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</si>
  <si>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</si>
  <si>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</si>
  <si>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</si>
  <si>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</si>
  <si>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</si>
  <si>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</si>
  <si>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</si>
  <si>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</si>
  <si>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</si>
  <si>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</si>
  <si>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</si>
  <si>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</si>
  <si>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</si>
  <si>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</si>
  <si>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</si>
  <si>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</si>
  <si>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</si>
  <si>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</si>
  <si>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</si>
  <si>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</si>
  <si>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</si>
  <si>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</si>
  <si>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</si>
  <si>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</si>
  <si>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</si>
  <si>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</si>
  <si>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</si>
  <si>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</si>
  <si>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</si>
  <si>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</si>
  <si>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</si>
  <si>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</si>
  <si>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</si>
  <si>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</si>
  <si>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</si>
  <si>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</si>
  <si>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</si>
  <si>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</si>
  <si>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</si>
  <si>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</si>
  <si>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</si>
  <si>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</si>
  <si>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</si>
  <si>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</si>
  <si>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</si>
  <si>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</si>
  <si>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</si>
  <si>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</si>
  <si>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</si>
  <si>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</si>
  <si>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</si>
  <si>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</si>
  <si>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</si>
  <si>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</si>
  <si>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</si>
  <si>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</si>
  <si>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</si>
  <si>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</si>
  <si>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</si>
  <si>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</si>
  <si>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</si>
  <si>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</si>
  <si>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</si>
  <si>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</si>
  <si>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</si>
  <si>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</si>
  <si>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</si>
  <si>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</si>
  <si>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</si>
  <si>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</si>
  <si>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</si>
  <si>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</si>
  <si>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</si>
  <si>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</si>
  <si>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</si>
  <si>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</si>
  <si>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</si>
  <si>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</si>
  <si>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</si>
  <si>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</si>
  <si>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</si>
  <si>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</si>
  <si>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</si>
  <si>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</si>
  <si>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</si>
  <si>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NO</t>
  </si>
  <si>
    <t>MDF18MM</t>
  </si>
  <si>
    <t>CONTADO</t>
  </si>
  <si>
    <t>CUB C/R R12</t>
  </si>
  <si>
    <t>ADRIAN ALBORNOZ</t>
  </si>
  <si>
    <t>9.772.277-3</t>
  </si>
  <si>
    <t>569 3022 1022</t>
  </si>
  <si>
    <t>PJE BRISTOL 1686 CONCHALI</t>
  </si>
  <si>
    <t>BLANCO 2114 MT</t>
  </si>
  <si>
    <t>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</si>
</sst>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" fillId="3" borderId="4" xfId="0" applyFont="1" applyFill="1" applyBorder="1"/>
    <xf numFmtId="0" fontId="17" fillId="0" borderId="0" xfId="0" quotePrefix="1" applyFont="1" applyAlignment="1">
      <alignment horizontal="lef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$ 211.456.- VENTA DE INTERNET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6</xdr:col>
      <xdr:colOff>19050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565543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544588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4" width="10.5546875" customWidth="1"/>
    <col min="5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142</v>
      </c>
      <c r="E8" s="1"/>
      <c r="F8" s="93" t="s">
        <v>27</v>
      </c>
      <c r="G8" s="94">
        <v>7371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46055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108"/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9" t="s">
        <v>139</v>
      </c>
      <c r="D14" s="66"/>
      <c r="E14" s="60"/>
      <c r="F14" s="60" t="s">
        <v>29</v>
      </c>
      <c r="G14" s="60" t="s">
        <v>133</v>
      </c>
      <c r="H14" s="62"/>
      <c r="I14" s="1"/>
    </row>
    <row r="15" spans="1:17" ht="15.6" x14ac:dyDescent="0.3">
      <c r="A15" s="1"/>
      <c r="B15" s="63" t="s">
        <v>1</v>
      </c>
      <c r="C15" s="97" t="s">
        <v>140</v>
      </c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1">
        <v>2</v>
      </c>
      <c r="C21" s="101" t="s">
        <v>136</v>
      </c>
      <c r="D21" s="103">
        <v>3000</v>
      </c>
      <c r="E21" s="103">
        <v>600</v>
      </c>
      <c r="F21" s="101" t="s">
        <v>141</v>
      </c>
      <c r="G21" s="102">
        <v>88847</v>
      </c>
      <c r="H21" s="102">
        <f t="shared" ref="H21" si="0">G21*B21</f>
        <v>177694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1">
        <v>1</v>
      </c>
      <c r="C22" s="101" t="s">
        <v>136</v>
      </c>
      <c r="D22" s="103">
        <v>3000</v>
      </c>
      <c r="E22" s="103">
        <v>350</v>
      </c>
      <c r="F22" s="101" t="s">
        <v>141</v>
      </c>
      <c r="G22" s="102">
        <v>65000</v>
      </c>
      <c r="H22" s="102">
        <f t="shared" ref="H22" si="1">G22*B22</f>
        <v>65000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6"/>
      <c r="C23" s="106"/>
      <c r="D23" s="107"/>
      <c r="E23" s="107"/>
      <c r="F23" s="106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242694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46111.86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288805.86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abSelected="1" zoomScaleNormal="100" workbookViewId="0">
      <selection sqref="A1:G37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7371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ADRIAN ALBORNOZ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134</v>
      </c>
      <c r="B14" s="25">
        <f t="shared" ref="B14" si="0">I14</f>
        <v>2</v>
      </c>
      <c r="C14" s="25"/>
      <c r="D14" s="25">
        <v>3100</v>
      </c>
      <c r="E14" s="35">
        <f>K14+E$13</f>
        <v>570</v>
      </c>
      <c r="F14" s="99" t="str">
        <f>C28</f>
        <v>CUB C/R R12</v>
      </c>
      <c r="G14" s="1"/>
      <c r="I14" s="89">
        <f t="shared" ref="I14:K15" si="1">I22</f>
        <v>2</v>
      </c>
      <c r="J14" s="4">
        <f t="shared" si="1"/>
        <v>3000</v>
      </c>
      <c r="K14" s="4">
        <f t="shared" si="1"/>
        <v>600</v>
      </c>
    </row>
    <row r="15" spans="1:14" ht="15.6" x14ac:dyDescent="0.3">
      <c r="A15" s="95"/>
      <c r="B15" s="25">
        <f t="shared" ref="B15" si="2">I15</f>
        <v>1</v>
      </c>
      <c r="C15" s="25"/>
      <c r="D15" s="25">
        <v>3100</v>
      </c>
      <c r="E15" s="35">
        <f>K15+E$13</f>
        <v>320</v>
      </c>
      <c r="F15" s="99" t="str">
        <f>C29</f>
        <v>CUB C/R R12</v>
      </c>
      <c r="G15" s="1"/>
      <c r="I15" s="89">
        <f t="shared" si="1"/>
        <v>1</v>
      </c>
      <c r="J15" s="4">
        <f t="shared" si="1"/>
        <v>3000</v>
      </c>
      <c r="K15" s="4">
        <f t="shared" si="1"/>
        <v>350</v>
      </c>
    </row>
    <row r="16" spans="1:14" ht="15.6" x14ac:dyDescent="0.3">
      <c r="A16" s="52"/>
      <c r="B16" s="6"/>
      <c r="C16" s="6"/>
      <c r="D16" s="6"/>
      <c r="E16" s="104"/>
      <c r="F16" s="6"/>
      <c r="G16" s="1"/>
      <c r="I16" s="89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8" t="s">
        <v>14</v>
      </c>
      <c r="B18" s="118"/>
      <c r="C18" s="118"/>
      <c r="D18" s="118"/>
      <c r="E18" s="118"/>
      <c r="F18" s="118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5"/>
      <c r="B22" s="16">
        <f t="shared" ref="B22" si="3">I22</f>
        <v>2</v>
      </c>
      <c r="C22" s="16"/>
      <c r="D22" s="16">
        <v>3080</v>
      </c>
      <c r="E22" s="16">
        <f>K22+E$21</f>
        <v>730</v>
      </c>
      <c r="F22" s="100" t="str">
        <f>C28</f>
        <v>CUB C/R R12</v>
      </c>
      <c r="G22" s="1"/>
      <c r="I22" s="3">
        <f>B28</f>
        <v>2</v>
      </c>
      <c r="J22" s="4">
        <f>D28</f>
        <v>3000</v>
      </c>
      <c r="K22" s="4">
        <f t="shared" ref="K22" si="4">E28</f>
        <v>600</v>
      </c>
    </row>
    <row r="23" spans="1:11" ht="15.6" x14ac:dyDescent="0.3">
      <c r="A23" s="95"/>
      <c r="B23" s="16">
        <f t="shared" ref="B23" si="5">I23</f>
        <v>1</v>
      </c>
      <c r="C23" s="16"/>
      <c r="D23" s="16">
        <v>3080</v>
      </c>
      <c r="E23" s="16">
        <f>K23+E$21</f>
        <v>480</v>
      </c>
      <c r="F23" s="100" t="str">
        <f>C29</f>
        <v>CUB C/R R12</v>
      </c>
      <c r="G23" s="1"/>
      <c r="I23" s="3">
        <f>B29</f>
        <v>1</v>
      </c>
      <c r="J23" s="4">
        <f>D29</f>
        <v>3000</v>
      </c>
      <c r="K23" s="4">
        <f t="shared" ref="K23" si="6">E29</f>
        <v>350</v>
      </c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5" t="s">
        <v>134</v>
      </c>
      <c r="B28" s="25">
        <f>'4637'!B21</f>
        <v>2</v>
      </c>
      <c r="C28" s="99" t="str">
        <f>'4637'!C21</f>
        <v>CUB C/R R12</v>
      </c>
      <c r="D28" s="25">
        <f>'4637'!D21</f>
        <v>3000</v>
      </c>
      <c r="E28" s="25">
        <f>'4637'!E21</f>
        <v>600</v>
      </c>
      <c r="F28" s="25" t="str">
        <f>'4637'!F21</f>
        <v>BLANCO 2114 MT</v>
      </c>
      <c r="G28" s="1"/>
    </row>
    <row r="29" spans="1:11" ht="15.6" x14ac:dyDescent="0.3">
      <c r="A29" s="95"/>
      <c r="B29" s="25">
        <f>'4637'!B22</f>
        <v>1</v>
      </c>
      <c r="C29" s="99" t="str">
        <f>'4637'!C22</f>
        <v>CUB C/R R12</v>
      </c>
      <c r="D29" s="25">
        <f>'4637'!D22</f>
        <v>3000</v>
      </c>
      <c r="E29" s="25">
        <f>'4637'!E22</f>
        <v>350</v>
      </c>
      <c r="F29" s="25" t="str">
        <f>'4637'!F22</f>
        <v>BLANCO 2114 MT</v>
      </c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7371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ADRIAN ALBORNOZ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0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18" t="s">
        <v>68</v>
      </c>
      <c r="B45" s="118"/>
      <c r="C45" s="118"/>
      <c r="D45" s="118"/>
      <c r="E45" s="118"/>
      <c r="F45" s="118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19" t="s">
        <v>69</v>
      </c>
      <c r="C47" s="120"/>
      <c r="D47" s="121"/>
      <c r="E47" s="121"/>
      <c r="F47" s="122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5" t="s">
        <v>134</v>
      </c>
      <c r="B49" s="38">
        <f>'4637'!B21</f>
        <v>2</v>
      </c>
      <c r="C49" s="98" t="str">
        <f>'4637'!C21</f>
        <v>CUB C/R R12</v>
      </c>
      <c r="D49" s="39">
        <f>'4637'!D21</f>
        <v>3000</v>
      </c>
      <c r="E49" s="39">
        <f>'4637'!E21</f>
        <v>600</v>
      </c>
      <c r="F49" s="38" t="str">
        <f>'4637'!F21</f>
        <v>BLANCO 2114 MT</v>
      </c>
      <c r="G49" s="1"/>
    </row>
    <row r="50" spans="1:7" s="15" customFormat="1" ht="15" customHeight="1" x14ac:dyDescent="0.3">
      <c r="A50" s="95"/>
      <c r="B50" s="38">
        <f>'4637'!B22</f>
        <v>1</v>
      </c>
      <c r="C50" s="98" t="str">
        <f>'4637'!C22</f>
        <v>CUB C/R R12</v>
      </c>
      <c r="D50" s="39">
        <f>'4637'!D22</f>
        <v>3000</v>
      </c>
      <c r="E50" s="39">
        <f>'4637'!E22</f>
        <v>350</v>
      </c>
      <c r="F50" s="38" t="str">
        <f>'4637'!F22</f>
        <v>BLANCO 2114 MT</v>
      </c>
      <c r="G50" s="1"/>
    </row>
    <row r="51" spans="1:7" s="15" customFormat="1" ht="15" customHeight="1" x14ac:dyDescent="0.3">
      <c r="B51" s="52"/>
      <c r="C51" s="105"/>
      <c r="D51" s="52"/>
      <c r="E51" s="52"/>
      <c r="F51" s="52"/>
      <c r="G51" s="1"/>
    </row>
    <row r="52" spans="1:7" s="15" customFormat="1" ht="15" customHeight="1" x14ac:dyDescent="0.3">
      <c r="A52" s="50"/>
      <c r="B52" s="52"/>
      <c r="C52" s="52"/>
      <c r="D52" s="52"/>
      <c r="E52" s="52"/>
      <c r="F52" s="52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2026-02-02T15:48:52Z</cp:lastPrinted>
  <dcterms:created xsi:type="dcterms:W3CDTF">2013-03-19T12:54:14Z</dcterms:created>
  <dcterms:modified xsi:type="dcterms:W3CDTF">2026-02-02T15:59:56Z</dcterms:modified>
</cp:coreProperties>
</file>