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86D329FC-8D5D-4CA7-955B-BC443311C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CUBIERTA!$A$42:$F$68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B31" i="3"/>
  <c r="I23" i="3" s="1"/>
  <c r="C31" i="3"/>
  <c r="F23" i="3" s="1"/>
  <c r="D31" i="3"/>
  <c r="J23" i="3" s="1"/>
  <c r="E31" i="3"/>
  <c r="K23" i="3" s="1"/>
  <c r="F31" i="3"/>
  <c r="B32" i="3"/>
  <c r="I24" i="3" s="1"/>
  <c r="C32" i="3"/>
  <c r="F15" i="3" s="1"/>
  <c r="D32" i="3"/>
  <c r="J24" i="3" s="1"/>
  <c r="J15" i="3" s="1"/>
  <c r="D15" i="3" s="1"/>
  <c r="E32" i="3"/>
  <c r="K24" i="3" s="1"/>
  <c r="F32" i="3"/>
  <c r="B33" i="3"/>
  <c r="I25" i="3" s="1"/>
  <c r="C33" i="3"/>
  <c r="F16" i="3" s="1"/>
  <c r="D33" i="3"/>
  <c r="J25" i="3" s="1"/>
  <c r="E33" i="3"/>
  <c r="K25" i="3" s="1"/>
  <c r="K16" i="3" s="1"/>
  <c r="E16" i="3" s="1"/>
  <c r="F33" i="3"/>
  <c r="D54" i="3"/>
  <c r="E54" i="3"/>
  <c r="F54" i="3"/>
  <c r="D55" i="3"/>
  <c r="E55" i="3"/>
  <c r="F55" i="3"/>
  <c r="D56" i="3"/>
  <c r="E56" i="3"/>
  <c r="F56" i="3"/>
  <c r="C54" i="3"/>
  <c r="C55" i="3"/>
  <c r="C56" i="3"/>
  <c r="H22" i="4"/>
  <c r="H23" i="4"/>
  <c r="H21" i="4"/>
  <c r="K14" i="3" l="1"/>
  <c r="E14" i="3" s="1"/>
  <c r="E23" i="3"/>
  <c r="B25" i="3"/>
  <c r="I16" i="3"/>
  <c r="B16" i="3" s="1"/>
  <c r="J14" i="3"/>
  <c r="D14" i="3" s="1"/>
  <c r="D23" i="3"/>
  <c r="B24" i="3"/>
  <c r="I15" i="3"/>
  <c r="B15" i="3" s="1"/>
  <c r="D25" i="3"/>
  <c r="J16" i="3"/>
  <c r="D16" i="3" s="1"/>
  <c r="K15" i="3"/>
  <c r="E15" i="3" s="1"/>
  <c r="E24" i="3"/>
  <c r="I14" i="3"/>
  <c r="B14" i="3" s="1"/>
  <c r="B23" i="3"/>
  <c r="F24" i="3"/>
  <c r="F25" i="3"/>
  <c r="F14" i="3"/>
  <c r="E25" i="3"/>
  <c r="D24" i="3"/>
  <c r="H28" i="4" l="1"/>
  <c r="H29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<sst xmlns="http://schemas.openxmlformats.org/spreadsheetml/2006/main" count="248" uniqueCount="141">
  <si>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</si>
  <si>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</si>
  <si>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</si>
  <si>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</si>
  <si>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</si>
  <si>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</si>
  <si>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</si>
  <si>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</si>
  <si>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</si>
  <si>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</si>
  <si>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</si>
  <si>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</si>
  <si>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</si>
  <si>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</si>
  <si>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</si>
  <si>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</si>
  <si>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</si>
  <si>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</si>
  <si>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</si>
  <si>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</si>
  <si>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</si>
  <si>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</si>
  <si>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</si>
  <si>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</si>
  <si>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</si>
  <si>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</si>
  <si>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</si>
  <si>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</si>
  <si>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</si>
  <si>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</si>
  <si>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</si>
  <si>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</si>
  <si>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</si>
  <si>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</si>
  <si>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</si>
  <si>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</si>
  <si>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</si>
  <si>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</si>
  <si>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</si>
  <si>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</si>
  <si>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</si>
  <si>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</si>
  <si>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</si>
  <si>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</si>
  <si>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</si>
  <si>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</si>
  <si>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</si>
  <si>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</si>
  <si>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</si>
  <si>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</si>
  <si>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</si>
  <si>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</si>
  <si>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</si>
  <si>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</si>
  <si>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</si>
  <si>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</si>
  <si>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</si>
  <si>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</si>
  <si>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</si>
  <si>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</si>
  <si>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</si>
  <si>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</si>
  <si>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</si>
  <si>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</si>
  <si>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</si>
  <si>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</si>
  <si>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</si>
  <si>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</si>
  <si>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</si>
  <si>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</si>
  <si>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</si>
  <si>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</si>
  <si>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</si>
  <si>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</si>
  <si>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</si>
  <si>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</si>
  <si>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</si>
  <si>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</si>
  <si>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</si>
  <si>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</si>
  <si>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</si>
  <si>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</si>
  <si>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</si>
  <si>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</si>
  <si>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</si>
  <si>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</si>
  <si>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</si>
  <si>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</si>
  <si>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</si>
  <si>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</si>
  <si>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</si>
  <si>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</si>
  <si>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</si>
  <si>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</si>
  <si>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</si>
  <si>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</si>
  <si>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</si>
  <si>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</si>
  <si>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</si>
  <si>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</si>
  <si>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</si>
  <si>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</si>
  <si>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</si>
  <si>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</si>
  <si>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</si>
  <si>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</si>
  <si>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</si>
  <si>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</si>
  <si>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</si>
  <si>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</si>
  <si>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</si>
  <si>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</si>
  <si>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</si>
  <si>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</si>
  <si>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</si>
  <si>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</si>
  <si>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</si>
  <si>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</si>
  <si>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</si>
  <si>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</si>
  <si>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</si>
  <si>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</si>
  <si>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</si>
  <si>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</si>
  <si>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</si>
  <si>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</si>
  <si>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</si>
  <si>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</si>
  <si>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</si>
  <si>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</si>
  <si>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</si>
  <si>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</si>
  <si>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</si>
  <si>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</si>
  <si>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</si>
  <si>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CUB C/R R8</t>
  </si>
  <si>
    <t>MARIO ZAPATA</t>
  </si>
  <si>
    <t>NEW BLACK GRANITE</t>
  </si>
  <si>
    <t>+569 4510 6187</t>
  </si>
  <si>
    <t>MDF 18MM</t>
  </si>
  <si>
    <t>N° 11871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</si>
</sst>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26</xdr:row>
      <xdr:rowOff>11430</xdr:rowOff>
    </xdr:from>
    <xdr:to>
      <xdr:col>5</xdr:col>
      <xdr:colOff>1386840</xdr:colOff>
      <xdr:row>29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TOTAL 5 DE FEBRERO 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58</xdr:row>
      <xdr:rowOff>190500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58</xdr:row>
      <xdr:rowOff>190500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190500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190500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190500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190500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DE 860 Y 680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UNIDAS SEGUN DIBUJO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ESPACIO SOBRANTE SE ENCHAPA CON REGRUESO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DE 860 Y 680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UNIDAS SEGUN DIBUJO</a:t>
          </a:r>
          <a:endParaRPr lang="es-CL">
            <a:effectLst/>
          </a:endParaRP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ESPACIO SOBRANTE SE ENCHAPA CON REGRUESO</a:t>
          </a:r>
          <a:endParaRPr lang="es-CL">
            <a:effectLst/>
          </a:endParaRPr>
        </a:p>
        <a:p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556018</xdr:colOff>
      <xdr:row>48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140</v>
      </c>
      <c r="E8" s="1"/>
      <c r="F8" s="91" t="s">
        <v>27</v>
      </c>
      <c r="G8" s="92">
        <v>7378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136</v>
      </c>
      <c r="D10" s="53"/>
      <c r="E10" s="53"/>
      <c r="F10" s="54" t="s">
        <v>28</v>
      </c>
      <c r="G10" s="55">
        <v>46058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>
        <v>46065</v>
      </c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 t="s">
        <v>138</v>
      </c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8">
        <v>1</v>
      </c>
      <c r="C21" s="100" t="s">
        <v>135</v>
      </c>
      <c r="D21" s="102">
        <v>1600</v>
      </c>
      <c r="E21" s="102">
        <v>530</v>
      </c>
      <c r="F21" s="100" t="s">
        <v>137</v>
      </c>
      <c r="G21" s="101">
        <v>53364</v>
      </c>
      <c r="H21" s="109">
        <f>G21*B21</f>
        <v>53364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8">
        <v>1</v>
      </c>
      <c r="C22" s="100" t="s">
        <v>135</v>
      </c>
      <c r="D22" s="102">
        <v>860</v>
      </c>
      <c r="E22" s="102">
        <v>430</v>
      </c>
      <c r="F22" s="100" t="s">
        <v>137</v>
      </c>
      <c r="G22" s="101">
        <v>23878</v>
      </c>
      <c r="H22" s="109">
        <f t="shared" ref="H22:H23" si="0">G22*B22</f>
        <v>23878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10">
        <v>1</v>
      </c>
      <c r="C23" s="111" t="s">
        <v>135</v>
      </c>
      <c r="D23" s="112">
        <v>680</v>
      </c>
      <c r="E23" s="112">
        <v>530</v>
      </c>
      <c r="F23" s="111" t="s">
        <v>137</v>
      </c>
      <c r="G23" s="113">
        <v>23609</v>
      </c>
      <c r="H23" s="114">
        <f t="shared" si="0"/>
        <v>23609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/>
      <c r="C24" s="106"/>
      <c r="D24" s="107"/>
      <c r="E24" s="107"/>
      <c r="F24" s="106"/>
      <c r="G24" s="73"/>
      <c r="H24" s="73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/>
      <c r="C25" s="106"/>
      <c r="D25" s="107"/>
      <c r="E25" s="107"/>
      <c r="F25" s="106"/>
      <c r="G25" s="73"/>
      <c r="H25" s="73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2"/>
      <c r="C26" s="72"/>
      <c r="D26" s="72"/>
      <c r="E26" s="72"/>
      <c r="F26" s="72"/>
      <c r="G26" s="73"/>
      <c r="H26" s="73"/>
      <c r="I26" s="1"/>
    </row>
    <row r="27" spans="1:16" ht="15.6" x14ac:dyDescent="0.3">
      <c r="A27" s="1"/>
      <c r="B27" s="1"/>
      <c r="C27" s="1"/>
      <c r="D27" s="1"/>
      <c r="E27" s="1"/>
      <c r="F27" s="1"/>
      <c r="G27" s="74" t="s">
        <v>5</v>
      </c>
      <c r="H27" s="75">
        <f>SUM(H21:H26)</f>
        <v>100851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6</v>
      </c>
      <c r="H28" s="77">
        <f>H27*19%</f>
        <v>19161.689999999999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8" t="s">
        <v>4</v>
      </c>
      <c r="H29" s="79">
        <f>H27+H28</f>
        <v>120012.69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0"/>
      <c r="H30" s="94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0" t="s">
        <v>123</v>
      </c>
      <c r="C32" s="81"/>
      <c r="D32" s="82"/>
      <c r="E32" s="82"/>
      <c r="F32" s="72"/>
      <c r="G32" s="1"/>
      <c r="H32" s="1"/>
      <c r="I32" s="1"/>
    </row>
    <row r="33" spans="1:9" ht="15.6" x14ac:dyDescent="0.3">
      <c r="A33" s="1"/>
      <c r="B33" s="80" t="s">
        <v>122</v>
      </c>
      <c r="C33" s="81"/>
      <c r="D33" s="82"/>
      <c r="E33" s="82"/>
      <c r="F33" s="72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3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1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topLeftCell="A36" zoomScaleNormal="100" workbookViewId="0">
      <selection activeCell="F2" sqref="A2:F40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38" t="s">
        <v>27</v>
      </c>
      <c r="D4" s="14">
        <f>'4637'!G8</f>
        <v>7378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MARIO ZAPATA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46065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139</v>
      </c>
      <c r="B14" s="25">
        <f t="shared" ref="B14:B16" si="0">I14</f>
        <v>1</v>
      </c>
      <c r="C14" s="25"/>
      <c r="D14" s="25">
        <f t="shared" ref="D14:D16" si="1">J14+$D$13</f>
        <v>1650</v>
      </c>
      <c r="E14" s="35">
        <f t="shared" ref="E14:E16" si="2">K14+$E$13</f>
        <v>500</v>
      </c>
      <c r="F14" s="97" t="str">
        <f t="shared" ref="F14:F16" si="3">C31</f>
        <v>CUB C/R R8</v>
      </c>
      <c r="G14" s="1"/>
      <c r="I14" s="87">
        <f t="shared" ref="I14:K14" si="4">I23</f>
        <v>1</v>
      </c>
      <c r="J14" s="4">
        <f t="shared" si="4"/>
        <v>1600</v>
      </c>
      <c r="K14" s="4">
        <f t="shared" si="4"/>
        <v>530</v>
      </c>
    </row>
    <row r="15" spans="1:14" ht="15.6" x14ac:dyDescent="0.3">
      <c r="A15" s="93"/>
      <c r="B15" s="25">
        <f t="shared" si="0"/>
        <v>1</v>
      </c>
      <c r="C15" s="25"/>
      <c r="D15" s="25">
        <f t="shared" si="1"/>
        <v>910</v>
      </c>
      <c r="E15" s="35">
        <f t="shared" si="2"/>
        <v>400</v>
      </c>
      <c r="F15" s="97" t="str">
        <f t="shared" si="3"/>
        <v>CUB C/R R8</v>
      </c>
      <c r="G15" s="1"/>
      <c r="I15" s="87">
        <f t="shared" ref="I15:K15" si="5">I24</f>
        <v>1</v>
      </c>
      <c r="J15" s="4">
        <f t="shared" si="5"/>
        <v>860</v>
      </c>
      <c r="K15" s="4">
        <f t="shared" si="5"/>
        <v>430</v>
      </c>
    </row>
    <row r="16" spans="1:14" ht="15.6" x14ac:dyDescent="0.3">
      <c r="A16" s="93"/>
      <c r="B16" s="25">
        <f t="shared" si="0"/>
        <v>1</v>
      </c>
      <c r="C16" s="25"/>
      <c r="D16" s="25">
        <f t="shared" si="1"/>
        <v>730</v>
      </c>
      <c r="E16" s="35">
        <f t="shared" si="2"/>
        <v>500</v>
      </c>
      <c r="F16" s="97" t="str">
        <f t="shared" si="3"/>
        <v>CUB C/R R8</v>
      </c>
      <c r="G16" s="1"/>
      <c r="I16" s="87">
        <f t="shared" ref="I16:K16" si="6">I25</f>
        <v>1</v>
      </c>
      <c r="J16" s="4">
        <f t="shared" si="6"/>
        <v>680</v>
      </c>
      <c r="K16" s="4">
        <f t="shared" si="6"/>
        <v>530</v>
      </c>
    </row>
    <row r="17" spans="1:11" ht="15.6" x14ac:dyDescent="0.3">
      <c r="A17" s="50"/>
      <c r="B17" s="6"/>
      <c r="C17" s="6"/>
      <c r="D17" s="6"/>
      <c r="E17" s="103"/>
      <c r="F17" s="6"/>
      <c r="G17" s="1"/>
      <c r="I17" s="87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3" t="s">
        <v>14</v>
      </c>
      <c r="B19" s="123"/>
      <c r="C19" s="123"/>
      <c r="D19" s="123"/>
      <c r="E19" s="123"/>
      <c r="F19" s="123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0" t="s">
        <v>7</v>
      </c>
      <c r="E21" s="50" t="s">
        <v>8</v>
      </c>
      <c r="F21" s="1"/>
      <c r="G21" s="1"/>
    </row>
    <row r="22" spans="1:11" ht="15.6" x14ac:dyDescent="0.3">
      <c r="A22" s="50" t="s">
        <v>9</v>
      </c>
      <c r="B22" s="36" t="s">
        <v>10</v>
      </c>
      <c r="C22" s="36" t="s">
        <v>11</v>
      </c>
      <c r="D22" s="21">
        <v>40</v>
      </c>
      <c r="E22" s="21">
        <v>130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3"/>
      <c r="B23" s="16">
        <f t="shared" ref="B23:B25" si="7">I23</f>
        <v>1</v>
      </c>
      <c r="C23" s="16"/>
      <c r="D23" s="16">
        <f t="shared" ref="D23:D25" si="8">J23+D$22</f>
        <v>1640</v>
      </c>
      <c r="E23" s="16">
        <f t="shared" ref="E23:E25" si="9">K23+E$22</f>
        <v>660</v>
      </c>
      <c r="F23" s="98" t="str">
        <f t="shared" ref="F23:F25" si="10">C31</f>
        <v>CUB C/R R8</v>
      </c>
      <c r="G23" s="1"/>
      <c r="I23" s="3">
        <f t="shared" ref="I23:I25" si="11">B31</f>
        <v>1</v>
      </c>
      <c r="J23" s="4">
        <f t="shared" ref="J23:J25" si="12">D31</f>
        <v>1600</v>
      </c>
      <c r="K23" s="4">
        <f t="shared" ref="K23:K25" si="13">E31</f>
        <v>530</v>
      </c>
    </row>
    <row r="24" spans="1:11" ht="15.6" x14ac:dyDescent="0.3">
      <c r="A24" s="93"/>
      <c r="B24" s="16">
        <f t="shared" si="7"/>
        <v>1</v>
      </c>
      <c r="C24" s="16"/>
      <c r="D24" s="16">
        <f t="shared" si="8"/>
        <v>900</v>
      </c>
      <c r="E24" s="16">
        <f t="shared" si="9"/>
        <v>560</v>
      </c>
      <c r="F24" s="98" t="str">
        <f t="shared" si="10"/>
        <v>CUB C/R R8</v>
      </c>
      <c r="G24" s="1"/>
      <c r="I24" s="3">
        <f t="shared" si="11"/>
        <v>1</v>
      </c>
      <c r="J24" s="4">
        <f t="shared" si="12"/>
        <v>860</v>
      </c>
      <c r="K24" s="4">
        <f t="shared" si="13"/>
        <v>430</v>
      </c>
    </row>
    <row r="25" spans="1:11" ht="15.6" x14ac:dyDescent="0.3">
      <c r="A25" s="93"/>
      <c r="B25" s="16">
        <f t="shared" si="7"/>
        <v>1</v>
      </c>
      <c r="C25" s="16"/>
      <c r="D25" s="16">
        <f t="shared" si="8"/>
        <v>720</v>
      </c>
      <c r="E25" s="16">
        <f t="shared" si="9"/>
        <v>660</v>
      </c>
      <c r="F25" s="98" t="str">
        <f t="shared" si="10"/>
        <v>CUB C/R R8</v>
      </c>
      <c r="G25" s="1"/>
      <c r="I25" s="3">
        <f t="shared" si="11"/>
        <v>1</v>
      </c>
      <c r="J25" s="4">
        <f t="shared" si="12"/>
        <v>680</v>
      </c>
      <c r="K25" s="4">
        <f t="shared" si="13"/>
        <v>530</v>
      </c>
    </row>
    <row r="26" spans="1:11" ht="15.6" x14ac:dyDescent="0.3">
      <c r="A26" s="93"/>
      <c r="B26" s="6"/>
      <c r="C26" s="6"/>
      <c r="D26" s="6"/>
      <c r="E26" s="6"/>
      <c r="F26" s="105"/>
      <c r="G26" s="1"/>
      <c r="I26" s="87"/>
      <c r="J26" s="2"/>
      <c r="K26" s="2"/>
    </row>
    <row r="27" spans="1:11" ht="16.2" thickBot="1" x14ac:dyDescent="0.35">
      <c r="A27" s="50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0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0" t="s">
        <v>9</v>
      </c>
      <c r="B30" s="86" t="s">
        <v>10</v>
      </c>
      <c r="C30" s="86" t="s">
        <v>110</v>
      </c>
      <c r="D30" s="86" t="s">
        <v>7</v>
      </c>
      <c r="E30" s="86" t="s">
        <v>8</v>
      </c>
      <c r="F30" s="86" t="s">
        <v>23</v>
      </c>
      <c r="G30" s="1"/>
    </row>
    <row r="31" spans="1:11" ht="15.6" x14ac:dyDescent="0.3">
      <c r="A31" s="93" t="s">
        <v>139</v>
      </c>
      <c r="B31" s="25">
        <f>'4637'!B21</f>
        <v>1</v>
      </c>
      <c r="C31" s="97" t="str">
        <f>'4637'!C21</f>
        <v>CUB C/R R8</v>
      </c>
      <c r="D31" s="25">
        <f>'4637'!D21</f>
        <v>1600</v>
      </c>
      <c r="E31" s="25">
        <f>'4637'!E21</f>
        <v>530</v>
      </c>
      <c r="F31" s="25" t="str">
        <f>'4637'!F21</f>
        <v>NEW BLACK GRANITE</v>
      </c>
      <c r="G31" s="1"/>
    </row>
    <row r="32" spans="1:11" ht="15.6" x14ac:dyDescent="0.3">
      <c r="A32" s="93"/>
      <c r="B32" s="25">
        <f>'4637'!B22</f>
        <v>1</v>
      </c>
      <c r="C32" s="97" t="str">
        <f>'4637'!C22</f>
        <v>CUB C/R R8</v>
      </c>
      <c r="D32" s="25">
        <f>'4637'!D22</f>
        <v>860</v>
      </c>
      <c r="E32" s="25">
        <f>'4637'!E22</f>
        <v>430</v>
      </c>
      <c r="F32" s="25" t="str">
        <f>'4637'!F22</f>
        <v>NEW BLACK GRANITE</v>
      </c>
      <c r="G32" s="1"/>
    </row>
    <row r="33" spans="1:7" ht="15.6" x14ac:dyDescent="0.3">
      <c r="A33" s="93"/>
      <c r="B33" s="25">
        <f>'4637'!B23</f>
        <v>1</v>
      </c>
      <c r="C33" s="97" t="str">
        <f>'4637'!C23</f>
        <v>CUB C/R R8</v>
      </c>
      <c r="D33" s="25">
        <f>'4637'!D23</f>
        <v>680</v>
      </c>
      <c r="E33" s="25">
        <f>'4637'!E23</f>
        <v>530</v>
      </c>
      <c r="F33" s="25" t="str">
        <f>'4637'!F23</f>
        <v>NEW BLACK GRANITE</v>
      </c>
      <c r="G33" s="1"/>
    </row>
    <row r="34" spans="1:7" ht="15.6" x14ac:dyDescent="0.3">
      <c r="A34" s="93"/>
      <c r="B34" s="6"/>
      <c r="C34" s="105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38" t="s">
        <v>27</v>
      </c>
      <c r="D44" s="14">
        <f>'4637'!G8</f>
        <v>7378</v>
      </c>
      <c r="E44" s="1"/>
      <c r="F44" s="1"/>
      <c r="G44" s="1"/>
    </row>
    <row r="45" spans="1:7" ht="17.25" customHeight="1" x14ac:dyDescent="0.3">
      <c r="A45" s="1"/>
      <c r="B45" s="1"/>
      <c r="C45" s="39" t="s">
        <v>67</v>
      </c>
      <c r="D45" s="40" t="str">
        <f>'4637'!C10</f>
        <v>MARIO ZAPATA</v>
      </c>
      <c r="E45" s="41"/>
      <c r="F45" s="41"/>
      <c r="G45" s="1"/>
    </row>
    <row r="46" spans="1:7" ht="4.5" customHeight="1" x14ac:dyDescent="0.3">
      <c r="A46" s="1"/>
      <c r="B46" s="1"/>
      <c r="C46" s="42"/>
      <c r="D46" s="43"/>
      <c r="E46" s="1"/>
      <c r="F46" s="1"/>
      <c r="G46" s="1"/>
    </row>
    <row r="47" spans="1:7" ht="15.6" x14ac:dyDescent="0.3">
      <c r="A47" s="1"/>
      <c r="B47" s="1"/>
      <c r="C47" s="44" t="str">
        <f>'4637'!F11</f>
        <v>FECHA LIMITE :</v>
      </c>
      <c r="D47" s="13">
        <f>'4637'!G11</f>
        <v>46065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23" t="s">
        <v>68</v>
      </c>
      <c r="B50" s="123"/>
      <c r="C50" s="123"/>
      <c r="D50" s="123"/>
      <c r="E50" s="123"/>
      <c r="F50" s="123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24" t="s">
        <v>69</v>
      </c>
      <c r="C52" s="125"/>
      <c r="D52" s="126"/>
      <c r="E52" s="126"/>
      <c r="F52" s="127"/>
      <c r="G52" s="1"/>
    </row>
    <row r="53" spans="1:7" s="15" customFormat="1" ht="12.75" customHeight="1" x14ac:dyDescent="0.3">
      <c r="A53" s="1"/>
      <c r="B53" s="36" t="s">
        <v>10</v>
      </c>
      <c r="C53" s="45" t="s">
        <v>11</v>
      </c>
      <c r="D53" s="46" t="s">
        <v>7</v>
      </c>
      <c r="E53" s="46" t="s">
        <v>8</v>
      </c>
      <c r="F53" s="47" t="s">
        <v>12</v>
      </c>
      <c r="G53" s="1"/>
    </row>
    <row r="54" spans="1:7" s="15" customFormat="1" ht="15" customHeight="1" x14ac:dyDescent="0.3">
      <c r="A54" s="93" t="s">
        <v>139</v>
      </c>
      <c r="B54" s="50">
        <v>1</v>
      </c>
      <c r="C54" s="96" t="str">
        <f>'4637'!C21</f>
        <v>CUB C/R R8</v>
      </c>
      <c r="D54" s="96">
        <f>'4637'!D21</f>
        <v>1600</v>
      </c>
      <c r="E54" s="96">
        <f>'4637'!E21</f>
        <v>530</v>
      </c>
      <c r="F54" s="96" t="str">
        <f>'4637'!F21</f>
        <v>NEW BLACK GRANITE</v>
      </c>
      <c r="G54" s="1"/>
    </row>
    <row r="55" spans="1:7" s="15" customFormat="1" ht="15" customHeight="1" x14ac:dyDescent="0.3">
      <c r="A55" s="93"/>
      <c r="B55" s="50">
        <v>1</v>
      </c>
      <c r="C55" s="96" t="str">
        <f>'4637'!C22</f>
        <v>CUB C/R R8</v>
      </c>
      <c r="D55" s="96">
        <f>'4637'!D22</f>
        <v>860</v>
      </c>
      <c r="E55" s="96">
        <f>'4637'!E22</f>
        <v>430</v>
      </c>
      <c r="F55" s="96" t="str">
        <f>'4637'!F22</f>
        <v>NEW BLACK GRANITE</v>
      </c>
      <c r="G55" s="1"/>
    </row>
    <row r="56" spans="1:7" s="15" customFormat="1" ht="15" customHeight="1" x14ac:dyDescent="0.3">
      <c r="A56" s="93"/>
      <c r="B56" s="50">
        <v>1</v>
      </c>
      <c r="C56" s="96" t="str">
        <f>'4637'!C23</f>
        <v>CUB C/R R8</v>
      </c>
      <c r="D56" s="96">
        <f>'4637'!D23</f>
        <v>680</v>
      </c>
      <c r="E56" s="96">
        <f>'4637'!E23</f>
        <v>530</v>
      </c>
      <c r="F56" s="96" t="str">
        <f>'4637'!F23</f>
        <v>NEW BLACK GRANITE</v>
      </c>
      <c r="G56" s="1"/>
    </row>
    <row r="57" spans="1:7" s="15" customFormat="1" ht="15" customHeight="1" x14ac:dyDescent="0.3">
      <c r="B57" s="50"/>
      <c r="C57" s="104"/>
      <c r="D57" s="50"/>
      <c r="E57" s="50"/>
      <c r="F57" s="50"/>
      <c r="G57" s="1"/>
    </row>
    <row r="58" spans="1:7" s="15" customFormat="1" ht="15" customHeight="1" x14ac:dyDescent="0.3">
      <c r="A58" s="48"/>
      <c r="B58" s="50"/>
      <c r="C58" s="50"/>
      <c r="D58" s="50"/>
      <c r="E58" s="50"/>
      <c r="F58" s="50"/>
      <c r="G58" s="1"/>
    </row>
    <row r="59" spans="1:7" ht="15.6" x14ac:dyDescent="0.3">
      <c r="A59" s="6"/>
      <c r="B59" s="6"/>
      <c r="C59" s="1"/>
      <c r="D59" s="6"/>
      <c r="E59" s="6"/>
      <c r="F59" s="42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49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20"/>
      <c r="C68" s="20"/>
      <c r="D68" s="20"/>
      <c r="E68" s="20"/>
      <c r="F68" s="20"/>
    </row>
    <row r="69" spans="1:7" x14ac:dyDescent="0.3">
      <c r="B69" s="20"/>
      <c r="C69" s="20"/>
      <c r="E69" s="20"/>
      <c r="F69" s="20"/>
    </row>
  </sheetData>
  <mergeCells count="6">
    <mergeCell ref="M3:N3"/>
    <mergeCell ref="A19:F19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2026-02-05T17:31:05Z</cp:lastPrinted>
  <dcterms:created xsi:type="dcterms:W3CDTF">2013-03-19T12:54:14Z</dcterms:created>
  <dcterms:modified xsi:type="dcterms:W3CDTF">2026-02-05T17:33:01Z</dcterms:modified>
</cp:coreProperties>
</file>