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55E15DDF-4521-4F20-8A63-B320ED7CE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  <externalReference r:id="rId6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3" i="4"/>
  <c r="C17" i="4"/>
  <c r="G16" i="4"/>
  <c r="C14" i="4"/>
  <c r="D39" i="3"/>
  <c r="D7" i="3"/>
  <c r="D5" i="3"/>
  <c r="D4" i="3"/>
  <c r="D48" i="3"/>
  <c r="D27" i="3" s="1"/>
  <c r="E48" i="3"/>
  <c r="E27" i="3" s="1"/>
  <c r="K14" i="3" s="1"/>
  <c r="F48" i="3"/>
  <c r="F27" i="3" s="1"/>
  <c r="C48" i="3"/>
  <c r="C27" i="3" s="1"/>
  <c r="D38" i="3"/>
  <c r="C41" i="3"/>
  <c r="C7" i="3"/>
  <c r="N5" i="3"/>
  <c r="B48" i="3" l="1"/>
  <c r="B27" i="3" s="1"/>
  <c r="I21" i="3" s="1"/>
  <c r="H22" i="4"/>
  <c r="H26" i="4" s="1"/>
  <c r="H27" i="4" s="1"/>
  <c r="D8" i="3"/>
  <c r="D41" i="3"/>
  <c r="J14" i="3"/>
  <c r="J21" i="3"/>
  <c r="K21" i="3"/>
  <c r="F21" i="3"/>
  <c r="F14" i="3"/>
  <c r="E21" i="3" l="1"/>
  <c r="D21" i="3"/>
  <c r="E14" i="3"/>
  <c r="D14" i="3"/>
  <c r="I14" i="3"/>
  <c r="B14" i="3" s="1"/>
  <c r="B21" i="3"/>
  <c r="L5" i="3"/>
  <c r="K5" i="3"/>
  <c r="M5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<sst xmlns="http://schemas.openxmlformats.org/spreadsheetml/2006/main" count="250" uniqueCount="147">
  <si>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</si>
  <si>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</si>
  <si>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</si>
  <si>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</si>
  <si>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</si>
  <si>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</si>
  <si>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</si>
  <si>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</si>
  <si>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</si>
  <si>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</si>
  <si>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</si>
  <si>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</si>
  <si>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</si>
  <si>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</si>
  <si>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</si>
  <si>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</si>
  <si>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</si>
  <si>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</si>
  <si>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</si>
  <si>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</si>
  <si>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</si>
  <si>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</si>
  <si>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</si>
  <si>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</si>
  <si>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</si>
  <si>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</si>
  <si>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</si>
  <si>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</si>
  <si>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</si>
  <si>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</si>
  <si>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</si>
  <si>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</si>
  <si>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</si>
  <si>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</si>
  <si>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</si>
  <si>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</si>
  <si>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</si>
  <si>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</si>
  <si>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</si>
  <si>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</si>
  <si>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</si>
  <si>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</si>
  <si>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</si>
  <si>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</si>
  <si>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</si>
  <si>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</si>
  <si>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</si>
  <si>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</si>
  <si>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</si>
  <si>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</si>
  <si>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</si>
  <si>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</si>
  <si>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</si>
  <si>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</si>
  <si>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</si>
  <si>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</si>
  <si>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</si>
  <si>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</si>
  <si>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</si>
  <si>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</si>
  <si>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</si>
  <si>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</si>
  <si>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</si>
  <si>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</si>
  <si>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</si>
  <si>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</si>
  <si>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</si>
  <si>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</si>
  <si>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</si>
  <si>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</si>
  <si>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</si>
  <si>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</si>
  <si>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</si>
  <si>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</si>
  <si>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</si>
  <si>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</si>
  <si>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</si>
  <si>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</si>
  <si>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</si>
  <si>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</si>
  <si>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</si>
  <si>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</si>
  <si>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</si>
  <si>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</si>
  <si>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</si>
  <si>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</si>
  <si>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</si>
  <si>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</si>
  <si>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</si>
  <si>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</si>
  <si>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</si>
  <si>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</si>
  <si>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</si>
  <si>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</si>
  <si>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</si>
  <si>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</si>
  <si>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</si>
  <si>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</si>
  <si>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</si>
  <si>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</si>
  <si>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</si>
  <si>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</si>
  <si>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</si>
  <si>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</si>
  <si>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</si>
  <si>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</si>
  <si>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</si>
  <si>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</si>
  <si>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</si>
  <si>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</si>
  <si>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</si>
  <si>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</si>
  <si>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</si>
  <si>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</si>
  <si>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</si>
  <si>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</si>
  <si>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</si>
  <si>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</si>
  <si>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</si>
  <si>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</si>
  <si>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</si>
  <si>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</si>
  <si>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</si>
  <si>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</si>
  <si>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</si>
  <si>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</si>
  <si>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</si>
  <si>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</si>
  <si>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</si>
  <si>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</si>
  <si>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</si>
  <si>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</si>
  <si>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</si>
  <si>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</si>
  <si>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MDF 18MM</t>
  </si>
  <si>
    <t xml:space="preserve"> MDF 18MM</t>
  </si>
  <si>
    <t>MDF18MM</t>
  </si>
  <si>
    <t>CUB C/R R8</t>
  </si>
  <si>
    <t>FRANCO DONOSO</t>
  </si>
  <si>
    <t>NO</t>
  </si>
  <si>
    <t>ESPACIO UNICO</t>
  </si>
  <si>
    <t>FABRICA DE MUEBLES</t>
  </si>
  <si>
    <t>ANDRES VELANDI</t>
  </si>
  <si>
    <t>+569 9047 2713</t>
  </si>
  <si>
    <t>SERVICIO CORTE Y ENCHAPE</t>
  </si>
  <si>
    <t>N° 11824 A</t>
  </si>
  <si>
    <t>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</si>
</sst>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0" fillId="3" borderId="0" xfId="0" quotePrefix="1" applyFill="1"/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42" fontId="15" fillId="0" borderId="28" xfId="3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$250.000 - ABONO $350.000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6</xdr:row>
      <xdr:rowOff>60531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2156152</xdr:colOff>
      <xdr:row>6</xdr:row>
      <xdr:rowOff>59126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42</xdr:row>
      <xdr:rowOff>171450</xdr:rowOff>
    </xdr:from>
    <xdr:to>
      <xdr:col>6</xdr:col>
      <xdr:colOff>19050</xdr:colOff>
      <xdr:row>44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29</xdr:row>
      <xdr:rowOff>22859</xdr:rowOff>
    </xdr:from>
    <xdr:to>
      <xdr:col>6</xdr:col>
      <xdr:colOff>0</xdr:colOff>
      <xdr:row>33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CORTADAS A LA MEDIDA Y ENCHAPADAS</a:t>
          </a:r>
        </a:p>
        <a:p>
          <a:endParaRPr lang="es-CL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CL" sz="11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ENTREGAR UN LOTE MINIMO DE 16 PARA ESTE VIERNES 26/02 </a:t>
          </a:r>
          <a:endParaRPr lang="es-CL" b="1" u="sng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36</xdr:row>
      <xdr:rowOff>28575</xdr:rowOff>
    </xdr:from>
    <xdr:to>
      <xdr:col>1</xdr:col>
      <xdr:colOff>777240</xdr:colOff>
      <xdr:row>41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990%20JAIME%20SEGUEL.xlsx" TargetMode="External"/><Relationship Id="rId1" Type="http://schemas.openxmlformats.org/officeDocument/2006/relationships/externalLinkPath" Target="/Users/franc/Dropbox/PC/Desktop/POSTFORMADO%202020/COTIZACIONES%20MUEBLES%20SANTA%20FE/2%20FEBRERO%202026/11990%20JAIME%20SEGU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10">
          <cell r="C10" t="str">
            <v>JAIME Y ANGELICA CHUDER LTDA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</sheetData>
      <sheetData sheetId="1"/>
      <sheetData sheetId="2">
        <row r="8">
          <cell r="G8">
            <v>7385</v>
          </cell>
        </row>
        <row r="10">
          <cell r="F10" t="str">
            <v>FECHA :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H5"/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H7"/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H10"/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H12"/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H17"/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H18"/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H19"/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G22"/>
          <cell r="H22"/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H23"/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H24"/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H25"/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H26"/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H27"/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H28"/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H29"/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H30"/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H31"/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H32"/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4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4" width="11.21875" bestFit="1" customWidth="1"/>
    <col min="5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3" t="s">
        <v>14</v>
      </c>
      <c r="C8" s="64"/>
      <c r="D8" s="65" t="s">
        <v>145</v>
      </c>
      <c r="E8" s="1"/>
      <c r="F8" s="66" t="s">
        <v>25</v>
      </c>
      <c r="G8" s="67">
        <v>7395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5" t="s">
        <v>127</v>
      </c>
      <c r="C10" s="76" t="s">
        <v>140</v>
      </c>
      <c r="D10" s="76"/>
      <c r="E10" s="76"/>
      <c r="F10" s="77" t="s">
        <v>26</v>
      </c>
      <c r="G10" s="78">
        <v>46077</v>
      </c>
      <c r="H10" s="79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0" t="s">
        <v>2</v>
      </c>
      <c r="C11" s="8"/>
      <c r="D11" s="81"/>
      <c r="E11" s="81"/>
      <c r="F11" s="81" t="s">
        <v>122</v>
      </c>
      <c r="G11" s="82"/>
      <c r="H11" s="83"/>
      <c r="I11" s="1"/>
    </row>
    <row r="12" spans="1:17" ht="15.6" x14ac:dyDescent="0.3">
      <c r="A12" s="1"/>
      <c r="B12" s="84" t="s">
        <v>128</v>
      </c>
      <c r="C12" s="85" t="s">
        <v>141</v>
      </c>
      <c r="D12" s="85"/>
      <c r="E12" s="85"/>
      <c r="F12" s="85" t="s">
        <v>132</v>
      </c>
      <c r="G12" s="85" t="s">
        <v>139</v>
      </c>
      <c r="H12" s="86"/>
      <c r="I12" s="1"/>
    </row>
    <row r="13" spans="1:17" ht="15.6" x14ac:dyDescent="0.3">
      <c r="A13" s="1"/>
      <c r="B13" s="87" t="s">
        <v>129</v>
      </c>
      <c r="C13" s="8" t="s">
        <v>142</v>
      </c>
      <c r="D13" s="8"/>
      <c r="E13" s="8"/>
      <c r="F13" s="8" t="s">
        <v>28</v>
      </c>
      <c r="G13" s="88"/>
      <c r="H13" s="89"/>
      <c r="I13" s="1"/>
    </row>
    <row r="14" spans="1:17" ht="15.6" x14ac:dyDescent="0.3">
      <c r="A14" s="1"/>
      <c r="B14" s="84" t="s">
        <v>133</v>
      </c>
      <c r="C14" s="85" t="str">
        <f>IF('[1]2229'!C14="","",'[1]2229'!C14)</f>
        <v/>
      </c>
      <c r="D14" s="85"/>
      <c r="E14" s="85"/>
      <c r="F14" s="85" t="s">
        <v>126</v>
      </c>
      <c r="G14" s="90" t="s">
        <v>138</v>
      </c>
      <c r="H14" s="86"/>
      <c r="I14" s="1"/>
    </row>
    <row r="15" spans="1:17" ht="15.6" x14ac:dyDescent="0.3">
      <c r="A15" s="1"/>
      <c r="B15" s="80" t="s">
        <v>15</v>
      </c>
      <c r="C15" s="105" t="s">
        <v>143</v>
      </c>
      <c r="D15" s="91"/>
      <c r="E15" s="81"/>
      <c r="F15" s="81" t="s">
        <v>27</v>
      </c>
      <c r="G15" s="81" t="s">
        <v>139</v>
      </c>
      <c r="H15" s="83"/>
      <c r="I15" s="1"/>
    </row>
    <row r="16" spans="1:17" ht="15.6" x14ac:dyDescent="0.3">
      <c r="A16" s="1"/>
      <c r="B16" s="84" t="s">
        <v>1</v>
      </c>
      <c r="C16" s="85"/>
      <c r="D16" s="85"/>
      <c r="E16" s="85"/>
      <c r="F16" s="85" t="s">
        <v>73</v>
      </c>
      <c r="G16" s="85" t="str">
        <f>'[1]2229'!G16</f>
        <v>ABONO 50% SALDO C/ENTREGA</v>
      </c>
      <c r="H16" s="86"/>
      <c r="I16" s="1"/>
    </row>
    <row r="17" spans="1:16" ht="16.2" thickBot="1" x14ac:dyDescent="0.35">
      <c r="A17" s="1"/>
      <c r="B17" s="92" t="s">
        <v>3</v>
      </c>
      <c r="C17" s="93" t="str">
        <f>IF('[1]2229'!C17="","",'[1]2229'!C17)</f>
        <v>SANTIAGO</v>
      </c>
      <c r="D17" s="94"/>
      <c r="E17" s="95"/>
      <c r="F17" s="106" t="s">
        <v>16</v>
      </c>
      <c r="G17" s="106"/>
      <c r="H17" s="107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08" t="s">
        <v>17</v>
      </c>
      <c r="C20" s="109"/>
      <c r="D20" s="109"/>
      <c r="E20" s="109"/>
      <c r="F20" s="109"/>
      <c r="G20" s="109"/>
      <c r="H20" s="110"/>
      <c r="I20" s="1"/>
    </row>
    <row r="21" spans="1:16" ht="16.2" thickBot="1" x14ac:dyDescent="0.35">
      <c r="A21" s="1"/>
      <c r="B21" s="96" t="s">
        <v>18</v>
      </c>
      <c r="C21" s="97" t="s">
        <v>19</v>
      </c>
      <c r="D21" s="97" t="s">
        <v>20</v>
      </c>
      <c r="E21" s="97" t="s">
        <v>8</v>
      </c>
      <c r="F21" s="98" t="s">
        <v>21</v>
      </c>
      <c r="G21" s="96" t="s">
        <v>22</v>
      </c>
      <c r="H21" s="98" t="s">
        <v>4</v>
      </c>
      <c r="I21" s="1"/>
    </row>
    <row r="22" spans="1:16" ht="15.6" x14ac:dyDescent="0.3">
      <c r="A22" s="1"/>
      <c r="B22" s="119">
        <v>74</v>
      </c>
      <c r="C22" s="120" t="s">
        <v>137</v>
      </c>
      <c r="D22" s="121">
        <v>710</v>
      </c>
      <c r="E22" s="121">
        <v>515</v>
      </c>
      <c r="F22" s="122" t="s">
        <v>146</v>
      </c>
      <c r="G22" s="123">
        <v>18007</v>
      </c>
      <c r="H22" s="124">
        <f>G22*B22</f>
        <v>1332518</v>
      </c>
      <c r="I22" s="1"/>
      <c r="K22" s="17"/>
      <c r="L22" s="26"/>
      <c r="M22" s="17"/>
      <c r="N22" s="17"/>
      <c r="O22" s="26"/>
      <c r="P22" s="33"/>
    </row>
    <row r="23" spans="1:16" ht="16.2" thickBot="1" x14ac:dyDescent="0.35">
      <c r="A23" s="1"/>
      <c r="B23" s="125">
        <v>74</v>
      </c>
      <c r="C23" s="126" t="s">
        <v>144</v>
      </c>
      <c r="D23" s="127"/>
      <c r="E23" s="127"/>
      <c r="F23" s="128"/>
      <c r="G23" s="129">
        <v>2000</v>
      </c>
      <c r="H23" s="130">
        <f>G23*B23</f>
        <v>148000</v>
      </c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4"/>
      <c r="C24" s="74"/>
      <c r="D24" s="74"/>
      <c r="E24" s="74"/>
      <c r="F24" s="100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2" t="s">
        <v>5</v>
      </c>
      <c r="H25" s="53">
        <f>SUM(H22:H24)</f>
        <v>1480518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4" t="s">
        <v>6</v>
      </c>
      <c r="H26" s="55">
        <f>H25*19%</f>
        <v>281298.42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6" t="s">
        <v>4</v>
      </c>
      <c r="H27" s="57">
        <f>H25+H26</f>
        <v>1761816.42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6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8" t="s">
        <v>121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58" t="s">
        <v>120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1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29</v>
      </c>
      <c r="C2" s="111"/>
      <c r="D2" s="111"/>
      <c r="E2" s="18"/>
      <c r="G2" s="111" t="s">
        <v>68</v>
      </c>
      <c r="H2" s="111"/>
      <c r="I2" s="111"/>
      <c r="P2" s="112" t="s">
        <v>56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2" t="s">
        <v>56</v>
      </c>
      <c r="M8" s="112"/>
      <c r="N8" s="112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7" zoomScaleNormal="100" workbookViewId="0">
      <selection activeCell="G37" sqref="A37:G59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21.441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59</v>
      </c>
      <c r="L3" s="117"/>
      <c r="M3" s="117" t="s">
        <v>13</v>
      </c>
      <c r="N3" s="117"/>
    </row>
    <row r="4" spans="1:14" ht="15.75" customHeight="1" x14ac:dyDescent="0.3">
      <c r="A4" s="1"/>
      <c r="B4" s="1"/>
      <c r="C4" s="38" t="s">
        <v>25</v>
      </c>
      <c r="D4" s="14">
        <f>'4637'!$G$8</f>
        <v>7395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'4637'!$C$10</f>
        <v>ESPACIO UNICO</v>
      </c>
      <c r="E5" s="41"/>
      <c r="F5" s="41"/>
      <c r="G5" s="1"/>
      <c r="K5">
        <f>LOOKUP(F14,[2]REGLAS!$I$4:$I$37,[2]REGLAS!$G$4:$G$37)+J14</f>
        <v>760</v>
      </c>
      <c r="L5">
        <f>LOOKUP(F14,[2]REGLAS!$I$4:$I$37,[2]REGLAS!$H$4:$H$37)+K14</f>
        <v>485</v>
      </c>
      <c r="M5">
        <f>LOOKUP(F14,[2]REGLAS!$D$4:$D$37,[2]REGLAS!$B$4:$B$37)+J21</f>
        <v>750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'[2]NOTA DE VENTA'!$F$10</f>
        <v>FECHA :</v>
      </c>
      <c r="D7" s="101">
        <f>'4637'!$G$10</f>
        <v>46077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2">
        <f>'4637'!$G$11</f>
        <v>0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59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3" t="s">
        <v>134</v>
      </c>
      <c r="B14" s="25">
        <f t="shared" ref="B14" si="0">I14</f>
        <v>74</v>
      </c>
      <c r="C14" s="25"/>
      <c r="D14" s="25">
        <f>LOOKUP(F14,REGLAS!$I$4:$I$37,REGLAS!$G$4:$G$37)+J14</f>
        <v>760</v>
      </c>
      <c r="E14" s="35">
        <f>LOOKUP(F14,REGLAS!$I$4:$I$37,REGLAS!$H$4:$H$37)+K14</f>
        <v>485</v>
      </c>
      <c r="F14" s="70" t="str">
        <f>C27</f>
        <v>CUB C/R R8</v>
      </c>
      <c r="G14" s="1"/>
      <c r="I14" s="3">
        <f>I21</f>
        <v>74</v>
      </c>
      <c r="J14" s="4">
        <f t="shared" ref="J14:K14" si="1">D27</f>
        <v>710</v>
      </c>
      <c r="K14" s="4">
        <f t="shared" si="1"/>
        <v>515</v>
      </c>
    </row>
    <row r="15" spans="1:14" ht="15.6" x14ac:dyDescent="0.3">
      <c r="A15" s="50"/>
      <c r="B15" s="6"/>
      <c r="C15" s="6"/>
      <c r="D15" s="6"/>
      <c r="E15" s="72"/>
      <c r="F15" s="6"/>
      <c r="G15" s="1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13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3" t="s">
        <v>135</v>
      </c>
      <c r="B21" s="16">
        <f t="shared" ref="B21" si="2">I21</f>
        <v>74</v>
      </c>
      <c r="C21" s="16"/>
      <c r="D21" s="16">
        <f>LOOKUP(F21,REGLAS!$D$4:$D$37,REGLAS!B4:B37)+J21</f>
        <v>750</v>
      </c>
      <c r="E21" s="16">
        <f>LOOKUP(F21,REGLAS!$D$4:$D$37,REGLAS!$C$4:$C$37)+K21</f>
        <v>645</v>
      </c>
      <c r="F21" s="71" t="str">
        <f>C27</f>
        <v>CUB C/R R8</v>
      </c>
      <c r="G21" s="1"/>
      <c r="I21" s="3">
        <f>B27</f>
        <v>74</v>
      </c>
      <c r="J21" s="4">
        <f>D27</f>
        <v>710</v>
      </c>
      <c r="K21" s="4">
        <f>E27</f>
        <v>515</v>
      </c>
    </row>
    <row r="22" spans="1:11" ht="15.6" x14ac:dyDescent="0.3">
      <c r="A22" s="68"/>
      <c r="B22" s="6"/>
      <c r="C22" s="6"/>
      <c r="D22" s="6"/>
      <c r="E22" s="6"/>
      <c r="F22" s="6"/>
      <c r="G22" s="1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03" t="s">
        <v>134</v>
      </c>
      <c r="B27" s="25">
        <f>B48</f>
        <v>74</v>
      </c>
      <c r="C27" s="25" t="str">
        <f t="shared" ref="C27:F27" si="3">C48</f>
        <v>CUB C/R R8</v>
      </c>
      <c r="D27" s="25">
        <f t="shared" si="3"/>
        <v>710</v>
      </c>
      <c r="E27" s="25">
        <f t="shared" si="3"/>
        <v>515</v>
      </c>
      <c r="F27" s="25" t="str">
        <f t="shared" si="3"/>
        <v>GRAFITO 2174 MT</v>
      </c>
      <c r="G27" s="1"/>
    </row>
    <row r="28" spans="1:11" ht="15.6" x14ac:dyDescent="0.3">
      <c r="A28" s="50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25</v>
      </c>
      <c r="D38" s="14">
        <f>'4637'!G8</f>
        <v>7395</v>
      </c>
      <c r="E38" s="1"/>
      <c r="F38" s="1"/>
      <c r="G38" s="1"/>
    </row>
    <row r="39" spans="1:7" ht="17.25" customHeight="1" x14ac:dyDescent="0.3">
      <c r="A39" s="1"/>
      <c r="B39" s="1"/>
      <c r="C39" s="39" t="s">
        <v>65</v>
      </c>
      <c r="D39" s="40" t="str">
        <f>'4637'!C10</f>
        <v>ESPACIO UNICO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'[3]4637'!F11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66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67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103" t="s">
        <v>136</v>
      </c>
      <c r="B48" s="104">
        <f>'4637'!$B$22</f>
        <v>74</v>
      </c>
      <c r="C48" s="104" t="str">
        <f>'4637'!C22</f>
        <v>CUB C/R R8</v>
      </c>
      <c r="D48" s="104">
        <f>'4637'!D22</f>
        <v>710</v>
      </c>
      <c r="E48" s="104">
        <f>'4637'!E22</f>
        <v>515</v>
      </c>
      <c r="F48" s="104" t="str">
        <f>'4637'!F22</f>
        <v>GRAFITO 2174 MT</v>
      </c>
      <c r="G48" s="1"/>
    </row>
    <row r="49" spans="1:7" s="15" customFormat="1" ht="15" customHeight="1" x14ac:dyDescent="0.3">
      <c r="A49" s="68"/>
      <c r="B49" s="50"/>
      <c r="C49" s="73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B46:F46"/>
    <mergeCell ref="M3:N3"/>
    <mergeCell ref="A17:F17"/>
    <mergeCell ref="A10:F10"/>
    <mergeCell ref="K3:L3"/>
    <mergeCell ref="A44:F44"/>
  </mergeCells>
  <phoneticPr fontId="10" type="noConversion"/>
  <pageMargins left="0.70866141732283472" right="0.70866141732283472" top="0.74803149606299213" bottom="0.74803149606299213" header="0.31496062992125984" footer="0.31496062992125984"/>
  <pageSetup scale="3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2026-02-24T14:37:58Z</cp:lastPrinted>
  <dcterms:created xsi:type="dcterms:W3CDTF">2013-03-19T12:54:14Z</dcterms:created>
  <dcterms:modified xsi:type="dcterms:W3CDTF">2026-02-24T14:52:32Z</dcterms:modified>
</cp:coreProperties>
</file>