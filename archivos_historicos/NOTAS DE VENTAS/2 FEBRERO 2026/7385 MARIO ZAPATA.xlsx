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E11649BF-A3AD-42A6-8530-44EF2BE64A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  <c r="D39" i="3"/>
  <c r="D40" i="3"/>
  <c r="F49" i="3"/>
  <c r="E49" i="3"/>
  <c r="D49" i="3"/>
  <c r="C49" i="3"/>
  <c r="C27" i="3" s="1"/>
  <c r="B49" i="3"/>
  <c r="C42" i="3"/>
  <c r="F27" i="3"/>
  <c r="E27" i="3"/>
  <c r="K14" i="3" s="1"/>
  <c r="D27" i="3"/>
  <c r="J14" i="3" s="1"/>
  <c r="B27" i="3"/>
  <c r="K21" i="3"/>
  <c r="J21" i="3"/>
  <c r="I21" i="3"/>
  <c r="B21" i="3"/>
  <c r="I14" i="3"/>
  <c r="B14" i="3"/>
  <c r="D8" i="3"/>
  <c r="D7" i="3"/>
  <c r="C7" i="3"/>
  <c r="N5" i="3"/>
  <c r="D5" i="3"/>
  <c r="D4" i="3"/>
  <c r="H25" i="4"/>
  <c r="H22" i="4"/>
  <c r="G22" i="4"/>
  <c r="F22" i="4"/>
  <c r="E22" i="4"/>
  <c r="D22" i="4"/>
  <c r="C22" i="4"/>
  <c r="B22" i="4"/>
  <c r="C17" i="4"/>
  <c r="G16" i="4"/>
  <c r="C16" i="4"/>
  <c r="G15" i="4"/>
  <c r="C15" i="4"/>
  <c r="C14" i="4"/>
  <c r="C13" i="4"/>
  <c r="G12" i="4"/>
  <c r="C12" i="4"/>
  <c r="G11" i="4"/>
  <c r="C11" i="4"/>
  <c r="G10" i="4"/>
  <c r="C10" i="4"/>
  <c r="D8" i="4"/>
  <c r="F21" i="3" l="1"/>
  <c r="F14" i="3"/>
  <c r="H26" i="4"/>
  <c r="H27" i="4" s="1"/>
  <c r="E14" i="3" l="1"/>
  <c r="L5" i="3"/>
  <c r="K5" i="3"/>
  <c r="D14" i="3"/>
  <c r="D21" i="3"/>
  <c r="M5" i="3"/>
</calcChain>
</file>

<file path=xl/sharedStrings.xml><?xml version="1.0" encoding="utf-8"?>
<sst xmlns="http://schemas.openxmlformats.org/spreadsheetml/2006/main" count="240" uniqueCount="138">
  <si>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</si>
  <si>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</si>
  <si>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</si>
  <si>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</si>
  <si>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</si>
  <si>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</si>
  <si>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</si>
  <si>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</si>
  <si>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</si>
  <si>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</si>
  <si>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</si>
  <si>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</si>
  <si>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</si>
  <si>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</si>
  <si>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</si>
  <si>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</si>
  <si>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</si>
  <si>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</si>
  <si>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</si>
  <si>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</si>
  <si>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</si>
  <si>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</si>
  <si>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</si>
  <si>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</si>
  <si>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</si>
  <si>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</si>
  <si>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</si>
  <si>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</si>
  <si>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</si>
  <si>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</si>
  <si>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</si>
  <si>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</si>
  <si>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</si>
  <si>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</si>
  <si>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</si>
  <si>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</si>
  <si>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</si>
  <si>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</si>
  <si>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</si>
  <si>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</si>
  <si>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</si>
  <si>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</si>
  <si>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</si>
  <si>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</si>
  <si>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</si>
  <si>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</si>
  <si>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</si>
  <si>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</si>
  <si>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</si>
  <si>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</si>
  <si>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</si>
  <si>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</si>
  <si>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</si>
  <si>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</si>
  <si>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</si>
  <si>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</si>
  <si>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</si>
  <si>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</si>
  <si>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</si>
  <si>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</si>
  <si>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</si>
  <si>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</si>
  <si>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</si>
  <si>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</si>
  <si>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</si>
  <si>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</si>
  <si>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</si>
  <si>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</si>
  <si>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</si>
  <si>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</si>
  <si>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</si>
  <si>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</si>
  <si>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</si>
  <si>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</si>
  <si>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</si>
  <si>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</si>
  <si>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</si>
  <si>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</si>
  <si>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</si>
  <si>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</si>
  <si>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</si>
  <si>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</si>
  <si>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</si>
  <si>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</si>
  <si>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</si>
  <si>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</si>
  <si>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</si>
  <si>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</si>
  <si>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</si>
  <si>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</si>
  <si>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</si>
  <si>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</si>
  <si>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</si>
  <si>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</si>
  <si>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</si>
  <si>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</si>
  <si>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</si>
  <si>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</si>
  <si>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</si>
  <si>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</si>
  <si>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</si>
  <si>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</si>
  <si>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</si>
  <si>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</si>
  <si>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</si>
  <si>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</si>
  <si>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</si>
  <si>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</si>
  <si>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</si>
  <si>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</si>
  <si>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</si>
  <si>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</si>
  <si>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</si>
  <si>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</si>
  <si>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</si>
  <si>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</si>
  <si>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</si>
  <si>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</si>
  <si>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</si>
  <si>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</si>
  <si>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</si>
  <si>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</si>
  <si>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</si>
  <si>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</si>
  <si>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</si>
  <si>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</si>
  <si>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</si>
  <si>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</si>
  <si>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</si>
  <si>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</si>
  <si>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</si>
  <si>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</si>
  <si>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</si>
  <si>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</si>
  <si>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FRANCO DONOSO</t>
  </si>
  <si>
    <t>MDF 18MM</t>
  </si>
  <si>
    <t xml:space="preserve"> 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</si>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</sst>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6</xdr:row>
      <xdr:rowOff>56721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2152342</xdr:colOff>
      <xdr:row>6</xdr:row>
      <xdr:rowOff>55316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777240</xdr:colOff>
      <xdr:row>42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  <row r="10">
          <cell r="C10" t="str">
            <v>MARIO ZAPATA</v>
          </cell>
          <cell r="G10">
            <v>46063</v>
          </cell>
        </row>
        <row r="12">
          <cell r="G12" t="str">
            <v>NO</v>
          </cell>
        </row>
        <row r="14">
          <cell r="G14" t="str">
            <v>NO</v>
          </cell>
        </row>
        <row r="15">
          <cell r="C15" t="str">
            <v>+569 4510 6187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B21">
            <v>1</v>
          </cell>
          <cell r="C21" t="str">
            <v>CUB C/R 90°</v>
          </cell>
          <cell r="D21">
            <v>1.45</v>
          </cell>
          <cell r="E21">
            <v>0.5</v>
          </cell>
          <cell r="F21" t="str">
            <v>COLOR MADERA CAFÉ STOCK</v>
          </cell>
          <cell r="G21">
            <v>49390.000000000007</v>
          </cell>
        </row>
      </sheetData>
      <sheetData sheetId="1" refreshError="1"/>
      <sheetData sheetId="2">
        <row r="8">
          <cell r="G8">
            <v>7385</v>
          </cell>
        </row>
        <row r="10">
          <cell r="C10" t="str">
            <v>MARIO ZAPATA</v>
          </cell>
          <cell r="F10" t="str">
            <v>FECHA :</v>
          </cell>
          <cell r="G10">
            <v>46063</v>
          </cell>
        </row>
        <row r="11">
          <cell r="G11">
            <v>46070</v>
          </cell>
        </row>
        <row r="22">
          <cell r="B22">
            <v>1</v>
          </cell>
          <cell r="C22" t="str">
            <v>CUB C/R 90°</v>
          </cell>
          <cell r="D22">
            <v>1450</v>
          </cell>
          <cell r="E22">
            <v>500</v>
          </cell>
          <cell r="F22" t="str">
            <v>COLOR MADERA CAFÉ STOCK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1">
          <cell r="F11" t="str">
            <v>FECHA LIMITE :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7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4" t="s">
        <v>14</v>
      </c>
      <c r="C8" s="65"/>
      <c r="D8" s="66" t="str">
        <f>'[1]2229'!D8</f>
        <v>N° 11882</v>
      </c>
      <c r="E8" s="1"/>
      <c r="F8" s="67" t="s">
        <v>25</v>
      </c>
      <c r="G8" s="68">
        <v>7385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6" t="s">
        <v>127</v>
      </c>
      <c r="C10" s="77" t="str">
        <f>IF('[1]2229'!C10="","",'[1]2229'!C10)</f>
        <v>MARIO ZAPATA</v>
      </c>
      <c r="D10" s="77"/>
      <c r="E10" s="77"/>
      <c r="F10" s="78" t="s">
        <v>26</v>
      </c>
      <c r="G10" s="79">
        <f>'[1]2229'!G10</f>
        <v>46063</v>
      </c>
      <c r="H10" s="80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1" t="s">
        <v>2</v>
      </c>
      <c r="C11" s="8" t="str">
        <f>IF('[1]2229'!C11="","",'[1]2229'!C11)</f>
        <v/>
      </c>
      <c r="D11" s="82"/>
      <c r="E11" s="82"/>
      <c r="F11" s="82" t="s">
        <v>122</v>
      </c>
      <c r="G11" s="83">
        <f>WORKDAY(G10,5)</f>
        <v>46070</v>
      </c>
      <c r="H11" s="84"/>
      <c r="I11" s="1"/>
    </row>
    <row r="12" spans="1:17" ht="15.6" x14ac:dyDescent="0.3">
      <c r="A12" s="1"/>
      <c r="B12" s="85" t="s">
        <v>128</v>
      </c>
      <c r="C12" s="86" t="str">
        <f>IF('[1]2229'!C12="","",'[1]2229'!C12)</f>
        <v/>
      </c>
      <c r="D12" s="86"/>
      <c r="E12" s="86"/>
      <c r="F12" s="86" t="s">
        <v>132</v>
      </c>
      <c r="G12" s="86" t="str">
        <f>'[1]2229'!G14</f>
        <v>NO</v>
      </c>
      <c r="H12" s="87"/>
      <c r="I12" s="1"/>
    </row>
    <row r="13" spans="1:17" ht="15.6" x14ac:dyDescent="0.3">
      <c r="A13" s="1"/>
      <c r="B13" s="88" t="s">
        <v>129</v>
      </c>
      <c r="C13" s="8" t="str">
        <f>IF('[1]2229'!C13="","",'[1]2229'!C13)</f>
        <v/>
      </c>
      <c r="D13" s="8"/>
      <c r="E13" s="8"/>
      <c r="F13" s="8" t="s">
        <v>28</v>
      </c>
      <c r="G13" s="89"/>
      <c r="H13" s="90"/>
      <c r="I13" s="1"/>
    </row>
    <row r="14" spans="1:17" ht="15.6" x14ac:dyDescent="0.3">
      <c r="A14" s="1"/>
      <c r="B14" s="85" t="s">
        <v>133</v>
      </c>
      <c r="C14" s="86" t="str">
        <f>IF('[1]2229'!C14="","",'[1]2229'!C14)</f>
        <v/>
      </c>
      <c r="D14" s="86"/>
      <c r="E14" s="86"/>
      <c r="F14" s="86" t="s">
        <v>126</v>
      </c>
      <c r="G14" s="91" t="s">
        <v>134</v>
      </c>
      <c r="H14" s="87"/>
      <c r="I14" s="1"/>
    </row>
    <row r="15" spans="1:17" ht="15.6" x14ac:dyDescent="0.3">
      <c r="A15" s="1"/>
      <c r="B15" s="81" t="s">
        <v>15</v>
      </c>
      <c r="C15" s="8" t="str">
        <f>IF('[1]2229'!C15="","",'[1]2229'!C15)</f>
        <v>+569 4510 6187</v>
      </c>
      <c r="D15" s="92"/>
      <c r="E15" s="82"/>
      <c r="F15" s="82" t="s">
        <v>27</v>
      </c>
      <c r="G15" s="82" t="str">
        <f>'[1]2229'!G12</f>
        <v>NO</v>
      </c>
      <c r="H15" s="84"/>
      <c r="I15" s="1"/>
    </row>
    <row r="16" spans="1:17" ht="15.6" x14ac:dyDescent="0.3">
      <c r="A16" s="1"/>
      <c r="B16" s="85" t="s">
        <v>1</v>
      </c>
      <c r="C16" s="86" t="str">
        <f>IF('[1]2229'!C16="","",'[1]2229'!C16)</f>
        <v/>
      </c>
      <c r="D16" s="86"/>
      <c r="E16" s="86"/>
      <c r="F16" s="86" t="s">
        <v>73</v>
      </c>
      <c r="G16" s="86" t="str">
        <f>'[1]2229'!G16</f>
        <v>ABONO 50% SALDO C/ENTREGA</v>
      </c>
      <c r="H16" s="87"/>
      <c r="I16" s="1"/>
    </row>
    <row r="17" spans="1:16" ht="16.2" thickBot="1" x14ac:dyDescent="0.35">
      <c r="A17" s="1"/>
      <c r="B17" s="93" t="s">
        <v>3</v>
      </c>
      <c r="C17" s="94" t="str">
        <f>IF('[1]2229'!C17="","",'[1]2229'!C17)</f>
        <v>SANTIAGO</v>
      </c>
      <c r="D17" s="95"/>
      <c r="E17" s="96"/>
      <c r="F17" s="112" t="s">
        <v>16</v>
      </c>
      <c r="G17" s="112"/>
      <c r="H17" s="113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17</v>
      </c>
      <c r="C20" s="115"/>
      <c r="D20" s="115"/>
      <c r="E20" s="115"/>
      <c r="F20" s="115"/>
      <c r="G20" s="115"/>
      <c r="H20" s="116"/>
      <c r="I20" s="1"/>
    </row>
    <row r="21" spans="1:16" ht="16.2" thickBot="1" x14ac:dyDescent="0.35">
      <c r="A21" s="1"/>
      <c r="B21" s="97" t="s">
        <v>18</v>
      </c>
      <c r="C21" s="98" t="s">
        <v>19</v>
      </c>
      <c r="D21" s="98" t="s">
        <v>20</v>
      </c>
      <c r="E21" s="98" t="s">
        <v>8</v>
      </c>
      <c r="F21" s="99" t="s">
        <v>21</v>
      </c>
      <c r="G21" s="97" t="s">
        <v>22</v>
      </c>
      <c r="H21" s="99" t="s">
        <v>4</v>
      </c>
      <c r="I21" s="1"/>
    </row>
    <row r="22" spans="1:16" ht="15.6" x14ac:dyDescent="0.3">
      <c r="A22" s="1"/>
      <c r="B22" s="100">
        <f>'[1]2229'!B21</f>
        <v>1</v>
      </c>
      <c r="C22" s="101" t="str">
        <f>'[1]2229'!C21</f>
        <v>CUB C/R 90°</v>
      </c>
      <c r="D22" s="102">
        <f>'[1]2229'!D21*1000</f>
        <v>1450</v>
      </c>
      <c r="E22" s="102">
        <f>'[1]2229'!E21*1000</f>
        <v>500</v>
      </c>
      <c r="F22" s="103" t="str">
        <f>'[1]2229'!F21</f>
        <v>COLOR MADERA CAFÉ STOCK</v>
      </c>
      <c r="G22" s="104">
        <f>'[1]2229'!G21</f>
        <v>49390.000000000007</v>
      </c>
      <c r="H22" s="105">
        <f>G22*B22</f>
        <v>49390.000000000007</v>
      </c>
      <c r="I22" s="1"/>
      <c r="K22" s="17"/>
      <c r="L22" s="26"/>
      <c r="M22" s="17"/>
      <c r="N22" s="17"/>
      <c r="O22" s="26"/>
      <c r="P22" s="33"/>
    </row>
    <row r="23" spans="1:16" ht="15.6" x14ac:dyDescent="0.3">
      <c r="A23" s="1"/>
      <c r="B23" s="75"/>
      <c r="C23" s="75"/>
      <c r="D23" s="75"/>
      <c r="E23" s="75"/>
      <c r="F23" s="75"/>
      <c r="G23" s="106"/>
      <c r="H23" s="106"/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5"/>
      <c r="C24" s="75"/>
      <c r="D24" s="75"/>
      <c r="E24" s="75"/>
      <c r="F24" s="107"/>
      <c r="G24" s="106"/>
      <c r="H24" s="106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2" t="s">
        <v>5</v>
      </c>
      <c r="H25" s="53">
        <f>SUM(H22:H24)</f>
        <v>49390.000000000007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4" t="s">
        <v>6</v>
      </c>
      <c r="H26" s="55">
        <f>H25*19%</f>
        <v>9384.1000000000022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6" t="s">
        <v>4</v>
      </c>
      <c r="H27" s="57">
        <f>H25+H26</f>
        <v>58774.100000000006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7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8" t="s">
        <v>121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58" t="s">
        <v>120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1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29</v>
      </c>
      <c r="C2" s="117"/>
      <c r="D2" s="117"/>
      <c r="E2" s="18"/>
      <c r="G2" s="117" t="s">
        <v>68</v>
      </c>
      <c r="H2" s="117"/>
      <c r="I2" s="117"/>
      <c r="P2" s="118" t="s">
        <v>56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8" t="s">
        <v>56</v>
      </c>
      <c r="M8" s="118"/>
      <c r="N8" s="118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G37" sqref="A37:G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59</v>
      </c>
      <c r="L3" s="123"/>
      <c r="M3" s="123" t="s">
        <v>13</v>
      </c>
      <c r="N3" s="123"/>
    </row>
    <row r="4" spans="1:14" ht="15.75" customHeight="1" x14ac:dyDescent="0.3">
      <c r="A4" s="1"/>
      <c r="B4" s="1"/>
      <c r="C4" s="38" t="s">
        <v>25</v>
      </c>
      <c r="D4" s="14">
        <f>IF('[1]NOTA DE VENTA'!$G$8="","",'[1]NOTA DE VENTA'!$G$8)</f>
        <v>7385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'[1]NOTA DE VENTA'!$C$10</f>
        <v>MARIO ZAPATA</v>
      </c>
      <c r="E5" s="41"/>
      <c r="F5" s="41"/>
      <c r="G5" s="1"/>
      <c r="K5">
        <f>LOOKUP(F14,[1]REGLAS!$I$4:$I$37,[1]REGLAS!$G$4:$G$37)+J14</f>
        <v>1500</v>
      </c>
      <c r="L5">
        <f>LOOKUP(F14,[1]REGLAS!$I$4:$I$37,[1]REGLAS!$H$4:$H$37)+K14</f>
        <v>470</v>
      </c>
      <c r="M5">
        <f>LOOKUP(F14,[1]REGLAS!$D$4:$D$37,[1]REGLAS!$B$4:$B$37)+J21</f>
        <v>1490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108">
        <f>'[1]NOTA DE VENTA'!$G$10</f>
        <v>46063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9">
        <f>'[1]NOTA DE VENTA'!$G$11</f>
        <v>46070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59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10" t="s">
        <v>135</v>
      </c>
      <c r="B14" s="25">
        <f t="shared" ref="B14" si="0">I14</f>
        <v>1</v>
      </c>
      <c r="C14" s="25"/>
      <c r="D14" s="25">
        <f>LOOKUP(F14,[1]REGLAS!$I$4:$I$37,[1]REGLAS!$G$4:$G$37)+J14</f>
        <v>1500</v>
      </c>
      <c r="E14" s="35">
        <f>LOOKUP(F14,[1]REGLAS!$I$4:$I$37,[1]REGLAS!$H$4:$H$37)+K14</f>
        <v>470</v>
      </c>
      <c r="F14" s="71" t="str">
        <f>C27</f>
        <v>CUB C/R 90°</v>
      </c>
      <c r="G14" s="1"/>
      <c r="I14" s="3">
        <f>I21</f>
        <v>1</v>
      </c>
      <c r="J14" s="4">
        <f t="shared" ref="J14:K14" si="1">D27</f>
        <v>1450</v>
      </c>
      <c r="K14" s="4">
        <f t="shared" si="1"/>
        <v>500</v>
      </c>
    </row>
    <row r="15" spans="1:14" ht="15.6" x14ac:dyDescent="0.3">
      <c r="A15" s="50"/>
      <c r="B15" s="6"/>
      <c r="C15" s="6"/>
      <c r="D15" s="6"/>
      <c r="E15" s="73"/>
      <c r="F15" s="6"/>
      <c r="G15" s="1"/>
      <c r="I15" s="63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4" t="s">
        <v>13</v>
      </c>
      <c r="B17" s="124"/>
      <c r="C17" s="124"/>
      <c r="D17" s="124"/>
      <c r="E17" s="124"/>
      <c r="F17" s="12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10" t="s">
        <v>136</v>
      </c>
      <c r="B21" s="16">
        <f t="shared" ref="B21" si="2">I21</f>
        <v>1</v>
      </c>
      <c r="C21" s="16"/>
      <c r="D21" s="16">
        <f>LOOKUP(F14,[1]REGLAS!$D$4:$D$37,[1]REGLAS!$B$4:$B$37)+J21</f>
        <v>1490</v>
      </c>
      <c r="E21" s="16">
        <v>630</v>
      </c>
      <c r="F21" s="72" t="str">
        <f>C27</f>
        <v>CUB C/R 90°</v>
      </c>
      <c r="G21" s="1"/>
      <c r="I21" s="3">
        <f>B27</f>
        <v>1</v>
      </c>
      <c r="J21" s="4">
        <f>D27</f>
        <v>1450</v>
      </c>
      <c r="K21" s="4">
        <f>E27</f>
        <v>500</v>
      </c>
    </row>
    <row r="22" spans="1:11" ht="15.6" x14ac:dyDescent="0.3">
      <c r="A22" s="69"/>
      <c r="B22" s="6"/>
      <c r="C22" s="6"/>
      <c r="D22" s="6"/>
      <c r="E22" s="6"/>
      <c r="F22" s="6"/>
      <c r="G22" s="1"/>
      <c r="I22" s="63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10" t="s">
        <v>135</v>
      </c>
      <c r="B27" s="25">
        <f>B49</f>
        <v>1</v>
      </c>
      <c r="C27" s="25" t="str">
        <f t="shared" ref="C27:F27" si="3">C49</f>
        <v>CUB C/R 90°</v>
      </c>
      <c r="D27" s="25">
        <f t="shared" si="3"/>
        <v>1450</v>
      </c>
      <c r="E27" s="25">
        <f t="shared" si="3"/>
        <v>500</v>
      </c>
      <c r="F27" s="25" t="str">
        <f t="shared" si="3"/>
        <v>COLOR MADERA CAFÉ STOCK</v>
      </c>
      <c r="G27" s="1"/>
    </row>
    <row r="28" spans="1:11" ht="15.6" x14ac:dyDescent="0.3">
      <c r="A28" s="69"/>
      <c r="B28" s="6"/>
      <c r="C28" s="6"/>
      <c r="D28" s="6"/>
      <c r="E28" s="6"/>
      <c r="F28" s="6"/>
      <c r="G28" s="1"/>
    </row>
    <row r="29" spans="1:11" ht="15.6" x14ac:dyDescent="0.3">
      <c r="A29" s="50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25</v>
      </c>
      <c r="D39" s="14">
        <f>'4637'!G8</f>
        <v>7385</v>
      </c>
      <c r="E39" s="1"/>
      <c r="F39" s="1"/>
      <c r="G39" s="1"/>
    </row>
    <row r="40" spans="1:7" ht="17.25" customHeight="1" x14ac:dyDescent="0.3">
      <c r="A40" s="1"/>
      <c r="B40" s="1"/>
      <c r="C40" s="39" t="s">
        <v>65</v>
      </c>
      <c r="D40" s="40" t="str">
        <f>'4637'!C10</f>
        <v>MARIO ZAPATA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'[2]4637'!F11</f>
        <v>FECHA LIMITE :</v>
      </c>
      <c r="D42" s="13">
        <f>'4637'!G11</f>
        <v>46070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66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67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110" t="s">
        <v>137</v>
      </c>
      <c r="B49" s="111">
        <f>'[1]NOTA DE VENTA'!B22</f>
        <v>1</v>
      </c>
      <c r="C49" s="111" t="str">
        <f>'[1]NOTA DE VENTA'!C22</f>
        <v>CUB C/R 90°</v>
      </c>
      <c r="D49" s="111">
        <f>'[1]NOTA DE VENTA'!D22</f>
        <v>1450</v>
      </c>
      <c r="E49" s="111">
        <f>'[1]NOTA DE VENTA'!E22</f>
        <v>500</v>
      </c>
      <c r="F49" s="111" t="str">
        <f>'[1]NOTA DE VENTA'!F22</f>
        <v>COLOR MADERA CAFÉ STOCK</v>
      </c>
      <c r="G49" s="1"/>
    </row>
    <row r="50" spans="1:7" s="15" customFormat="1" ht="15" customHeight="1" x14ac:dyDescent="0.3">
      <c r="A50" s="69"/>
      <c r="B50" s="50"/>
      <c r="C50" s="74"/>
      <c r="D50" s="50"/>
      <c r="E50" s="50"/>
      <c r="F50" s="50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2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7:F17"/>
    <mergeCell ref="A10:F10"/>
    <mergeCell ref="K3:L3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2026-02-10T18:41:32Z</cp:lastPrinted>
  <dcterms:created xsi:type="dcterms:W3CDTF">2013-03-19T12:54:14Z</dcterms:created>
  <dcterms:modified xsi:type="dcterms:W3CDTF">2026-02-11T14:47:36Z</dcterms:modified>
</cp:coreProperties>
</file>