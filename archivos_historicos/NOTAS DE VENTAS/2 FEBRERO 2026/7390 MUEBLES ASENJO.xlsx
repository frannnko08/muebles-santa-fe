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6\"/>
    </mc:Choice>
  </mc:AlternateContent>
  <xr:revisionPtr revIDLastSave="0" documentId="13_ncr:1_{94FBCF17-228B-4531-BA64-F9D3E3D4EFB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'4637'!$A$1:$H$35</definedName>
    <definedName name="_xlnm.Print_Area" localSheetId="2">CUBIERTA!$A$1:$G$50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E19" i="3"/>
  <c r="F19" i="3"/>
  <c r="I19" i="3"/>
  <c r="B19" i="3" s="1"/>
  <c r="J19" i="3"/>
  <c r="D19" i="3" s="1"/>
  <c r="K19" i="3"/>
  <c r="I31" i="3"/>
  <c r="B31" i="3" s="1"/>
  <c r="B42" i="3"/>
  <c r="C42" i="3"/>
  <c r="F31" i="3" s="1"/>
  <c r="D42" i="3"/>
  <c r="J31" i="3" s="1"/>
  <c r="D31" i="3" s="1"/>
  <c r="E42" i="3"/>
  <c r="K31" i="3" s="1"/>
  <c r="E31" i="3" s="1"/>
  <c r="F42" i="3"/>
  <c r="B68" i="3"/>
  <c r="C68" i="3"/>
  <c r="D68" i="3"/>
  <c r="E68" i="3"/>
  <c r="F68" i="3"/>
  <c r="H26" i="4"/>
  <c r="B41" i="3" l="1"/>
  <c r="I30" i="3" s="1"/>
  <c r="B30" i="3" s="1"/>
  <c r="C41" i="3"/>
  <c r="F30" i="3" s="1"/>
  <c r="D41" i="3"/>
  <c r="J30" i="3" s="1"/>
  <c r="D30" i="3" s="1"/>
  <c r="E41" i="3"/>
  <c r="K30" i="3" s="1"/>
  <c r="E30" i="3" s="1"/>
  <c r="F41" i="3"/>
  <c r="B64" i="3"/>
  <c r="B65" i="3"/>
  <c r="B66" i="3"/>
  <c r="B67" i="3"/>
  <c r="C67" i="3"/>
  <c r="D67" i="3"/>
  <c r="E67" i="3"/>
  <c r="F67" i="3"/>
  <c r="H25" i="4"/>
  <c r="B38" i="3"/>
  <c r="I27" i="3" s="1"/>
  <c r="C38" i="3"/>
  <c r="F27" i="3" s="1"/>
  <c r="D38" i="3"/>
  <c r="J27" i="3" s="1"/>
  <c r="D27" i="3" s="1"/>
  <c r="E38" i="3"/>
  <c r="K27" i="3" s="1"/>
  <c r="F38" i="3"/>
  <c r="B39" i="3"/>
  <c r="I28" i="3" s="1"/>
  <c r="B28" i="3" s="1"/>
  <c r="C39" i="3"/>
  <c r="F16" i="3" s="1"/>
  <c r="D39" i="3"/>
  <c r="J28" i="3" s="1"/>
  <c r="J16" i="3" s="1"/>
  <c r="D16" i="3" s="1"/>
  <c r="E39" i="3"/>
  <c r="K28" i="3" s="1"/>
  <c r="E28" i="3" s="1"/>
  <c r="F39" i="3"/>
  <c r="B40" i="3"/>
  <c r="I29" i="3" s="1"/>
  <c r="C40" i="3"/>
  <c r="F29" i="3" s="1"/>
  <c r="D40" i="3"/>
  <c r="J29" i="3" s="1"/>
  <c r="E40" i="3"/>
  <c r="K29" i="3" s="1"/>
  <c r="K17" i="3" s="1"/>
  <c r="E17" i="3" s="1"/>
  <c r="F40" i="3"/>
  <c r="D63" i="3"/>
  <c r="E63" i="3"/>
  <c r="F63" i="3"/>
  <c r="D64" i="3"/>
  <c r="E64" i="3"/>
  <c r="F64" i="3"/>
  <c r="D65" i="3"/>
  <c r="E65" i="3"/>
  <c r="F65" i="3"/>
  <c r="D66" i="3"/>
  <c r="E66" i="3"/>
  <c r="F66" i="3"/>
  <c r="C64" i="3"/>
  <c r="C65" i="3"/>
  <c r="C66" i="3"/>
  <c r="H23" i="4"/>
  <c r="H24" i="4"/>
  <c r="H22" i="4"/>
  <c r="H21" i="4"/>
  <c r="H29" i="4" l="1"/>
  <c r="I18" i="3"/>
  <c r="B18" i="3" s="1"/>
  <c r="F18" i="3"/>
  <c r="K18" i="3"/>
  <c r="E18" i="3" s="1"/>
  <c r="J18" i="3"/>
  <c r="D18" i="3" s="1"/>
  <c r="B29" i="3"/>
  <c r="I17" i="3"/>
  <c r="B17" i="3" s="1"/>
  <c r="I15" i="3"/>
  <c r="B15" i="3" s="1"/>
  <c r="B27" i="3"/>
  <c r="J15" i="3"/>
  <c r="D15" i="3" s="1"/>
  <c r="K15" i="3"/>
  <c r="E15" i="3" s="1"/>
  <c r="E27" i="3"/>
  <c r="K16" i="3"/>
  <c r="D29" i="3"/>
  <c r="J17" i="3"/>
  <c r="D17" i="3" s="1"/>
  <c r="F15" i="3"/>
  <c r="F17" i="3"/>
  <c r="F28" i="3"/>
  <c r="I16" i="3"/>
  <c r="B16" i="3" s="1"/>
  <c r="E29" i="3"/>
  <c r="D28" i="3"/>
  <c r="B37" i="3"/>
  <c r="I26" i="3" s="1"/>
  <c r="I14" i="3" s="1"/>
  <c r="B14" i="3" s="1"/>
  <c r="C37" i="3"/>
  <c r="F14" i="3" s="1"/>
  <c r="D37" i="3"/>
  <c r="J26" i="3" s="1"/>
  <c r="E37" i="3"/>
  <c r="F37" i="3"/>
  <c r="B63" i="3"/>
  <c r="C63" i="3"/>
  <c r="K26" i="3" l="1"/>
  <c r="E26" i="3" s="1"/>
  <c r="D26" i="3"/>
  <c r="J14" i="3"/>
  <c r="D14" i="3" s="1"/>
  <c r="B26" i="3"/>
  <c r="F26" i="3"/>
  <c r="K14" i="3" l="1"/>
  <c r="E14" i="3" s="1"/>
  <c r="H30" i="4"/>
  <c r="H31" i="4" l="1"/>
  <c r="N5" i="3" l="1"/>
  <c r="M5" i="3" l="1"/>
  <c r="L5" i="3"/>
  <c r="K5" i="3"/>
  <c r="C56" i="3" l="1"/>
  <c r="C7" i="3"/>
  <c r="D54" i="3"/>
  <c r="D5" i="3"/>
  <c r="D56" i="3"/>
  <c r="D7" i="3"/>
  <c r="D53" i="3"/>
  <c r="D4" i="3"/>
</calcChain>
</file>

<file path=xl/sharedStrings.xml><?xml version="1.0" encoding="utf-8"?>
<sst xmlns="http://schemas.openxmlformats.org/spreadsheetml/2006/main" count="253" uniqueCount="141">
  <si>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</si>
  <si>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</si>
  <si>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</si>
  <si>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</si>
  <si>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</si>
  <si>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</si>
  <si>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</si>
  <si>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</si>
  <si>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</si>
  <si>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</si>
  <si>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</si>
  <si>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</si>
  <si>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</si>
  <si>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</si>
  <si>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</si>
  <si>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</si>
  <si>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</si>
  <si>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</si>
  <si>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</si>
  <si>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</si>
  <si>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</si>
  <si>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</si>
  <si>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</si>
  <si>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</si>
  <si>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</si>
  <si>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</si>
  <si>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</si>
  <si>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</si>
  <si>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</si>
  <si>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</si>
  <si>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</si>
  <si>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</si>
  <si>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</si>
  <si>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</si>
  <si>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</si>
  <si>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</si>
  <si>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</si>
  <si>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</si>
  <si>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</si>
  <si>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</si>
  <si>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</si>
  <si>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</si>
  <si>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</si>
  <si>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</si>
  <si>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</si>
  <si>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</si>
  <si>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</si>
  <si>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</si>
  <si>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</si>
  <si>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</si>
  <si>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</si>
  <si>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</si>
  <si>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</si>
  <si>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</si>
  <si>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</si>
  <si>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</si>
  <si>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</si>
  <si>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</si>
  <si>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</si>
  <si>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</si>
  <si>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</si>
  <si>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</si>
  <si>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</si>
  <si>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</si>
  <si>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</si>
  <si>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</si>
  <si>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</si>
  <si>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</si>
  <si>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</si>
  <si>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</si>
  <si>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</si>
  <si>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</si>
  <si>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</si>
  <si>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</si>
  <si>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</si>
  <si>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</si>
  <si>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</si>
  <si>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</si>
  <si>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</si>
  <si>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</si>
  <si>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</si>
  <si>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</si>
  <si>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</si>
  <si>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</si>
  <si>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</si>
  <si>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</si>
  <si>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</si>
  <si>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</si>
  <si>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</si>
  <si>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</si>
  <si>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</si>
  <si>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</si>
  <si>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</si>
  <si>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</si>
  <si>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</si>
  <si>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</si>
  <si>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</si>
  <si>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</si>
  <si>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</si>
  <si>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</si>
  <si>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</si>
  <si>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</si>
  <si>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</si>
  <si>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</si>
  <si>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</si>
  <si>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</si>
  <si>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</si>
  <si>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</si>
  <si>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</si>
  <si>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</si>
  <si>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</si>
  <si>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</si>
  <si>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</si>
  <si>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</si>
  <si>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</si>
  <si>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</si>
  <si>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</si>
  <si>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</si>
  <si>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</si>
  <si>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</si>
  <si>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</si>
  <si>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</si>
  <si>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</si>
  <si>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</si>
  <si>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</si>
  <si>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</si>
  <si>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</si>
  <si>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</si>
  <si>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</si>
  <si>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</si>
  <si>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</si>
  <si>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</si>
  <si>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</si>
  <si>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</si>
  <si>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</si>
  <si>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</si>
  <si>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MUEBLES ASENJO</t>
  </si>
  <si>
    <t>CUB MESA 90° R8 2L</t>
  </si>
  <si>
    <t>CUB C/R R8</t>
  </si>
  <si>
    <t>GLACIAL WHITE 22191 SF</t>
  </si>
  <si>
    <t>N° 11996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</si>
</sst>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15" fillId="0" borderId="30" xfId="0" applyFont="1" applyBorder="1" applyAlignment="1">
      <alignment horizontal="center" vertical="center"/>
    </xf>
    <xf numFmtId="1" fontId="15" fillId="0" borderId="30" xfId="0" applyNumberFormat="1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28</xdr:row>
      <xdr:rowOff>11430</xdr:rowOff>
    </xdr:from>
    <xdr:to>
      <xdr:col>5</xdr:col>
      <xdr:colOff>1386840</xdr:colOff>
      <xdr:row>31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20</xdr:row>
      <xdr:rowOff>76200</xdr:rowOff>
    </xdr:from>
    <xdr:to>
      <xdr:col>5</xdr:col>
      <xdr:colOff>1676399</xdr:colOff>
      <xdr:row>22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57</xdr:row>
      <xdr:rowOff>171450</xdr:rowOff>
    </xdr:from>
    <xdr:to>
      <xdr:col>5</xdr:col>
      <xdr:colOff>1685924</xdr:colOff>
      <xdr:row>59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55</xdr:row>
      <xdr:rowOff>0</xdr:rowOff>
    </xdr:from>
    <xdr:to>
      <xdr:col>6</xdr:col>
      <xdr:colOff>0</xdr:colOff>
      <xdr:row>56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53</xdr:row>
      <xdr:rowOff>38100</xdr:rowOff>
    </xdr:from>
    <xdr:to>
      <xdr:col>6</xdr:col>
      <xdr:colOff>0</xdr:colOff>
      <xdr:row>54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52</xdr:row>
      <xdr:rowOff>0</xdr:rowOff>
    </xdr:from>
    <xdr:to>
      <xdr:col>6</xdr:col>
      <xdr:colOff>0</xdr:colOff>
      <xdr:row>53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69</xdr:row>
      <xdr:rowOff>0</xdr:rowOff>
    </xdr:from>
    <xdr:to>
      <xdr:col>2</xdr:col>
      <xdr:colOff>38100</xdr:colOff>
      <xdr:row>70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69</xdr:row>
      <xdr:rowOff>0</xdr:rowOff>
    </xdr:from>
    <xdr:to>
      <xdr:col>2</xdr:col>
      <xdr:colOff>1019175</xdr:colOff>
      <xdr:row>69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69</xdr:row>
      <xdr:rowOff>0</xdr:rowOff>
    </xdr:from>
    <xdr:to>
      <xdr:col>3</xdr:col>
      <xdr:colOff>352425</xdr:colOff>
      <xdr:row>70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69</xdr:row>
      <xdr:rowOff>0</xdr:rowOff>
    </xdr:from>
    <xdr:to>
      <xdr:col>4</xdr:col>
      <xdr:colOff>257175</xdr:colOff>
      <xdr:row>70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69</xdr:row>
      <xdr:rowOff>0</xdr:rowOff>
    </xdr:from>
    <xdr:to>
      <xdr:col>5</xdr:col>
      <xdr:colOff>447675</xdr:colOff>
      <xdr:row>69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69</xdr:row>
      <xdr:rowOff>0</xdr:rowOff>
    </xdr:from>
    <xdr:to>
      <xdr:col>6</xdr:col>
      <xdr:colOff>0</xdr:colOff>
      <xdr:row>69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69</xdr:row>
      <xdr:rowOff>190500</xdr:rowOff>
    </xdr:from>
    <xdr:to>
      <xdr:col>2</xdr:col>
      <xdr:colOff>304800</xdr:colOff>
      <xdr:row>71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69</xdr:row>
      <xdr:rowOff>190500</xdr:rowOff>
    </xdr:from>
    <xdr:to>
      <xdr:col>2</xdr:col>
      <xdr:colOff>1276350</xdr:colOff>
      <xdr:row>71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69</xdr:row>
      <xdr:rowOff>190500</xdr:rowOff>
    </xdr:from>
    <xdr:to>
      <xdr:col>3</xdr:col>
      <xdr:colOff>619125</xdr:colOff>
      <xdr:row>71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69</xdr:row>
      <xdr:rowOff>190500</xdr:rowOff>
    </xdr:from>
    <xdr:to>
      <xdr:col>4</xdr:col>
      <xdr:colOff>523875</xdr:colOff>
      <xdr:row>71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69</xdr:row>
      <xdr:rowOff>190500</xdr:rowOff>
    </xdr:from>
    <xdr:to>
      <xdr:col>5</xdr:col>
      <xdr:colOff>723900</xdr:colOff>
      <xdr:row>71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69</xdr:row>
      <xdr:rowOff>190500</xdr:rowOff>
    </xdr:from>
    <xdr:to>
      <xdr:col>6</xdr:col>
      <xdr:colOff>0</xdr:colOff>
      <xdr:row>71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44</xdr:row>
      <xdr:rowOff>15239</xdr:rowOff>
    </xdr:from>
    <xdr:to>
      <xdr:col>6</xdr:col>
      <xdr:colOff>68580</xdr:colOff>
      <xdr:row>48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32</xdr:row>
      <xdr:rowOff>200025</xdr:rowOff>
    </xdr:from>
    <xdr:to>
      <xdr:col>6</xdr:col>
      <xdr:colOff>19049</xdr:colOff>
      <xdr:row>34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72</xdr:row>
      <xdr:rowOff>32385</xdr:rowOff>
    </xdr:from>
    <xdr:to>
      <xdr:col>6</xdr:col>
      <xdr:colOff>19050</xdr:colOff>
      <xdr:row>76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51</xdr:row>
      <xdr:rowOff>41910</xdr:rowOff>
    </xdr:from>
    <xdr:to>
      <xdr:col>1</xdr:col>
      <xdr:colOff>556018</xdr:colOff>
      <xdr:row>57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8"/>
  <sheetViews>
    <sheetView topLeftCell="A3" workbookViewId="0">
      <selection activeCell="J16" sqref="J1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140</v>
      </c>
      <c r="E8" s="1"/>
      <c r="F8" s="91" t="s">
        <v>27</v>
      </c>
      <c r="G8" s="92">
        <v>7390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5.6" x14ac:dyDescent="0.3">
      <c r="A10" s="1"/>
      <c r="B10" s="53" t="s">
        <v>129</v>
      </c>
      <c r="C10" s="84" t="s">
        <v>136</v>
      </c>
      <c r="D10" s="54"/>
      <c r="E10" s="54"/>
      <c r="F10" s="55" t="s">
        <v>28</v>
      </c>
      <c r="G10" s="56">
        <v>46071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5.6" x14ac:dyDescent="0.3">
      <c r="A11" s="1"/>
      <c r="B11" s="58" t="s">
        <v>2</v>
      </c>
      <c r="C11" s="1"/>
      <c r="D11" s="59"/>
      <c r="E11" s="59"/>
      <c r="F11" s="59" t="s">
        <v>124</v>
      </c>
      <c r="G11" s="107"/>
      <c r="H11" s="60"/>
      <c r="I11" s="1"/>
    </row>
    <row r="12" spans="1:17" ht="16.2" thickBot="1" x14ac:dyDescent="0.35">
      <c r="A12" s="1"/>
      <c r="B12" s="61" t="s">
        <v>130</v>
      </c>
      <c r="D12" s="42"/>
      <c r="E12" s="42"/>
      <c r="F12" s="42" t="s">
        <v>30</v>
      </c>
      <c r="G12" s="62">
        <v>23984</v>
      </c>
      <c r="H12" s="63"/>
      <c r="I12" s="1"/>
    </row>
    <row r="13" spans="1:17" ht="15.6" x14ac:dyDescent="0.3">
      <c r="A13" s="1"/>
      <c r="B13" s="61" t="s">
        <v>132</v>
      </c>
      <c r="C13" s="84"/>
      <c r="D13" s="42"/>
      <c r="E13" s="42"/>
      <c r="F13" s="42" t="s">
        <v>128</v>
      </c>
      <c r="G13" s="62"/>
      <c r="H13" s="63"/>
      <c r="I13" s="1"/>
    </row>
    <row r="14" spans="1:17" ht="15.6" x14ac:dyDescent="0.3">
      <c r="A14" s="1"/>
      <c r="B14" s="58" t="s">
        <v>17</v>
      </c>
      <c r="C14" s="99"/>
      <c r="D14" s="64"/>
      <c r="E14" s="59"/>
      <c r="F14" s="59" t="s">
        <v>29</v>
      </c>
      <c r="G14" s="59" t="s">
        <v>134</v>
      </c>
      <c r="H14" s="60"/>
      <c r="I14" s="1"/>
    </row>
    <row r="15" spans="1:17" ht="15.6" x14ac:dyDescent="0.3">
      <c r="A15" s="1"/>
      <c r="B15" s="61" t="s">
        <v>1</v>
      </c>
      <c r="C15" s="95"/>
      <c r="D15" s="42"/>
      <c r="E15" s="42"/>
      <c r="F15" s="65" t="s">
        <v>75</v>
      </c>
      <c r="G15" s="65" t="s">
        <v>133</v>
      </c>
      <c r="H15" s="63"/>
      <c r="I15" s="1"/>
    </row>
    <row r="16" spans="1:17" ht="16.2" thickBot="1" x14ac:dyDescent="0.35">
      <c r="A16" s="1"/>
      <c r="B16" s="66" t="s">
        <v>3</v>
      </c>
      <c r="C16" s="67" t="s">
        <v>131</v>
      </c>
      <c r="D16" s="67"/>
      <c r="E16" s="68"/>
      <c r="F16" s="117" t="s">
        <v>18</v>
      </c>
      <c r="G16" s="117"/>
      <c r="H16" s="118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9" t="s">
        <v>19</v>
      </c>
      <c r="C19" s="120"/>
      <c r="D19" s="120"/>
      <c r="E19" s="120"/>
      <c r="F19" s="120"/>
      <c r="G19" s="120"/>
      <c r="H19" s="121"/>
      <c r="I19" s="1"/>
    </row>
    <row r="20" spans="1:16" ht="15.6" x14ac:dyDescent="0.3">
      <c r="A20" s="1"/>
      <c r="B20" s="69" t="s">
        <v>20</v>
      </c>
      <c r="C20" s="70" t="s">
        <v>21</v>
      </c>
      <c r="D20" s="70" t="s">
        <v>22</v>
      </c>
      <c r="E20" s="70" t="s">
        <v>8</v>
      </c>
      <c r="F20" s="71" t="s">
        <v>23</v>
      </c>
      <c r="G20" s="69" t="s">
        <v>24</v>
      </c>
      <c r="H20" s="71" t="s">
        <v>4</v>
      </c>
      <c r="I20" s="1"/>
    </row>
    <row r="21" spans="1:16" ht="18" customHeight="1" x14ac:dyDescent="0.3">
      <c r="A21" s="1"/>
      <c r="B21" s="100">
        <v>1</v>
      </c>
      <c r="C21" s="100" t="s">
        <v>138</v>
      </c>
      <c r="D21" s="102">
        <v>2030</v>
      </c>
      <c r="E21" s="102">
        <v>700</v>
      </c>
      <c r="F21" s="100" t="s">
        <v>139</v>
      </c>
      <c r="G21" s="101">
        <v>78389</v>
      </c>
      <c r="H21" s="101">
        <f t="shared" ref="H21" si="0">G21*B21</f>
        <v>78389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0">
        <v>1</v>
      </c>
      <c r="C22" s="100" t="s">
        <v>138</v>
      </c>
      <c r="D22" s="102">
        <v>3300</v>
      </c>
      <c r="E22" s="102">
        <v>900</v>
      </c>
      <c r="F22" s="100" t="s">
        <v>139</v>
      </c>
      <c r="G22" s="101">
        <v>161449</v>
      </c>
      <c r="H22" s="101">
        <f>G22*B22</f>
        <v>161449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0">
        <v>1</v>
      </c>
      <c r="C23" s="100" t="s">
        <v>138</v>
      </c>
      <c r="D23" s="102">
        <v>1500</v>
      </c>
      <c r="E23" s="102">
        <v>700</v>
      </c>
      <c r="F23" s="100" t="s">
        <v>139</v>
      </c>
      <c r="G23" s="101">
        <v>58699</v>
      </c>
      <c r="H23" s="101">
        <f t="shared" ref="H23:H26" si="1">G23*B23</f>
        <v>58699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0">
        <v>1</v>
      </c>
      <c r="C24" s="100" t="s">
        <v>138</v>
      </c>
      <c r="D24" s="102">
        <v>3170</v>
      </c>
      <c r="E24" s="102">
        <v>600</v>
      </c>
      <c r="F24" s="100" t="s">
        <v>139</v>
      </c>
      <c r="G24" s="101">
        <v>103493</v>
      </c>
      <c r="H24" s="101">
        <f t="shared" si="1"/>
        <v>103493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8">
        <v>1</v>
      </c>
      <c r="C25" s="108" t="s">
        <v>138</v>
      </c>
      <c r="D25" s="109">
        <v>3300</v>
      </c>
      <c r="E25" s="109">
        <v>600</v>
      </c>
      <c r="F25" s="108" t="s">
        <v>139</v>
      </c>
      <c r="G25" s="110">
        <v>107632</v>
      </c>
      <c r="H25" s="110">
        <f t="shared" si="1"/>
        <v>107632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0">
        <v>1</v>
      </c>
      <c r="C26" s="100" t="s">
        <v>137</v>
      </c>
      <c r="D26" s="102">
        <v>2870</v>
      </c>
      <c r="E26" s="102">
        <v>1200</v>
      </c>
      <c r="F26" s="100" t="s">
        <v>139</v>
      </c>
      <c r="G26" s="101">
        <v>187879</v>
      </c>
      <c r="H26" s="101">
        <f t="shared" si="1"/>
        <v>187879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05"/>
      <c r="C27" s="105"/>
      <c r="D27" s="106"/>
      <c r="E27" s="106"/>
      <c r="F27" s="105"/>
      <c r="G27" s="73"/>
      <c r="H27" s="73"/>
      <c r="I27" s="1"/>
      <c r="K27" s="17"/>
      <c r="L27" s="26"/>
      <c r="M27" s="17"/>
      <c r="N27" s="17"/>
      <c r="O27" s="26"/>
      <c r="P27" s="33"/>
    </row>
    <row r="28" spans="1:16" ht="8.25" customHeight="1" thickBot="1" x14ac:dyDescent="0.35">
      <c r="A28" s="1"/>
      <c r="B28" s="72"/>
      <c r="C28" s="72"/>
      <c r="D28" s="72"/>
      <c r="E28" s="72"/>
      <c r="F28" s="72"/>
      <c r="G28" s="73"/>
      <c r="H28" s="73"/>
      <c r="I28" s="1"/>
    </row>
    <row r="29" spans="1:16" ht="15.6" x14ac:dyDescent="0.3">
      <c r="A29" s="1"/>
      <c r="B29" s="1"/>
      <c r="C29" s="1"/>
      <c r="D29" s="1"/>
      <c r="E29" s="1"/>
      <c r="F29" s="1"/>
      <c r="G29" s="74" t="s">
        <v>5</v>
      </c>
      <c r="H29" s="75">
        <f>SUM(H21:H28)</f>
        <v>697541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76" t="s">
        <v>6</v>
      </c>
      <c r="H30" s="77">
        <f>H29*19%</f>
        <v>132532.79</v>
      </c>
      <c r="I30" s="1"/>
    </row>
    <row r="31" spans="1:16" ht="16.2" thickBot="1" x14ac:dyDescent="0.35">
      <c r="A31" s="1"/>
      <c r="B31" s="1"/>
      <c r="C31" s="1"/>
      <c r="D31" s="1"/>
      <c r="E31" s="1"/>
      <c r="F31" s="1"/>
      <c r="G31" s="78" t="s">
        <v>4</v>
      </c>
      <c r="H31" s="79">
        <f>H29+H30</f>
        <v>830073.79</v>
      </c>
      <c r="I31" s="1"/>
    </row>
    <row r="32" spans="1:16" ht="15.6" x14ac:dyDescent="0.3">
      <c r="A32" s="1"/>
      <c r="B32" s="1"/>
      <c r="C32" s="1"/>
      <c r="D32" s="1"/>
      <c r="E32" s="1"/>
      <c r="F32" s="1"/>
      <c r="G32" s="51"/>
      <c r="H32" s="94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80" t="s">
        <v>123</v>
      </c>
      <c r="C34" s="81"/>
      <c r="D34" s="82"/>
      <c r="E34" s="82"/>
      <c r="F34" s="72"/>
      <c r="G34" s="1"/>
      <c r="H34" s="1"/>
      <c r="I34" s="1"/>
    </row>
    <row r="35" spans="1:9" ht="15.6" x14ac:dyDescent="0.3">
      <c r="A35" s="1"/>
      <c r="B35" s="80" t="s">
        <v>122</v>
      </c>
      <c r="C35" s="81"/>
      <c r="D35" s="82"/>
      <c r="E35" s="82"/>
      <c r="F35" s="72"/>
      <c r="G35" s="1"/>
      <c r="H35" s="1"/>
      <c r="I35" s="1"/>
    </row>
    <row r="36" spans="1:9" ht="15.6" x14ac:dyDescent="0.3">
      <c r="A36" s="1"/>
      <c r="B36" s="1" t="s">
        <v>25</v>
      </c>
      <c r="C36" s="1"/>
      <c r="D36" s="1"/>
      <c r="E36" s="83" t="s">
        <v>26</v>
      </c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</sheetData>
  <sortState xmlns:xlrd2="http://schemas.microsoft.com/office/spreadsheetml/2017/richdata2" ref="B40">
    <sortCondition sortBy="fontColor" ref="B40" dxfId="0"/>
  </sortState>
  <mergeCells count="2">
    <mergeCell ref="F16:H16"/>
    <mergeCell ref="B19:H19"/>
  </mergeCells>
  <phoneticPr fontId="10" type="noConversion"/>
  <hyperlinks>
    <hyperlink ref="E36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2" t="s">
        <v>31</v>
      </c>
      <c r="C2" s="122"/>
      <c r="D2" s="122"/>
      <c r="E2" s="18"/>
      <c r="G2" s="122" t="s">
        <v>70</v>
      </c>
      <c r="H2" s="122"/>
      <c r="I2" s="122"/>
      <c r="P2" s="123" t="s">
        <v>58</v>
      </c>
      <c r="Q2" s="123"/>
      <c r="R2" s="123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3" t="s">
        <v>58</v>
      </c>
      <c r="M8" s="123"/>
      <c r="N8" s="123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80"/>
  <sheetViews>
    <sheetView tabSelected="1" zoomScaleNormal="100" workbookViewId="0">
      <selection sqref="A1:G50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1" t="s">
        <v>61</v>
      </c>
      <c r="L3" s="111"/>
      <c r="M3" s="111" t="s">
        <v>14</v>
      </c>
      <c r="N3" s="111"/>
    </row>
    <row r="4" spans="1:14" ht="15.75" customHeight="1" x14ac:dyDescent="0.3">
      <c r="A4" s="1"/>
      <c r="B4" s="1"/>
      <c r="C4" s="39" t="s">
        <v>27</v>
      </c>
      <c r="D4" s="14">
        <f>'4637'!G8</f>
        <v>7390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MUEBLES ASENJO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2" t="s">
        <v>61</v>
      </c>
      <c r="B10" s="112"/>
      <c r="C10" s="112"/>
      <c r="D10" s="112"/>
      <c r="E10" s="112"/>
      <c r="F10" s="11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135</v>
      </c>
      <c r="B14" s="25">
        <f t="shared" ref="B14" si="0">I14</f>
        <v>1</v>
      </c>
      <c r="C14" s="25"/>
      <c r="D14" s="25">
        <f>J14+$D$13</f>
        <v>2110</v>
      </c>
      <c r="E14" s="35">
        <f t="shared" ref="E14:E17" si="1">K14+$E$13</f>
        <v>670</v>
      </c>
      <c r="F14" s="97" t="str">
        <f>C37</f>
        <v>CUB C/R R8</v>
      </c>
      <c r="G14" s="1"/>
      <c r="I14" s="87">
        <f>I26</f>
        <v>1</v>
      </c>
      <c r="J14" s="4">
        <f>J26</f>
        <v>2030</v>
      </c>
      <c r="K14" s="4">
        <f>K26</f>
        <v>700</v>
      </c>
    </row>
    <row r="15" spans="1:14" ht="15.6" x14ac:dyDescent="0.3">
      <c r="A15" s="93"/>
      <c r="B15" s="25">
        <f t="shared" ref="B15:B17" si="2">I15</f>
        <v>1</v>
      </c>
      <c r="C15" s="25"/>
      <c r="D15" s="25">
        <f t="shared" ref="D15:D17" si="3">J15+$D$13</f>
        <v>3380</v>
      </c>
      <c r="E15" s="35">
        <f t="shared" si="1"/>
        <v>870</v>
      </c>
      <c r="F15" s="97" t="str">
        <f t="shared" ref="F15:F17" si="4">C38</f>
        <v>CUB C/R R8</v>
      </c>
      <c r="G15" s="1"/>
      <c r="I15" s="87">
        <f t="shared" ref="I15:K15" si="5">I27</f>
        <v>1</v>
      </c>
      <c r="J15" s="4">
        <f t="shared" si="5"/>
        <v>3300</v>
      </c>
      <c r="K15" s="4">
        <f t="shared" si="5"/>
        <v>900</v>
      </c>
    </row>
    <row r="16" spans="1:14" ht="15.6" x14ac:dyDescent="0.3">
      <c r="A16" s="93"/>
      <c r="B16" s="25">
        <f t="shared" si="2"/>
        <v>1</v>
      </c>
      <c r="C16" s="25"/>
      <c r="D16" s="25">
        <f t="shared" si="3"/>
        <v>1580</v>
      </c>
      <c r="E16" s="35">
        <f t="shared" si="1"/>
        <v>670</v>
      </c>
      <c r="F16" s="97" t="str">
        <f t="shared" si="4"/>
        <v>CUB C/R R8</v>
      </c>
      <c r="G16" s="1"/>
      <c r="I16" s="87">
        <f t="shared" ref="I16:K16" si="6">I28</f>
        <v>1</v>
      </c>
      <c r="J16" s="4">
        <f t="shared" si="6"/>
        <v>1500</v>
      </c>
      <c r="K16" s="4">
        <f t="shared" si="6"/>
        <v>700</v>
      </c>
    </row>
    <row r="17" spans="1:11" ht="15.6" x14ac:dyDescent="0.3">
      <c r="A17" s="93"/>
      <c r="B17" s="25">
        <f t="shared" si="2"/>
        <v>1</v>
      </c>
      <c r="C17" s="25"/>
      <c r="D17" s="25">
        <f t="shared" si="3"/>
        <v>3250</v>
      </c>
      <c r="E17" s="35">
        <f t="shared" si="1"/>
        <v>570</v>
      </c>
      <c r="F17" s="97" t="str">
        <f t="shared" si="4"/>
        <v>CUB C/R R8</v>
      </c>
      <c r="G17" s="1"/>
      <c r="I17" s="87">
        <f t="shared" ref="I17:K17" si="7">I29</f>
        <v>1</v>
      </c>
      <c r="J17" s="4">
        <f t="shared" si="7"/>
        <v>3170</v>
      </c>
      <c r="K17" s="4">
        <f t="shared" si="7"/>
        <v>600</v>
      </c>
    </row>
    <row r="18" spans="1:11" ht="15.6" x14ac:dyDescent="0.3">
      <c r="A18" s="93"/>
      <c r="B18" s="25">
        <f t="shared" ref="B18" si="8">I18</f>
        <v>1</v>
      </c>
      <c r="C18" s="25"/>
      <c r="D18" s="25">
        <f t="shared" ref="D18" si="9">J18+$D$13</f>
        <v>3380</v>
      </c>
      <c r="E18" s="35">
        <f t="shared" ref="E18" si="10">K18+$E$13</f>
        <v>570</v>
      </c>
      <c r="F18" s="97" t="str">
        <f>C41</f>
        <v>CUB C/R R8</v>
      </c>
      <c r="G18" s="1"/>
      <c r="I18" s="87">
        <f t="shared" ref="I18:K19" si="11">I30</f>
        <v>1</v>
      </c>
      <c r="J18" s="4">
        <f t="shared" si="11"/>
        <v>3300</v>
      </c>
      <c r="K18" s="4">
        <f t="shared" si="11"/>
        <v>600</v>
      </c>
    </row>
    <row r="19" spans="1:11" ht="15.6" x14ac:dyDescent="0.3">
      <c r="A19" s="93"/>
      <c r="B19" s="25">
        <f t="shared" ref="B19" si="12">I19</f>
        <v>1</v>
      </c>
      <c r="C19" s="25"/>
      <c r="D19" s="25">
        <f t="shared" ref="D19" si="13">J19+$D$13</f>
        <v>2950</v>
      </c>
      <c r="E19" s="35">
        <f>K19</f>
        <v>1200</v>
      </c>
      <c r="F19" s="97" t="str">
        <f>C42</f>
        <v>CUB MESA 90° R8 2L</v>
      </c>
      <c r="G19" s="1"/>
      <c r="I19" s="87">
        <f t="shared" si="11"/>
        <v>1</v>
      </c>
      <c r="J19" s="4">
        <f t="shared" si="11"/>
        <v>2870</v>
      </c>
      <c r="K19" s="4">
        <f t="shared" si="11"/>
        <v>1200</v>
      </c>
    </row>
    <row r="20" spans="1:11" ht="15.6" x14ac:dyDescent="0.3">
      <c r="A20" s="51"/>
      <c r="B20" s="6"/>
      <c r="C20" s="6"/>
      <c r="D20" s="6"/>
      <c r="E20" s="103"/>
      <c r="F20" s="6"/>
      <c r="G20" s="1"/>
      <c r="I20" s="87"/>
      <c r="J20" s="2"/>
      <c r="K20" s="2"/>
    </row>
    <row r="21" spans="1:11" ht="6.75" customHeight="1" x14ac:dyDescent="0.3">
      <c r="A21" s="1"/>
      <c r="B21" s="1"/>
      <c r="C21" s="1"/>
      <c r="D21" s="1"/>
      <c r="E21" s="1"/>
      <c r="F21" s="1"/>
      <c r="G21" s="1"/>
    </row>
    <row r="22" spans="1:11" ht="15.6" x14ac:dyDescent="0.3">
      <c r="A22" s="112" t="s">
        <v>14</v>
      </c>
      <c r="B22" s="112"/>
      <c r="C22" s="112"/>
      <c r="D22" s="112"/>
      <c r="E22" s="112"/>
      <c r="F22" s="112"/>
      <c r="G22" s="1"/>
    </row>
    <row r="23" spans="1:11" ht="10.5" customHeight="1" x14ac:dyDescent="0.3">
      <c r="A23" s="1"/>
      <c r="B23" s="1"/>
      <c r="C23" s="12"/>
      <c r="D23" s="1"/>
      <c r="E23" s="1"/>
      <c r="F23" s="1"/>
      <c r="G23" s="1"/>
    </row>
    <row r="24" spans="1:11" ht="15.6" x14ac:dyDescent="0.3">
      <c r="A24" s="1"/>
      <c r="B24" s="1"/>
      <c r="C24" s="1"/>
      <c r="D24" s="51" t="s">
        <v>7</v>
      </c>
      <c r="E24" s="51" t="s">
        <v>8</v>
      </c>
      <c r="F24" s="1"/>
      <c r="G24" s="1"/>
    </row>
    <row r="25" spans="1:11" ht="15.6" x14ac:dyDescent="0.3">
      <c r="A25" s="51" t="s">
        <v>9</v>
      </c>
      <c r="B25" s="36" t="s">
        <v>10</v>
      </c>
      <c r="C25" s="36" t="s">
        <v>11</v>
      </c>
      <c r="D25" s="21">
        <v>40</v>
      </c>
      <c r="E25" s="21">
        <v>130</v>
      </c>
      <c r="F25" s="36" t="s">
        <v>110</v>
      </c>
      <c r="G25" s="1"/>
      <c r="J25" s="5" t="s">
        <v>7</v>
      </c>
      <c r="K25" s="5" t="s">
        <v>8</v>
      </c>
    </row>
    <row r="26" spans="1:11" ht="15.6" x14ac:dyDescent="0.3">
      <c r="A26" s="93"/>
      <c r="B26" s="16">
        <f t="shared" ref="B26" si="14">I26</f>
        <v>1</v>
      </c>
      <c r="C26" s="16"/>
      <c r="D26" s="16">
        <f>J26+D$25</f>
        <v>2070</v>
      </c>
      <c r="E26" s="16">
        <f t="shared" ref="E26:E29" si="15">K26+E$25</f>
        <v>830</v>
      </c>
      <c r="F26" s="98" t="str">
        <f>C37</f>
        <v>CUB C/R R8</v>
      </c>
      <c r="G26" s="1"/>
      <c r="I26" s="3">
        <f>B37</f>
        <v>1</v>
      </c>
      <c r="J26" s="4">
        <f>D37</f>
        <v>2030</v>
      </c>
      <c r="K26" s="4">
        <f t="shared" ref="K26" si="16">E37</f>
        <v>700</v>
      </c>
    </row>
    <row r="27" spans="1:11" ht="15.6" x14ac:dyDescent="0.3">
      <c r="A27" s="93"/>
      <c r="B27" s="16">
        <f t="shared" ref="B27:B29" si="17">I27</f>
        <v>1</v>
      </c>
      <c r="C27" s="16"/>
      <c r="D27" s="16">
        <f t="shared" ref="D27:D29" si="18">J27+D$25</f>
        <v>3340</v>
      </c>
      <c r="E27" s="16">
        <f t="shared" si="15"/>
        <v>1030</v>
      </c>
      <c r="F27" s="98" t="str">
        <f t="shared" ref="F27:F29" si="19">C38</f>
        <v>CUB C/R R8</v>
      </c>
      <c r="G27" s="1"/>
      <c r="I27" s="3">
        <f t="shared" ref="I27:I29" si="20">B38</f>
        <v>1</v>
      </c>
      <c r="J27" s="4">
        <f t="shared" ref="J27:J29" si="21">D38</f>
        <v>3300</v>
      </c>
      <c r="K27" s="4">
        <f t="shared" ref="K27:K29" si="22">E38</f>
        <v>900</v>
      </c>
    </row>
    <row r="28" spans="1:11" ht="15.6" x14ac:dyDescent="0.3">
      <c r="A28" s="93"/>
      <c r="B28" s="16">
        <f t="shared" si="17"/>
        <v>1</v>
      </c>
      <c r="C28" s="16"/>
      <c r="D28" s="16">
        <f t="shared" si="18"/>
        <v>1540</v>
      </c>
      <c r="E28" s="16">
        <f t="shared" si="15"/>
        <v>830</v>
      </c>
      <c r="F28" s="98" t="str">
        <f t="shared" si="19"/>
        <v>CUB C/R R8</v>
      </c>
      <c r="G28" s="1"/>
      <c r="I28" s="3">
        <f t="shared" si="20"/>
        <v>1</v>
      </c>
      <c r="J28" s="4">
        <f t="shared" si="21"/>
        <v>1500</v>
      </c>
      <c r="K28" s="4">
        <f t="shared" si="22"/>
        <v>700</v>
      </c>
    </row>
    <row r="29" spans="1:11" ht="15.6" x14ac:dyDescent="0.3">
      <c r="A29" s="93"/>
      <c r="B29" s="16">
        <f t="shared" si="17"/>
        <v>1</v>
      </c>
      <c r="C29" s="16"/>
      <c r="D29" s="16">
        <f t="shared" si="18"/>
        <v>3210</v>
      </c>
      <c r="E29" s="16">
        <f t="shared" si="15"/>
        <v>730</v>
      </c>
      <c r="F29" s="98" t="str">
        <f t="shared" si="19"/>
        <v>CUB C/R R8</v>
      </c>
      <c r="G29" s="1"/>
      <c r="I29" s="3">
        <f t="shared" si="20"/>
        <v>1</v>
      </c>
      <c r="J29" s="4">
        <f t="shared" si="21"/>
        <v>3170</v>
      </c>
      <c r="K29" s="4">
        <f t="shared" si="22"/>
        <v>600</v>
      </c>
    </row>
    <row r="30" spans="1:11" ht="15.6" x14ac:dyDescent="0.3">
      <c r="A30" s="93"/>
      <c r="B30" s="16">
        <f t="shared" ref="B30" si="23">I30</f>
        <v>1</v>
      </c>
      <c r="C30" s="16"/>
      <c r="D30" s="16">
        <f t="shared" ref="D30" si="24">J30+D$25</f>
        <v>3340</v>
      </c>
      <c r="E30" s="16">
        <f t="shared" ref="E30" si="25">K30+E$25</f>
        <v>730</v>
      </c>
      <c r="F30" s="98" t="str">
        <f>C41</f>
        <v>CUB C/R R8</v>
      </c>
      <c r="G30" s="1"/>
      <c r="I30" s="3">
        <f>B41</f>
        <v>1</v>
      </c>
      <c r="J30" s="4">
        <f>D41</f>
        <v>3300</v>
      </c>
      <c r="K30" s="4">
        <f>E41</f>
        <v>600</v>
      </c>
    </row>
    <row r="31" spans="1:11" ht="15.6" x14ac:dyDescent="0.3">
      <c r="A31" s="93"/>
      <c r="B31" s="16">
        <f t="shared" ref="B31" si="26">I31</f>
        <v>1</v>
      </c>
      <c r="C31" s="16"/>
      <c r="D31" s="16">
        <f t="shared" ref="D31" si="27">J31+D$25</f>
        <v>2910</v>
      </c>
      <c r="E31" s="16">
        <f t="shared" ref="E31" si="28">K31+E$25</f>
        <v>1330</v>
      </c>
      <c r="F31" s="98" t="str">
        <f>C42</f>
        <v>CUB MESA 90° R8 2L</v>
      </c>
      <c r="G31" s="1"/>
      <c r="I31" s="3">
        <f>B42</f>
        <v>1</v>
      </c>
      <c r="J31" s="4">
        <f>D42</f>
        <v>2870</v>
      </c>
      <c r="K31" s="4">
        <f>E42</f>
        <v>1200</v>
      </c>
    </row>
    <row r="32" spans="1:11" ht="15.6" x14ac:dyDescent="0.3">
      <c r="A32" s="93"/>
      <c r="B32" s="6"/>
      <c r="C32" s="6"/>
      <c r="D32" s="6"/>
      <c r="E32" s="6"/>
      <c r="F32" s="104"/>
      <c r="G32" s="1"/>
      <c r="I32" s="87"/>
      <c r="J32" s="2"/>
      <c r="K32" s="2"/>
    </row>
    <row r="33" spans="1:11" ht="16.2" thickBot="1" x14ac:dyDescent="0.35">
      <c r="A33" s="51"/>
      <c r="B33" s="6"/>
      <c r="C33" s="6"/>
      <c r="D33" s="6"/>
      <c r="E33" s="6"/>
      <c r="F33" s="6"/>
      <c r="G33" s="1"/>
      <c r="I33" s="2"/>
      <c r="J33" s="2"/>
      <c r="K33" s="2"/>
    </row>
    <row r="34" spans="1:11" ht="16.2" thickBot="1" x14ac:dyDescent="0.35">
      <c r="A34" s="51"/>
      <c r="B34" s="22" t="s">
        <v>107</v>
      </c>
      <c r="C34" s="23"/>
      <c r="D34" s="23"/>
      <c r="E34" s="23"/>
      <c r="F34" s="24"/>
      <c r="G34" s="1"/>
      <c r="I34" s="2"/>
      <c r="J34" s="2"/>
      <c r="K34" s="2"/>
    </row>
    <row r="35" spans="1:11" ht="10.5" customHeight="1" x14ac:dyDescent="0.3">
      <c r="A35" s="1"/>
      <c r="B35" s="1"/>
      <c r="C35" s="1"/>
      <c r="D35" s="1"/>
      <c r="E35" s="1"/>
      <c r="F35" s="1"/>
      <c r="G35" s="1"/>
    </row>
    <row r="36" spans="1:11" ht="15.6" x14ac:dyDescent="0.3">
      <c r="A36" s="51" t="s">
        <v>9</v>
      </c>
      <c r="B36" s="86" t="s">
        <v>10</v>
      </c>
      <c r="C36" s="86" t="s">
        <v>110</v>
      </c>
      <c r="D36" s="86" t="s">
        <v>7</v>
      </c>
      <c r="E36" s="86" t="s">
        <v>8</v>
      </c>
      <c r="F36" s="86" t="s">
        <v>23</v>
      </c>
      <c r="G36" s="1"/>
    </row>
    <row r="37" spans="1:11" ht="15.6" x14ac:dyDescent="0.3">
      <c r="A37" s="93" t="s">
        <v>135</v>
      </c>
      <c r="B37" s="25">
        <f>'4637'!B21</f>
        <v>1</v>
      </c>
      <c r="C37" s="97" t="str">
        <f>'4637'!C21</f>
        <v>CUB C/R R8</v>
      </c>
      <c r="D37" s="25">
        <f>'4637'!D21</f>
        <v>2030</v>
      </c>
      <c r="E37" s="25">
        <f>'4637'!E21</f>
        <v>700</v>
      </c>
      <c r="F37" s="25" t="str">
        <f>'4637'!F21</f>
        <v>GLACIAL WHITE 22191 SF</v>
      </c>
      <c r="G37" s="1"/>
    </row>
    <row r="38" spans="1:11" ht="15.6" x14ac:dyDescent="0.3">
      <c r="A38" s="93"/>
      <c r="B38" s="25">
        <f>'4637'!B22</f>
        <v>1</v>
      </c>
      <c r="C38" s="97" t="str">
        <f>'4637'!C22</f>
        <v>CUB C/R R8</v>
      </c>
      <c r="D38" s="25">
        <f>'4637'!D22</f>
        <v>3300</v>
      </c>
      <c r="E38" s="25">
        <f>'4637'!E22</f>
        <v>900</v>
      </c>
      <c r="F38" s="25" t="str">
        <f>'4637'!F22</f>
        <v>GLACIAL WHITE 22191 SF</v>
      </c>
      <c r="G38" s="1"/>
    </row>
    <row r="39" spans="1:11" ht="15.6" x14ac:dyDescent="0.3">
      <c r="A39" s="93"/>
      <c r="B39" s="25">
        <f>'4637'!B23</f>
        <v>1</v>
      </c>
      <c r="C39" s="97" t="str">
        <f>'4637'!C23</f>
        <v>CUB C/R R8</v>
      </c>
      <c r="D39" s="25">
        <f>'4637'!D23</f>
        <v>1500</v>
      </c>
      <c r="E39" s="25">
        <f>'4637'!E23</f>
        <v>700</v>
      </c>
      <c r="F39" s="25" t="str">
        <f>'4637'!F23</f>
        <v>GLACIAL WHITE 22191 SF</v>
      </c>
      <c r="G39" s="1"/>
    </row>
    <row r="40" spans="1:11" ht="15.6" x14ac:dyDescent="0.3">
      <c r="A40" s="93"/>
      <c r="B40" s="25">
        <f>'4637'!B24</f>
        <v>1</v>
      </c>
      <c r="C40" s="97" t="str">
        <f>'4637'!C24</f>
        <v>CUB C/R R8</v>
      </c>
      <c r="D40" s="25">
        <f>'4637'!D24</f>
        <v>3170</v>
      </c>
      <c r="E40" s="25">
        <f>'4637'!E24</f>
        <v>600</v>
      </c>
      <c r="F40" s="25" t="str">
        <f>'4637'!F24</f>
        <v>GLACIAL WHITE 22191 SF</v>
      </c>
      <c r="G40" s="1"/>
    </row>
    <row r="41" spans="1:11" ht="15.6" x14ac:dyDescent="0.3">
      <c r="A41" s="93"/>
      <c r="B41" s="25">
        <f>'4637'!B25</f>
        <v>1</v>
      </c>
      <c r="C41" s="97" t="str">
        <f>'4637'!C25</f>
        <v>CUB C/R R8</v>
      </c>
      <c r="D41" s="25">
        <f>'4637'!D25</f>
        <v>3300</v>
      </c>
      <c r="E41" s="25">
        <f>'4637'!E25</f>
        <v>600</v>
      </c>
      <c r="F41" s="25" t="str">
        <f>'4637'!F25</f>
        <v>GLACIAL WHITE 22191 SF</v>
      </c>
      <c r="G41" s="1"/>
    </row>
    <row r="42" spans="1:11" ht="15.6" x14ac:dyDescent="0.3">
      <c r="A42" s="93"/>
      <c r="B42" s="25">
        <f>'4637'!B26</f>
        <v>1</v>
      </c>
      <c r="C42" s="97" t="str">
        <f>'4637'!C26</f>
        <v>CUB MESA 90° R8 2L</v>
      </c>
      <c r="D42" s="25">
        <f>'4637'!D26</f>
        <v>2870</v>
      </c>
      <c r="E42" s="25">
        <f>'4637'!E26</f>
        <v>1200</v>
      </c>
      <c r="F42" s="25" t="str">
        <f>'4637'!F26</f>
        <v>GLACIAL WHITE 22191 SF</v>
      </c>
      <c r="G42" s="1"/>
    </row>
    <row r="43" spans="1:11" ht="15.6" x14ac:dyDescent="0.3">
      <c r="A43" s="93"/>
      <c r="B43" s="6"/>
      <c r="C43" s="104"/>
      <c r="D43" s="6"/>
      <c r="E43" s="6"/>
      <c r="F43" s="6"/>
      <c r="G43" s="1"/>
    </row>
    <row r="44" spans="1:11" ht="15.6" x14ac:dyDescent="0.3">
      <c r="A44" s="1"/>
      <c r="B44" s="6"/>
      <c r="C44" s="6"/>
      <c r="D44" s="6"/>
      <c r="E44" s="6"/>
      <c r="F44" s="6"/>
      <c r="G44" s="1"/>
    </row>
    <row r="45" spans="1:11" ht="15.6" x14ac:dyDescent="0.3">
      <c r="A45" s="1"/>
      <c r="B45" s="6"/>
      <c r="C45" s="6"/>
      <c r="D45" s="6"/>
      <c r="E45" s="6"/>
      <c r="F45" s="6"/>
      <c r="G45" s="1"/>
    </row>
    <row r="46" spans="1:11" ht="15.6" x14ac:dyDescent="0.3">
      <c r="A46" s="1"/>
      <c r="B46" s="6"/>
      <c r="C46" s="6"/>
      <c r="D46" s="6"/>
      <c r="E46" s="6"/>
      <c r="F46" s="6"/>
      <c r="G46" s="1"/>
    </row>
    <row r="47" spans="1:11" ht="15.6" x14ac:dyDescent="0.3">
      <c r="A47" s="1"/>
      <c r="B47" s="6"/>
      <c r="C47" s="6"/>
      <c r="D47" s="6"/>
      <c r="E47" s="6"/>
      <c r="F47" s="6"/>
      <c r="G47" s="1"/>
    </row>
    <row r="48" spans="1:11" ht="15.6" x14ac:dyDescent="0.3">
      <c r="A48" s="1"/>
      <c r="B48" s="6"/>
      <c r="C48" s="6"/>
      <c r="D48" s="6"/>
      <c r="E48" s="6"/>
      <c r="F48" s="6"/>
      <c r="G48" s="1"/>
    </row>
    <row r="49" spans="1:7" ht="15.6" x14ac:dyDescent="0.3">
      <c r="A49" s="1"/>
      <c r="B49" s="6"/>
      <c r="C49" s="6"/>
      <c r="D49" s="6"/>
      <c r="E49" s="6"/>
      <c r="F49" s="6"/>
      <c r="G49" s="1"/>
    </row>
    <row r="50" spans="1:7" ht="15.6" x14ac:dyDescent="0.3">
      <c r="A50" s="1"/>
      <c r="B50" s="6"/>
      <c r="C50" s="6"/>
      <c r="D50" s="6"/>
      <c r="E50" s="6"/>
      <c r="F50" s="6"/>
      <c r="G50" s="1"/>
    </row>
    <row r="51" spans="1:7" ht="15.6" x14ac:dyDescent="0.3">
      <c r="A51" s="1"/>
      <c r="B51" s="6"/>
      <c r="C51" s="6"/>
      <c r="D51" s="6"/>
      <c r="E51" s="6"/>
      <c r="F51" s="6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39" t="s">
        <v>27</v>
      </c>
      <c r="D53" s="14">
        <f>'4637'!G8</f>
        <v>7390</v>
      </c>
      <c r="E53" s="1"/>
      <c r="F53" s="1"/>
      <c r="G53" s="1"/>
    </row>
    <row r="54" spans="1:7" ht="17.25" customHeight="1" x14ac:dyDescent="0.3">
      <c r="A54" s="1"/>
      <c r="B54" s="1"/>
      <c r="C54" s="40" t="s">
        <v>67</v>
      </c>
      <c r="D54" s="41" t="str">
        <f>'4637'!C10</f>
        <v>MUEBLES ASENJO</v>
      </c>
      <c r="E54" s="42"/>
      <c r="F54" s="42"/>
      <c r="G54" s="1"/>
    </row>
    <row r="55" spans="1:7" ht="4.5" customHeight="1" x14ac:dyDescent="0.3">
      <c r="A55" s="1"/>
      <c r="B55" s="1"/>
      <c r="C55" s="43"/>
      <c r="D55" s="44"/>
      <c r="E55" s="1"/>
      <c r="F55" s="1"/>
      <c r="G55" s="1"/>
    </row>
    <row r="56" spans="1:7" ht="15.6" x14ac:dyDescent="0.3">
      <c r="A56" s="1"/>
      <c r="B56" s="1"/>
      <c r="C56" s="45" t="str">
        <f>'4637'!F11</f>
        <v>FECHA LIMITE :</v>
      </c>
      <c r="D56" s="13">
        <f>'4637'!G11</f>
        <v>0</v>
      </c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12" t="s">
        <v>68</v>
      </c>
      <c r="B59" s="112"/>
      <c r="C59" s="112"/>
      <c r="D59" s="112"/>
      <c r="E59" s="112"/>
      <c r="F59" s="112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75" customHeight="1" x14ac:dyDescent="0.3">
      <c r="A61" s="1"/>
      <c r="B61" s="113" t="s">
        <v>69</v>
      </c>
      <c r="C61" s="114"/>
      <c r="D61" s="115"/>
      <c r="E61" s="115"/>
      <c r="F61" s="116"/>
      <c r="G61" s="1"/>
    </row>
    <row r="62" spans="1:7" s="15" customFormat="1" ht="12.75" customHeight="1" x14ac:dyDescent="0.3">
      <c r="A62" s="1"/>
      <c r="B62" s="36" t="s">
        <v>10</v>
      </c>
      <c r="C62" s="46" t="s">
        <v>11</v>
      </c>
      <c r="D62" s="47" t="s">
        <v>7</v>
      </c>
      <c r="E62" s="47" t="s">
        <v>8</v>
      </c>
      <c r="F62" s="48" t="s">
        <v>12</v>
      </c>
      <c r="G62" s="1"/>
    </row>
    <row r="63" spans="1:7" s="15" customFormat="1" ht="15" customHeight="1" x14ac:dyDescent="0.3">
      <c r="A63" s="93" t="s">
        <v>135</v>
      </c>
      <c r="B63" s="38">
        <f>'4637'!B21</f>
        <v>1</v>
      </c>
      <c r="C63" s="96" t="str">
        <f>'4637'!C21</f>
        <v>CUB C/R R8</v>
      </c>
      <c r="D63" s="96">
        <f>'4637'!D21</f>
        <v>2030</v>
      </c>
      <c r="E63" s="96">
        <f>'4637'!E21</f>
        <v>700</v>
      </c>
      <c r="F63" s="96" t="str">
        <f>'4637'!F21</f>
        <v>GLACIAL WHITE 22191 SF</v>
      </c>
      <c r="G63" s="1"/>
    </row>
    <row r="64" spans="1:7" s="15" customFormat="1" ht="15" customHeight="1" x14ac:dyDescent="0.3">
      <c r="A64" s="93"/>
      <c r="B64" s="38">
        <f>'4637'!B22</f>
        <v>1</v>
      </c>
      <c r="C64" s="96" t="str">
        <f>'4637'!C22</f>
        <v>CUB C/R R8</v>
      </c>
      <c r="D64" s="96">
        <f>'4637'!D22</f>
        <v>3300</v>
      </c>
      <c r="E64" s="96">
        <f>'4637'!E22</f>
        <v>900</v>
      </c>
      <c r="F64" s="96" t="str">
        <f>'4637'!F22</f>
        <v>GLACIAL WHITE 22191 SF</v>
      </c>
      <c r="G64" s="1"/>
    </row>
    <row r="65" spans="1:7" s="15" customFormat="1" ht="15" customHeight="1" x14ac:dyDescent="0.3">
      <c r="A65" s="93"/>
      <c r="B65" s="38">
        <f>'4637'!B23</f>
        <v>1</v>
      </c>
      <c r="C65" s="96" t="str">
        <f>'4637'!C23</f>
        <v>CUB C/R R8</v>
      </c>
      <c r="D65" s="96">
        <f>'4637'!D23</f>
        <v>1500</v>
      </c>
      <c r="E65" s="96">
        <f>'4637'!E23</f>
        <v>700</v>
      </c>
      <c r="F65" s="96" t="str">
        <f>'4637'!F23</f>
        <v>GLACIAL WHITE 22191 SF</v>
      </c>
      <c r="G65" s="1"/>
    </row>
    <row r="66" spans="1:7" s="15" customFormat="1" ht="15" customHeight="1" x14ac:dyDescent="0.3">
      <c r="A66" s="93"/>
      <c r="B66" s="38">
        <f>'4637'!B24</f>
        <v>1</v>
      </c>
      <c r="C66" s="96" t="str">
        <f>'4637'!C24</f>
        <v>CUB C/R R8</v>
      </c>
      <c r="D66" s="96">
        <f>'4637'!D24</f>
        <v>3170</v>
      </c>
      <c r="E66" s="96">
        <f>'4637'!E24</f>
        <v>600</v>
      </c>
      <c r="F66" s="96" t="str">
        <f>'4637'!F24</f>
        <v>GLACIAL WHITE 22191 SF</v>
      </c>
      <c r="G66" s="1"/>
    </row>
    <row r="67" spans="1:7" s="15" customFormat="1" ht="15" customHeight="1" x14ac:dyDescent="0.3">
      <c r="A67" s="93"/>
      <c r="B67" s="38">
        <f>'4637'!B25</f>
        <v>1</v>
      </c>
      <c r="C67" s="96" t="str">
        <f>'4637'!C25</f>
        <v>CUB C/R R8</v>
      </c>
      <c r="D67" s="96">
        <f>'4637'!D25</f>
        <v>3300</v>
      </c>
      <c r="E67" s="96">
        <f>'4637'!E25</f>
        <v>600</v>
      </c>
      <c r="F67" s="96" t="str">
        <f>'4637'!F25</f>
        <v>GLACIAL WHITE 22191 SF</v>
      </c>
      <c r="G67" s="1"/>
    </row>
    <row r="68" spans="1:7" s="15" customFormat="1" ht="15" customHeight="1" x14ac:dyDescent="0.3">
      <c r="A68" s="93"/>
      <c r="B68" s="38">
        <f>'4637'!B26</f>
        <v>1</v>
      </c>
      <c r="C68" s="96" t="str">
        <f>'4637'!C26</f>
        <v>CUB MESA 90° R8 2L</v>
      </c>
      <c r="D68" s="96">
        <f>'4637'!D26</f>
        <v>2870</v>
      </c>
      <c r="E68" s="96">
        <f>'4637'!E26</f>
        <v>1200</v>
      </c>
      <c r="F68" s="96" t="str">
        <f>'4637'!F26</f>
        <v>GLACIAL WHITE 22191 SF</v>
      </c>
      <c r="G68" s="1"/>
    </row>
    <row r="69" spans="1:7" s="15" customFormat="1" ht="15" customHeight="1" x14ac:dyDescent="0.3">
      <c r="A69" s="49"/>
      <c r="B69" s="51"/>
      <c r="C69" s="51"/>
      <c r="D69" s="51"/>
      <c r="E69" s="51"/>
      <c r="F69" s="51"/>
      <c r="G69" s="1"/>
    </row>
    <row r="70" spans="1:7" ht="15.6" x14ac:dyDescent="0.3">
      <c r="A70" s="6"/>
      <c r="B70" s="6"/>
      <c r="C70" s="1"/>
      <c r="D70" s="6"/>
      <c r="E70" s="6"/>
      <c r="F70" s="43"/>
      <c r="G70" s="1"/>
    </row>
    <row r="71" spans="1:7" ht="15.6" x14ac:dyDescent="0.3">
      <c r="A71" s="6"/>
      <c r="B71" s="6"/>
      <c r="C71" s="1"/>
      <c r="D71" s="6"/>
      <c r="E71" s="6"/>
      <c r="F71" s="6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ht="15.6" x14ac:dyDescent="0.3">
      <c r="A73" s="1"/>
      <c r="B73" s="1"/>
      <c r="C73" s="1"/>
      <c r="D73" s="1"/>
      <c r="E73" s="1"/>
      <c r="F73" s="1"/>
      <c r="G73" s="1"/>
    </row>
    <row r="74" spans="1:7" ht="15.6" x14ac:dyDescent="0.3">
      <c r="A74" s="1"/>
      <c r="B74" s="1"/>
      <c r="C74" s="1"/>
      <c r="D74" s="1"/>
      <c r="E74" s="1"/>
      <c r="F74" s="1"/>
      <c r="G74" s="1"/>
    </row>
    <row r="75" spans="1:7" ht="15" customHeight="1" x14ac:dyDescent="0.3">
      <c r="A75" s="1"/>
      <c r="B75" s="1"/>
      <c r="C75" s="1"/>
      <c r="D75" s="1"/>
      <c r="E75" s="1"/>
      <c r="F75" s="1"/>
      <c r="G75" s="1"/>
    </row>
    <row r="76" spans="1:7" ht="15.6" x14ac:dyDescent="0.3">
      <c r="A76" s="1"/>
      <c r="B76" s="1"/>
      <c r="C76" s="1"/>
      <c r="D76" s="1"/>
      <c r="E76" s="1"/>
      <c r="F76" s="1"/>
      <c r="G76" s="1"/>
    </row>
    <row r="77" spans="1:7" ht="15.6" x14ac:dyDescent="0.3">
      <c r="A77" s="6"/>
      <c r="B77" s="50"/>
      <c r="C77" s="1"/>
      <c r="D77" s="1"/>
      <c r="E77" s="1"/>
      <c r="F77" s="1"/>
      <c r="G77" s="1"/>
    </row>
    <row r="78" spans="1:7" ht="15.6" x14ac:dyDescent="0.3">
      <c r="A78" s="1"/>
      <c r="B78" s="1"/>
      <c r="C78" s="1"/>
      <c r="D78" s="1"/>
      <c r="E78" s="1"/>
      <c r="F78" s="1"/>
      <c r="G78" s="1"/>
    </row>
    <row r="79" spans="1:7" x14ac:dyDescent="0.3">
      <c r="B79" s="20"/>
      <c r="C79" s="20"/>
      <c r="D79" s="20"/>
      <c r="E79" s="20"/>
      <c r="F79" s="20"/>
    </row>
    <row r="80" spans="1:7" x14ac:dyDescent="0.3">
      <c r="B80" s="20"/>
      <c r="C80" s="20"/>
      <c r="E80" s="20"/>
      <c r="F80" s="20"/>
    </row>
  </sheetData>
  <mergeCells count="6">
    <mergeCell ref="M3:N3"/>
    <mergeCell ref="A22:F22"/>
    <mergeCell ref="A10:F10"/>
    <mergeCell ref="A59:F59"/>
    <mergeCell ref="B61:F61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2026-02-19T13:31:01Z</cp:lastPrinted>
  <dcterms:created xsi:type="dcterms:W3CDTF">2013-03-19T12:54:14Z</dcterms:created>
  <dcterms:modified xsi:type="dcterms:W3CDTF">2026-02-19T13:33:26Z</dcterms:modified>
</cp:coreProperties>
</file>