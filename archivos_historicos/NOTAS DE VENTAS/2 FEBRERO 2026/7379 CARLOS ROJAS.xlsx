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01AA8894-7618-4DFE-993D-14B7986446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/>
  <c r="I21" i="3" s="1"/>
  <c r="C27" i="3"/>
  <c r="F21" i="3" s="1"/>
  <c r="D27" i="3"/>
  <c r="J21" i="3" s="1"/>
  <c r="E27" i="3"/>
  <c r="K21" i="3" s="1"/>
  <c r="F27" i="3"/>
  <c r="D48" i="3"/>
  <c r="E48" i="3"/>
  <c r="F48" i="3"/>
  <c r="C48" i="3"/>
  <c r="H25" i="4" l="1"/>
  <c r="K14" i="3"/>
  <c r="E14" i="3" s="1"/>
  <c r="E21" i="3"/>
  <c r="J14" i="3"/>
  <c r="D14" i="3" s="1"/>
  <c r="D21" i="3"/>
  <c r="I14" i="3"/>
  <c r="B14" i="3" s="1"/>
  <c r="B21" i="3"/>
  <c r="F14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<sst xmlns="http://schemas.openxmlformats.org/spreadsheetml/2006/main" count="244" uniqueCount="141">
  <si>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</si>
  <si>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</si>
  <si>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</si>
  <si>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</si>
  <si>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</si>
  <si>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</si>
  <si>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</si>
  <si>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</si>
  <si>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</si>
  <si>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</si>
  <si>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</si>
  <si>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</si>
  <si>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</si>
  <si>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</si>
  <si>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</si>
  <si>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</si>
  <si>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</si>
  <si>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</si>
  <si>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</si>
  <si>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</si>
  <si>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</si>
  <si>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</si>
  <si>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</si>
  <si>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</si>
  <si>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</si>
  <si>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</si>
  <si>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</si>
  <si>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</si>
  <si>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</si>
  <si>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</si>
  <si>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</si>
  <si>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</si>
  <si>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</si>
  <si>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</si>
  <si>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</si>
  <si>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</si>
  <si>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</si>
  <si>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</si>
  <si>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</si>
  <si>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</si>
  <si>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</si>
  <si>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</si>
  <si>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</si>
  <si>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</si>
  <si>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</si>
  <si>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</si>
  <si>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</si>
  <si>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</si>
  <si>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</si>
  <si>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</si>
  <si>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</si>
  <si>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</si>
  <si>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</si>
  <si>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</si>
  <si>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</si>
  <si>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</si>
  <si>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</si>
  <si>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</si>
  <si>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</si>
  <si>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</si>
  <si>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</si>
  <si>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</si>
  <si>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</si>
  <si>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</si>
  <si>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</si>
  <si>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</si>
  <si>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</si>
  <si>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</si>
  <si>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</si>
  <si>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</si>
  <si>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</si>
  <si>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</si>
  <si>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</si>
  <si>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</si>
  <si>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</si>
  <si>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</si>
  <si>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</si>
  <si>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</si>
  <si>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</si>
  <si>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</si>
  <si>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</si>
  <si>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</si>
  <si>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</si>
  <si>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</si>
  <si>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</si>
  <si>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</si>
  <si>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</si>
  <si>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</si>
  <si>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</si>
  <si>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</si>
  <si>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</si>
  <si>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</si>
  <si>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</si>
  <si>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</si>
  <si>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</si>
  <si>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</si>
  <si>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</si>
  <si>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</si>
  <si>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</si>
  <si>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</si>
  <si>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</si>
  <si>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</si>
  <si>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</si>
  <si>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</si>
  <si>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</si>
  <si>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</si>
  <si>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</si>
  <si>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</si>
  <si>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</si>
  <si>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</si>
  <si>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</si>
  <si>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</si>
  <si>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</si>
  <si>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</si>
  <si>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</si>
  <si>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</si>
  <si>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</si>
  <si>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</si>
  <si>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</si>
  <si>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</si>
  <si>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</si>
  <si>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</si>
  <si>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</si>
  <si>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</si>
  <si>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</si>
  <si>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</si>
  <si>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</si>
  <si>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</si>
  <si>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</si>
  <si>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</si>
  <si>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</si>
  <si>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</si>
  <si>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</si>
  <si>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</si>
  <si>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</si>
  <si>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 18MM</t>
  </si>
  <si>
    <t>CUB C/R 180°</t>
  </si>
  <si>
    <t>SHELL WHITE BR</t>
  </si>
  <si>
    <t>N° 11870</t>
  </si>
  <si>
    <t>CARLOS ROJAS</t>
  </si>
  <si>
    <t>+569 6833 9286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</si>
</sst>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TOTAL 4 DE FEBRERO 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5" workbookViewId="0">
      <selection activeCell="G15" sqref="G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138</v>
      </c>
      <c r="E8" s="1"/>
      <c r="F8" s="91" t="s">
        <v>27</v>
      </c>
      <c r="G8" s="92">
        <v>7379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139</v>
      </c>
      <c r="D10" s="53"/>
      <c r="E10" s="53"/>
      <c r="F10" s="54" t="s">
        <v>28</v>
      </c>
      <c r="G10" s="55">
        <v>46058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46059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140</v>
      </c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136</v>
      </c>
      <c r="D21" s="102">
        <v>900</v>
      </c>
      <c r="E21" s="102">
        <v>600</v>
      </c>
      <c r="F21" s="100" t="s">
        <v>137</v>
      </c>
      <c r="G21" s="101">
        <v>32773</v>
      </c>
      <c r="H21" s="109">
        <f>G21*B21</f>
        <v>32773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32773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6226.87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38999.870000000003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activeCell="G34" sqref="A2:G34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38" t="s">
        <v>27</v>
      </c>
      <c r="D4" s="14">
        <f>'4637'!G8</f>
        <v>7379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CARLOS ROJAS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46059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 t="shared" ref="D14" si="1">J14+$D$13</f>
        <v>950</v>
      </c>
      <c r="E14" s="35">
        <f t="shared" ref="E14" si="2">K14+$E$13</f>
        <v>570</v>
      </c>
      <c r="F14" s="97" t="str">
        <f t="shared" ref="F14" si="3">C27</f>
        <v>CUB C/R 180°</v>
      </c>
      <c r="G14" s="1"/>
      <c r="I14" s="87">
        <f t="shared" ref="I14:K14" si="4">I21</f>
        <v>1</v>
      </c>
      <c r="J14" s="4">
        <f t="shared" si="4"/>
        <v>900</v>
      </c>
      <c r="K14" s="4">
        <f t="shared" si="4"/>
        <v>600</v>
      </c>
    </row>
    <row r="15" spans="1:14" ht="15.6" x14ac:dyDescent="0.3">
      <c r="A15" s="50"/>
      <c r="B15" s="6"/>
      <c r="C15" s="6"/>
      <c r="D15" s="6"/>
      <c r="E15" s="103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8" t="s">
        <v>14</v>
      </c>
      <c r="B17" s="118"/>
      <c r="C17" s="118"/>
      <c r="D17" s="118"/>
      <c r="E17" s="118"/>
      <c r="F17" s="118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5">I21</f>
        <v>1</v>
      </c>
      <c r="C21" s="16"/>
      <c r="D21" s="16">
        <f>J21+D$20</f>
        <v>940</v>
      </c>
      <c r="E21" s="16">
        <f>K21+E$20</f>
        <v>750</v>
      </c>
      <c r="F21" s="98" t="str">
        <f t="shared" ref="F21" si="6">C27</f>
        <v>CUB C/R 180°</v>
      </c>
      <c r="G21" s="1"/>
      <c r="I21" s="3">
        <f t="shared" ref="I21" si="7">B27</f>
        <v>1</v>
      </c>
      <c r="J21" s="4">
        <f t="shared" ref="J21" si="8">D27</f>
        <v>900</v>
      </c>
      <c r="K21" s="4">
        <f t="shared" ref="K21" si="9">E27</f>
        <v>600</v>
      </c>
    </row>
    <row r="22" spans="1:11" ht="15.6" x14ac:dyDescent="0.3">
      <c r="A22" s="93"/>
      <c r="B22" s="6"/>
      <c r="C22" s="6"/>
      <c r="D22" s="6"/>
      <c r="E22" s="6"/>
      <c r="F22" s="105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135</v>
      </c>
      <c r="B27" s="25">
        <f>'4637'!B21</f>
        <v>1</v>
      </c>
      <c r="C27" s="97" t="str">
        <f>'4637'!C21</f>
        <v>CUB C/R 180°</v>
      </c>
      <c r="D27" s="25">
        <f>'4637'!D21</f>
        <v>900</v>
      </c>
      <c r="E27" s="25">
        <f>'4637'!E21</f>
        <v>600</v>
      </c>
      <c r="F27" s="25" t="str">
        <f>'4637'!F21</f>
        <v>SHELL WHITE BR</v>
      </c>
      <c r="G27" s="1"/>
    </row>
    <row r="28" spans="1:11" ht="15.6" x14ac:dyDescent="0.3">
      <c r="A28" s="93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27</v>
      </c>
      <c r="D38" s="14">
        <f>'4637'!G8</f>
        <v>7379</v>
      </c>
      <c r="E38" s="1"/>
      <c r="F38" s="1"/>
      <c r="G38" s="1"/>
    </row>
    <row r="39" spans="1:7" ht="17.25" customHeight="1" x14ac:dyDescent="0.3">
      <c r="A39" s="1"/>
      <c r="B39" s="1"/>
      <c r="C39" s="39" t="s">
        <v>67</v>
      </c>
      <c r="D39" s="40" t="str">
        <f>'4637'!C10</f>
        <v>CARLOS ROJAS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'4637'!F11</f>
        <v>FECHA LIMITE :</v>
      </c>
      <c r="D41" s="13">
        <f>'4637'!G11</f>
        <v>46059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8" t="s">
        <v>68</v>
      </c>
      <c r="B44" s="118"/>
      <c r="C44" s="118"/>
      <c r="D44" s="118"/>
      <c r="E44" s="118"/>
      <c r="F44" s="118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9" t="s">
        <v>69</v>
      </c>
      <c r="C46" s="120"/>
      <c r="D46" s="121"/>
      <c r="E46" s="121"/>
      <c r="F46" s="122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93" t="s">
        <v>135</v>
      </c>
      <c r="B48" s="50">
        <v>1</v>
      </c>
      <c r="C48" s="96" t="str">
        <f>'4637'!C21</f>
        <v>CUB C/R 180°</v>
      </c>
      <c r="D48" s="96">
        <f>'4637'!D21</f>
        <v>900</v>
      </c>
      <c r="E48" s="96">
        <f>'4637'!E21</f>
        <v>600</v>
      </c>
      <c r="F48" s="96" t="str">
        <f>'4637'!F21</f>
        <v>SHELL WHITE BR</v>
      </c>
      <c r="G48" s="1"/>
    </row>
    <row r="49" spans="1:7" s="15" customFormat="1" ht="15" customHeight="1" x14ac:dyDescent="0.3">
      <c r="B49" s="50"/>
      <c r="C49" s="104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2026-02-05T17:37:26Z</cp:lastPrinted>
  <dcterms:created xsi:type="dcterms:W3CDTF">2013-03-19T12:54:14Z</dcterms:created>
  <dcterms:modified xsi:type="dcterms:W3CDTF">2026-02-05T17:38:18Z</dcterms:modified>
</cp:coreProperties>
</file>