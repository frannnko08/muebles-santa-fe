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1A457605-EC11-47C8-AA83-DF2CA51038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J14" i="3"/>
  <c r="B21" i="3"/>
  <c r="F21" i="3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<sst xmlns="http://schemas.openxmlformats.org/spreadsheetml/2006/main" count="245" uniqueCount="142">
  <si>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</si>
  <si>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</si>
  <si>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</si>
  <si>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</si>
  <si>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</si>
  <si>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</si>
  <si>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</si>
  <si>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</si>
  <si>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</si>
  <si>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</si>
  <si>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</si>
  <si>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</si>
  <si>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</si>
  <si>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</si>
  <si>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</si>
  <si>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</si>
  <si>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</si>
  <si>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</si>
  <si>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</si>
  <si>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</si>
  <si>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</si>
  <si>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</si>
  <si>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</si>
  <si>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</si>
  <si>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</si>
  <si>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</si>
  <si>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</si>
  <si>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</si>
  <si>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</si>
  <si>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</si>
  <si>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</si>
  <si>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</si>
  <si>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</si>
  <si>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</si>
  <si>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</si>
  <si>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</si>
  <si>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</si>
  <si>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</si>
  <si>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</si>
  <si>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</si>
  <si>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</si>
  <si>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</si>
  <si>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</si>
  <si>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</si>
  <si>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</si>
  <si>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</si>
  <si>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</si>
  <si>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</si>
  <si>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</si>
  <si>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</si>
  <si>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</si>
  <si>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</si>
  <si>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</si>
  <si>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</si>
  <si>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</si>
  <si>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</si>
  <si>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</si>
  <si>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</si>
  <si>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</si>
  <si>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</si>
  <si>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</si>
  <si>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</si>
  <si>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</si>
  <si>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</si>
  <si>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</si>
  <si>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</si>
  <si>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</si>
  <si>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</si>
  <si>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</si>
  <si>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</si>
  <si>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</si>
  <si>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</si>
  <si>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</si>
  <si>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</si>
  <si>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</si>
  <si>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</si>
  <si>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</si>
  <si>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</si>
  <si>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</si>
  <si>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</si>
  <si>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</si>
  <si>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</si>
  <si>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</si>
  <si>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</si>
  <si>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</si>
  <si>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</si>
  <si>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</si>
  <si>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</si>
  <si>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</si>
  <si>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</si>
  <si>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</si>
  <si>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</si>
  <si>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</si>
  <si>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</si>
  <si>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</si>
  <si>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</si>
  <si>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</si>
  <si>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</si>
  <si>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</si>
  <si>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</si>
  <si>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</si>
  <si>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</si>
  <si>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</si>
  <si>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</si>
  <si>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</si>
  <si>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</si>
  <si>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</si>
  <si>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</si>
  <si>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</si>
  <si>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</si>
  <si>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</si>
  <si>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</si>
  <si>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</si>
  <si>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</si>
  <si>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</si>
  <si>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</si>
  <si>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</si>
  <si>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</si>
  <si>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</si>
  <si>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</si>
  <si>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</si>
  <si>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</si>
  <si>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</si>
  <si>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</si>
  <si>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</si>
  <si>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</si>
  <si>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</si>
  <si>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</si>
  <si>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</si>
  <si>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</si>
  <si>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</si>
  <si>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</si>
  <si>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</si>
  <si>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</si>
  <si>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</si>
  <si>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</si>
  <si>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N° 11857</t>
  </si>
  <si>
    <t>DHOME DESIGN SPA</t>
  </si>
  <si>
    <t>NAIROBI</t>
  </si>
  <si>
    <t>569 8466 2944</t>
  </si>
  <si>
    <t>CUB C/R R12</t>
  </si>
  <si>
    <t>PP-5862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</si>
</sst>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$ 400.000.-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30 CMS SOBRE LA BASE COMPLEMENTADO SEGUN DIBUJO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COMPLEMENTO DE 30 SOBRE LA BASE, SEGUN DIBUJO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136</v>
      </c>
      <c r="E8" s="1"/>
      <c r="F8" s="93" t="s">
        <v>27</v>
      </c>
      <c r="G8" s="94">
        <v>7370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46055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9" t="s">
        <v>138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139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2</v>
      </c>
      <c r="C21" s="101" t="s">
        <v>140</v>
      </c>
      <c r="D21" s="103">
        <v>3000</v>
      </c>
      <c r="E21" s="103">
        <v>800</v>
      </c>
      <c r="F21" s="101" t="s">
        <v>141</v>
      </c>
      <c r="G21" s="102">
        <v>326465</v>
      </c>
      <c r="H21" s="102">
        <f t="shared" ref="H21" si="0">G21*B21</f>
        <v>652930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/>
      <c r="C22" s="107"/>
      <c r="D22" s="108"/>
      <c r="E22" s="108"/>
      <c r="F22" s="107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652930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124056.7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776986.7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H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7370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DHOME DESIGN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2</v>
      </c>
      <c r="C14" s="25"/>
      <c r="D14" s="25">
        <v>3100</v>
      </c>
      <c r="E14" s="35">
        <f>K14+E13</f>
        <v>770</v>
      </c>
      <c r="F14" s="99" t="str">
        <f>C27</f>
        <v>CUB C/R R12</v>
      </c>
      <c r="G14" s="1"/>
      <c r="I14" s="89">
        <f t="shared" ref="I14:K14" si="1">I21</f>
        <v>2</v>
      </c>
      <c r="J14" s="4">
        <f t="shared" si="1"/>
        <v>3000</v>
      </c>
      <c r="K14" s="4">
        <f t="shared" si="1"/>
        <v>800</v>
      </c>
    </row>
    <row r="15" spans="1:14" ht="15.6" x14ac:dyDescent="0.3">
      <c r="A15" s="52"/>
      <c r="B15" s="6"/>
      <c r="C15" s="6"/>
      <c r="D15" s="6"/>
      <c r="E15" s="104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110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2</v>
      </c>
      <c r="C21" s="16"/>
      <c r="D21" s="16">
        <v>3080</v>
      </c>
      <c r="E21" s="16">
        <v>1250</v>
      </c>
      <c r="F21" s="100" t="str">
        <f>C27</f>
        <v>CUB C/R R12</v>
      </c>
      <c r="G21" s="1"/>
      <c r="I21" s="3">
        <f>B27</f>
        <v>2</v>
      </c>
      <c r="J21" s="4">
        <f>D27</f>
        <v>3000</v>
      </c>
      <c r="K21" s="4">
        <f t="shared" ref="K21" si="3">E27</f>
        <v>800</v>
      </c>
    </row>
    <row r="22" spans="1:11" ht="15.6" x14ac:dyDescent="0.3">
      <c r="A22" s="95"/>
      <c r="B22" s="6"/>
      <c r="C22" s="6"/>
      <c r="D22" s="6"/>
      <c r="E22" s="6"/>
      <c r="F22" s="10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2</v>
      </c>
      <c r="C27" s="99" t="str">
        <f>'4637'!C21</f>
        <v>CUB C/R R12</v>
      </c>
      <c r="D27" s="25">
        <f>'4637'!D21</f>
        <v>3000</v>
      </c>
      <c r="E27" s="25">
        <f>'4637'!E21</f>
        <v>800</v>
      </c>
      <c r="F27" s="25" t="str">
        <f>'4637'!F21</f>
        <v>PP-5862 BR</v>
      </c>
      <c r="G27" s="1"/>
    </row>
    <row r="28" spans="1:11" ht="15.6" x14ac:dyDescent="0.3">
      <c r="A28" s="95"/>
      <c r="B28" s="6"/>
      <c r="C28" s="10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7370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DHOME DESIGN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2</v>
      </c>
      <c r="C48" s="98" t="str">
        <f>'4637'!C21</f>
        <v>CUB C/R R12</v>
      </c>
      <c r="D48" s="39">
        <f>'4637'!D21</f>
        <v>3000</v>
      </c>
      <c r="E48" s="39">
        <f>'4637'!E21</f>
        <v>800</v>
      </c>
      <c r="F48" s="38" t="str">
        <f>'4637'!F21</f>
        <v>PP-5862 BR</v>
      </c>
      <c r="G48" s="1"/>
    </row>
    <row r="49" spans="1:7" s="15" customFormat="1" ht="15" customHeight="1" x14ac:dyDescent="0.3">
      <c r="B49" s="52"/>
      <c r="C49" s="105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2026-02-02T15:28:52Z</cp:lastPrinted>
  <dcterms:created xsi:type="dcterms:W3CDTF">2013-03-19T12:54:14Z</dcterms:created>
  <dcterms:modified xsi:type="dcterms:W3CDTF">2026-02-02T15:35:35Z</dcterms:modified>
</cp:coreProperties>
</file>