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C8A0C12A-792E-4883-BC58-EFC0FBA201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CUBIERTA!$A$48:$G$75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4" i="3"/>
  <c r="E25" i="3"/>
  <c r="B39" i="3"/>
  <c r="I29" i="3" s="1"/>
  <c r="B29" i="3" s="1"/>
  <c r="C39" i="3"/>
  <c r="F29" i="3" s="1"/>
  <c r="D39" i="3"/>
  <c r="J29" i="3" s="1"/>
  <c r="D29" i="3" s="1"/>
  <c r="E39" i="3"/>
  <c r="K29" i="3" s="1"/>
  <c r="E29" i="3" s="1"/>
  <c r="F39" i="3"/>
  <c r="B61" i="3"/>
  <c r="B62" i="3"/>
  <c r="B63" i="3"/>
  <c r="B64" i="3"/>
  <c r="C64" i="3"/>
  <c r="D64" i="3"/>
  <c r="E64" i="3"/>
  <c r="F64" i="3"/>
  <c r="H25" i="4"/>
  <c r="B36" i="3"/>
  <c r="I26" i="3" s="1"/>
  <c r="C36" i="3"/>
  <c r="F26" i="3" s="1"/>
  <c r="D36" i="3"/>
  <c r="J26" i="3" s="1"/>
  <c r="D26" i="3" s="1"/>
  <c r="E36" i="3"/>
  <c r="K26" i="3" s="1"/>
  <c r="F36" i="3"/>
  <c r="B37" i="3"/>
  <c r="I27" i="3" s="1"/>
  <c r="B27" i="3" s="1"/>
  <c r="C37" i="3"/>
  <c r="F16" i="3" s="1"/>
  <c r="D37" i="3"/>
  <c r="J27" i="3" s="1"/>
  <c r="J16" i="3" s="1"/>
  <c r="D16" i="3" s="1"/>
  <c r="E37" i="3"/>
  <c r="K27" i="3" s="1"/>
  <c r="F37" i="3"/>
  <c r="B38" i="3"/>
  <c r="I28" i="3" s="1"/>
  <c r="C38" i="3"/>
  <c r="F28" i="3" s="1"/>
  <c r="D38" i="3"/>
  <c r="J28" i="3" s="1"/>
  <c r="E38" i="3"/>
  <c r="K28" i="3" s="1"/>
  <c r="K17" i="3" s="1"/>
  <c r="E17" i="3" s="1"/>
  <c r="F38" i="3"/>
  <c r="D60" i="3"/>
  <c r="E60" i="3"/>
  <c r="F60" i="3"/>
  <c r="D61" i="3"/>
  <c r="E61" i="3"/>
  <c r="F61" i="3"/>
  <c r="D62" i="3"/>
  <c r="E62" i="3"/>
  <c r="F62" i="3"/>
  <c r="D63" i="3"/>
  <c r="E63" i="3"/>
  <c r="F63" i="3"/>
  <c r="C61" i="3"/>
  <c r="C62" i="3"/>
  <c r="C63" i="3"/>
  <c r="H23" i="4"/>
  <c r="H24" i="4"/>
  <c r="H22" i="4"/>
  <c r="H21" i="4"/>
  <c r="H28" i="4" s="1"/>
  <c r="I18" i="3" l="1"/>
  <c r="B18" i="3" s="1"/>
  <c r="F18" i="3"/>
  <c r="K18" i="3"/>
  <c r="E18" i="3" s="1"/>
  <c r="J18" i="3"/>
  <c r="D18" i="3" s="1"/>
  <c r="B28" i="3"/>
  <c r="I17" i="3"/>
  <c r="B17" i="3" s="1"/>
  <c r="I15" i="3"/>
  <c r="B15" i="3" s="1"/>
  <c r="B26" i="3"/>
  <c r="J15" i="3"/>
  <c r="D15" i="3" s="1"/>
  <c r="K15" i="3"/>
  <c r="E15" i="3" s="1"/>
  <c r="E26" i="3"/>
  <c r="K16" i="3"/>
  <c r="D28" i="3"/>
  <c r="J17" i="3"/>
  <c r="D17" i="3" s="1"/>
  <c r="F15" i="3"/>
  <c r="F17" i="3"/>
  <c r="F27" i="3"/>
  <c r="I16" i="3"/>
  <c r="B16" i="3" s="1"/>
  <c r="E28" i="3"/>
  <c r="D27" i="3"/>
  <c r="B35" i="3"/>
  <c r="I25" i="3" s="1"/>
  <c r="I14" i="3" s="1"/>
  <c r="B14" i="3" s="1"/>
  <c r="C35" i="3"/>
  <c r="F14" i="3" s="1"/>
  <c r="D35" i="3"/>
  <c r="J25" i="3" s="1"/>
  <c r="E35" i="3"/>
  <c r="F35" i="3"/>
  <c r="B60" i="3"/>
  <c r="C60" i="3"/>
  <c r="K25" i="3" l="1"/>
  <c r="D25" i="3"/>
  <c r="J14" i="3"/>
  <c r="D14" i="3" s="1"/>
  <c r="B25" i="3"/>
  <c r="F25" i="3"/>
  <c r="K14" i="3" l="1"/>
  <c r="H29" i="4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<sst xmlns="http://schemas.openxmlformats.org/spreadsheetml/2006/main" count="251" uniqueCount="141">
  <si>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</si>
  <si>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</si>
  <si>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</si>
  <si>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</si>
  <si>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</si>
  <si>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</si>
  <si>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</si>
  <si>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</si>
  <si>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</si>
  <si>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</si>
  <si>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</si>
  <si>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</si>
  <si>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</si>
  <si>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</si>
  <si>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</si>
  <si>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</si>
  <si>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</si>
  <si>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</si>
  <si>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</si>
  <si>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</si>
  <si>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</si>
  <si>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</si>
  <si>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</si>
  <si>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</si>
  <si>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</si>
  <si>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</si>
  <si>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</si>
  <si>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</si>
  <si>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</si>
  <si>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</si>
  <si>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</si>
  <si>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</si>
  <si>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</si>
  <si>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</si>
  <si>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</si>
  <si>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</si>
  <si>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</si>
  <si>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</si>
  <si>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</si>
  <si>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</si>
  <si>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</si>
  <si>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</si>
  <si>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</si>
  <si>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</si>
  <si>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</si>
  <si>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</si>
  <si>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</si>
  <si>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</si>
  <si>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</si>
  <si>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</si>
  <si>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</si>
  <si>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</si>
  <si>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</si>
  <si>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</si>
  <si>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</si>
  <si>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</si>
  <si>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</si>
  <si>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</si>
  <si>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</si>
  <si>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</si>
  <si>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</si>
  <si>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</si>
  <si>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</si>
  <si>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</si>
  <si>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</si>
  <si>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</si>
  <si>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</si>
  <si>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</si>
  <si>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</si>
  <si>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</si>
  <si>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</si>
  <si>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</si>
  <si>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</si>
  <si>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</si>
  <si>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</si>
  <si>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</si>
  <si>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</si>
  <si>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</si>
  <si>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</si>
  <si>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</si>
  <si>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</si>
  <si>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</si>
  <si>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</si>
  <si>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</si>
  <si>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</si>
  <si>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</si>
  <si>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</si>
  <si>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</si>
  <si>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</si>
  <si>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</si>
  <si>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</si>
  <si>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</si>
  <si>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</si>
  <si>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</si>
  <si>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</si>
  <si>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</si>
  <si>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</si>
  <si>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</si>
  <si>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</si>
  <si>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</si>
  <si>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</si>
  <si>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</si>
  <si>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</si>
  <si>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</si>
  <si>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</si>
  <si>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</si>
  <si>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</si>
  <si>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</si>
  <si>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</si>
  <si>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</si>
  <si>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</si>
  <si>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</si>
  <si>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</si>
  <si>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</si>
  <si>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</si>
  <si>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</si>
  <si>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</si>
  <si>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</si>
  <si>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</si>
  <si>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</si>
  <si>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</si>
  <si>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</si>
  <si>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</si>
  <si>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</si>
  <si>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</si>
  <si>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</si>
  <si>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</si>
  <si>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</si>
  <si>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</si>
  <si>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</si>
  <si>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</si>
  <si>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</si>
  <si>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</si>
  <si>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</si>
  <si>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</si>
  <si>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</si>
  <si>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</si>
  <si>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MESA 90° R8 2L</t>
  </si>
  <si>
    <t>CUB C/R R8</t>
  </si>
  <si>
    <t>N° 11994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</si>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</sst>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LAMINAS WHITE ASHWOOD 10159 SF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556018</xdr:colOff>
      <xdr:row>54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139</v>
      </c>
      <c r="E8" s="1"/>
      <c r="F8" s="92" t="s">
        <v>27</v>
      </c>
      <c r="G8" s="93">
        <v>7389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46056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23974</v>
      </c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1">
        <v>1</v>
      </c>
      <c r="C21" s="101" t="s">
        <v>138</v>
      </c>
      <c r="D21" s="103">
        <v>2000</v>
      </c>
      <c r="E21" s="103">
        <v>600</v>
      </c>
      <c r="F21" s="101" t="s">
        <v>140</v>
      </c>
      <c r="G21" s="102">
        <v>64823</v>
      </c>
      <c r="H21" s="102">
        <f t="shared" ref="H21" si="0">G21*B21</f>
        <v>64823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2</v>
      </c>
      <c r="C22" s="101" t="s">
        <v>138</v>
      </c>
      <c r="D22" s="103">
        <v>2250</v>
      </c>
      <c r="E22" s="103">
        <v>600</v>
      </c>
      <c r="F22" s="101" t="s">
        <v>140</v>
      </c>
      <c r="G22" s="102">
        <v>72614</v>
      </c>
      <c r="H22" s="102">
        <f>G22*B22</f>
        <v>145228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2</v>
      </c>
      <c r="C23" s="101" t="s">
        <v>137</v>
      </c>
      <c r="D23" s="103">
        <v>1900</v>
      </c>
      <c r="E23" s="103">
        <v>1200</v>
      </c>
      <c r="F23" s="101" t="s">
        <v>140</v>
      </c>
      <c r="G23" s="102">
        <v>123412</v>
      </c>
      <c r="H23" s="102">
        <f t="shared" ref="H23:H25" si="1">G23*B23</f>
        <v>246824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138</v>
      </c>
      <c r="D24" s="103">
        <v>2700</v>
      </c>
      <c r="E24" s="103">
        <v>600</v>
      </c>
      <c r="F24" s="101" t="s">
        <v>140</v>
      </c>
      <c r="G24" s="102">
        <v>86638</v>
      </c>
      <c r="H24" s="102">
        <f t="shared" si="1"/>
        <v>86638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2</v>
      </c>
      <c r="C25" s="101" t="s">
        <v>138</v>
      </c>
      <c r="D25" s="103">
        <v>2425</v>
      </c>
      <c r="E25" s="103">
        <v>600</v>
      </c>
      <c r="F25" s="101" t="s">
        <v>140</v>
      </c>
      <c r="G25" s="102">
        <v>78068</v>
      </c>
      <c r="H25" s="102">
        <f t="shared" si="1"/>
        <v>156136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/>
      <c r="C26" s="106"/>
      <c r="D26" s="107"/>
      <c r="E26" s="107"/>
      <c r="F26" s="106"/>
      <c r="G26" s="74"/>
      <c r="H26" s="7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699649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132933.31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832582.31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abSelected="1" topLeftCell="A36" zoomScaleNormal="100" workbookViewId="0">
      <selection activeCell="A48" sqref="A48:G7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8" t="s">
        <v>61</v>
      </c>
      <c r="L3" s="108"/>
      <c r="M3" s="108" t="s">
        <v>14</v>
      </c>
      <c r="N3" s="108"/>
    </row>
    <row r="4" spans="1:14" ht="15.75" customHeight="1" x14ac:dyDescent="0.3">
      <c r="A4" s="1"/>
      <c r="B4" s="1"/>
      <c r="C4" s="39" t="s">
        <v>27</v>
      </c>
      <c r="D4" s="14">
        <f>'4637'!G8</f>
        <v>7389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9" t="s">
        <v>61</v>
      </c>
      <c r="B10" s="109"/>
      <c r="C10" s="109"/>
      <c r="D10" s="109"/>
      <c r="E10" s="109"/>
      <c r="F10" s="10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>J14+$D$13</f>
        <v>2080</v>
      </c>
      <c r="E14" s="35">
        <f t="shared" ref="E14:E17" si="1">K14+$E$13</f>
        <v>570</v>
      </c>
      <c r="F14" s="98" t="str">
        <f>C35</f>
        <v>CUB C/R R8</v>
      </c>
      <c r="G14" s="1"/>
      <c r="I14" s="88">
        <f>I25</f>
        <v>1</v>
      </c>
      <c r="J14" s="4">
        <f>J25</f>
        <v>2000</v>
      </c>
      <c r="K14" s="4">
        <f>K25</f>
        <v>600</v>
      </c>
    </row>
    <row r="15" spans="1:14" ht="15.6" x14ac:dyDescent="0.3">
      <c r="A15" s="94"/>
      <c r="B15" s="25">
        <f t="shared" ref="B15:B17" si="2">I15</f>
        <v>2</v>
      </c>
      <c r="C15" s="25"/>
      <c r="D15" s="25">
        <f t="shared" ref="D15:D17" si="3">J15+$D$13</f>
        <v>2330</v>
      </c>
      <c r="E15" s="35">
        <f t="shared" si="1"/>
        <v>570</v>
      </c>
      <c r="F15" s="98" t="str">
        <f t="shared" ref="F15:F17" si="4">C36</f>
        <v>CUB C/R R8</v>
      </c>
      <c r="G15" s="1"/>
      <c r="I15" s="88">
        <f t="shared" ref="I15:K15" si="5">I26</f>
        <v>2</v>
      </c>
      <c r="J15" s="4">
        <f t="shared" si="5"/>
        <v>2250</v>
      </c>
      <c r="K15" s="4">
        <f t="shared" si="5"/>
        <v>600</v>
      </c>
    </row>
    <row r="16" spans="1:14" ht="15.6" x14ac:dyDescent="0.3">
      <c r="A16" s="94"/>
      <c r="B16" s="25">
        <f t="shared" si="2"/>
        <v>2</v>
      </c>
      <c r="C16" s="25"/>
      <c r="D16" s="25">
        <f t="shared" si="3"/>
        <v>1980</v>
      </c>
      <c r="E16" s="35">
        <f>K16</f>
        <v>1200</v>
      </c>
      <c r="F16" s="98" t="str">
        <f t="shared" si="4"/>
        <v>CUB MESA 90° R8 2L</v>
      </c>
      <c r="G16" s="1"/>
      <c r="I16" s="88">
        <f t="shared" ref="I16:K16" si="6">I27</f>
        <v>2</v>
      </c>
      <c r="J16" s="4">
        <f t="shared" si="6"/>
        <v>1900</v>
      </c>
      <c r="K16" s="4">
        <f t="shared" si="6"/>
        <v>1200</v>
      </c>
    </row>
    <row r="17" spans="1:11" ht="15.6" x14ac:dyDescent="0.3">
      <c r="A17" s="94"/>
      <c r="B17" s="25">
        <f t="shared" si="2"/>
        <v>1</v>
      </c>
      <c r="C17" s="25"/>
      <c r="D17" s="25">
        <f t="shared" si="3"/>
        <v>2780</v>
      </c>
      <c r="E17" s="35">
        <f t="shared" si="1"/>
        <v>570</v>
      </c>
      <c r="F17" s="98" t="str">
        <f t="shared" si="4"/>
        <v>CUB C/R R8</v>
      </c>
      <c r="G17" s="1"/>
      <c r="I17" s="88">
        <f t="shared" ref="I17:K17" si="7">I28</f>
        <v>1</v>
      </c>
      <c r="J17" s="4">
        <f t="shared" si="7"/>
        <v>2700</v>
      </c>
      <c r="K17" s="4">
        <f t="shared" si="7"/>
        <v>600</v>
      </c>
    </row>
    <row r="18" spans="1:11" ht="15.6" x14ac:dyDescent="0.3">
      <c r="A18" s="94"/>
      <c r="B18" s="25">
        <f t="shared" ref="B18" si="8">I18</f>
        <v>2</v>
      </c>
      <c r="C18" s="25"/>
      <c r="D18" s="25">
        <f t="shared" ref="D18" si="9">J18+$D$13</f>
        <v>2505</v>
      </c>
      <c r="E18" s="35">
        <f t="shared" ref="E18" si="10">K18+$E$13</f>
        <v>570</v>
      </c>
      <c r="F18" s="98" t="str">
        <f>C39</f>
        <v>CUB C/R R8</v>
      </c>
      <c r="G18" s="1"/>
      <c r="I18" s="88">
        <f t="shared" ref="I18:K18" si="11">I29</f>
        <v>2</v>
      </c>
      <c r="J18" s="4">
        <f t="shared" si="11"/>
        <v>2425</v>
      </c>
      <c r="K18" s="4">
        <f t="shared" si="11"/>
        <v>600</v>
      </c>
    </row>
    <row r="19" spans="1:11" ht="15.6" x14ac:dyDescent="0.3">
      <c r="A19" s="51"/>
      <c r="B19" s="6"/>
      <c r="C19" s="6"/>
      <c r="D19" s="6"/>
      <c r="E19" s="104"/>
      <c r="F19" s="6"/>
      <c r="G19" s="1"/>
      <c r="I19" s="88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09" t="s">
        <v>14</v>
      </c>
      <c r="B21" s="109"/>
      <c r="C21" s="109"/>
      <c r="D21" s="109"/>
      <c r="E21" s="109"/>
      <c r="F21" s="109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4"/>
      <c r="B25" s="16">
        <f t="shared" ref="B25" si="12">I25</f>
        <v>1</v>
      </c>
      <c r="C25" s="16"/>
      <c r="D25" s="16">
        <f>J25+D$24</f>
        <v>2040</v>
      </c>
      <c r="E25" s="16">
        <f t="shared" ref="E25:E28" si="13">K25+E$24</f>
        <v>730</v>
      </c>
      <c r="F25" s="99" t="str">
        <f>C35</f>
        <v>CUB C/R R8</v>
      </c>
      <c r="G25" s="1"/>
      <c r="I25" s="3">
        <f>B35</f>
        <v>1</v>
      </c>
      <c r="J25" s="4">
        <f>D35</f>
        <v>2000</v>
      </c>
      <c r="K25" s="4">
        <f t="shared" ref="K25" si="14">E35</f>
        <v>600</v>
      </c>
    </row>
    <row r="26" spans="1:11" ht="15.6" x14ac:dyDescent="0.3">
      <c r="A26" s="94"/>
      <c r="B26" s="16">
        <f t="shared" ref="B26:B28" si="15">I26</f>
        <v>2</v>
      </c>
      <c r="C26" s="16"/>
      <c r="D26" s="16">
        <f t="shared" ref="D26:D28" si="16">J26+D$24</f>
        <v>2290</v>
      </c>
      <c r="E26" s="16">
        <f t="shared" si="13"/>
        <v>730</v>
      </c>
      <c r="F26" s="99" t="str">
        <f t="shared" ref="F26:F28" si="17">C36</f>
        <v>CUB C/R R8</v>
      </c>
      <c r="G26" s="1"/>
      <c r="I26" s="3">
        <f t="shared" ref="I26:I28" si="18">B36</f>
        <v>2</v>
      </c>
      <c r="J26" s="4">
        <f t="shared" ref="J26:J28" si="19">D36</f>
        <v>2250</v>
      </c>
      <c r="K26" s="4">
        <f t="shared" ref="K26:K28" si="20">E36</f>
        <v>600</v>
      </c>
    </row>
    <row r="27" spans="1:11" ht="15.6" x14ac:dyDescent="0.3">
      <c r="A27" s="94"/>
      <c r="B27" s="16">
        <f t="shared" si="15"/>
        <v>2</v>
      </c>
      <c r="C27" s="16"/>
      <c r="D27" s="16">
        <f t="shared" si="16"/>
        <v>1940</v>
      </c>
      <c r="E27" s="16">
        <v>1310</v>
      </c>
      <c r="F27" s="99" t="str">
        <f t="shared" si="17"/>
        <v>CUB MESA 90° R8 2L</v>
      </c>
      <c r="G27" s="1"/>
      <c r="I27" s="3">
        <f t="shared" si="18"/>
        <v>2</v>
      </c>
      <c r="J27" s="4">
        <f t="shared" si="19"/>
        <v>1900</v>
      </c>
      <c r="K27" s="4">
        <f t="shared" si="20"/>
        <v>1200</v>
      </c>
    </row>
    <row r="28" spans="1:11" ht="15.6" x14ac:dyDescent="0.3">
      <c r="A28" s="94"/>
      <c r="B28" s="16">
        <f t="shared" si="15"/>
        <v>1</v>
      </c>
      <c r="C28" s="16"/>
      <c r="D28" s="16">
        <f t="shared" si="16"/>
        <v>2740</v>
      </c>
      <c r="E28" s="16">
        <f t="shared" si="13"/>
        <v>730</v>
      </c>
      <c r="F28" s="99" t="str">
        <f t="shared" si="17"/>
        <v>CUB C/R R8</v>
      </c>
      <c r="G28" s="1"/>
      <c r="I28" s="3">
        <f t="shared" si="18"/>
        <v>1</v>
      </c>
      <c r="J28" s="4">
        <f t="shared" si="19"/>
        <v>2700</v>
      </c>
      <c r="K28" s="4">
        <f t="shared" si="20"/>
        <v>600</v>
      </c>
    </row>
    <row r="29" spans="1:11" ht="15.6" x14ac:dyDescent="0.3">
      <c r="A29" s="94"/>
      <c r="B29" s="16">
        <f t="shared" ref="B29" si="21">I29</f>
        <v>2</v>
      </c>
      <c r="C29" s="16"/>
      <c r="D29" s="16">
        <f t="shared" ref="D29" si="22">J29+D$24</f>
        <v>2465</v>
      </c>
      <c r="E29" s="16">
        <f t="shared" ref="E29" si="23">K29+E$24</f>
        <v>730</v>
      </c>
      <c r="F29" s="99" t="str">
        <f>C39</f>
        <v>CUB C/R R8</v>
      </c>
      <c r="G29" s="1"/>
      <c r="I29" s="3">
        <f>B39</f>
        <v>2</v>
      </c>
      <c r="J29" s="4">
        <f>D39</f>
        <v>2425</v>
      </c>
      <c r="K29" s="4">
        <f>E39</f>
        <v>600</v>
      </c>
    </row>
    <row r="30" spans="1:11" ht="15.6" x14ac:dyDescent="0.3">
      <c r="A30" s="94"/>
      <c r="B30" s="6"/>
      <c r="C30" s="6"/>
      <c r="D30" s="6"/>
      <c r="E30" s="6"/>
      <c r="F30" s="105"/>
      <c r="G30" s="1"/>
      <c r="I30" s="88"/>
      <c r="J30" s="2"/>
      <c r="K30" s="2"/>
    </row>
    <row r="31" spans="1:11" ht="16.2" thickBot="1" x14ac:dyDescent="0.35">
      <c r="A31" s="51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1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1" t="s">
        <v>9</v>
      </c>
      <c r="B34" s="87" t="s">
        <v>10</v>
      </c>
      <c r="C34" s="87" t="s">
        <v>110</v>
      </c>
      <c r="D34" s="87" t="s">
        <v>7</v>
      </c>
      <c r="E34" s="87" t="s">
        <v>8</v>
      </c>
      <c r="F34" s="87" t="s">
        <v>23</v>
      </c>
      <c r="G34" s="1"/>
    </row>
    <row r="35" spans="1:7" ht="15.6" x14ac:dyDescent="0.3">
      <c r="A35" s="94" t="s">
        <v>135</v>
      </c>
      <c r="B35" s="25">
        <f>'4637'!B21</f>
        <v>1</v>
      </c>
      <c r="C35" s="98" t="str">
        <f>'4637'!C21</f>
        <v>CUB C/R R8</v>
      </c>
      <c r="D35" s="25">
        <f>'4637'!D21</f>
        <v>2000</v>
      </c>
      <c r="E35" s="25">
        <f>'4637'!E21</f>
        <v>600</v>
      </c>
      <c r="F35" s="25" t="str">
        <f>'4637'!F21</f>
        <v>GLACIAL WHITE 22191 SF</v>
      </c>
      <c r="G35" s="1"/>
    </row>
    <row r="36" spans="1:7" ht="15.6" x14ac:dyDescent="0.3">
      <c r="A36" s="94"/>
      <c r="B36" s="25">
        <f>'4637'!B22</f>
        <v>2</v>
      </c>
      <c r="C36" s="98" t="str">
        <f>'4637'!C22</f>
        <v>CUB C/R R8</v>
      </c>
      <c r="D36" s="25">
        <f>'4637'!D22</f>
        <v>2250</v>
      </c>
      <c r="E36" s="25">
        <f>'4637'!E22</f>
        <v>600</v>
      </c>
      <c r="F36" s="25" t="str">
        <f>'4637'!F22</f>
        <v>GLACIAL WHITE 22191 SF</v>
      </c>
      <c r="G36" s="1"/>
    </row>
    <row r="37" spans="1:7" ht="15.6" x14ac:dyDescent="0.3">
      <c r="A37" s="94"/>
      <c r="B37" s="25">
        <f>'4637'!B23</f>
        <v>2</v>
      </c>
      <c r="C37" s="98" t="str">
        <f>'4637'!C23</f>
        <v>CUB MESA 90° R8 2L</v>
      </c>
      <c r="D37" s="25">
        <f>'4637'!D23</f>
        <v>1900</v>
      </c>
      <c r="E37" s="25">
        <f>'4637'!E23</f>
        <v>1200</v>
      </c>
      <c r="F37" s="25" t="str">
        <f>'4637'!F23</f>
        <v>GLACIAL WHITE 22191 SF</v>
      </c>
      <c r="G37" s="1"/>
    </row>
    <row r="38" spans="1:7" ht="15.6" x14ac:dyDescent="0.3">
      <c r="A38" s="94"/>
      <c r="B38" s="25">
        <f>'4637'!B24</f>
        <v>1</v>
      </c>
      <c r="C38" s="98" t="str">
        <f>'4637'!C24</f>
        <v>CUB C/R R8</v>
      </c>
      <c r="D38" s="25">
        <f>'4637'!D24</f>
        <v>2700</v>
      </c>
      <c r="E38" s="25">
        <f>'4637'!E24</f>
        <v>600</v>
      </c>
      <c r="F38" s="25" t="str">
        <f>'4637'!F24</f>
        <v>GLACIAL WHITE 22191 SF</v>
      </c>
      <c r="G38" s="1"/>
    </row>
    <row r="39" spans="1:7" ht="15.6" x14ac:dyDescent="0.3">
      <c r="A39" s="94"/>
      <c r="B39" s="25">
        <f>'4637'!B25</f>
        <v>2</v>
      </c>
      <c r="C39" s="98" t="str">
        <f>'4637'!C25</f>
        <v>CUB C/R R8</v>
      </c>
      <c r="D39" s="25">
        <f>'4637'!D25</f>
        <v>2425</v>
      </c>
      <c r="E39" s="25">
        <f>'4637'!E25</f>
        <v>600</v>
      </c>
      <c r="F39" s="25" t="str">
        <f>'4637'!F25</f>
        <v>GLACIAL WHITE 22191 SF</v>
      </c>
      <c r="G39" s="1"/>
    </row>
    <row r="40" spans="1:7" ht="15.6" x14ac:dyDescent="0.3">
      <c r="A40" s="94"/>
      <c r="B40" s="6"/>
      <c r="C40" s="105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39" t="s">
        <v>27</v>
      </c>
      <c r="D50" s="14">
        <f>'4637'!G8</f>
        <v>7389</v>
      </c>
      <c r="E50" s="1"/>
      <c r="F50" s="1"/>
      <c r="G50" s="1"/>
    </row>
    <row r="51" spans="1:7" ht="17.25" customHeight="1" x14ac:dyDescent="0.3">
      <c r="A51" s="1"/>
      <c r="B51" s="1"/>
      <c r="C51" s="40" t="s">
        <v>67</v>
      </c>
      <c r="D51" s="41" t="str">
        <f>'4637'!C10</f>
        <v>MUEBLES ASENJO</v>
      </c>
      <c r="E51" s="42"/>
      <c r="F51" s="42"/>
      <c r="G51" s="1"/>
    </row>
    <row r="52" spans="1:7" ht="4.5" customHeight="1" x14ac:dyDescent="0.3">
      <c r="A52" s="1"/>
      <c r="B52" s="1"/>
      <c r="C52" s="43"/>
      <c r="D52" s="44"/>
      <c r="E52" s="1"/>
      <c r="F52" s="1"/>
      <c r="G52" s="1"/>
    </row>
    <row r="53" spans="1:7" ht="15.6" x14ac:dyDescent="0.3">
      <c r="A53" s="1"/>
      <c r="B53" s="1"/>
      <c r="C53" s="45" t="str">
        <f>'4637'!F11</f>
        <v>FECHA LIMITE :</v>
      </c>
      <c r="D53" s="13">
        <f>'4637'!G11</f>
        <v>0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09" t="s">
        <v>68</v>
      </c>
      <c r="B56" s="109"/>
      <c r="C56" s="109"/>
      <c r="D56" s="109"/>
      <c r="E56" s="109"/>
      <c r="F56" s="109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10" t="s">
        <v>69</v>
      </c>
      <c r="C58" s="111"/>
      <c r="D58" s="112"/>
      <c r="E58" s="112"/>
      <c r="F58" s="113"/>
      <c r="G58" s="1"/>
    </row>
    <row r="59" spans="1:7" s="15" customFormat="1" ht="12.75" customHeight="1" x14ac:dyDescent="0.3">
      <c r="A59" s="1"/>
      <c r="B59" s="36" t="s">
        <v>10</v>
      </c>
      <c r="C59" s="46" t="s">
        <v>11</v>
      </c>
      <c r="D59" s="47" t="s">
        <v>7</v>
      </c>
      <c r="E59" s="47" t="s">
        <v>8</v>
      </c>
      <c r="F59" s="48" t="s">
        <v>12</v>
      </c>
      <c r="G59" s="1"/>
    </row>
    <row r="60" spans="1:7" s="15" customFormat="1" ht="15" customHeight="1" x14ac:dyDescent="0.3">
      <c r="A60" s="94" t="s">
        <v>135</v>
      </c>
      <c r="B60" s="38">
        <f>'4637'!B21</f>
        <v>1</v>
      </c>
      <c r="C60" s="97" t="str">
        <f>'4637'!C21</f>
        <v>CUB C/R R8</v>
      </c>
      <c r="D60" s="97">
        <f>'4637'!D21</f>
        <v>2000</v>
      </c>
      <c r="E60" s="97">
        <f>'4637'!E21</f>
        <v>600</v>
      </c>
      <c r="F60" s="97" t="str">
        <f>'4637'!F21</f>
        <v>GLACIAL WHITE 22191 SF</v>
      </c>
      <c r="G60" s="1"/>
    </row>
    <row r="61" spans="1:7" s="15" customFormat="1" ht="15" customHeight="1" x14ac:dyDescent="0.3">
      <c r="A61" s="94"/>
      <c r="B61" s="38">
        <f>'4637'!B22</f>
        <v>2</v>
      </c>
      <c r="C61" s="97" t="str">
        <f>'4637'!C22</f>
        <v>CUB C/R R8</v>
      </c>
      <c r="D61" s="97">
        <f>'4637'!D22</f>
        <v>2250</v>
      </c>
      <c r="E61" s="97">
        <f>'4637'!E22</f>
        <v>600</v>
      </c>
      <c r="F61" s="97" t="str">
        <f>'4637'!F22</f>
        <v>GLACIAL WHITE 22191 SF</v>
      </c>
      <c r="G61" s="1"/>
    </row>
    <row r="62" spans="1:7" s="15" customFormat="1" ht="15" customHeight="1" x14ac:dyDescent="0.3">
      <c r="A62" s="94"/>
      <c r="B62" s="38">
        <f>'4637'!B23</f>
        <v>2</v>
      </c>
      <c r="C62" s="97" t="str">
        <f>'4637'!C23</f>
        <v>CUB MESA 90° R8 2L</v>
      </c>
      <c r="D62" s="97">
        <f>'4637'!D23</f>
        <v>1900</v>
      </c>
      <c r="E62" s="97">
        <f>'4637'!E23</f>
        <v>1200</v>
      </c>
      <c r="F62" s="97" t="str">
        <f>'4637'!F23</f>
        <v>GLACIAL WHITE 22191 SF</v>
      </c>
      <c r="G62" s="1"/>
    </row>
    <row r="63" spans="1:7" s="15" customFormat="1" ht="15" customHeight="1" x14ac:dyDescent="0.3">
      <c r="A63" s="94"/>
      <c r="B63" s="38">
        <f>'4637'!B24</f>
        <v>1</v>
      </c>
      <c r="C63" s="97" t="str">
        <f>'4637'!C24</f>
        <v>CUB C/R R8</v>
      </c>
      <c r="D63" s="97">
        <f>'4637'!D24</f>
        <v>2700</v>
      </c>
      <c r="E63" s="97">
        <f>'4637'!E24</f>
        <v>600</v>
      </c>
      <c r="F63" s="97" t="str">
        <f>'4637'!F24</f>
        <v>GLACIAL WHITE 22191 SF</v>
      </c>
      <c r="G63" s="1"/>
    </row>
    <row r="64" spans="1:7" s="15" customFormat="1" ht="15" customHeight="1" x14ac:dyDescent="0.3">
      <c r="A64" s="94"/>
      <c r="B64" s="38">
        <f>'4637'!B25</f>
        <v>2</v>
      </c>
      <c r="C64" s="97" t="str">
        <f>'4637'!C25</f>
        <v>CUB C/R R8</v>
      </c>
      <c r="D64" s="97">
        <f>'4637'!D25</f>
        <v>2425</v>
      </c>
      <c r="E64" s="97">
        <f>'4637'!E25</f>
        <v>600</v>
      </c>
      <c r="F64" s="97" t="str">
        <f>'4637'!F25</f>
        <v>GLACIAL WHITE 22191 SF</v>
      </c>
      <c r="G64" s="1"/>
    </row>
    <row r="65" spans="1:7" s="15" customFormat="1" ht="15" customHeight="1" x14ac:dyDescent="0.3">
      <c r="A65" s="49"/>
      <c r="B65" s="51"/>
      <c r="C65" s="51"/>
      <c r="D65" s="51"/>
      <c r="E65" s="51"/>
      <c r="F65" s="51"/>
      <c r="G65" s="1"/>
    </row>
    <row r="66" spans="1:7" ht="15.6" x14ac:dyDescent="0.3">
      <c r="A66" s="6"/>
      <c r="B66" s="6"/>
      <c r="C66" s="1"/>
      <c r="D66" s="6"/>
      <c r="E66" s="6"/>
      <c r="F66" s="43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0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21:F21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2026-02-19T13:38:04Z</cp:lastPrinted>
  <dcterms:created xsi:type="dcterms:W3CDTF">2013-03-19T12:54:14Z</dcterms:created>
  <dcterms:modified xsi:type="dcterms:W3CDTF">2026-02-19T20:05:07Z</dcterms:modified>
</cp:coreProperties>
</file>