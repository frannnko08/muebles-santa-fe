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6\"/>
    </mc:Choice>
  </mc:AlternateContent>
  <xr:revisionPtr revIDLastSave="0" documentId="13_ncr:1_{6F93462E-EC64-451C-8F25-8E78239A82C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'4637'!$A$1:$H$36</definedName>
    <definedName name="_xlnm.Print_Area" localSheetId="2">CUBIERTA!$A$1:$F$52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3" l="1"/>
  <c r="E14" i="3"/>
  <c r="F18" i="3"/>
  <c r="I18" i="3"/>
  <c r="B18" i="3" s="1"/>
  <c r="J18" i="3"/>
  <c r="D18" i="3" s="1"/>
  <c r="K18" i="3"/>
  <c r="E18" i="3" s="1"/>
  <c r="F19" i="3"/>
  <c r="I19" i="3"/>
  <c r="B19" i="3" s="1"/>
  <c r="J19" i="3"/>
  <c r="K19" i="3"/>
  <c r="E19" i="3" s="1"/>
  <c r="F20" i="3"/>
  <c r="I20" i="3"/>
  <c r="B20" i="3" s="1"/>
  <c r="J20" i="3"/>
  <c r="D20" i="3" s="1"/>
  <c r="K20" i="3"/>
  <c r="B43" i="3"/>
  <c r="I31" i="3" s="1"/>
  <c r="B31" i="3" s="1"/>
  <c r="C43" i="3"/>
  <c r="F31" i="3" s="1"/>
  <c r="D43" i="3"/>
  <c r="J31" i="3" s="1"/>
  <c r="D31" i="3" s="1"/>
  <c r="E43" i="3"/>
  <c r="K31" i="3" s="1"/>
  <c r="E31" i="3" s="1"/>
  <c r="F43" i="3"/>
  <c r="B44" i="3"/>
  <c r="I32" i="3" s="1"/>
  <c r="B32" i="3" s="1"/>
  <c r="C44" i="3"/>
  <c r="F32" i="3" s="1"/>
  <c r="D44" i="3"/>
  <c r="J32" i="3" s="1"/>
  <c r="D32" i="3" s="1"/>
  <c r="E44" i="3"/>
  <c r="K32" i="3" s="1"/>
  <c r="E32" i="3" s="1"/>
  <c r="F44" i="3"/>
  <c r="B45" i="3"/>
  <c r="I33" i="3" s="1"/>
  <c r="B33" i="3" s="1"/>
  <c r="C45" i="3"/>
  <c r="F33" i="3" s="1"/>
  <c r="D45" i="3"/>
  <c r="J33" i="3" s="1"/>
  <c r="D33" i="3" s="1"/>
  <c r="E45" i="3"/>
  <c r="K33" i="3" s="1"/>
  <c r="E33" i="3" s="1"/>
  <c r="F45" i="3"/>
  <c r="B67" i="3"/>
  <c r="B68" i="3"/>
  <c r="B69" i="3"/>
  <c r="B70" i="3"/>
  <c r="B71" i="3"/>
  <c r="B72" i="3"/>
  <c r="C70" i="3"/>
  <c r="D70" i="3"/>
  <c r="E70" i="3"/>
  <c r="F70" i="3"/>
  <c r="C71" i="3"/>
  <c r="D71" i="3"/>
  <c r="E71" i="3"/>
  <c r="F71" i="3"/>
  <c r="C72" i="3"/>
  <c r="D72" i="3"/>
  <c r="E72" i="3"/>
  <c r="F72" i="3"/>
  <c r="H25" i="4"/>
  <c r="H26" i="4"/>
  <c r="H27" i="4"/>
  <c r="B40" i="3"/>
  <c r="I28" i="3" s="1"/>
  <c r="C40" i="3"/>
  <c r="F28" i="3" s="1"/>
  <c r="D40" i="3"/>
  <c r="J28" i="3" s="1"/>
  <c r="D28" i="3" s="1"/>
  <c r="E40" i="3"/>
  <c r="K28" i="3" s="1"/>
  <c r="F40" i="3"/>
  <c r="B41" i="3"/>
  <c r="I29" i="3" s="1"/>
  <c r="B29" i="3" s="1"/>
  <c r="C41" i="3"/>
  <c r="F16" i="3" s="1"/>
  <c r="D41" i="3"/>
  <c r="J29" i="3" s="1"/>
  <c r="J16" i="3" s="1"/>
  <c r="D16" i="3" s="1"/>
  <c r="E41" i="3"/>
  <c r="K29" i="3" s="1"/>
  <c r="F41" i="3"/>
  <c r="B42" i="3"/>
  <c r="I30" i="3" s="1"/>
  <c r="C42" i="3"/>
  <c r="F30" i="3" s="1"/>
  <c r="D42" i="3"/>
  <c r="J30" i="3" s="1"/>
  <c r="E42" i="3"/>
  <c r="K30" i="3" s="1"/>
  <c r="K17" i="3" s="1"/>
  <c r="E17" i="3" s="1"/>
  <c r="F42" i="3"/>
  <c r="D66" i="3"/>
  <c r="E66" i="3"/>
  <c r="F66" i="3"/>
  <c r="D67" i="3"/>
  <c r="E67" i="3"/>
  <c r="F67" i="3"/>
  <c r="D68" i="3"/>
  <c r="E68" i="3"/>
  <c r="F68" i="3"/>
  <c r="D69" i="3"/>
  <c r="E69" i="3"/>
  <c r="F69" i="3"/>
  <c r="C67" i="3"/>
  <c r="C68" i="3"/>
  <c r="C69" i="3"/>
  <c r="H23" i="4"/>
  <c r="H24" i="4"/>
  <c r="H22" i="4"/>
  <c r="H21" i="4"/>
  <c r="B30" i="3" l="1"/>
  <c r="I17" i="3"/>
  <c r="B17" i="3" s="1"/>
  <c r="I15" i="3"/>
  <c r="B15" i="3" s="1"/>
  <c r="B28" i="3"/>
  <c r="J15" i="3"/>
  <c r="D15" i="3" s="1"/>
  <c r="K15" i="3"/>
  <c r="E15" i="3" s="1"/>
  <c r="E28" i="3"/>
  <c r="K16" i="3"/>
  <c r="E16" i="3" s="1"/>
  <c r="E29" i="3"/>
  <c r="D30" i="3"/>
  <c r="J17" i="3"/>
  <c r="D17" i="3" s="1"/>
  <c r="F15" i="3"/>
  <c r="F17" i="3"/>
  <c r="F29" i="3"/>
  <c r="I16" i="3"/>
  <c r="B16" i="3" s="1"/>
  <c r="E30" i="3"/>
  <c r="D29" i="3"/>
  <c r="B39" i="3"/>
  <c r="I27" i="3" s="1"/>
  <c r="I14" i="3" s="1"/>
  <c r="B14" i="3" s="1"/>
  <c r="C39" i="3"/>
  <c r="F14" i="3" s="1"/>
  <c r="D39" i="3"/>
  <c r="J27" i="3" s="1"/>
  <c r="E39" i="3"/>
  <c r="F39" i="3"/>
  <c r="B66" i="3"/>
  <c r="C66" i="3"/>
  <c r="H30" i="4"/>
  <c r="K27" i="3" l="1"/>
  <c r="D27" i="3"/>
  <c r="J14" i="3"/>
  <c r="D14" i="3" s="1"/>
  <c r="B27" i="3"/>
  <c r="F27" i="3"/>
  <c r="K14" i="3" l="1"/>
  <c r="E27" i="3"/>
  <c r="H31" i="4"/>
  <c r="H32" i="4" l="1"/>
  <c r="N5" i="3" l="1"/>
  <c r="M5" i="3" l="1"/>
  <c r="L5" i="3"/>
  <c r="K5" i="3"/>
  <c r="C59" i="3" l="1"/>
  <c r="C7" i="3"/>
  <c r="D57" i="3"/>
  <c r="D5" i="3"/>
  <c r="D59" i="3"/>
  <c r="D7" i="3"/>
  <c r="D56" i="3"/>
  <c r="D4" i="3"/>
</calcChain>
</file>

<file path=xl/sharedStrings.xml><?xml version="1.0" encoding="utf-8"?>
<sst xmlns="http://schemas.openxmlformats.org/spreadsheetml/2006/main" count="255" uniqueCount="141">
  <si>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</si>
  <si>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</si>
  <si>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</si>
  <si>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</si>
  <si>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</si>
  <si>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</si>
  <si>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</si>
  <si>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</si>
  <si>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</si>
  <si>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</si>
  <si>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</si>
  <si>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</si>
  <si>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</si>
  <si>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</si>
  <si>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</si>
  <si>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</si>
  <si>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</si>
  <si>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</si>
  <si>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</si>
  <si>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</si>
  <si>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</si>
  <si>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</si>
  <si>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</si>
  <si>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</si>
  <si>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</si>
  <si>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</si>
  <si>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</si>
  <si>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</si>
  <si>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</si>
  <si>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</si>
  <si>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</si>
  <si>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</si>
  <si>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</si>
  <si>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</si>
  <si>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</si>
  <si>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</si>
  <si>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</si>
  <si>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</si>
  <si>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</si>
  <si>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</si>
  <si>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</si>
  <si>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</si>
  <si>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</si>
  <si>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</si>
  <si>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</si>
  <si>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</si>
  <si>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</si>
  <si>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</si>
  <si>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</si>
  <si>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</si>
  <si>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</si>
  <si>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</si>
  <si>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</si>
  <si>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</si>
  <si>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</si>
  <si>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</si>
  <si>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</si>
  <si>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</si>
  <si>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</si>
  <si>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</si>
  <si>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</si>
  <si>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</si>
  <si>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</si>
  <si>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</si>
  <si>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</si>
  <si>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</si>
  <si>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</si>
  <si>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</si>
  <si>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</si>
  <si>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</si>
  <si>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</si>
  <si>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</si>
  <si>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</si>
  <si>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</si>
  <si>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</si>
  <si>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</si>
  <si>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</si>
  <si>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</si>
  <si>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</si>
  <si>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</si>
  <si>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</si>
  <si>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</si>
  <si>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</si>
  <si>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</si>
  <si>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</si>
  <si>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</si>
  <si>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</si>
  <si>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</si>
  <si>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</si>
  <si>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</si>
  <si>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</si>
  <si>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</si>
  <si>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</si>
  <si>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</si>
  <si>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</si>
  <si>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</si>
  <si>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</si>
  <si>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</si>
  <si>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</si>
  <si>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</si>
  <si>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</si>
  <si>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</si>
  <si>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</si>
  <si>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</si>
  <si>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</si>
  <si>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</si>
  <si>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</si>
  <si>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</si>
  <si>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</si>
  <si>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</si>
  <si>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</si>
  <si>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</si>
  <si>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</si>
  <si>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</si>
  <si>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</si>
  <si>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</si>
  <si>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</si>
  <si>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</si>
  <si>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</si>
  <si>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</si>
  <si>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</si>
  <si>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</si>
  <si>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</si>
  <si>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</si>
  <si>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</si>
  <si>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</si>
  <si>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</si>
  <si>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</si>
  <si>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</si>
  <si>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</si>
  <si>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</si>
  <si>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</si>
  <si>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</si>
  <si>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</si>
  <si>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</si>
  <si>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</si>
  <si>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MUEBLES ASENJO</t>
  </si>
  <si>
    <t>N° 11869</t>
  </si>
  <si>
    <t>CUB MESA 90° R8 2L</t>
  </si>
  <si>
    <t>CUB C/R R8</t>
  </si>
  <si>
    <t>GLACIAL WHITE 22191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</si>
</sst>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29</xdr:row>
      <xdr:rowOff>11430</xdr:rowOff>
    </xdr:from>
    <xdr:to>
      <xdr:col>5</xdr:col>
      <xdr:colOff>1386840</xdr:colOff>
      <xdr:row>32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21</xdr:row>
      <xdr:rowOff>76200</xdr:rowOff>
    </xdr:from>
    <xdr:to>
      <xdr:col>5</xdr:col>
      <xdr:colOff>1676399</xdr:colOff>
      <xdr:row>23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60</xdr:row>
      <xdr:rowOff>171450</xdr:rowOff>
    </xdr:from>
    <xdr:to>
      <xdr:col>5</xdr:col>
      <xdr:colOff>1685924</xdr:colOff>
      <xdr:row>62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58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56</xdr:row>
      <xdr:rowOff>38100</xdr:rowOff>
    </xdr:from>
    <xdr:to>
      <xdr:col>6</xdr:col>
      <xdr:colOff>0</xdr:colOff>
      <xdr:row>57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55</xdr:row>
      <xdr:rowOff>0</xdr:rowOff>
    </xdr:from>
    <xdr:to>
      <xdr:col>6</xdr:col>
      <xdr:colOff>0</xdr:colOff>
      <xdr:row>56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73</xdr:row>
      <xdr:rowOff>0</xdr:rowOff>
    </xdr:from>
    <xdr:to>
      <xdr:col>2</xdr:col>
      <xdr:colOff>38100</xdr:colOff>
      <xdr:row>74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73</xdr:row>
      <xdr:rowOff>0</xdr:rowOff>
    </xdr:from>
    <xdr:to>
      <xdr:col>2</xdr:col>
      <xdr:colOff>1019175</xdr:colOff>
      <xdr:row>73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73</xdr:row>
      <xdr:rowOff>0</xdr:rowOff>
    </xdr:from>
    <xdr:to>
      <xdr:col>3</xdr:col>
      <xdr:colOff>352425</xdr:colOff>
      <xdr:row>74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73</xdr:row>
      <xdr:rowOff>0</xdr:rowOff>
    </xdr:from>
    <xdr:to>
      <xdr:col>4</xdr:col>
      <xdr:colOff>257175</xdr:colOff>
      <xdr:row>74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73</xdr:row>
      <xdr:rowOff>0</xdr:rowOff>
    </xdr:from>
    <xdr:to>
      <xdr:col>5</xdr:col>
      <xdr:colOff>447675</xdr:colOff>
      <xdr:row>73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73</xdr:row>
      <xdr:rowOff>0</xdr:rowOff>
    </xdr:from>
    <xdr:to>
      <xdr:col>6</xdr:col>
      <xdr:colOff>0</xdr:colOff>
      <xdr:row>73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73</xdr:row>
      <xdr:rowOff>190500</xdr:rowOff>
    </xdr:from>
    <xdr:to>
      <xdr:col>2</xdr:col>
      <xdr:colOff>304800</xdr:colOff>
      <xdr:row>75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73</xdr:row>
      <xdr:rowOff>190500</xdr:rowOff>
    </xdr:from>
    <xdr:to>
      <xdr:col>2</xdr:col>
      <xdr:colOff>1276350</xdr:colOff>
      <xdr:row>75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73</xdr:row>
      <xdr:rowOff>190500</xdr:rowOff>
    </xdr:from>
    <xdr:to>
      <xdr:col>3</xdr:col>
      <xdr:colOff>619125</xdr:colOff>
      <xdr:row>75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73</xdr:row>
      <xdr:rowOff>190500</xdr:rowOff>
    </xdr:from>
    <xdr:to>
      <xdr:col>4</xdr:col>
      <xdr:colOff>523875</xdr:colOff>
      <xdr:row>75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73</xdr:row>
      <xdr:rowOff>190500</xdr:rowOff>
    </xdr:from>
    <xdr:to>
      <xdr:col>5</xdr:col>
      <xdr:colOff>723900</xdr:colOff>
      <xdr:row>75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73</xdr:row>
      <xdr:rowOff>190500</xdr:rowOff>
    </xdr:from>
    <xdr:to>
      <xdr:col>6</xdr:col>
      <xdr:colOff>0</xdr:colOff>
      <xdr:row>75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47</xdr:row>
      <xdr:rowOff>15239</xdr:rowOff>
    </xdr:from>
    <xdr:to>
      <xdr:col>6</xdr:col>
      <xdr:colOff>68580</xdr:colOff>
      <xdr:row>51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34</xdr:row>
      <xdr:rowOff>200025</xdr:rowOff>
    </xdr:from>
    <xdr:to>
      <xdr:col>6</xdr:col>
      <xdr:colOff>19049</xdr:colOff>
      <xdr:row>36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76</xdr:row>
      <xdr:rowOff>32385</xdr:rowOff>
    </xdr:from>
    <xdr:to>
      <xdr:col>6</xdr:col>
      <xdr:colOff>19050</xdr:colOff>
      <xdr:row>80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54</xdr:row>
      <xdr:rowOff>41910</xdr:rowOff>
    </xdr:from>
    <xdr:to>
      <xdr:col>1</xdr:col>
      <xdr:colOff>556018</xdr:colOff>
      <xdr:row>60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9"/>
  <sheetViews>
    <sheetView topLeftCell="A14" workbookViewId="0">
      <selection activeCell="B28" sqref="B2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9" t="s">
        <v>16</v>
      </c>
      <c r="C8" s="90"/>
      <c r="D8" s="91" t="s">
        <v>137</v>
      </c>
      <c r="E8" s="1"/>
      <c r="F8" s="92" t="s">
        <v>27</v>
      </c>
      <c r="G8" s="93">
        <v>7380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85" t="s">
        <v>136</v>
      </c>
      <c r="D10" s="54"/>
      <c r="E10" s="54"/>
      <c r="F10" s="55" t="s">
        <v>28</v>
      </c>
      <c r="G10" s="56">
        <v>46056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/>
      <c r="D11" s="59"/>
      <c r="E11" s="59"/>
      <c r="F11" s="59" t="s">
        <v>124</v>
      </c>
      <c r="G11" s="60"/>
      <c r="H11" s="61"/>
      <c r="I11" s="1"/>
    </row>
    <row r="12" spans="1:17" ht="16.2" thickBot="1" x14ac:dyDescent="0.35">
      <c r="A12" s="1"/>
      <c r="B12" s="62" t="s">
        <v>130</v>
      </c>
      <c r="D12" s="42"/>
      <c r="E12" s="42"/>
      <c r="F12" s="42" t="s">
        <v>30</v>
      </c>
      <c r="G12" s="63">
        <v>23904</v>
      </c>
      <c r="H12" s="64"/>
      <c r="I12" s="1"/>
    </row>
    <row r="13" spans="1:17" ht="15.6" x14ac:dyDescent="0.3">
      <c r="A13" s="1"/>
      <c r="B13" s="62" t="s">
        <v>132</v>
      </c>
      <c r="C13" s="85"/>
      <c r="D13" s="42"/>
      <c r="E13" s="42"/>
      <c r="F13" s="42" t="s">
        <v>128</v>
      </c>
      <c r="G13" s="63"/>
      <c r="H13" s="64"/>
      <c r="I13" s="1"/>
    </row>
    <row r="14" spans="1:17" ht="15.6" x14ac:dyDescent="0.3">
      <c r="A14" s="1"/>
      <c r="B14" s="58" t="s">
        <v>17</v>
      </c>
      <c r="C14" s="100"/>
      <c r="D14" s="65"/>
      <c r="E14" s="59"/>
      <c r="F14" s="59" t="s">
        <v>29</v>
      </c>
      <c r="G14" s="59" t="s">
        <v>134</v>
      </c>
      <c r="H14" s="61"/>
      <c r="I14" s="1"/>
    </row>
    <row r="15" spans="1:17" ht="15.6" x14ac:dyDescent="0.3">
      <c r="A15" s="1"/>
      <c r="B15" s="62" t="s">
        <v>1</v>
      </c>
      <c r="C15" s="96"/>
      <c r="D15" s="42"/>
      <c r="E15" s="42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131</v>
      </c>
      <c r="D16" s="68"/>
      <c r="E16" s="69"/>
      <c r="F16" s="108" t="s">
        <v>18</v>
      </c>
      <c r="G16" s="108"/>
      <c r="H16" s="109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0" t="s">
        <v>19</v>
      </c>
      <c r="C19" s="111"/>
      <c r="D19" s="111"/>
      <c r="E19" s="111"/>
      <c r="F19" s="111"/>
      <c r="G19" s="111"/>
      <c r="H19" s="112"/>
      <c r="I19" s="1"/>
    </row>
    <row r="20" spans="1:16" ht="15.6" x14ac:dyDescent="0.3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1">
        <v>2</v>
      </c>
      <c r="C21" s="101" t="s">
        <v>138</v>
      </c>
      <c r="D21" s="103">
        <v>2300</v>
      </c>
      <c r="E21" s="103">
        <v>1200</v>
      </c>
      <c r="F21" s="101" t="s">
        <v>140</v>
      </c>
      <c r="G21" s="102">
        <v>111691</v>
      </c>
      <c r="H21" s="102">
        <f t="shared" ref="H21" si="0">G21*B21</f>
        <v>223382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1">
        <v>2</v>
      </c>
      <c r="C22" s="101" t="s">
        <v>139</v>
      </c>
      <c r="D22" s="103">
        <v>3500</v>
      </c>
      <c r="E22" s="103">
        <v>600</v>
      </c>
      <c r="F22" s="101" t="s">
        <v>140</v>
      </c>
      <c r="G22" s="102">
        <v>84003</v>
      </c>
      <c r="H22" s="102">
        <f>G22*B22</f>
        <v>168006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1">
        <v>1</v>
      </c>
      <c r="C23" s="101" t="s">
        <v>139</v>
      </c>
      <c r="D23" s="103">
        <v>3000</v>
      </c>
      <c r="E23" s="103">
        <v>600</v>
      </c>
      <c r="F23" s="101" t="s">
        <v>140</v>
      </c>
      <c r="G23" s="102">
        <v>72271</v>
      </c>
      <c r="H23" s="102">
        <f t="shared" ref="H23:H27" si="1">G23*B23</f>
        <v>72271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1">
        <v>1</v>
      </c>
      <c r="C24" s="101" t="s">
        <v>139</v>
      </c>
      <c r="D24" s="103">
        <v>950</v>
      </c>
      <c r="E24" s="103">
        <v>600</v>
      </c>
      <c r="F24" s="101" t="s">
        <v>140</v>
      </c>
      <c r="G24" s="102">
        <v>24168</v>
      </c>
      <c r="H24" s="102">
        <f t="shared" si="1"/>
        <v>24168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1">
        <v>1</v>
      </c>
      <c r="C25" s="101" t="s">
        <v>139</v>
      </c>
      <c r="D25" s="103">
        <v>1100</v>
      </c>
      <c r="E25" s="103">
        <v>600</v>
      </c>
      <c r="F25" s="101" t="s">
        <v>140</v>
      </c>
      <c r="G25" s="102">
        <v>27688</v>
      </c>
      <c r="H25" s="102">
        <f t="shared" si="1"/>
        <v>27688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1">
        <v>1</v>
      </c>
      <c r="C26" s="101" t="s">
        <v>139</v>
      </c>
      <c r="D26" s="103">
        <v>3600</v>
      </c>
      <c r="E26" s="103">
        <v>600</v>
      </c>
      <c r="F26" s="101" t="s">
        <v>140</v>
      </c>
      <c r="G26" s="102">
        <v>86349</v>
      </c>
      <c r="H26" s="102">
        <f t="shared" si="1"/>
        <v>86349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01">
        <v>2</v>
      </c>
      <c r="C27" s="101" t="s">
        <v>138</v>
      </c>
      <c r="D27" s="103">
        <v>2650</v>
      </c>
      <c r="E27" s="103">
        <v>1000</v>
      </c>
      <c r="F27" s="101" t="s">
        <v>140</v>
      </c>
      <c r="G27" s="102">
        <v>106763</v>
      </c>
      <c r="H27" s="102">
        <f t="shared" si="1"/>
        <v>213526</v>
      </c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106"/>
      <c r="C28" s="106"/>
      <c r="D28" s="107"/>
      <c r="E28" s="107"/>
      <c r="F28" s="106"/>
      <c r="G28" s="74"/>
      <c r="H28" s="74"/>
      <c r="I28" s="1"/>
      <c r="K28" s="17"/>
      <c r="L28" s="26"/>
      <c r="M28" s="17"/>
      <c r="N28" s="17"/>
      <c r="O28" s="26"/>
      <c r="P28" s="33"/>
    </row>
    <row r="29" spans="1:16" ht="8.25" customHeight="1" thickBot="1" x14ac:dyDescent="0.35">
      <c r="A29" s="1"/>
      <c r="B29" s="73"/>
      <c r="C29" s="73"/>
      <c r="D29" s="73"/>
      <c r="E29" s="73"/>
      <c r="F29" s="73"/>
      <c r="G29" s="74"/>
      <c r="H29" s="74"/>
      <c r="I29" s="1"/>
    </row>
    <row r="30" spans="1:16" ht="15.6" x14ac:dyDescent="0.3">
      <c r="A30" s="1"/>
      <c r="B30" s="1"/>
      <c r="C30" s="1"/>
      <c r="D30" s="1"/>
      <c r="E30" s="1"/>
      <c r="F30" s="1"/>
      <c r="G30" s="75" t="s">
        <v>5</v>
      </c>
      <c r="H30" s="76">
        <f>SUM(H21:H29)</f>
        <v>815390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77" t="s">
        <v>6</v>
      </c>
      <c r="H31" s="78">
        <f>H30*19%</f>
        <v>154924.1</v>
      </c>
      <c r="I31" s="1"/>
    </row>
    <row r="32" spans="1:16" ht="16.2" thickBot="1" x14ac:dyDescent="0.35">
      <c r="A32" s="1"/>
      <c r="B32" s="1"/>
      <c r="C32" s="1"/>
      <c r="D32" s="1"/>
      <c r="E32" s="1"/>
      <c r="F32" s="1"/>
      <c r="G32" s="79" t="s">
        <v>4</v>
      </c>
      <c r="H32" s="80">
        <f>H30+H31</f>
        <v>970314.1</v>
      </c>
      <c r="I32" s="1"/>
    </row>
    <row r="33" spans="1:9" ht="15.6" x14ac:dyDescent="0.3">
      <c r="A33" s="1"/>
      <c r="B33" s="1"/>
      <c r="C33" s="1"/>
      <c r="D33" s="1"/>
      <c r="E33" s="1"/>
      <c r="F33" s="1"/>
      <c r="G33" s="51"/>
      <c r="H33" s="95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81" t="s">
        <v>123</v>
      </c>
      <c r="C35" s="82"/>
      <c r="D35" s="83"/>
      <c r="E35" s="83"/>
      <c r="F35" s="73"/>
      <c r="G35" s="1"/>
      <c r="H35" s="1"/>
      <c r="I35" s="1"/>
    </row>
    <row r="36" spans="1:9" ht="15.6" x14ac:dyDescent="0.3">
      <c r="A36" s="1"/>
      <c r="B36" s="81" t="s">
        <v>122</v>
      </c>
      <c r="C36" s="82"/>
      <c r="D36" s="83"/>
      <c r="E36" s="83"/>
      <c r="F36" s="73"/>
      <c r="G36" s="1"/>
      <c r="H36" s="1"/>
      <c r="I36" s="1"/>
    </row>
    <row r="37" spans="1:9" ht="15.6" x14ac:dyDescent="0.3">
      <c r="A37" s="1"/>
      <c r="B37" s="1" t="s">
        <v>25</v>
      </c>
      <c r="C37" s="1"/>
      <c r="D37" s="1"/>
      <c r="E37" s="84" t="s">
        <v>26</v>
      </c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</sheetData>
  <sortState xmlns:xlrd2="http://schemas.microsoft.com/office/spreadsheetml/2017/richdata2" ref="B41">
    <sortCondition sortBy="fontColor" ref="B41" dxfId="0"/>
  </sortState>
  <mergeCells count="2">
    <mergeCell ref="F16:H16"/>
    <mergeCell ref="B19:H19"/>
  </mergeCells>
  <phoneticPr fontId="10" type="noConversion"/>
  <hyperlinks>
    <hyperlink ref="E37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3" t="s">
        <v>31</v>
      </c>
      <c r="C2" s="113"/>
      <c r="D2" s="113"/>
      <c r="E2" s="18"/>
      <c r="G2" s="113" t="s">
        <v>70</v>
      </c>
      <c r="H2" s="113"/>
      <c r="I2" s="113"/>
      <c r="P2" s="114" t="s">
        <v>58</v>
      </c>
      <c r="Q2" s="114"/>
      <c r="R2" s="114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4" t="s">
        <v>58</v>
      </c>
      <c r="M8" s="114"/>
      <c r="N8" s="11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4"/>
  <sheetViews>
    <sheetView tabSelected="1" zoomScaleNormal="100" workbookViewId="0">
      <selection sqref="A1:F52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5" t="s">
        <v>61</v>
      </c>
      <c r="L3" s="115"/>
      <c r="M3" s="115" t="s">
        <v>14</v>
      </c>
      <c r="N3" s="115"/>
    </row>
    <row r="4" spans="1:14" ht="15.75" customHeight="1" x14ac:dyDescent="0.3">
      <c r="A4" s="1"/>
      <c r="B4" s="1"/>
      <c r="C4" s="39" t="s">
        <v>27</v>
      </c>
      <c r="D4" s="14">
        <f>'4637'!G8</f>
        <v>7380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MUEBLES ASENJO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6" t="s">
        <v>61</v>
      </c>
      <c r="B10" s="116"/>
      <c r="C10" s="116"/>
      <c r="D10" s="116"/>
      <c r="E10" s="116"/>
      <c r="F10" s="11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4" t="s">
        <v>135</v>
      </c>
      <c r="B14" s="25">
        <f t="shared" ref="B14" si="0">I14</f>
        <v>2</v>
      </c>
      <c r="C14" s="25"/>
      <c r="D14" s="25">
        <f>J14+$D$13</f>
        <v>2380</v>
      </c>
      <c r="E14" s="35">
        <f>K14</f>
        <v>1200</v>
      </c>
      <c r="F14" s="98" t="str">
        <f>C39</f>
        <v>CUB MESA 90° R8 2L</v>
      </c>
      <c r="G14" s="1"/>
      <c r="I14" s="88">
        <f>I27</f>
        <v>2</v>
      </c>
      <c r="J14" s="4">
        <f>J27</f>
        <v>2300</v>
      </c>
      <c r="K14" s="4">
        <f>K27</f>
        <v>1200</v>
      </c>
    </row>
    <row r="15" spans="1:14" ht="15.6" x14ac:dyDescent="0.3">
      <c r="A15" s="94"/>
      <c r="B15" s="25">
        <f t="shared" ref="B15:B17" si="1">I15</f>
        <v>2</v>
      </c>
      <c r="C15" s="25"/>
      <c r="D15" s="25">
        <f t="shared" ref="D15:D17" si="2">J15+$D$13</f>
        <v>3580</v>
      </c>
      <c r="E15" s="35">
        <f t="shared" ref="E15:E17" si="3">K15+$E$13</f>
        <v>570</v>
      </c>
      <c r="F15" s="98" t="str">
        <f t="shared" ref="F15:F17" si="4">C40</f>
        <v>CUB C/R R8</v>
      </c>
      <c r="G15" s="1"/>
      <c r="I15" s="88">
        <f t="shared" ref="I15:K15" si="5">I28</f>
        <v>2</v>
      </c>
      <c r="J15" s="4">
        <f t="shared" si="5"/>
        <v>3500</v>
      </c>
      <c r="K15" s="4">
        <f t="shared" si="5"/>
        <v>600</v>
      </c>
    </row>
    <row r="16" spans="1:14" ht="15.6" x14ac:dyDescent="0.3">
      <c r="A16" s="94"/>
      <c r="B16" s="25">
        <f t="shared" si="1"/>
        <v>1</v>
      </c>
      <c r="C16" s="25"/>
      <c r="D16" s="25">
        <f t="shared" si="2"/>
        <v>3080</v>
      </c>
      <c r="E16" s="35">
        <f t="shared" si="3"/>
        <v>570</v>
      </c>
      <c r="F16" s="98" t="str">
        <f t="shared" si="4"/>
        <v>CUB C/R R8</v>
      </c>
      <c r="G16" s="1"/>
      <c r="I16" s="88">
        <f t="shared" ref="I16:K16" si="6">I29</f>
        <v>1</v>
      </c>
      <c r="J16" s="4">
        <f t="shared" si="6"/>
        <v>3000</v>
      </c>
      <c r="K16" s="4">
        <f t="shared" si="6"/>
        <v>600</v>
      </c>
    </row>
    <row r="17" spans="1:11" ht="15.6" x14ac:dyDescent="0.3">
      <c r="A17" s="94"/>
      <c r="B17" s="25">
        <f t="shared" si="1"/>
        <v>1</v>
      </c>
      <c r="C17" s="25"/>
      <c r="D17" s="25">
        <f t="shared" si="2"/>
        <v>1030</v>
      </c>
      <c r="E17" s="35">
        <f t="shared" si="3"/>
        <v>570</v>
      </c>
      <c r="F17" s="98" t="str">
        <f t="shared" si="4"/>
        <v>CUB C/R R8</v>
      </c>
      <c r="G17" s="1"/>
      <c r="I17" s="88">
        <f t="shared" ref="I17:K17" si="7">I30</f>
        <v>1</v>
      </c>
      <c r="J17" s="4">
        <f t="shared" si="7"/>
        <v>950</v>
      </c>
      <c r="K17" s="4">
        <f t="shared" si="7"/>
        <v>600</v>
      </c>
    </row>
    <row r="18" spans="1:11" ht="15.6" x14ac:dyDescent="0.3">
      <c r="A18" s="94"/>
      <c r="B18" s="25">
        <f t="shared" ref="B18:B20" si="8">I18</f>
        <v>1</v>
      </c>
      <c r="C18" s="25"/>
      <c r="D18" s="25">
        <f t="shared" ref="D18:D20" si="9">J18+$D$13</f>
        <v>1180</v>
      </c>
      <c r="E18" s="35">
        <f t="shared" ref="E18:E20" si="10">K18+$E$13</f>
        <v>570</v>
      </c>
      <c r="F18" s="98" t="str">
        <f t="shared" ref="F18:F20" si="11">C43</f>
        <v>CUB C/R R8</v>
      </c>
      <c r="G18" s="1"/>
      <c r="I18" s="88">
        <f t="shared" ref="I18:K18" si="12">I31</f>
        <v>1</v>
      </c>
      <c r="J18" s="4">
        <f t="shared" si="12"/>
        <v>1100</v>
      </c>
      <c r="K18" s="4">
        <f t="shared" si="12"/>
        <v>600</v>
      </c>
    </row>
    <row r="19" spans="1:11" ht="15.6" x14ac:dyDescent="0.3">
      <c r="A19" s="94"/>
      <c r="B19" s="25">
        <f t="shared" si="8"/>
        <v>1</v>
      </c>
      <c r="C19" s="25"/>
      <c r="D19" s="25">
        <v>3650</v>
      </c>
      <c r="E19" s="35">
        <f t="shared" si="10"/>
        <v>570</v>
      </c>
      <c r="F19" s="98" t="str">
        <f t="shared" si="11"/>
        <v>CUB C/R R8</v>
      </c>
      <c r="G19" s="1"/>
      <c r="I19" s="88">
        <f t="shared" ref="I19:K19" si="13">I32</f>
        <v>1</v>
      </c>
      <c r="J19" s="4">
        <f t="shared" si="13"/>
        <v>3600</v>
      </c>
      <c r="K19" s="4">
        <f t="shared" si="13"/>
        <v>600</v>
      </c>
    </row>
    <row r="20" spans="1:11" ht="15.6" x14ac:dyDescent="0.3">
      <c r="A20" s="94"/>
      <c r="B20" s="25">
        <f t="shared" si="8"/>
        <v>2</v>
      </c>
      <c r="C20" s="25"/>
      <c r="D20" s="25">
        <f t="shared" si="9"/>
        <v>2730</v>
      </c>
      <c r="E20" s="35">
        <f>K20</f>
        <v>1000</v>
      </c>
      <c r="F20" s="98" t="str">
        <f t="shared" si="11"/>
        <v>CUB MESA 90° R8 2L</v>
      </c>
      <c r="G20" s="1"/>
      <c r="I20" s="88">
        <f t="shared" ref="I20:K20" si="14">I33</f>
        <v>2</v>
      </c>
      <c r="J20" s="4">
        <f t="shared" si="14"/>
        <v>2650</v>
      </c>
      <c r="K20" s="4">
        <f t="shared" si="14"/>
        <v>1000</v>
      </c>
    </row>
    <row r="21" spans="1:11" ht="15.6" x14ac:dyDescent="0.3">
      <c r="A21" s="51"/>
      <c r="B21" s="6"/>
      <c r="C21" s="6"/>
      <c r="D21" s="6"/>
      <c r="E21" s="104"/>
      <c r="F21" s="6"/>
      <c r="G21" s="1"/>
      <c r="I21" s="88"/>
      <c r="J21" s="2"/>
      <c r="K21" s="2"/>
    </row>
    <row r="22" spans="1:11" ht="6.75" customHeight="1" x14ac:dyDescent="0.3">
      <c r="A22" s="1"/>
      <c r="B22" s="1"/>
      <c r="C22" s="1"/>
      <c r="D22" s="1"/>
      <c r="E22" s="1"/>
      <c r="F22" s="1"/>
      <c r="G22" s="1"/>
    </row>
    <row r="23" spans="1:11" ht="15.6" x14ac:dyDescent="0.3">
      <c r="A23" s="116" t="s">
        <v>14</v>
      </c>
      <c r="B23" s="116"/>
      <c r="C23" s="116"/>
      <c r="D23" s="116"/>
      <c r="E23" s="116"/>
      <c r="F23" s="116"/>
      <c r="G23" s="1"/>
    </row>
    <row r="24" spans="1:11" ht="10.5" customHeight="1" x14ac:dyDescent="0.3">
      <c r="A24" s="1"/>
      <c r="B24" s="1"/>
      <c r="C24" s="12"/>
      <c r="D24" s="1"/>
      <c r="E24" s="1"/>
      <c r="F24" s="1"/>
      <c r="G24" s="1"/>
    </row>
    <row r="25" spans="1:11" ht="15.6" x14ac:dyDescent="0.3">
      <c r="A25" s="1"/>
      <c r="B25" s="1"/>
      <c r="C25" s="1"/>
      <c r="D25" s="51" t="s">
        <v>7</v>
      </c>
      <c r="E25" s="51" t="s">
        <v>8</v>
      </c>
      <c r="F25" s="1"/>
      <c r="G25" s="1"/>
    </row>
    <row r="26" spans="1:11" ht="15.6" x14ac:dyDescent="0.3">
      <c r="A26" s="51" t="s">
        <v>9</v>
      </c>
      <c r="B26" s="36" t="s">
        <v>10</v>
      </c>
      <c r="C26" s="36" t="s">
        <v>11</v>
      </c>
      <c r="D26" s="21">
        <v>40</v>
      </c>
      <c r="E26" s="21">
        <v>130</v>
      </c>
      <c r="F26" s="36" t="s">
        <v>110</v>
      </c>
      <c r="G26" s="1"/>
      <c r="J26" s="5" t="s">
        <v>7</v>
      </c>
      <c r="K26" s="5" t="s">
        <v>8</v>
      </c>
    </row>
    <row r="27" spans="1:11" ht="15.6" x14ac:dyDescent="0.3">
      <c r="A27" s="94"/>
      <c r="B27" s="16">
        <f t="shared" ref="B27" si="15">I27</f>
        <v>2</v>
      </c>
      <c r="C27" s="16"/>
      <c r="D27" s="16">
        <f>J27+D$26</f>
        <v>2340</v>
      </c>
      <c r="E27" s="16">
        <f t="shared" ref="E27:E30" si="16">K27+E$26</f>
        <v>1330</v>
      </c>
      <c r="F27" s="99" t="str">
        <f>C39</f>
        <v>CUB MESA 90° R8 2L</v>
      </c>
      <c r="G27" s="1"/>
      <c r="I27" s="3">
        <f>B39</f>
        <v>2</v>
      </c>
      <c r="J27" s="4">
        <f>D39</f>
        <v>2300</v>
      </c>
      <c r="K27" s="4">
        <f t="shared" ref="K27" si="17">E39</f>
        <v>1200</v>
      </c>
    </row>
    <row r="28" spans="1:11" ht="15.6" x14ac:dyDescent="0.3">
      <c r="A28" s="94"/>
      <c r="B28" s="16">
        <f t="shared" ref="B28:B30" si="18">I28</f>
        <v>2</v>
      </c>
      <c r="C28" s="16"/>
      <c r="D28" s="16">
        <f t="shared" ref="D28:D30" si="19">J28+D$26</f>
        <v>3540</v>
      </c>
      <c r="E28" s="16">
        <f t="shared" si="16"/>
        <v>730</v>
      </c>
      <c r="F28" s="99" t="str">
        <f t="shared" ref="F28:F30" si="20">C40</f>
        <v>CUB C/R R8</v>
      </c>
      <c r="G28" s="1"/>
      <c r="I28" s="3">
        <f t="shared" ref="I28:I30" si="21">B40</f>
        <v>2</v>
      </c>
      <c r="J28" s="4">
        <f t="shared" ref="J28:J30" si="22">D40</f>
        <v>3500</v>
      </c>
      <c r="K28" s="4">
        <f t="shared" ref="K28:K30" si="23">E40</f>
        <v>600</v>
      </c>
    </row>
    <row r="29" spans="1:11" ht="15.6" x14ac:dyDescent="0.3">
      <c r="A29" s="94"/>
      <c r="B29" s="16">
        <f t="shared" si="18"/>
        <v>1</v>
      </c>
      <c r="C29" s="16"/>
      <c r="D29" s="16">
        <f t="shared" si="19"/>
        <v>3040</v>
      </c>
      <c r="E29" s="16">
        <f t="shared" si="16"/>
        <v>730</v>
      </c>
      <c r="F29" s="99" t="str">
        <f t="shared" si="20"/>
        <v>CUB C/R R8</v>
      </c>
      <c r="G29" s="1"/>
      <c r="I29" s="3">
        <f t="shared" si="21"/>
        <v>1</v>
      </c>
      <c r="J29" s="4">
        <f t="shared" si="22"/>
        <v>3000</v>
      </c>
      <c r="K29" s="4">
        <f t="shared" si="23"/>
        <v>600</v>
      </c>
    </row>
    <row r="30" spans="1:11" ht="15.6" x14ac:dyDescent="0.3">
      <c r="A30" s="94"/>
      <c r="B30" s="16">
        <f t="shared" si="18"/>
        <v>1</v>
      </c>
      <c r="C30" s="16"/>
      <c r="D30" s="16">
        <f t="shared" si="19"/>
        <v>990</v>
      </c>
      <c r="E30" s="16">
        <f t="shared" si="16"/>
        <v>730</v>
      </c>
      <c r="F30" s="99" t="str">
        <f t="shared" si="20"/>
        <v>CUB C/R R8</v>
      </c>
      <c r="G30" s="1"/>
      <c r="I30" s="3">
        <f t="shared" si="21"/>
        <v>1</v>
      </c>
      <c r="J30" s="4">
        <f t="shared" si="22"/>
        <v>950</v>
      </c>
      <c r="K30" s="4">
        <f t="shared" si="23"/>
        <v>600</v>
      </c>
    </row>
    <row r="31" spans="1:11" ht="15.6" x14ac:dyDescent="0.3">
      <c r="A31" s="94"/>
      <c r="B31" s="16">
        <f t="shared" ref="B31:B33" si="24">I31</f>
        <v>1</v>
      </c>
      <c r="C31" s="16"/>
      <c r="D31" s="16">
        <f t="shared" ref="D31:D33" si="25">J31+D$26</f>
        <v>1140</v>
      </c>
      <c r="E31" s="16">
        <f t="shared" ref="E31:E33" si="26">K31+E$26</f>
        <v>730</v>
      </c>
      <c r="F31" s="99" t="str">
        <f t="shared" ref="F31:F33" si="27">C43</f>
        <v>CUB C/R R8</v>
      </c>
      <c r="G31" s="1"/>
      <c r="I31" s="3">
        <f t="shared" ref="I31:I33" si="28">B43</f>
        <v>1</v>
      </c>
      <c r="J31" s="4">
        <f t="shared" ref="J31:J33" si="29">D43</f>
        <v>1100</v>
      </c>
      <c r="K31" s="4">
        <f t="shared" ref="K31:K33" si="30">E43</f>
        <v>600</v>
      </c>
    </row>
    <row r="32" spans="1:11" ht="15.6" x14ac:dyDescent="0.3">
      <c r="A32" s="94"/>
      <c r="B32" s="16">
        <f t="shared" si="24"/>
        <v>1</v>
      </c>
      <c r="C32" s="16"/>
      <c r="D32" s="16">
        <f t="shared" si="25"/>
        <v>3640</v>
      </c>
      <c r="E32" s="16">
        <f t="shared" si="26"/>
        <v>730</v>
      </c>
      <c r="F32" s="99" t="str">
        <f t="shared" si="27"/>
        <v>CUB C/R R8</v>
      </c>
      <c r="G32" s="1"/>
      <c r="I32" s="3">
        <f t="shared" si="28"/>
        <v>1</v>
      </c>
      <c r="J32" s="4">
        <f t="shared" si="29"/>
        <v>3600</v>
      </c>
      <c r="K32" s="4">
        <f t="shared" si="30"/>
        <v>600</v>
      </c>
    </row>
    <row r="33" spans="1:11" ht="15.6" x14ac:dyDescent="0.3">
      <c r="A33" s="94"/>
      <c r="B33" s="16">
        <f t="shared" si="24"/>
        <v>2</v>
      </c>
      <c r="C33" s="16"/>
      <c r="D33" s="16">
        <f t="shared" si="25"/>
        <v>2690</v>
      </c>
      <c r="E33" s="16">
        <f t="shared" si="26"/>
        <v>1130</v>
      </c>
      <c r="F33" s="99" t="str">
        <f t="shared" si="27"/>
        <v>CUB MESA 90° R8 2L</v>
      </c>
      <c r="G33" s="1"/>
      <c r="I33" s="3">
        <f t="shared" si="28"/>
        <v>2</v>
      </c>
      <c r="J33" s="4">
        <f t="shared" si="29"/>
        <v>2650</v>
      </c>
      <c r="K33" s="4">
        <f t="shared" si="30"/>
        <v>1000</v>
      </c>
    </row>
    <row r="34" spans="1:11" ht="15.6" x14ac:dyDescent="0.3">
      <c r="A34" s="94"/>
      <c r="B34" s="6"/>
      <c r="C34" s="6"/>
      <c r="D34" s="6"/>
      <c r="E34" s="6"/>
      <c r="F34" s="105"/>
      <c r="G34" s="1"/>
      <c r="I34" s="88"/>
      <c r="J34" s="2"/>
      <c r="K34" s="2"/>
    </row>
    <row r="35" spans="1:11" ht="16.2" thickBot="1" x14ac:dyDescent="0.35">
      <c r="A35" s="51"/>
      <c r="B35" s="6"/>
      <c r="C35" s="6"/>
      <c r="D35" s="6"/>
      <c r="E35" s="6"/>
      <c r="F35" s="6"/>
      <c r="G35" s="1"/>
      <c r="I35" s="2"/>
      <c r="J35" s="2"/>
      <c r="K35" s="2"/>
    </row>
    <row r="36" spans="1:11" ht="16.2" thickBot="1" x14ac:dyDescent="0.35">
      <c r="A36" s="51"/>
      <c r="B36" s="22" t="s">
        <v>107</v>
      </c>
      <c r="C36" s="23"/>
      <c r="D36" s="23"/>
      <c r="E36" s="23"/>
      <c r="F36" s="24"/>
      <c r="G36" s="1"/>
      <c r="I36" s="2"/>
      <c r="J36" s="2"/>
      <c r="K36" s="2"/>
    </row>
    <row r="37" spans="1:11" ht="10.5" customHeight="1" x14ac:dyDescent="0.3">
      <c r="A37" s="1"/>
      <c r="B37" s="1"/>
      <c r="C37" s="1"/>
      <c r="D37" s="1"/>
      <c r="E37" s="1"/>
      <c r="F37" s="1"/>
      <c r="G37" s="1"/>
    </row>
    <row r="38" spans="1:11" ht="15.6" x14ac:dyDescent="0.3">
      <c r="A38" s="51" t="s">
        <v>9</v>
      </c>
      <c r="B38" s="87" t="s">
        <v>10</v>
      </c>
      <c r="C38" s="87" t="s">
        <v>110</v>
      </c>
      <c r="D38" s="87" t="s">
        <v>7</v>
      </c>
      <c r="E38" s="87" t="s">
        <v>8</v>
      </c>
      <c r="F38" s="87" t="s">
        <v>23</v>
      </c>
      <c r="G38" s="1"/>
    </row>
    <row r="39" spans="1:11" ht="15.6" x14ac:dyDescent="0.3">
      <c r="A39" s="94" t="s">
        <v>135</v>
      </c>
      <c r="B39" s="25">
        <f>'4637'!B21</f>
        <v>2</v>
      </c>
      <c r="C39" s="98" t="str">
        <f>'4637'!C21</f>
        <v>CUB MESA 90° R8 2L</v>
      </c>
      <c r="D39" s="25">
        <f>'4637'!D21</f>
        <v>2300</v>
      </c>
      <c r="E39" s="25">
        <f>'4637'!E21</f>
        <v>1200</v>
      </c>
      <c r="F39" s="25" t="str">
        <f>'4637'!F21</f>
        <v>GLACIAL WHITE 22191 SF</v>
      </c>
      <c r="G39" s="1"/>
    </row>
    <row r="40" spans="1:11" ht="15.6" x14ac:dyDescent="0.3">
      <c r="A40" s="94"/>
      <c r="B40" s="25">
        <f>'4637'!B22</f>
        <v>2</v>
      </c>
      <c r="C40" s="98" t="str">
        <f>'4637'!C22</f>
        <v>CUB C/R R8</v>
      </c>
      <c r="D40" s="25">
        <f>'4637'!D22</f>
        <v>3500</v>
      </c>
      <c r="E40" s="25">
        <f>'4637'!E22</f>
        <v>600</v>
      </c>
      <c r="F40" s="25" t="str">
        <f>'4637'!F22</f>
        <v>GLACIAL WHITE 22191 SF</v>
      </c>
      <c r="G40" s="1"/>
    </row>
    <row r="41" spans="1:11" ht="15.6" x14ac:dyDescent="0.3">
      <c r="A41" s="94"/>
      <c r="B41" s="25">
        <f>'4637'!B23</f>
        <v>1</v>
      </c>
      <c r="C41" s="98" t="str">
        <f>'4637'!C23</f>
        <v>CUB C/R R8</v>
      </c>
      <c r="D41" s="25">
        <f>'4637'!D23</f>
        <v>3000</v>
      </c>
      <c r="E41" s="25">
        <f>'4637'!E23</f>
        <v>600</v>
      </c>
      <c r="F41" s="25" t="str">
        <f>'4637'!F23</f>
        <v>GLACIAL WHITE 22191 SF</v>
      </c>
      <c r="G41" s="1"/>
    </row>
    <row r="42" spans="1:11" ht="15.6" x14ac:dyDescent="0.3">
      <c r="A42" s="94"/>
      <c r="B42" s="25">
        <f>'4637'!B24</f>
        <v>1</v>
      </c>
      <c r="C42" s="98" t="str">
        <f>'4637'!C24</f>
        <v>CUB C/R R8</v>
      </c>
      <c r="D42" s="25">
        <f>'4637'!D24</f>
        <v>950</v>
      </c>
      <c r="E42" s="25">
        <f>'4637'!E24</f>
        <v>600</v>
      </c>
      <c r="F42" s="25" t="str">
        <f>'4637'!F24</f>
        <v>GLACIAL WHITE 22191 SF</v>
      </c>
      <c r="G42" s="1"/>
    </row>
    <row r="43" spans="1:11" ht="15.6" x14ac:dyDescent="0.3">
      <c r="A43" s="94"/>
      <c r="B43" s="25">
        <f>'4637'!B25</f>
        <v>1</v>
      </c>
      <c r="C43" s="98" t="str">
        <f>'4637'!C25</f>
        <v>CUB C/R R8</v>
      </c>
      <c r="D43" s="25">
        <f>'4637'!D25</f>
        <v>1100</v>
      </c>
      <c r="E43" s="25">
        <f>'4637'!E25</f>
        <v>600</v>
      </c>
      <c r="F43" s="25" t="str">
        <f>'4637'!F25</f>
        <v>GLACIAL WHITE 22191 SF</v>
      </c>
      <c r="G43" s="1"/>
    </row>
    <row r="44" spans="1:11" ht="15.6" x14ac:dyDescent="0.3">
      <c r="A44" s="94"/>
      <c r="B44" s="25">
        <f>'4637'!B26</f>
        <v>1</v>
      </c>
      <c r="C44" s="98" t="str">
        <f>'4637'!C26</f>
        <v>CUB C/R R8</v>
      </c>
      <c r="D44" s="25">
        <f>'4637'!D26</f>
        <v>3600</v>
      </c>
      <c r="E44" s="25">
        <f>'4637'!E26</f>
        <v>600</v>
      </c>
      <c r="F44" s="25" t="str">
        <f>'4637'!F26</f>
        <v>GLACIAL WHITE 22191 SF</v>
      </c>
      <c r="G44" s="1"/>
    </row>
    <row r="45" spans="1:11" ht="15.6" x14ac:dyDescent="0.3">
      <c r="A45" s="94"/>
      <c r="B45" s="25">
        <f>'4637'!B27</f>
        <v>2</v>
      </c>
      <c r="C45" s="98" t="str">
        <f>'4637'!C27</f>
        <v>CUB MESA 90° R8 2L</v>
      </c>
      <c r="D45" s="25">
        <f>'4637'!D27</f>
        <v>2650</v>
      </c>
      <c r="E45" s="25">
        <f>'4637'!E27</f>
        <v>1000</v>
      </c>
      <c r="F45" s="25" t="str">
        <f>'4637'!F27</f>
        <v>GLACIAL WHITE 22191 SF</v>
      </c>
      <c r="G45" s="1"/>
    </row>
    <row r="46" spans="1:11" ht="15.6" x14ac:dyDescent="0.3">
      <c r="A46" s="94"/>
      <c r="B46" s="6"/>
      <c r="C46" s="105"/>
      <c r="D46" s="6"/>
      <c r="E46" s="6"/>
      <c r="F46" s="6"/>
      <c r="G46" s="1"/>
    </row>
    <row r="47" spans="1:11" ht="15.6" x14ac:dyDescent="0.3">
      <c r="A47" s="1"/>
      <c r="B47" s="6"/>
      <c r="C47" s="6"/>
      <c r="D47" s="6"/>
      <c r="E47" s="6"/>
      <c r="F47" s="6"/>
      <c r="G47" s="1"/>
    </row>
    <row r="48" spans="1:11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6"/>
      <c r="C49" s="6"/>
      <c r="D49" s="6"/>
      <c r="E49" s="6"/>
      <c r="F49" s="6"/>
      <c r="G49" s="1"/>
    </row>
    <row r="50" spans="1:7" ht="15.6" x14ac:dyDescent="0.3">
      <c r="A50" s="1"/>
      <c r="B50" s="6"/>
      <c r="C50" s="6"/>
      <c r="D50" s="6"/>
      <c r="E50" s="6"/>
      <c r="F50" s="6"/>
      <c r="G50" s="1"/>
    </row>
    <row r="51" spans="1:7" ht="15.6" x14ac:dyDescent="0.3">
      <c r="A51" s="1"/>
      <c r="B51" s="6"/>
      <c r="C51" s="6"/>
      <c r="D51" s="6"/>
      <c r="E51" s="6"/>
      <c r="F51" s="6"/>
      <c r="G51" s="1"/>
    </row>
    <row r="52" spans="1:7" ht="15.6" x14ac:dyDescent="0.3">
      <c r="A52" s="1"/>
      <c r="B52" s="6"/>
      <c r="C52" s="6"/>
      <c r="D52" s="6"/>
      <c r="E52" s="6"/>
      <c r="F52" s="6"/>
      <c r="G52" s="1"/>
    </row>
    <row r="53" spans="1:7" ht="15.6" x14ac:dyDescent="0.3">
      <c r="A53" s="1"/>
      <c r="B53" s="6"/>
      <c r="C53" s="6"/>
      <c r="D53" s="6"/>
      <c r="E53" s="6"/>
      <c r="F53" s="6"/>
      <c r="G53" s="1"/>
    </row>
    <row r="54" spans="1:7" ht="15.6" x14ac:dyDescent="0.3">
      <c r="A54" s="1"/>
      <c r="B54" s="6"/>
      <c r="C54" s="6"/>
      <c r="D54" s="6"/>
      <c r="E54" s="6"/>
      <c r="F54" s="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39" t="s">
        <v>27</v>
      </c>
      <c r="D56" s="14">
        <f>'4637'!G8</f>
        <v>7380</v>
      </c>
      <c r="E56" s="1"/>
      <c r="F56" s="1"/>
      <c r="G56" s="1"/>
    </row>
    <row r="57" spans="1:7" ht="17.25" customHeight="1" x14ac:dyDescent="0.3">
      <c r="A57" s="1"/>
      <c r="B57" s="1"/>
      <c r="C57" s="40" t="s">
        <v>67</v>
      </c>
      <c r="D57" s="41" t="str">
        <f>'4637'!C10</f>
        <v>MUEBLES ASENJO</v>
      </c>
      <c r="E57" s="42"/>
      <c r="F57" s="42"/>
      <c r="G57" s="1"/>
    </row>
    <row r="58" spans="1:7" ht="4.5" customHeight="1" x14ac:dyDescent="0.3">
      <c r="A58" s="1"/>
      <c r="B58" s="1"/>
      <c r="C58" s="43"/>
      <c r="D58" s="44"/>
      <c r="E58" s="1"/>
      <c r="F58" s="1"/>
      <c r="G58" s="1"/>
    </row>
    <row r="59" spans="1:7" ht="15.6" x14ac:dyDescent="0.3">
      <c r="A59" s="1"/>
      <c r="B59" s="1"/>
      <c r="C59" s="45" t="str">
        <f>'4637'!F11</f>
        <v>FECHA LIMITE :</v>
      </c>
      <c r="D59" s="13">
        <f>'4637'!G11</f>
        <v>0</v>
      </c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16" t="s">
        <v>68</v>
      </c>
      <c r="B62" s="116"/>
      <c r="C62" s="116"/>
      <c r="D62" s="116"/>
      <c r="E62" s="116"/>
      <c r="F62" s="116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75" customHeight="1" x14ac:dyDescent="0.3">
      <c r="A64" s="1"/>
      <c r="B64" s="117" t="s">
        <v>69</v>
      </c>
      <c r="C64" s="118"/>
      <c r="D64" s="119"/>
      <c r="E64" s="119"/>
      <c r="F64" s="120"/>
      <c r="G64" s="1"/>
    </row>
    <row r="65" spans="1:7" s="15" customFormat="1" ht="12.75" customHeight="1" x14ac:dyDescent="0.3">
      <c r="A65" s="1"/>
      <c r="B65" s="36" t="s">
        <v>10</v>
      </c>
      <c r="C65" s="46" t="s">
        <v>11</v>
      </c>
      <c r="D65" s="47" t="s">
        <v>7</v>
      </c>
      <c r="E65" s="47" t="s">
        <v>8</v>
      </c>
      <c r="F65" s="48" t="s">
        <v>12</v>
      </c>
      <c r="G65" s="1"/>
    </row>
    <row r="66" spans="1:7" s="15" customFormat="1" ht="15" customHeight="1" x14ac:dyDescent="0.3">
      <c r="A66" s="94" t="s">
        <v>135</v>
      </c>
      <c r="B66" s="38">
        <f>'4637'!B21</f>
        <v>2</v>
      </c>
      <c r="C66" s="97" t="str">
        <f>'4637'!C21</f>
        <v>CUB MESA 90° R8 2L</v>
      </c>
      <c r="D66" s="97">
        <f>'4637'!D21</f>
        <v>2300</v>
      </c>
      <c r="E66" s="97">
        <f>'4637'!E21</f>
        <v>1200</v>
      </c>
      <c r="F66" s="97" t="str">
        <f>'4637'!F21</f>
        <v>GLACIAL WHITE 22191 SF</v>
      </c>
      <c r="G66" s="1"/>
    </row>
    <row r="67" spans="1:7" s="15" customFormat="1" ht="15" customHeight="1" x14ac:dyDescent="0.3">
      <c r="A67" s="94"/>
      <c r="B67" s="38">
        <f>'4637'!B22</f>
        <v>2</v>
      </c>
      <c r="C67" s="97" t="str">
        <f>'4637'!C22</f>
        <v>CUB C/R R8</v>
      </c>
      <c r="D67" s="97">
        <f>'4637'!D22</f>
        <v>3500</v>
      </c>
      <c r="E67" s="97">
        <f>'4637'!E22</f>
        <v>600</v>
      </c>
      <c r="F67" s="97" t="str">
        <f>'4637'!F22</f>
        <v>GLACIAL WHITE 22191 SF</v>
      </c>
      <c r="G67" s="1"/>
    </row>
    <row r="68" spans="1:7" s="15" customFormat="1" ht="15" customHeight="1" x14ac:dyDescent="0.3">
      <c r="A68" s="94"/>
      <c r="B68" s="38">
        <f>'4637'!B23</f>
        <v>1</v>
      </c>
      <c r="C68" s="97" t="str">
        <f>'4637'!C23</f>
        <v>CUB C/R R8</v>
      </c>
      <c r="D68" s="97">
        <f>'4637'!D23</f>
        <v>3000</v>
      </c>
      <c r="E68" s="97">
        <f>'4637'!E23</f>
        <v>600</v>
      </c>
      <c r="F68" s="97" t="str">
        <f>'4637'!F23</f>
        <v>GLACIAL WHITE 22191 SF</v>
      </c>
      <c r="G68" s="1"/>
    </row>
    <row r="69" spans="1:7" s="15" customFormat="1" ht="15" customHeight="1" x14ac:dyDescent="0.3">
      <c r="A69" s="94"/>
      <c r="B69" s="38">
        <f>'4637'!B24</f>
        <v>1</v>
      </c>
      <c r="C69" s="97" t="str">
        <f>'4637'!C24</f>
        <v>CUB C/R R8</v>
      </c>
      <c r="D69" s="97">
        <f>'4637'!D24</f>
        <v>950</v>
      </c>
      <c r="E69" s="97">
        <f>'4637'!E24</f>
        <v>600</v>
      </c>
      <c r="F69" s="97" t="str">
        <f>'4637'!F24</f>
        <v>GLACIAL WHITE 22191 SF</v>
      </c>
      <c r="G69" s="1"/>
    </row>
    <row r="70" spans="1:7" s="15" customFormat="1" ht="15" customHeight="1" x14ac:dyDescent="0.3">
      <c r="A70" s="94"/>
      <c r="B70" s="38">
        <f>'4637'!B25</f>
        <v>1</v>
      </c>
      <c r="C70" s="97" t="str">
        <f>'4637'!C25</f>
        <v>CUB C/R R8</v>
      </c>
      <c r="D70" s="97">
        <f>'4637'!D25</f>
        <v>1100</v>
      </c>
      <c r="E70" s="97">
        <f>'4637'!E25</f>
        <v>600</v>
      </c>
      <c r="F70" s="97" t="str">
        <f>'4637'!F25</f>
        <v>GLACIAL WHITE 22191 SF</v>
      </c>
      <c r="G70" s="1"/>
    </row>
    <row r="71" spans="1:7" s="15" customFormat="1" ht="15" customHeight="1" x14ac:dyDescent="0.3">
      <c r="A71" s="94"/>
      <c r="B71" s="38">
        <f>'4637'!B26</f>
        <v>1</v>
      </c>
      <c r="C71" s="97" t="str">
        <f>'4637'!C26</f>
        <v>CUB C/R R8</v>
      </c>
      <c r="D71" s="97">
        <f>'4637'!D26</f>
        <v>3600</v>
      </c>
      <c r="E71" s="97">
        <f>'4637'!E26</f>
        <v>600</v>
      </c>
      <c r="F71" s="97" t="str">
        <f>'4637'!F26</f>
        <v>GLACIAL WHITE 22191 SF</v>
      </c>
      <c r="G71" s="1"/>
    </row>
    <row r="72" spans="1:7" s="15" customFormat="1" ht="15" customHeight="1" x14ac:dyDescent="0.3">
      <c r="A72" s="94"/>
      <c r="B72" s="38">
        <f>'4637'!B27</f>
        <v>2</v>
      </c>
      <c r="C72" s="97" t="str">
        <f>'4637'!C27</f>
        <v>CUB MESA 90° R8 2L</v>
      </c>
      <c r="D72" s="97">
        <f>'4637'!D27</f>
        <v>2650</v>
      </c>
      <c r="E72" s="97">
        <f>'4637'!E27</f>
        <v>1000</v>
      </c>
      <c r="F72" s="97" t="str">
        <f>'4637'!F27</f>
        <v>GLACIAL WHITE 22191 SF</v>
      </c>
      <c r="G72" s="1"/>
    </row>
    <row r="73" spans="1:7" s="15" customFormat="1" ht="15" customHeight="1" x14ac:dyDescent="0.3">
      <c r="A73" s="49"/>
      <c r="B73" s="51"/>
      <c r="C73" s="51"/>
      <c r="D73" s="51"/>
      <c r="E73" s="51"/>
      <c r="F73" s="51"/>
      <c r="G73" s="1"/>
    </row>
    <row r="74" spans="1:7" ht="15.6" x14ac:dyDescent="0.3">
      <c r="A74" s="6"/>
      <c r="B74" s="6"/>
      <c r="C74" s="1"/>
      <c r="D74" s="6"/>
      <c r="E74" s="6"/>
      <c r="F74" s="43"/>
      <c r="G74" s="1"/>
    </row>
    <row r="75" spans="1:7" ht="15.6" x14ac:dyDescent="0.3">
      <c r="A75" s="6"/>
      <c r="B75" s="6"/>
      <c r="C75" s="1"/>
      <c r="D75" s="6"/>
      <c r="E75" s="6"/>
      <c r="F75" s="6"/>
      <c r="G75" s="1"/>
    </row>
    <row r="76" spans="1:7" ht="15.6" x14ac:dyDescent="0.3">
      <c r="A76" s="1"/>
      <c r="B76" s="1"/>
      <c r="C76" s="1"/>
      <c r="D76" s="1"/>
      <c r="E76" s="1"/>
      <c r="F76" s="1"/>
      <c r="G76" s="1"/>
    </row>
    <row r="77" spans="1:7" ht="15.6" x14ac:dyDescent="0.3">
      <c r="A77" s="1"/>
      <c r="B77" s="1"/>
      <c r="C77" s="1"/>
      <c r="D77" s="1"/>
      <c r="E77" s="1"/>
      <c r="F77" s="1"/>
      <c r="G77" s="1"/>
    </row>
    <row r="78" spans="1:7" ht="15.6" x14ac:dyDescent="0.3">
      <c r="A78" s="1"/>
      <c r="B78" s="1"/>
      <c r="C78" s="1"/>
      <c r="D78" s="1"/>
      <c r="E78" s="1"/>
      <c r="F78" s="1"/>
      <c r="G78" s="1"/>
    </row>
    <row r="79" spans="1:7" ht="15" customHeight="1" x14ac:dyDescent="0.3">
      <c r="A79" s="1"/>
      <c r="B79" s="1"/>
      <c r="C79" s="1"/>
      <c r="D79" s="1"/>
      <c r="E79" s="1"/>
      <c r="F79" s="1"/>
      <c r="G79" s="1"/>
    </row>
    <row r="80" spans="1:7" ht="15.6" x14ac:dyDescent="0.3">
      <c r="A80" s="1"/>
      <c r="B80" s="1"/>
      <c r="C80" s="1"/>
      <c r="D80" s="1"/>
      <c r="E80" s="1"/>
      <c r="F80" s="1"/>
      <c r="G80" s="1"/>
    </row>
    <row r="81" spans="1:7" ht="15.6" x14ac:dyDescent="0.3">
      <c r="A81" s="6"/>
      <c r="B81" s="50"/>
      <c r="C81" s="1"/>
      <c r="D81" s="1"/>
      <c r="E81" s="1"/>
      <c r="F81" s="1"/>
      <c r="G81" s="1"/>
    </row>
    <row r="82" spans="1:7" ht="15.6" x14ac:dyDescent="0.3">
      <c r="A82" s="1"/>
      <c r="B82" s="1"/>
      <c r="C82" s="1"/>
      <c r="D82" s="1"/>
      <c r="E82" s="1"/>
      <c r="F82" s="1"/>
      <c r="G82" s="1"/>
    </row>
    <row r="83" spans="1:7" x14ac:dyDescent="0.3">
      <c r="B83" s="20"/>
      <c r="C83" s="20"/>
      <c r="D83" s="20"/>
      <c r="E83" s="20"/>
      <c r="F83" s="20"/>
    </row>
    <row r="84" spans="1:7" x14ac:dyDescent="0.3">
      <c r="B84" s="20"/>
      <c r="C84" s="20"/>
      <c r="E84" s="20"/>
      <c r="F84" s="20"/>
    </row>
  </sheetData>
  <mergeCells count="6">
    <mergeCell ref="M3:N3"/>
    <mergeCell ref="A23:F23"/>
    <mergeCell ref="A10:F10"/>
    <mergeCell ref="A62:F62"/>
    <mergeCell ref="B64:F64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2026-02-05T17:47:06Z</cp:lastPrinted>
  <dcterms:created xsi:type="dcterms:W3CDTF">2013-03-19T12:54:14Z</dcterms:created>
  <dcterms:modified xsi:type="dcterms:W3CDTF">2026-02-05T17:49:09Z</dcterms:modified>
</cp:coreProperties>
</file>