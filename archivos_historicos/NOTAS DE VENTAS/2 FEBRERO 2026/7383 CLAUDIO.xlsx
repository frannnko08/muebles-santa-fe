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B68CADA8-7CB2-4A9E-9102-77CE2D02DD8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1" i="3" s="1"/>
  <c r="C27" i="3"/>
  <c r="F21" i="3" s="1"/>
  <c r="D27" i="3"/>
  <c r="J21" i="3" s="1"/>
  <c r="E27" i="3"/>
  <c r="K21" i="3" s="1"/>
  <c r="F27" i="3"/>
  <c r="D48" i="3"/>
  <c r="E48" i="3"/>
  <c r="F48" i="3"/>
  <c r="C48" i="3"/>
  <c r="K14" i="3" l="1"/>
  <c r="E14" i="3" s="1"/>
  <c r="E21" i="3"/>
  <c r="J14" i="3"/>
  <c r="D14" i="3" s="1"/>
  <c r="D21" i="3"/>
  <c r="I14" i="3"/>
  <c r="B14" i="3" s="1"/>
  <c r="B21" i="3"/>
  <c r="F14" i="3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<sst xmlns="http://schemas.openxmlformats.org/spreadsheetml/2006/main" count="244" uniqueCount="141">
  <si>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</si>
  <si>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</si>
  <si>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</si>
  <si>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</si>
  <si>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</si>
  <si>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</si>
  <si>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</si>
  <si>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</si>
  <si>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</si>
  <si>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</si>
  <si>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</si>
  <si>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</si>
  <si>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</si>
  <si>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</si>
  <si>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</si>
  <si>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</si>
  <si>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</si>
  <si>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</si>
  <si>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</si>
  <si>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</si>
  <si>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</si>
  <si>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</si>
  <si>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</si>
  <si>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</si>
  <si>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</si>
  <si>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</si>
  <si>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</si>
  <si>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</si>
  <si>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</si>
  <si>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</si>
  <si>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</si>
  <si>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</si>
  <si>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</si>
  <si>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</si>
  <si>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</si>
  <si>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</si>
  <si>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</si>
  <si>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</si>
  <si>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</si>
  <si>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</si>
  <si>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</si>
  <si>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</si>
  <si>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</si>
  <si>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</si>
  <si>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</si>
  <si>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</si>
  <si>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</si>
  <si>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</si>
  <si>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</si>
  <si>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</si>
  <si>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</si>
  <si>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</si>
  <si>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</si>
  <si>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</si>
  <si>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</si>
  <si>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</si>
  <si>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</si>
  <si>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</si>
  <si>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</si>
  <si>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</si>
  <si>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</si>
  <si>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</si>
  <si>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</si>
  <si>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</si>
  <si>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</si>
  <si>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</si>
  <si>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</si>
  <si>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</si>
  <si>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</si>
  <si>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</si>
  <si>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</si>
  <si>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</si>
  <si>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</si>
  <si>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</si>
  <si>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</si>
  <si>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</si>
  <si>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</si>
  <si>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</si>
  <si>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</si>
  <si>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</si>
  <si>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</si>
  <si>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</si>
  <si>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</si>
  <si>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</si>
  <si>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</si>
  <si>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</si>
  <si>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</si>
  <si>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</si>
  <si>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</si>
  <si>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</si>
  <si>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</si>
  <si>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</si>
  <si>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</si>
  <si>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</si>
  <si>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</si>
  <si>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</si>
  <si>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</si>
  <si>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</si>
  <si>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</si>
  <si>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</si>
  <si>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</si>
  <si>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</si>
  <si>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</si>
  <si>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</si>
  <si>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</si>
  <si>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</si>
  <si>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</si>
  <si>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</si>
  <si>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</si>
  <si>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</si>
  <si>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</si>
  <si>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</si>
  <si>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</si>
  <si>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</si>
  <si>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</si>
  <si>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</si>
  <si>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</si>
  <si>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</si>
  <si>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</si>
  <si>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</si>
  <si>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</si>
  <si>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</si>
  <si>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</si>
  <si>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</si>
  <si>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</si>
  <si>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</si>
  <si>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</si>
  <si>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</si>
  <si>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</si>
  <si>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</si>
  <si>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</si>
  <si>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</si>
  <si>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</si>
  <si>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</si>
  <si>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</si>
  <si>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+569 8686 2073</t>
  </si>
  <si>
    <t>CUB C/R 90°</t>
  </si>
  <si>
    <t>SPICED CHESNUT</t>
  </si>
  <si>
    <t>CLAUDIO MELO</t>
  </si>
  <si>
    <t>N° 11874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</si>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</sst>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$89.500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552208</xdr:colOff>
      <xdr:row>42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88671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7383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138</v>
      </c>
      <c r="D10" s="53"/>
      <c r="E10" s="53"/>
      <c r="F10" s="54" t="s">
        <v>28</v>
      </c>
      <c r="G10" s="55">
        <v>46062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46066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135</v>
      </c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136</v>
      </c>
      <c r="D21" s="102">
        <v>3000</v>
      </c>
      <c r="E21" s="102">
        <v>600</v>
      </c>
      <c r="F21" s="100" t="s">
        <v>137</v>
      </c>
      <c r="G21" s="101">
        <v>145664</v>
      </c>
      <c r="H21" s="109">
        <f>G21*B21</f>
        <v>145664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v>179403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/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v>179403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24" zoomScaleNormal="100" workbookViewId="0">
      <selection activeCell="A49" sqref="A4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38" t="s">
        <v>27</v>
      </c>
      <c r="D4" s="14">
        <f>'4637'!G8</f>
        <v>7383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CLAUDIO MELO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46066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140</v>
      </c>
      <c r="B14" s="25">
        <f t="shared" ref="B14" si="0">I14</f>
        <v>1</v>
      </c>
      <c r="C14" s="25"/>
      <c r="D14" s="25">
        <f t="shared" ref="D14" si="1">J14+$D$13</f>
        <v>3050</v>
      </c>
      <c r="E14" s="35">
        <f t="shared" ref="E14" si="2">K14+$E$13</f>
        <v>600</v>
      </c>
      <c r="F14" s="97" t="str">
        <f t="shared" ref="F14" si="3">C27</f>
        <v>CUB C/R 90°</v>
      </c>
      <c r="G14" s="1"/>
      <c r="I14" s="87">
        <f t="shared" ref="I14:K14" si="4">I21</f>
        <v>1</v>
      </c>
      <c r="J14" s="4">
        <f t="shared" si="4"/>
        <v>3000</v>
      </c>
      <c r="K14" s="4">
        <f t="shared" si="4"/>
        <v>600</v>
      </c>
    </row>
    <row r="15" spans="1:14" ht="15.6" x14ac:dyDescent="0.3">
      <c r="A15" s="50"/>
      <c r="B15" s="6"/>
      <c r="C15" s="6"/>
      <c r="D15" s="6"/>
      <c r="E15" s="103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100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5">I21</f>
        <v>1</v>
      </c>
      <c r="C21" s="16"/>
      <c r="D21" s="16">
        <f>J21+D$20</f>
        <v>3040</v>
      </c>
      <c r="E21" s="16">
        <f>K21+E$20</f>
        <v>700</v>
      </c>
      <c r="F21" s="98" t="str">
        <f t="shared" ref="F21" si="6">C27</f>
        <v>CUB C/R 90°</v>
      </c>
      <c r="G21" s="1"/>
      <c r="I21" s="3">
        <f t="shared" ref="I21" si="7">B27</f>
        <v>1</v>
      </c>
      <c r="J21" s="4">
        <f t="shared" ref="J21" si="8">D27</f>
        <v>3000</v>
      </c>
      <c r="K21" s="4">
        <f t="shared" ref="K21" si="9">E27</f>
        <v>600</v>
      </c>
    </row>
    <row r="22" spans="1:11" ht="15.6" x14ac:dyDescent="0.3">
      <c r="A22" s="93"/>
      <c r="B22" s="6"/>
      <c r="C22" s="6"/>
      <c r="D22" s="6"/>
      <c r="E22" s="6"/>
      <c r="F22" s="105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140</v>
      </c>
      <c r="B27" s="25">
        <f>'4637'!B21</f>
        <v>1</v>
      </c>
      <c r="C27" s="97" t="str">
        <f>'4637'!C21</f>
        <v>CUB C/R 90°</v>
      </c>
      <c r="D27" s="25">
        <f>'4637'!D21</f>
        <v>3000</v>
      </c>
      <c r="E27" s="25">
        <f>'4637'!E21</f>
        <v>600</v>
      </c>
      <c r="F27" s="25" t="str">
        <f>'4637'!F21</f>
        <v>SPICED CHESNUT</v>
      </c>
      <c r="G27" s="1"/>
    </row>
    <row r="28" spans="1:11" ht="15.6" x14ac:dyDescent="0.3">
      <c r="A28" s="93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27</v>
      </c>
      <c r="D38" s="14">
        <f>'4637'!G8</f>
        <v>7383</v>
      </c>
      <c r="E38" s="1"/>
      <c r="F38" s="1"/>
      <c r="G38" s="1"/>
    </row>
    <row r="39" spans="1:7" ht="17.25" customHeight="1" x14ac:dyDescent="0.3">
      <c r="A39" s="1"/>
      <c r="B39" s="1"/>
      <c r="C39" s="39" t="s">
        <v>67</v>
      </c>
      <c r="D39" s="40" t="str">
        <f>'4637'!C10</f>
        <v>CLAUDIO MELO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'4637'!F11</f>
        <v>FECHA LIMITE :</v>
      </c>
      <c r="D41" s="13">
        <f>'4637'!G11</f>
        <v>46066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93" t="s">
        <v>140</v>
      </c>
      <c r="B48" s="50">
        <v>1</v>
      </c>
      <c r="C48" s="96" t="str">
        <f>'4637'!C21</f>
        <v>CUB C/R 90°</v>
      </c>
      <c r="D48" s="96">
        <f>'4637'!D21</f>
        <v>3000</v>
      </c>
      <c r="E48" s="96">
        <f>'4637'!E21</f>
        <v>600</v>
      </c>
      <c r="F48" s="96" t="str">
        <f>'4637'!F21</f>
        <v>SPICED CHESNUT</v>
      </c>
      <c r="G48" s="1"/>
    </row>
    <row r="49" spans="1:7" s="15" customFormat="1" ht="15" customHeight="1" x14ac:dyDescent="0.3">
      <c r="B49" s="50"/>
      <c r="C49" s="104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2026-02-09T15:34:11Z</cp:lastPrinted>
  <dcterms:created xsi:type="dcterms:W3CDTF">2013-03-19T12:54:14Z</dcterms:created>
  <dcterms:modified xsi:type="dcterms:W3CDTF">2026-02-11T14:47:18Z</dcterms:modified>
</cp:coreProperties>
</file>