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6\"/>
    </mc:Choice>
  </mc:AlternateContent>
  <xr:revisionPtr revIDLastSave="0" documentId="13_ncr:1_{9EC50163-E955-46DD-A95A-EABCA6124A9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CUBIERTA!$A$1:$G$66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3" l="1"/>
  <c r="B56" i="3"/>
  <c r="B32" i="3"/>
  <c r="I24" i="3" s="1"/>
  <c r="C32" i="3"/>
  <c r="F24" i="3" s="1"/>
  <c r="D32" i="3"/>
  <c r="J24" i="3" s="1"/>
  <c r="D24" i="3" s="1"/>
  <c r="E32" i="3"/>
  <c r="K24" i="3" s="1"/>
  <c r="F32" i="3"/>
  <c r="B33" i="3"/>
  <c r="I25" i="3" s="1"/>
  <c r="B25" i="3" s="1"/>
  <c r="C33" i="3"/>
  <c r="F16" i="3" s="1"/>
  <c r="D33" i="3"/>
  <c r="J25" i="3" s="1"/>
  <c r="J16" i="3" s="1"/>
  <c r="D16" i="3" s="1"/>
  <c r="E33" i="3"/>
  <c r="K25" i="3" s="1"/>
  <c r="F33" i="3"/>
  <c r="D54" i="3"/>
  <c r="E54" i="3"/>
  <c r="F54" i="3"/>
  <c r="D55" i="3"/>
  <c r="E55" i="3"/>
  <c r="F55" i="3"/>
  <c r="D56" i="3"/>
  <c r="E56" i="3"/>
  <c r="F56" i="3"/>
  <c r="C55" i="3"/>
  <c r="C56" i="3"/>
  <c r="H23" i="4"/>
  <c r="H22" i="4"/>
  <c r="H21" i="4"/>
  <c r="I15" i="3" l="1"/>
  <c r="B15" i="3" s="1"/>
  <c r="B24" i="3"/>
  <c r="J15" i="3"/>
  <c r="D15" i="3" s="1"/>
  <c r="K15" i="3"/>
  <c r="E15" i="3" s="1"/>
  <c r="E24" i="3"/>
  <c r="K16" i="3"/>
  <c r="E16" i="3" s="1"/>
  <c r="E25" i="3"/>
  <c r="F15" i="3"/>
  <c r="F25" i="3"/>
  <c r="I16" i="3"/>
  <c r="B16" i="3" s="1"/>
  <c r="D25" i="3"/>
  <c r="B31" i="3"/>
  <c r="I23" i="3" s="1"/>
  <c r="I14" i="3" s="1"/>
  <c r="B14" i="3" s="1"/>
  <c r="C31" i="3"/>
  <c r="F14" i="3" s="1"/>
  <c r="D31" i="3"/>
  <c r="J23" i="3" s="1"/>
  <c r="E31" i="3"/>
  <c r="F31" i="3"/>
  <c r="B54" i="3"/>
  <c r="C54" i="3"/>
  <c r="H26" i="4"/>
  <c r="K23" i="3" l="1"/>
  <c r="E23" i="3" s="1"/>
  <c r="D23" i="3"/>
  <c r="J14" i="3"/>
  <c r="D14" i="3" s="1"/>
  <c r="B23" i="3"/>
  <c r="F23" i="3"/>
  <c r="K14" i="3" l="1"/>
  <c r="E14" i="3" s="1"/>
  <c r="H27" i="4"/>
  <c r="H28" i="4" l="1"/>
  <c r="N5" i="3" l="1"/>
  <c r="M5" i="3" l="1"/>
  <c r="L5" i="3"/>
  <c r="K5" i="3"/>
  <c r="C47" i="3" l="1"/>
  <c r="C7" i="3"/>
  <c r="D45" i="3"/>
  <c r="D5" i="3"/>
  <c r="D47" i="3"/>
  <c r="D7" i="3"/>
  <c r="D44" i="3"/>
  <c r="D4" i="3"/>
</calcChain>
</file>

<file path=xl/sharedStrings.xml><?xml version="1.0" encoding="utf-8"?>
<sst xmlns="http://schemas.openxmlformats.org/spreadsheetml/2006/main" count="246" uniqueCount="139">
  <si>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</si>
  <si>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</si>
  <si>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</si>
  <si>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</si>
  <si>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</si>
  <si>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</si>
  <si>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</si>
  <si>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</si>
  <si>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</si>
  <si>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</si>
  <si>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</si>
  <si>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</si>
  <si>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</si>
  <si>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</si>
  <si>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</si>
  <si>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</si>
  <si>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</si>
  <si>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</si>
  <si>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</si>
  <si>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</si>
  <si>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</si>
  <si>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</si>
  <si>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</si>
  <si>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</si>
  <si>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</si>
  <si>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</si>
  <si>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</si>
  <si>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</si>
  <si>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</si>
  <si>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</si>
  <si>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</si>
  <si>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</si>
  <si>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</si>
  <si>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</si>
  <si>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</si>
  <si>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</si>
  <si>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</si>
  <si>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</si>
  <si>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</si>
  <si>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</si>
  <si>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</si>
  <si>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</si>
  <si>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</si>
  <si>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</si>
  <si>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</si>
  <si>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</si>
  <si>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</si>
  <si>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</si>
  <si>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</si>
  <si>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</si>
  <si>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</si>
  <si>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</si>
  <si>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</si>
  <si>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</si>
  <si>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</si>
  <si>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</si>
  <si>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</si>
  <si>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</si>
  <si>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</si>
  <si>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</si>
  <si>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</si>
  <si>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</si>
  <si>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</si>
  <si>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</si>
  <si>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</si>
  <si>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</si>
  <si>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</si>
  <si>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</si>
  <si>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</si>
  <si>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</si>
  <si>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</si>
  <si>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</si>
  <si>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</si>
  <si>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</si>
  <si>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</si>
  <si>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</si>
  <si>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</si>
  <si>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</si>
  <si>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</si>
  <si>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</si>
  <si>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</si>
  <si>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</si>
  <si>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</si>
  <si>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</si>
  <si>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</si>
  <si>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</si>
  <si>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</si>
  <si>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</si>
  <si>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</si>
  <si>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</si>
  <si>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</si>
  <si>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</si>
  <si>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</si>
  <si>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</si>
  <si>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</si>
  <si>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</si>
  <si>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</si>
  <si>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</si>
  <si>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</si>
  <si>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</si>
  <si>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</si>
  <si>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</si>
  <si>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</si>
  <si>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</si>
  <si>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</si>
  <si>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</si>
  <si>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</si>
  <si>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</si>
  <si>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</si>
  <si>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</si>
  <si>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</si>
  <si>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</si>
  <si>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</si>
  <si>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</si>
  <si>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</si>
  <si>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</si>
  <si>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</si>
  <si>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</si>
  <si>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</si>
  <si>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</si>
  <si>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</si>
  <si>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</si>
  <si>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</si>
  <si>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</si>
  <si>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</si>
  <si>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</si>
  <si>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</si>
  <si>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</si>
  <si>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</si>
  <si>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</si>
  <si>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</si>
  <si>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</si>
  <si>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</si>
  <si>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</si>
  <si>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</si>
  <si>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</si>
  <si>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MUEBLES ASENJO</t>
  </si>
  <si>
    <t>CUB C/R R8</t>
  </si>
  <si>
    <t>GLACIAL WHITE 22191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</si>
</sst>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8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17" fontId="3" fillId="3" borderId="7" xfId="0" applyNumberFormat="1" applyFont="1" applyFill="1" applyBorder="1"/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25</xdr:row>
      <xdr:rowOff>11430</xdr:rowOff>
    </xdr:from>
    <xdr:to>
      <xdr:col>5</xdr:col>
      <xdr:colOff>1386840</xdr:colOff>
      <xdr:row>28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48</xdr:row>
      <xdr:rowOff>171450</xdr:rowOff>
    </xdr:from>
    <xdr:to>
      <xdr:col>5</xdr:col>
      <xdr:colOff>1685924</xdr:colOff>
      <xdr:row>50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38100</xdr:rowOff>
    </xdr:from>
    <xdr:to>
      <xdr:col>6</xdr:col>
      <xdr:colOff>0</xdr:colOff>
      <xdr:row>45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57</xdr:row>
      <xdr:rowOff>0</xdr:rowOff>
    </xdr:from>
    <xdr:to>
      <xdr:col>2</xdr:col>
      <xdr:colOff>38100</xdr:colOff>
      <xdr:row>58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57</xdr:row>
      <xdr:rowOff>0</xdr:rowOff>
    </xdr:from>
    <xdr:to>
      <xdr:col>2</xdr:col>
      <xdr:colOff>1019175</xdr:colOff>
      <xdr:row>57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57</xdr:row>
      <xdr:rowOff>0</xdr:rowOff>
    </xdr:from>
    <xdr:to>
      <xdr:col>3</xdr:col>
      <xdr:colOff>352425</xdr:colOff>
      <xdr:row>58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57</xdr:row>
      <xdr:rowOff>0</xdr:rowOff>
    </xdr:from>
    <xdr:to>
      <xdr:col>4</xdr:col>
      <xdr:colOff>257175</xdr:colOff>
      <xdr:row>58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57</xdr:row>
      <xdr:rowOff>0</xdr:rowOff>
    </xdr:from>
    <xdr:to>
      <xdr:col>5</xdr:col>
      <xdr:colOff>447675</xdr:colOff>
      <xdr:row>57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57</xdr:row>
      <xdr:rowOff>0</xdr:rowOff>
    </xdr:from>
    <xdr:to>
      <xdr:col>6</xdr:col>
      <xdr:colOff>0</xdr:colOff>
      <xdr:row>57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57</xdr:row>
      <xdr:rowOff>190500</xdr:rowOff>
    </xdr:from>
    <xdr:to>
      <xdr:col>2</xdr:col>
      <xdr:colOff>304800</xdr:colOff>
      <xdr:row>59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57</xdr:row>
      <xdr:rowOff>190500</xdr:rowOff>
    </xdr:from>
    <xdr:to>
      <xdr:col>2</xdr:col>
      <xdr:colOff>1276350</xdr:colOff>
      <xdr:row>59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57</xdr:row>
      <xdr:rowOff>190500</xdr:rowOff>
    </xdr:from>
    <xdr:to>
      <xdr:col>3</xdr:col>
      <xdr:colOff>619125</xdr:colOff>
      <xdr:row>59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57</xdr:row>
      <xdr:rowOff>190500</xdr:rowOff>
    </xdr:from>
    <xdr:to>
      <xdr:col>4</xdr:col>
      <xdr:colOff>523875</xdr:colOff>
      <xdr:row>59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57</xdr:row>
      <xdr:rowOff>190500</xdr:rowOff>
    </xdr:from>
    <xdr:to>
      <xdr:col>5</xdr:col>
      <xdr:colOff>723900</xdr:colOff>
      <xdr:row>59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57</xdr:row>
      <xdr:rowOff>190500</xdr:rowOff>
    </xdr:from>
    <xdr:to>
      <xdr:col>6</xdr:col>
      <xdr:colOff>0</xdr:colOff>
      <xdr:row>59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35</xdr:row>
      <xdr:rowOff>15239</xdr:rowOff>
    </xdr:from>
    <xdr:to>
      <xdr:col>6</xdr:col>
      <xdr:colOff>68580</xdr:colOff>
      <xdr:row>39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26</xdr:row>
      <xdr:rowOff>200025</xdr:rowOff>
    </xdr:from>
    <xdr:to>
      <xdr:col>6</xdr:col>
      <xdr:colOff>19049</xdr:colOff>
      <xdr:row>28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60</xdr:row>
      <xdr:rowOff>32385</xdr:rowOff>
    </xdr:from>
    <xdr:to>
      <xdr:col>6</xdr:col>
      <xdr:colOff>19050</xdr:colOff>
      <xdr:row>64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42</xdr:row>
      <xdr:rowOff>41910</xdr:rowOff>
    </xdr:from>
    <xdr:to>
      <xdr:col>1</xdr:col>
      <xdr:colOff>556018</xdr:colOff>
      <xdr:row>48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opLeftCell="A6" workbookViewId="0">
      <selection activeCell="G24" sqref="G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9" t="s">
        <v>16</v>
      </c>
      <c r="C8" s="90"/>
      <c r="D8" s="91">
        <v>11881</v>
      </c>
      <c r="E8" s="1"/>
      <c r="F8" s="92" t="s">
        <v>27</v>
      </c>
      <c r="G8" s="93">
        <v>7384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85" t="s">
        <v>136</v>
      </c>
      <c r="D10" s="54"/>
      <c r="E10" s="54"/>
      <c r="F10" s="55" t="s">
        <v>28</v>
      </c>
      <c r="G10" s="56">
        <v>46063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"/>
      <c r="D11" s="59"/>
      <c r="E11" s="59"/>
      <c r="F11" s="59" t="s">
        <v>124</v>
      </c>
      <c r="G11" s="60">
        <v>46065</v>
      </c>
      <c r="H11" s="61"/>
      <c r="I11" s="1"/>
    </row>
    <row r="12" spans="1:17" ht="16.2" thickBot="1" x14ac:dyDescent="0.35">
      <c r="A12" s="1"/>
      <c r="B12" s="62" t="s">
        <v>130</v>
      </c>
      <c r="D12" s="42"/>
      <c r="E12" s="42"/>
      <c r="F12" s="42" t="s">
        <v>30</v>
      </c>
      <c r="G12" s="63">
        <v>23938</v>
      </c>
      <c r="H12" s="121"/>
      <c r="I12" s="1"/>
    </row>
    <row r="13" spans="1:17" ht="15.6" x14ac:dyDescent="0.3">
      <c r="A13" s="1"/>
      <c r="B13" s="62" t="s">
        <v>132</v>
      </c>
      <c r="C13" s="85"/>
      <c r="D13" s="42"/>
      <c r="E13" s="42"/>
      <c r="F13" s="42" t="s">
        <v>128</v>
      </c>
      <c r="G13" s="63"/>
      <c r="H13" s="64"/>
      <c r="I13" s="1"/>
    </row>
    <row r="14" spans="1:17" ht="15.6" x14ac:dyDescent="0.3">
      <c r="A14" s="1"/>
      <c r="B14" s="58" t="s">
        <v>17</v>
      </c>
      <c r="C14" s="100"/>
      <c r="D14" s="65"/>
      <c r="E14" s="59"/>
      <c r="F14" s="59" t="s">
        <v>29</v>
      </c>
      <c r="G14" s="59" t="s">
        <v>134</v>
      </c>
      <c r="H14" s="61"/>
      <c r="I14" s="1"/>
    </row>
    <row r="15" spans="1:17" ht="15.6" x14ac:dyDescent="0.3">
      <c r="A15" s="1"/>
      <c r="B15" s="62" t="s">
        <v>1</v>
      </c>
      <c r="C15" s="96"/>
      <c r="D15" s="42"/>
      <c r="E15" s="42"/>
      <c r="F15" s="66" t="s">
        <v>75</v>
      </c>
      <c r="G15" s="66" t="s">
        <v>133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131</v>
      </c>
      <c r="D16" s="68"/>
      <c r="E16" s="69"/>
      <c r="F16" s="108" t="s">
        <v>18</v>
      </c>
      <c r="G16" s="108"/>
      <c r="H16" s="109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0" t="s">
        <v>19</v>
      </c>
      <c r="C19" s="111"/>
      <c r="D19" s="111"/>
      <c r="E19" s="111"/>
      <c r="F19" s="111"/>
      <c r="G19" s="111"/>
      <c r="H19" s="112"/>
      <c r="I19" s="1"/>
    </row>
    <row r="20" spans="1:16" ht="15.6" x14ac:dyDescent="0.3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x14ac:dyDescent="0.3">
      <c r="A21" s="1"/>
      <c r="B21" s="101">
        <v>1</v>
      </c>
      <c r="C21" s="101" t="s">
        <v>137</v>
      </c>
      <c r="D21" s="103">
        <v>2960</v>
      </c>
      <c r="E21" s="103">
        <v>600</v>
      </c>
      <c r="F21" s="101" t="s">
        <v>138</v>
      </c>
      <c r="G21" s="102">
        <v>95565</v>
      </c>
      <c r="H21" s="102">
        <f t="shared" ref="H21" si="0">G21*B21</f>
        <v>95565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1">
        <v>1</v>
      </c>
      <c r="C22" s="101" t="s">
        <v>137</v>
      </c>
      <c r="D22" s="103">
        <v>2100</v>
      </c>
      <c r="E22" s="103">
        <v>600</v>
      </c>
      <c r="F22" s="101" t="s">
        <v>138</v>
      </c>
      <c r="G22" s="102">
        <v>68531</v>
      </c>
      <c r="H22" s="102">
        <f>G22*B22</f>
        <v>68531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1">
        <v>1</v>
      </c>
      <c r="C23" s="101" t="s">
        <v>137</v>
      </c>
      <c r="D23" s="103">
        <v>3390</v>
      </c>
      <c r="E23" s="103">
        <v>600</v>
      </c>
      <c r="F23" s="101" t="s">
        <v>138</v>
      </c>
      <c r="G23" s="102">
        <v>109083</v>
      </c>
      <c r="H23" s="102">
        <f t="shared" ref="H23" si="1">G23*B23</f>
        <v>109083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6"/>
      <c r="C24" s="106"/>
      <c r="D24" s="107"/>
      <c r="E24" s="107"/>
      <c r="F24" s="106"/>
      <c r="G24" s="74"/>
      <c r="H24" s="74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3"/>
      <c r="C25" s="73"/>
      <c r="D25" s="73"/>
      <c r="E25" s="73"/>
      <c r="F25" s="73"/>
      <c r="G25" s="74"/>
      <c r="H25" s="74"/>
      <c r="I25" s="1"/>
    </row>
    <row r="26" spans="1:16" ht="15.6" x14ac:dyDescent="0.3">
      <c r="A26" s="1"/>
      <c r="B26" s="1"/>
      <c r="C26" s="1"/>
      <c r="D26" s="1"/>
      <c r="E26" s="1"/>
      <c r="F26" s="1"/>
      <c r="G26" s="75" t="s">
        <v>5</v>
      </c>
      <c r="H26" s="76">
        <f>SUM(H21:H25)</f>
        <v>273179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7" t="s">
        <v>6</v>
      </c>
      <c r="H27" s="78">
        <f>H26*19%</f>
        <v>51904.01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79" t="s">
        <v>4</v>
      </c>
      <c r="H28" s="80">
        <f>H26+H27</f>
        <v>325083.01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1"/>
      <c r="H29" s="95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1" t="s">
        <v>123</v>
      </c>
      <c r="C31" s="82"/>
      <c r="D31" s="83"/>
      <c r="E31" s="83"/>
      <c r="F31" s="73"/>
      <c r="G31" s="1"/>
      <c r="H31" s="1"/>
      <c r="I31" s="1"/>
    </row>
    <row r="32" spans="1:16" ht="15.6" x14ac:dyDescent="0.3">
      <c r="A32" s="1"/>
      <c r="B32" s="81" t="s">
        <v>122</v>
      </c>
      <c r="C32" s="82"/>
      <c r="D32" s="83"/>
      <c r="E32" s="83"/>
      <c r="F32" s="73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4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3" t="s">
        <v>31</v>
      </c>
      <c r="C2" s="113"/>
      <c r="D2" s="113"/>
      <c r="E2" s="18"/>
      <c r="G2" s="113" t="s">
        <v>70</v>
      </c>
      <c r="H2" s="113"/>
      <c r="I2" s="113"/>
      <c r="P2" s="114" t="s">
        <v>58</v>
      </c>
      <c r="Q2" s="114"/>
      <c r="R2" s="114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4" t="s">
        <v>58</v>
      </c>
      <c r="M8" s="114"/>
      <c r="N8" s="11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8"/>
  <sheetViews>
    <sheetView tabSelected="1" zoomScaleNormal="100" workbookViewId="0">
      <selection activeCell="H9" sqref="H9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5" t="s">
        <v>61</v>
      </c>
      <c r="L3" s="115"/>
      <c r="M3" s="115" t="s">
        <v>14</v>
      </c>
      <c r="N3" s="115"/>
    </row>
    <row r="4" spans="1:14" ht="15.75" customHeight="1" x14ac:dyDescent="0.3">
      <c r="A4" s="1"/>
      <c r="B4" s="1"/>
      <c r="C4" s="39" t="s">
        <v>27</v>
      </c>
      <c r="D4" s="14">
        <f>'4637'!G8</f>
        <v>7384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MUEBLES ASENJO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46065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6" t="s">
        <v>61</v>
      </c>
      <c r="B10" s="116"/>
      <c r="C10" s="116"/>
      <c r="D10" s="116"/>
      <c r="E10" s="116"/>
      <c r="F10" s="11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4" t="s">
        <v>135</v>
      </c>
      <c r="B14" s="25">
        <f t="shared" ref="B14" si="0">I14</f>
        <v>1</v>
      </c>
      <c r="C14" s="25"/>
      <c r="D14" s="25">
        <f>J14+$D$13</f>
        <v>3040</v>
      </c>
      <c r="E14" s="35">
        <f t="shared" ref="E14:E16" si="1">K14+$E$13</f>
        <v>570</v>
      </c>
      <c r="F14" s="98" t="str">
        <f>C31</f>
        <v>CUB C/R R8</v>
      </c>
      <c r="G14" s="1"/>
      <c r="I14" s="88">
        <f>I23</f>
        <v>1</v>
      </c>
      <c r="J14" s="4">
        <f>J23</f>
        <v>2960</v>
      </c>
      <c r="K14" s="4">
        <f>K23</f>
        <v>600</v>
      </c>
    </row>
    <row r="15" spans="1:14" ht="15.6" x14ac:dyDescent="0.3">
      <c r="A15" s="94"/>
      <c r="B15" s="25">
        <f t="shared" ref="B15:B16" si="2">I15</f>
        <v>1</v>
      </c>
      <c r="C15" s="25"/>
      <c r="D15" s="25">
        <f t="shared" ref="D15:D16" si="3">J15+$D$13</f>
        <v>2180</v>
      </c>
      <c r="E15" s="35">
        <f t="shared" si="1"/>
        <v>570</v>
      </c>
      <c r="F15" s="98" t="str">
        <f>C32</f>
        <v>CUB C/R R8</v>
      </c>
      <c r="G15" s="1"/>
      <c r="I15" s="88">
        <f t="shared" ref="I15:K15" si="4">I24</f>
        <v>1</v>
      </c>
      <c r="J15" s="4">
        <f t="shared" si="4"/>
        <v>2100</v>
      </c>
      <c r="K15" s="4">
        <f t="shared" si="4"/>
        <v>600</v>
      </c>
    </row>
    <row r="16" spans="1:14" ht="15.6" x14ac:dyDescent="0.3">
      <c r="A16" s="94"/>
      <c r="B16" s="25">
        <f t="shared" si="2"/>
        <v>1</v>
      </c>
      <c r="C16" s="25"/>
      <c r="D16" s="25">
        <f t="shared" si="3"/>
        <v>3470</v>
      </c>
      <c r="E16" s="35">
        <f t="shared" si="1"/>
        <v>570</v>
      </c>
      <c r="F16" s="98" t="str">
        <f>C33</f>
        <v>CUB C/R R8</v>
      </c>
      <c r="G16" s="1"/>
      <c r="I16" s="88">
        <f t="shared" ref="I16:K16" si="5">I25</f>
        <v>1</v>
      </c>
      <c r="J16" s="4">
        <f t="shared" si="5"/>
        <v>3390</v>
      </c>
      <c r="K16" s="4">
        <f t="shared" si="5"/>
        <v>600</v>
      </c>
    </row>
    <row r="17" spans="1:11" ht="15.6" x14ac:dyDescent="0.3">
      <c r="A17" s="51"/>
      <c r="B17" s="6"/>
      <c r="C17" s="6"/>
      <c r="D17" s="6"/>
      <c r="E17" s="104"/>
      <c r="F17" s="6"/>
      <c r="G17" s="1"/>
      <c r="I17" s="88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16" t="s">
        <v>14</v>
      </c>
      <c r="B19" s="116"/>
      <c r="C19" s="116"/>
      <c r="D19" s="116"/>
      <c r="E19" s="116"/>
      <c r="F19" s="116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1" t="s">
        <v>7</v>
      </c>
      <c r="E21" s="51" t="s">
        <v>8</v>
      </c>
      <c r="F21" s="1"/>
      <c r="G21" s="1"/>
    </row>
    <row r="22" spans="1:11" ht="15.6" x14ac:dyDescent="0.3">
      <c r="A22" s="51" t="s">
        <v>9</v>
      </c>
      <c r="B22" s="36" t="s">
        <v>10</v>
      </c>
      <c r="C22" s="36" t="s">
        <v>11</v>
      </c>
      <c r="D22" s="21">
        <v>40</v>
      </c>
      <c r="E22" s="21">
        <v>130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4"/>
      <c r="B23" s="16">
        <f t="shared" ref="B23" si="6">I23</f>
        <v>1</v>
      </c>
      <c r="C23" s="16"/>
      <c r="D23" s="16">
        <f>J23+D$22</f>
        <v>3000</v>
      </c>
      <c r="E23" s="16">
        <f t="shared" ref="E23:E25" si="7">K23+E$22</f>
        <v>730</v>
      </c>
      <c r="F23" s="99" t="str">
        <f>C31</f>
        <v>CUB C/R R8</v>
      </c>
      <c r="G23" s="1"/>
      <c r="I23" s="3">
        <f>B31</f>
        <v>1</v>
      </c>
      <c r="J23" s="4">
        <f>D31</f>
        <v>2960</v>
      </c>
      <c r="K23" s="4">
        <f t="shared" ref="K23" si="8">E31</f>
        <v>600</v>
      </c>
    </row>
    <row r="24" spans="1:11" ht="15.6" x14ac:dyDescent="0.3">
      <c r="A24" s="94"/>
      <c r="B24" s="16">
        <f t="shared" ref="B24:B25" si="9">I24</f>
        <v>1</v>
      </c>
      <c r="C24" s="16"/>
      <c r="D24" s="16">
        <f t="shared" ref="D24:D25" si="10">J24+D$22</f>
        <v>2140</v>
      </c>
      <c r="E24" s="16">
        <f t="shared" si="7"/>
        <v>730</v>
      </c>
      <c r="F24" s="99" t="str">
        <f>C32</f>
        <v>CUB C/R R8</v>
      </c>
      <c r="G24" s="1"/>
      <c r="I24" s="3">
        <f>B32</f>
        <v>1</v>
      </c>
      <c r="J24" s="4">
        <f>D32</f>
        <v>2100</v>
      </c>
      <c r="K24" s="4">
        <f>E32</f>
        <v>600</v>
      </c>
    </row>
    <row r="25" spans="1:11" ht="15.6" x14ac:dyDescent="0.3">
      <c r="A25" s="94"/>
      <c r="B25" s="16">
        <f t="shared" si="9"/>
        <v>1</v>
      </c>
      <c r="C25" s="16"/>
      <c r="D25" s="16">
        <f t="shared" si="10"/>
        <v>3430</v>
      </c>
      <c r="E25" s="16">
        <f t="shared" si="7"/>
        <v>730</v>
      </c>
      <c r="F25" s="99" t="str">
        <f>C33</f>
        <v>CUB C/R R8</v>
      </c>
      <c r="G25" s="1"/>
      <c r="I25" s="3">
        <f>B33</f>
        <v>1</v>
      </c>
      <c r="J25" s="4">
        <f>D33</f>
        <v>3390</v>
      </c>
      <c r="K25" s="4">
        <f>E33</f>
        <v>600</v>
      </c>
    </row>
    <row r="26" spans="1:11" ht="15.6" x14ac:dyDescent="0.3">
      <c r="A26" s="94"/>
      <c r="B26" s="6"/>
      <c r="C26" s="6"/>
      <c r="D26" s="6"/>
      <c r="E26" s="6"/>
      <c r="F26" s="105"/>
      <c r="G26" s="1"/>
      <c r="I26" s="88"/>
      <c r="J26" s="2"/>
      <c r="K26" s="2"/>
    </row>
    <row r="27" spans="1:11" ht="16.2" thickBot="1" x14ac:dyDescent="0.35">
      <c r="A27" s="51"/>
      <c r="B27" s="6"/>
      <c r="C27" s="6"/>
      <c r="D27" s="6"/>
      <c r="E27" s="6"/>
      <c r="F27" s="6"/>
      <c r="G27" s="1"/>
      <c r="I27" s="2"/>
      <c r="J27" s="2"/>
      <c r="K27" s="2"/>
    </row>
    <row r="28" spans="1:11" ht="16.2" thickBot="1" x14ac:dyDescent="0.35">
      <c r="A28" s="51"/>
      <c r="B28" s="22" t="s">
        <v>107</v>
      </c>
      <c r="C28" s="23"/>
      <c r="D28" s="23"/>
      <c r="E28" s="23"/>
      <c r="F28" s="24"/>
      <c r="G28" s="1"/>
      <c r="I28" s="2"/>
      <c r="J28" s="2"/>
      <c r="K28" s="2"/>
    </row>
    <row r="29" spans="1:11" ht="10.5" customHeight="1" x14ac:dyDescent="0.3">
      <c r="A29" s="1"/>
      <c r="B29" s="1"/>
      <c r="C29" s="1"/>
      <c r="D29" s="1"/>
      <c r="E29" s="1"/>
      <c r="F29" s="1"/>
      <c r="G29" s="1"/>
    </row>
    <row r="30" spans="1:11" ht="15.6" x14ac:dyDescent="0.3">
      <c r="A30" s="51" t="s">
        <v>9</v>
      </c>
      <c r="B30" s="87" t="s">
        <v>10</v>
      </c>
      <c r="C30" s="87" t="s">
        <v>110</v>
      </c>
      <c r="D30" s="87" t="s">
        <v>7</v>
      </c>
      <c r="E30" s="87" t="s">
        <v>8</v>
      </c>
      <c r="F30" s="87" t="s">
        <v>23</v>
      </c>
      <c r="G30" s="1"/>
    </row>
    <row r="31" spans="1:11" ht="15.6" x14ac:dyDescent="0.3">
      <c r="A31" s="94" t="s">
        <v>135</v>
      </c>
      <c r="B31" s="25">
        <f>'4637'!B21</f>
        <v>1</v>
      </c>
      <c r="C31" s="98" t="str">
        <f>'4637'!C21</f>
        <v>CUB C/R R8</v>
      </c>
      <c r="D31" s="25">
        <f>'4637'!D21</f>
        <v>2960</v>
      </c>
      <c r="E31" s="25">
        <f>'4637'!E21</f>
        <v>600</v>
      </c>
      <c r="F31" s="25" t="str">
        <f>'4637'!F21</f>
        <v>GLACIAL WHITE 22191 SF</v>
      </c>
      <c r="G31" s="1"/>
    </row>
    <row r="32" spans="1:11" ht="15.6" x14ac:dyDescent="0.3">
      <c r="A32" s="94"/>
      <c r="B32" s="25">
        <f>'4637'!B22</f>
        <v>1</v>
      </c>
      <c r="C32" s="98" t="str">
        <f>'4637'!C22</f>
        <v>CUB C/R R8</v>
      </c>
      <c r="D32" s="25">
        <f>'4637'!D22</f>
        <v>2100</v>
      </c>
      <c r="E32" s="25">
        <f>'4637'!E22</f>
        <v>600</v>
      </c>
      <c r="F32" s="25" t="str">
        <f>'4637'!F22</f>
        <v>GLACIAL WHITE 22191 SF</v>
      </c>
      <c r="G32" s="1"/>
    </row>
    <row r="33" spans="1:7" ht="15.6" x14ac:dyDescent="0.3">
      <c r="A33" s="94"/>
      <c r="B33" s="25">
        <f>'4637'!B23</f>
        <v>1</v>
      </c>
      <c r="C33" s="98" t="str">
        <f>'4637'!C23</f>
        <v>CUB C/R R8</v>
      </c>
      <c r="D33" s="25">
        <f>'4637'!D23</f>
        <v>3390</v>
      </c>
      <c r="E33" s="25">
        <f>'4637'!E23</f>
        <v>600</v>
      </c>
      <c r="F33" s="25" t="str">
        <f>'4637'!F23</f>
        <v>GLACIAL WHITE 22191 SF</v>
      </c>
      <c r="G33" s="1"/>
    </row>
    <row r="34" spans="1:7" ht="15.6" x14ac:dyDescent="0.3">
      <c r="A34" s="94"/>
      <c r="B34" s="6"/>
      <c r="C34" s="105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39" t="s">
        <v>27</v>
      </c>
      <c r="D44" s="14">
        <f>'4637'!G8</f>
        <v>7384</v>
      </c>
      <c r="E44" s="1"/>
      <c r="F44" s="1"/>
      <c r="G44" s="1"/>
    </row>
    <row r="45" spans="1:7" ht="17.25" customHeight="1" x14ac:dyDescent="0.3">
      <c r="A45" s="1"/>
      <c r="B45" s="1"/>
      <c r="C45" s="40" t="s">
        <v>67</v>
      </c>
      <c r="D45" s="41" t="str">
        <f>'4637'!C10</f>
        <v>MUEBLES ASENJO</v>
      </c>
      <c r="E45" s="42"/>
      <c r="F45" s="42"/>
      <c r="G45" s="1"/>
    </row>
    <row r="46" spans="1:7" ht="4.5" customHeight="1" x14ac:dyDescent="0.3">
      <c r="A46" s="1"/>
      <c r="B46" s="1"/>
      <c r="C46" s="43"/>
      <c r="D46" s="44"/>
      <c r="E46" s="1"/>
      <c r="F46" s="1"/>
      <c r="G46" s="1"/>
    </row>
    <row r="47" spans="1:7" ht="15.6" x14ac:dyDescent="0.3">
      <c r="A47" s="1"/>
      <c r="B47" s="1"/>
      <c r="C47" s="45" t="str">
        <f>'4637'!F11</f>
        <v>FECHA LIMITE :</v>
      </c>
      <c r="D47" s="13">
        <f>'4637'!G11</f>
        <v>46065</v>
      </c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16" t="s">
        <v>68</v>
      </c>
      <c r="B50" s="116"/>
      <c r="C50" s="116"/>
      <c r="D50" s="116"/>
      <c r="E50" s="116"/>
      <c r="F50" s="116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75" customHeight="1" x14ac:dyDescent="0.3">
      <c r="A52" s="1"/>
      <c r="B52" s="117" t="s">
        <v>69</v>
      </c>
      <c r="C52" s="118"/>
      <c r="D52" s="119"/>
      <c r="E52" s="119"/>
      <c r="F52" s="120"/>
      <c r="G52" s="1"/>
    </row>
    <row r="53" spans="1:7" s="15" customFormat="1" ht="12.75" customHeight="1" x14ac:dyDescent="0.3">
      <c r="A53" s="1"/>
      <c r="B53" s="36" t="s">
        <v>10</v>
      </c>
      <c r="C53" s="46" t="s">
        <v>11</v>
      </c>
      <c r="D53" s="47" t="s">
        <v>7</v>
      </c>
      <c r="E53" s="47" t="s">
        <v>8</v>
      </c>
      <c r="F53" s="48" t="s">
        <v>12</v>
      </c>
      <c r="G53" s="1"/>
    </row>
    <row r="54" spans="1:7" s="15" customFormat="1" ht="15" customHeight="1" x14ac:dyDescent="0.3">
      <c r="A54" s="94" t="s">
        <v>135</v>
      </c>
      <c r="B54" s="38">
        <f>'4637'!B21</f>
        <v>1</v>
      </c>
      <c r="C54" s="97" t="str">
        <f>'4637'!C21</f>
        <v>CUB C/R R8</v>
      </c>
      <c r="D54" s="97">
        <f>'4637'!D21</f>
        <v>2960</v>
      </c>
      <c r="E54" s="97">
        <f>'4637'!E21</f>
        <v>600</v>
      </c>
      <c r="F54" s="97" t="str">
        <f>'4637'!F21</f>
        <v>GLACIAL WHITE 22191 SF</v>
      </c>
      <c r="G54" s="1"/>
    </row>
    <row r="55" spans="1:7" s="15" customFormat="1" ht="15" customHeight="1" x14ac:dyDescent="0.3">
      <c r="A55" s="94"/>
      <c r="B55" s="38">
        <f>'4637'!B22</f>
        <v>1</v>
      </c>
      <c r="C55" s="97" t="str">
        <f>'4637'!C22</f>
        <v>CUB C/R R8</v>
      </c>
      <c r="D55" s="97">
        <f>'4637'!D22</f>
        <v>2100</v>
      </c>
      <c r="E55" s="97">
        <f>'4637'!E22</f>
        <v>600</v>
      </c>
      <c r="F55" s="97" t="str">
        <f>'4637'!F22</f>
        <v>GLACIAL WHITE 22191 SF</v>
      </c>
      <c r="G55" s="1"/>
    </row>
    <row r="56" spans="1:7" s="15" customFormat="1" ht="15" customHeight="1" x14ac:dyDescent="0.3">
      <c r="A56" s="94"/>
      <c r="B56" s="38">
        <f>'4637'!B23</f>
        <v>1</v>
      </c>
      <c r="C56" s="97" t="str">
        <f>'4637'!C23</f>
        <v>CUB C/R R8</v>
      </c>
      <c r="D56" s="97">
        <f>'4637'!D23</f>
        <v>3390</v>
      </c>
      <c r="E56" s="97">
        <f>'4637'!E23</f>
        <v>600</v>
      </c>
      <c r="F56" s="97" t="str">
        <f>'4637'!F23</f>
        <v>GLACIAL WHITE 22191 SF</v>
      </c>
      <c r="G56" s="1"/>
    </row>
    <row r="57" spans="1:7" s="15" customFormat="1" ht="15" customHeight="1" x14ac:dyDescent="0.3">
      <c r="A57" s="49"/>
      <c r="B57" s="51"/>
      <c r="C57" s="51"/>
      <c r="D57" s="51"/>
      <c r="E57" s="51"/>
      <c r="F57" s="51"/>
      <c r="G57" s="1"/>
    </row>
    <row r="58" spans="1:7" ht="15.6" x14ac:dyDescent="0.3">
      <c r="A58" s="6"/>
      <c r="B58" s="6"/>
      <c r="C58" s="1"/>
      <c r="D58" s="6"/>
      <c r="E58" s="6"/>
      <c r="F58" s="43"/>
      <c r="G58" s="1"/>
    </row>
    <row r="59" spans="1:7" ht="15.6" x14ac:dyDescent="0.3">
      <c r="A59" s="6"/>
      <c r="B59" s="6"/>
      <c r="C59" s="1"/>
      <c r="D59" s="6"/>
      <c r="E59" s="6"/>
      <c r="F59" s="6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" customHeight="1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6"/>
      <c r="B65" s="50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x14ac:dyDescent="0.3">
      <c r="B67" s="20"/>
      <c r="C67" s="20"/>
      <c r="D67" s="20"/>
      <c r="E67" s="20"/>
      <c r="F67" s="20"/>
    </row>
    <row r="68" spans="1:7" x14ac:dyDescent="0.3">
      <c r="B68" s="20"/>
      <c r="C68" s="20"/>
      <c r="E68" s="20"/>
      <c r="F68" s="20"/>
    </row>
  </sheetData>
  <mergeCells count="6">
    <mergeCell ref="M3:N3"/>
    <mergeCell ref="A19:F19"/>
    <mergeCell ref="A10:F10"/>
    <mergeCell ref="A50:F50"/>
    <mergeCell ref="B52:F52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2026-02-10T16:00:13Z</cp:lastPrinted>
  <dcterms:created xsi:type="dcterms:W3CDTF">2013-03-19T12:54:14Z</dcterms:created>
  <dcterms:modified xsi:type="dcterms:W3CDTF">2026-02-10T16:01:09Z</dcterms:modified>
</cp:coreProperties>
</file>