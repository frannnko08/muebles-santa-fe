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95133548-6EBE-42FF-9F8A-D79ACC20B0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CUBIERTA!$A$39:$G$64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E23" i="3"/>
  <c r="E22" i="3"/>
  <c r="N5" i="3"/>
  <c r="D22" i="3"/>
  <c r="M5" i="3"/>
  <c r="E15" i="3"/>
  <c r="E14" i="3"/>
  <c r="L5" i="3"/>
  <c r="D15" i="3"/>
  <c r="D14" i="3"/>
  <c r="K5" i="3"/>
  <c r="I23" i="3"/>
  <c r="J23" i="3"/>
  <c r="K23" i="3"/>
  <c r="I15" i="3"/>
  <c r="J15" i="3"/>
  <c r="K15" i="3"/>
  <c r="B15" i="3"/>
  <c r="F15" i="3"/>
  <c r="B23" i="3"/>
  <c r="F23" i="3"/>
  <c r="B30" i="3"/>
  <c r="C30" i="3"/>
  <c r="D30" i="3"/>
  <c r="E30" i="3"/>
  <c r="F30" i="3"/>
  <c r="B52" i="3"/>
  <c r="C52" i="3"/>
  <c r="D52" i="3"/>
  <c r="E52" i="3"/>
  <c r="F52" i="3"/>
  <c r="H23" i="4"/>
  <c r="H22" i="4"/>
  <c r="B29" i="3"/>
  <c r="I22" i="3" s="1"/>
  <c r="B22" i="3" s="1"/>
  <c r="C29" i="3"/>
  <c r="F22" i="3" s="1"/>
  <c r="D29" i="3"/>
  <c r="J22" i="3" s="1"/>
  <c r="E29" i="3"/>
  <c r="K22" i="3" s="1"/>
  <c r="F29" i="3"/>
  <c r="B51" i="3"/>
  <c r="C51" i="3"/>
  <c r="D51" i="3"/>
  <c r="E51" i="3"/>
  <c r="F51" i="3"/>
  <c r="K14" i="3" l="1"/>
  <c r="J14" i="3"/>
  <c r="I14" i="3"/>
  <c r="B14" i="3" s="1"/>
  <c r="F14" i="3"/>
  <c r="H26" i="4" l="1"/>
  <c r="H27" i="4" l="1"/>
  <c r="H28" i="4" l="1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<sst xmlns="http://schemas.openxmlformats.org/spreadsheetml/2006/main" count="248" uniqueCount="143">
  <si>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</si>
  <si>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</si>
  <si>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</si>
  <si>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</si>
  <si>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</si>
  <si>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</si>
  <si>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</si>
  <si>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</si>
  <si>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</si>
  <si>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</si>
  <si>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</si>
  <si>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</si>
  <si>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</si>
  <si>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</si>
  <si>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</si>
  <si>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</si>
  <si>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</si>
  <si>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</si>
  <si>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</si>
  <si>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</si>
  <si>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</si>
  <si>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</si>
  <si>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</si>
  <si>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</si>
  <si>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</si>
  <si>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</si>
  <si>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</si>
  <si>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</si>
  <si>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</si>
  <si>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</si>
  <si>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</si>
  <si>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</si>
  <si>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</si>
  <si>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</si>
  <si>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</si>
  <si>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</si>
  <si>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</si>
  <si>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</si>
  <si>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</si>
  <si>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</si>
  <si>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</si>
  <si>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</si>
  <si>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</si>
  <si>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</si>
  <si>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</si>
  <si>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</si>
  <si>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</si>
  <si>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</si>
  <si>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</si>
  <si>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</si>
  <si>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</si>
  <si>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</si>
  <si>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</si>
  <si>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</si>
  <si>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</si>
  <si>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</si>
  <si>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</si>
  <si>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</si>
  <si>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</si>
  <si>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</si>
  <si>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</si>
  <si>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</si>
  <si>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</si>
  <si>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</si>
  <si>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</si>
  <si>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</si>
  <si>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</si>
  <si>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</si>
  <si>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</si>
  <si>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</si>
  <si>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</si>
  <si>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</si>
  <si>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</si>
  <si>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</si>
  <si>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</si>
  <si>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</si>
  <si>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</si>
  <si>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</si>
  <si>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</si>
  <si>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</si>
  <si>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</si>
  <si>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</si>
  <si>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</si>
  <si>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</si>
  <si>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</si>
  <si>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</si>
  <si>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</si>
  <si>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</si>
  <si>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</si>
  <si>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</si>
  <si>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</si>
  <si>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</si>
  <si>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</si>
  <si>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</si>
  <si>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</si>
  <si>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</si>
  <si>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</si>
  <si>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</si>
  <si>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</si>
  <si>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</si>
  <si>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</si>
  <si>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</si>
  <si>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</si>
  <si>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</si>
  <si>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</si>
  <si>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</si>
  <si>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</si>
  <si>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</si>
  <si>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</si>
  <si>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</si>
  <si>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</si>
  <si>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</si>
  <si>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</si>
  <si>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</si>
  <si>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</si>
  <si>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</si>
  <si>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</si>
  <si>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</si>
  <si>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</si>
  <si>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</si>
  <si>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</si>
  <si>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</si>
  <si>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</si>
  <si>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</si>
  <si>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</si>
  <si>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</si>
  <si>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</si>
  <si>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</si>
  <si>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</si>
  <si>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</si>
  <si>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</si>
  <si>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</si>
  <si>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</si>
  <si>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F.DONOSO</t>
  </si>
  <si>
    <t>MDF18MM</t>
  </si>
  <si>
    <t>CONTADO</t>
  </si>
  <si>
    <t>SANTIAGO</t>
  </si>
  <si>
    <t>N° 11821</t>
  </si>
  <si>
    <t>NO</t>
  </si>
  <si>
    <t>ELIAS SANHUEZA</t>
  </si>
  <si>
    <t>+569 6834 4571</t>
  </si>
  <si>
    <t>CUB C/R R8</t>
  </si>
  <si>
    <t>BLANCO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</si>
</sst>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$76.000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SACAR DE STOCK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SACAR DE STOCK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9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137</v>
      </c>
      <c r="E8" s="1"/>
      <c r="F8" s="91" t="s">
        <v>27</v>
      </c>
      <c r="G8" s="92">
        <v>7392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108" t="s">
        <v>139</v>
      </c>
      <c r="D10" s="54"/>
      <c r="E10" s="54"/>
      <c r="F10" s="55" t="s">
        <v>28</v>
      </c>
      <c r="G10" s="56">
        <v>46071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9"/>
      <c r="D11" s="59"/>
      <c r="E11" s="59"/>
      <c r="F11" s="59" t="s">
        <v>124</v>
      </c>
      <c r="G11" s="60">
        <v>46078</v>
      </c>
      <c r="H11" s="61"/>
      <c r="I11" s="1"/>
    </row>
    <row r="12" spans="1:17" ht="15.6" x14ac:dyDescent="0.3">
      <c r="A12" s="1"/>
      <c r="B12" s="62" t="s">
        <v>130</v>
      </c>
      <c r="C12" s="110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D13" s="42"/>
      <c r="E13" s="42"/>
      <c r="F13" s="42" t="s">
        <v>128</v>
      </c>
      <c r="G13" s="63" t="s">
        <v>133</v>
      </c>
      <c r="H13" s="64"/>
      <c r="I13" s="1"/>
    </row>
    <row r="14" spans="1:17" ht="15.6" x14ac:dyDescent="0.3">
      <c r="A14" s="1"/>
      <c r="B14" s="62" t="s">
        <v>132</v>
      </c>
      <c r="C14" s="103"/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11" t="s">
        <v>140</v>
      </c>
      <c r="D15" s="65"/>
      <c r="E15" s="59"/>
      <c r="F15" s="59" t="s">
        <v>29</v>
      </c>
      <c r="G15" s="59" t="s">
        <v>138</v>
      </c>
      <c r="H15" s="61"/>
      <c r="I15" s="1"/>
    </row>
    <row r="16" spans="1:17" ht="16.8" x14ac:dyDescent="0.4">
      <c r="A16" s="1"/>
      <c r="B16" s="62" t="s">
        <v>1</v>
      </c>
      <c r="C16" s="102"/>
      <c r="D16" s="42"/>
      <c r="E16" s="42"/>
      <c r="F16" s="66" t="s">
        <v>75</v>
      </c>
      <c r="G16" s="105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4" t="s">
        <v>136</v>
      </c>
      <c r="D17" s="68"/>
      <c r="E17" s="69"/>
      <c r="F17" s="114" t="s">
        <v>18</v>
      </c>
      <c r="G17" s="114"/>
      <c r="H17" s="115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6" t="s">
        <v>19</v>
      </c>
      <c r="C20" s="117"/>
      <c r="D20" s="117"/>
      <c r="E20" s="117"/>
      <c r="F20" s="117"/>
      <c r="G20" s="117"/>
      <c r="H20" s="118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8">
        <v>1</v>
      </c>
      <c r="C22" s="112" t="s">
        <v>141</v>
      </c>
      <c r="D22" s="101">
        <v>1740</v>
      </c>
      <c r="E22" s="101">
        <v>520</v>
      </c>
      <c r="F22" s="98" t="s">
        <v>142</v>
      </c>
      <c r="G22" s="99">
        <v>66466</v>
      </c>
      <c r="H22" s="99">
        <f>G22*B22</f>
        <v>66466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>
        <v>1</v>
      </c>
      <c r="C23" s="112" t="s">
        <v>141</v>
      </c>
      <c r="D23" s="101">
        <v>1480</v>
      </c>
      <c r="E23" s="101">
        <v>550</v>
      </c>
      <c r="F23" s="98" t="s">
        <v>142</v>
      </c>
      <c r="G23" s="99">
        <v>59969</v>
      </c>
      <c r="H23" s="99">
        <f>G23*B23</f>
        <v>59969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/>
      <c r="C24" s="106"/>
      <c r="D24" s="107"/>
      <c r="E24" s="107"/>
      <c r="F24" s="106"/>
      <c r="G24" s="74"/>
      <c r="H24" s="74"/>
      <c r="I24" s="1"/>
      <c r="K24" s="17"/>
      <c r="L24" s="26"/>
      <c r="M24" s="17"/>
      <c r="N24" s="17"/>
      <c r="O24" s="26"/>
      <c r="P24" s="33"/>
    </row>
    <row r="25" spans="1:16" ht="15" customHeight="1" thickBot="1" x14ac:dyDescent="0.35">
      <c r="A25" s="1"/>
      <c r="B25" s="73"/>
      <c r="C25" s="73"/>
      <c r="D25" s="73"/>
      <c r="E25" s="73"/>
      <c r="F25" s="73"/>
      <c r="G25" s="74"/>
      <c r="H25" s="7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SUM(H22:H25)</f>
        <v>126435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H26*19%</f>
        <v>24022.65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150457.65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1"/>
      <c r="H29" s="94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1" t="s">
        <v>123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81" t="s">
        <v>122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4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opLeftCell="A23" zoomScaleNormal="100" workbookViewId="0">
      <selection activeCell="G3" sqref="A3:G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39" t="s">
        <v>27</v>
      </c>
      <c r="D4" s="14">
        <f>'4637'!G8</f>
        <v>7392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ELIAS SANHUEZA</v>
      </c>
      <c r="E5" s="42"/>
      <c r="F5" s="42"/>
      <c r="G5" s="1"/>
      <c r="K5">
        <f>LOOKUP(F14,REGLAS!$I$4:$I$37,REGLAS!$G$4:$G$37)+J14</f>
        <v>1790</v>
      </c>
      <c r="L5" t="e">
        <f>LOOKUP(#REF!,REGLAS!$I$4:$I$37,REGLAS!$H$4:$H$37)+#REF!</f>
        <v>#REF!</v>
      </c>
      <c r="M5">
        <f>LOOKUP(F22,REGLAS!$D$4:$D$37,REGLAS!$B$4:$B$37)+J22</f>
        <v>1780</v>
      </c>
      <c r="N5">
        <f>LOOKUP(F22,REGLAS!$D$4:$D$37,REGLAS!$C$4:$C$37)+K22</f>
        <v>650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46078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50</v>
      </c>
      <c r="E13" s="32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1</v>
      </c>
      <c r="C14" s="25"/>
      <c r="D14" s="25">
        <f>LOOKUP(F14,REGLAS!$I$4:$I$37,REGLAS!$G$4:$G$37)+J14</f>
        <v>1790</v>
      </c>
      <c r="E14" s="25">
        <f>LOOKUP(F14,REGLAS!$I$4:$I$37,REGLAS!$H$4:$H$37)+K14</f>
        <v>490</v>
      </c>
      <c r="F14" s="96" t="str">
        <f t="shared" ref="F14" si="1">C29</f>
        <v>CUB C/R R8</v>
      </c>
      <c r="G14" s="1"/>
      <c r="I14" s="3">
        <f t="shared" ref="I14:J15" si="2">I22</f>
        <v>1</v>
      </c>
      <c r="J14" s="4">
        <f t="shared" si="2"/>
        <v>1740</v>
      </c>
      <c r="K14" s="4">
        <f t="shared" ref="K14" si="3">E29</f>
        <v>520</v>
      </c>
    </row>
    <row r="15" spans="1:14" ht="15.6" x14ac:dyDescent="0.3">
      <c r="A15" s="93"/>
      <c r="B15" s="25">
        <f t="shared" ref="B15" si="4">I15</f>
        <v>1</v>
      </c>
      <c r="C15" s="25"/>
      <c r="D15" s="25">
        <f>LOOKUP(F15,REGLAS!$I$4:$I$37,REGLAS!$G$4:$G$37)+J15</f>
        <v>1530</v>
      </c>
      <c r="E15" s="25">
        <f>LOOKUP(F15,REGLAS!$I$4:$I$37,REGLAS!$H$4:$H$37)+K15</f>
        <v>520</v>
      </c>
      <c r="F15" s="96" t="str">
        <f t="shared" ref="F15" si="5">C30</f>
        <v>CUB C/R R8</v>
      </c>
      <c r="G15" s="1"/>
      <c r="I15" s="3">
        <f t="shared" si="2"/>
        <v>1</v>
      </c>
      <c r="J15" s="4">
        <f t="shared" si="2"/>
        <v>1480</v>
      </c>
      <c r="K15" s="4">
        <f t="shared" ref="K15" si="6">E30</f>
        <v>550</v>
      </c>
    </row>
    <row r="16" spans="1:14" ht="15.6" x14ac:dyDescent="0.3">
      <c r="A16" s="51"/>
      <c r="B16" s="6"/>
      <c r="C16" s="6"/>
      <c r="D16" s="6"/>
      <c r="E16" s="6"/>
      <c r="F16" s="6"/>
      <c r="G16" s="1"/>
      <c r="I16" s="87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5" t="s">
        <v>10</v>
      </c>
      <c r="C21" s="35" t="s">
        <v>11</v>
      </c>
      <c r="D21" s="21">
        <v>40</v>
      </c>
      <c r="E21" s="21">
        <v>70</v>
      </c>
      <c r="F21" s="35" t="s">
        <v>110</v>
      </c>
      <c r="G21" s="1"/>
      <c r="J21" s="5" t="s">
        <v>7</v>
      </c>
      <c r="K21" s="5" t="s">
        <v>8</v>
      </c>
    </row>
    <row r="22" spans="1:11" ht="15.6" x14ac:dyDescent="0.3">
      <c r="A22" s="93"/>
      <c r="B22" s="16">
        <f t="shared" ref="B22" si="7">I22</f>
        <v>1</v>
      </c>
      <c r="C22" s="16"/>
      <c r="D22" s="16">
        <f>LOOKUP(F22,REGLAS!$D$4:$D$37,REGLAS!$B$4:$B$37)+J22</f>
        <v>1780</v>
      </c>
      <c r="E22" s="16">
        <f>LOOKUP(F22,REGLAS!$D$4:$D$37,REGLAS!$C$4:$C$37)+K22</f>
        <v>650</v>
      </c>
      <c r="F22" s="97" t="str">
        <f t="shared" ref="F22" si="8">C29</f>
        <v>CUB C/R R8</v>
      </c>
      <c r="G22" s="1"/>
      <c r="I22" s="3">
        <f t="shared" ref="I22" si="9">B29</f>
        <v>1</v>
      </c>
      <c r="J22" s="4">
        <f>D29</f>
        <v>1740</v>
      </c>
      <c r="K22" s="4">
        <f>E29</f>
        <v>520</v>
      </c>
    </row>
    <row r="23" spans="1:11" ht="15.6" x14ac:dyDescent="0.3">
      <c r="A23" s="93"/>
      <c r="B23" s="16">
        <f t="shared" ref="B23" si="10">I23</f>
        <v>1</v>
      </c>
      <c r="C23" s="16"/>
      <c r="D23" s="16">
        <f>LOOKUP(F23,REGLAS!$D$4:$D$37,REGLAS!$B$4:$B$37)+J23</f>
        <v>1520</v>
      </c>
      <c r="E23" s="16">
        <f>LOOKUP(F23,REGLAS!$D$4:$D$37,REGLAS!$C$4:$C$37)+K23</f>
        <v>680</v>
      </c>
      <c r="F23" s="97" t="str">
        <f t="shared" ref="F23" si="11">C30</f>
        <v>CUB C/R R8</v>
      </c>
      <c r="G23" s="1"/>
      <c r="I23" s="3">
        <f t="shared" ref="I23" si="12">B30</f>
        <v>1</v>
      </c>
      <c r="J23" s="4">
        <f>D30</f>
        <v>1480</v>
      </c>
      <c r="K23" s="4">
        <f>E30</f>
        <v>550</v>
      </c>
    </row>
    <row r="24" spans="1:11" ht="15.6" x14ac:dyDescent="0.3">
      <c r="A24" s="93"/>
      <c r="B24" s="6"/>
      <c r="C24" s="6"/>
      <c r="D24" s="6"/>
      <c r="E24" s="6"/>
      <c r="F24" s="100"/>
      <c r="G24" s="1"/>
      <c r="I24" s="87"/>
      <c r="J24" s="2"/>
      <c r="K24" s="2"/>
    </row>
    <row r="25" spans="1:11" ht="16.2" thickBot="1" x14ac:dyDescent="0.35">
      <c r="A25" s="51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1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1" t="s">
        <v>9</v>
      </c>
      <c r="B28" s="86" t="s">
        <v>10</v>
      </c>
      <c r="C28" s="86" t="s">
        <v>110</v>
      </c>
      <c r="D28" s="86" t="s">
        <v>7</v>
      </c>
      <c r="E28" s="86" t="s">
        <v>8</v>
      </c>
      <c r="F28" s="86" t="s">
        <v>23</v>
      </c>
      <c r="G28" s="1"/>
    </row>
    <row r="29" spans="1:11" ht="15.6" x14ac:dyDescent="0.3">
      <c r="A29" s="93" t="s">
        <v>134</v>
      </c>
      <c r="B29" s="25">
        <f>'4637'!B22</f>
        <v>1</v>
      </c>
      <c r="C29" s="96" t="str">
        <f>'4637'!C22</f>
        <v>CUB C/R R8</v>
      </c>
      <c r="D29" s="25">
        <f>'4637'!D22</f>
        <v>1740</v>
      </c>
      <c r="E29" s="25">
        <f>'4637'!E22</f>
        <v>520</v>
      </c>
      <c r="F29" s="25" t="str">
        <f>'4637'!F22</f>
        <v>BLANCO MT</v>
      </c>
      <c r="G29" s="1"/>
    </row>
    <row r="30" spans="1:11" ht="15.6" x14ac:dyDescent="0.3">
      <c r="A30" s="93"/>
      <c r="B30" s="25">
        <f>'4637'!B23</f>
        <v>1</v>
      </c>
      <c r="C30" s="96" t="str">
        <f>'4637'!C23</f>
        <v>CUB C/R R8</v>
      </c>
      <c r="D30" s="25">
        <f>'4637'!D23</f>
        <v>1480</v>
      </c>
      <c r="E30" s="25">
        <f>'4637'!E23</f>
        <v>550</v>
      </c>
      <c r="F30" s="25" t="str">
        <f>'4637'!F23</f>
        <v>BLANCO MT</v>
      </c>
      <c r="G30" s="1"/>
    </row>
    <row r="31" spans="1:11" ht="15.6" x14ac:dyDescent="0.3">
      <c r="A31" s="93"/>
      <c r="B31" s="6"/>
      <c r="C31" s="100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39" t="s">
        <v>27</v>
      </c>
      <c r="D41" s="14">
        <f>'4637'!G8</f>
        <v>7392</v>
      </c>
      <c r="E41" s="1"/>
      <c r="F41" s="1"/>
      <c r="G41" s="1"/>
    </row>
    <row r="42" spans="1:7" ht="17.25" customHeight="1" x14ac:dyDescent="0.3">
      <c r="A42" s="1"/>
      <c r="B42" s="1"/>
      <c r="C42" s="40" t="s">
        <v>67</v>
      </c>
      <c r="D42" s="41" t="str">
        <f>'4637'!C10</f>
        <v>ELIAS SANHUEZA</v>
      </c>
      <c r="E42" s="42"/>
      <c r="F42" s="42"/>
      <c r="G42" s="1"/>
    </row>
    <row r="43" spans="1:7" ht="4.5" customHeight="1" x14ac:dyDescent="0.3">
      <c r="A43" s="1"/>
      <c r="B43" s="1"/>
      <c r="C43" s="43"/>
      <c r="D43" s="44"/>
      <c r="E43" s="1"/>
      <c r="F43" s="1"/>
      <c r="G43" s="1"/>
    </row>
    <row r="44" spans="1:7" ht="15.6" x14ac:dyDescent="0.3">
      <c r="A44" s="1"/>
      <c r="B44" s="1"/>
      <c r="C44" s="45" t="str">
        <f>'4637'!F11</f>
        <v>FECHA LIMITE :</v>
      </c>
      <c r="D44" s="13">
        <f>'4637'!G11</f>
        <v>46078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2" t="s">
        <v>68</v>
      </c>
      <c r="B47" s="122"/>
      <c r="C47" s="122"/>
      <c r="D47" s="122"/>
      <c r="E47" s="122"/>
      <c r="F47" s="122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3" t="s">
        <v>69</v>
      </c>
      <c r="C49" s="124"/>
      <c r="D49" s="125"/>
      <c r="E49" s="125"/>
      <c r="F49" s="126"/>
      <c r="G49" s="1"/>
    </row>
    <row r="50" spans="1:7" s="15" customFormat="1" ht="12.75" customHeight="1" x14ac:dyDescent="0.3">
      <c r="A50" s="1"/>
      <c r="B50" s="35" t="s">
        <v>10</v>
      </c>
      <c r="C50" s="46" t="s">
        <v>11</v>
      </c>
      <c r="D50" s="47" t="s">
        <v>7</v>
      </c>
      <c r="E50" s="47" t="s">
        <v>8</v>
      </c>
      <c r="F50" s="48" t="s">
        <v>12</v>
      </c>
      <c r="G50" s="1"/>
    </row>
    <row r="51" spans="1:7" s="15" customFormat="1" ht="15" customHeight="1" x14ac:dyDescent="0.3">
      <c r="A51" s="93" t="s">
        <v>134</v>
      </c>
      <c r="B51" s="37">
        <f>'4637'!B22</f>
        <v>1</v>
      </c>
      <c r="C51" s="95" t="str">
        <f>'4637'!C22</f>
        <v>CUB C/R R8</v>
      </c>
      <c r="D51" s="38">
        <f>'4637'!D22</f>
        <v>1740</v>
      </c>
      <c r="E51" s="38">
        <f>'4637'!E22</f>
        <v>520</v>
      </c>
      <c r="F51" s="37" t="str">
        <f>'4637'!F22</f>
        <v>BLANCO MT</v>
      </c>
      <c r="G51" s="1"/>
    </row>
    <row r="52" spans="1:7" s="15" customFormat="1" ht="15" customHeight="1" x14ac:dyDescent="0.3">
      <c r="A52" s="93"/>
      <c r="B52" s="37">
        <f>'4637'!B23</f>
        <v>1</v>
      </c>
      <c r="C52" s="95" t="str">
        <f>'4637'!C23</f>
        <v>CUB C/R R8</v>
      </c>
      <c r="D52" s="38">
        <f>'4637'!D23</f>
        <v>1480</v>
      </c>
      <c r="E52" s="38">
        <f>'4637'!E23</f>
        <v>550</v>
      </c>
      <c r="F52" s="37" t="str">
        <f>'4637'!F23</f>
        <v>BLANCO MT</v>
      </c>
      <c r="G52" s="1"/>
    </row>
    <row r="53" spans="1:7" s="15" customFormat="1" ht="15" customHeight="1" x14ac:dyDescent="0.3">
      <c r="A53" s="93"/>
      <c r="B53" s="51"/>
      <c r="C53" s="113"/>
      <c r="D53" s="51"/>
      <c r="E53" s="51"/>
      <c r="F53" s="51"/>
      <c r="G53" s="1"/>
    </row>
    <row r="54" spans="1:7" s="15" customFormat="1" ht="15" customHeight="1" x14ac:dyDescent="0.3">
      <c r="A54" s="49"/>
      <c r="B54" s="51"/>
      <c r="C54" s="51"/>
      <c r="D54" s="51"/>
      <c r="E54" s="51"/>
      <c r="F54" s="51"/>
      <c r="G54" s="1"/>
    </row>
    <row r="55" spans="1:7" ht="15.6" x14ac:dyDescent="0.3">
      <c r="A55" s="6"/>
      <c r="B55" s="6"/>
      <c r="C55" s="1"/>
      <c r="D55" s="6"/>
      <c r="E55" s="6"/>
      <c r="F55" s="43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0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2026-02-23T17:28:19Z</cp:lastPrinted>
  <dcterms:created xsi:type="dcterms:W3CDTF">2013-03-19T12:54:14Z</dcterms:created>
  <dcterms:modified xsi:type="dcterms:W3CDTF">2026-02-23T17:29:37Z</dcterms:modified>
</cp:coreProperties>
</file>