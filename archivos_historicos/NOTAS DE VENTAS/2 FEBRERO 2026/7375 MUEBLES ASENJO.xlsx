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2 FEBRERO 2026\"/>
    </mc:Choice>
  </mc:AlternateContent>
  <xr:revisionPtr revIDLastSave="0" documentId="13_ncr:1_{CC33E7D6-15C1-459E-88C5-7F6F6FF65D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CUBIERTA!$A$45:$F$72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I25" i="3"/>
  <c r="I15" i="3" s="1"/>
  <c r="B15" i="3" s="1"/>
  <c r="J25" i="3"/>
  <c r="I26" i="3"/>
  <c r="B26" i="3" s="1"/>
  <c r="I27" i="3"/>
  <c r="J15" i="3"/>
  <c r="D15" i="3" s="1"/>
  <c r="I17" i="3"/>
  <c r="B17" i="3" s="1"/>
  <c r="B25" i="3"/>
  <c r="D25" i="3"/>
  <c r="B27" i="3"/>
  <c r="B34" i="3"/>
  <c r="C34" i="3"/>
  <c r="F25" i="3" s="1"/>
  <c r="D34" i="3"/>
  <c r="E34" i="3"/>
  <c r="K25" i="3" s="1"/>
  <c r="F34" i="3"/>
  <c r="B35" i="3"/>
  <c r="C35" i="3"/>
  <c r="F16" i="3" s="1"/>
  <c r="D35" i="3"/>
  <c r="J26" i="3" s="1"/>
  <c r="J16" i="3" s="1"/>
  <c r="D16" i="3" s="1"/>
  <c r="E35" i="3"/>
  <c r="K26" i="3" s="1"/>
  <c r="F35" i="3"/>
  <c r="B36" i="3"/>
  <c r="C36" i="3"/>
  <c r="F27" i="3" s="1"/>
  <c r="D36" i="3"/>
  <c r="J27" i="3" s="1"/>
  <c r="E36" i="3"/>
  <c r="K27" i="3" s="1"/>
  <c r="K17" i="3" s="1"/>
  <c r="E17" i="3" s="1"/>
  <c r="F36" i="3"/>
  <c r="D57" i="3"/>
  <c r="E57" i="3"/>
  <c r="F57" i="3"/>
  <c r="D58" i="3"/>
  <c r="E58" i="3"/>
  <c r="F58" i="3"/>
  <c r="D59" i="3"/>
  <c r="E59" i="3"/>
  <c r="F59" i="3"/>
  <c r="D60" i="3"/>
  <c r="E60" i="3"/>
  <c r="F60" i="3"/>
  <c r="C58" i="3"/>
  <c r="C59" i="3"/>
  <c r="C60" i="3"/>
  <c r="H23" i="4"/>
  <c r="H24" i="4"/>
  <c r="H22" i="4"/>
  <c r="H21" i="4"/>
  <c r="K15" i="3" l="1"/>
  <c r="E15" i="3" s="1"/>
  <c r="E25" i="3"/>
  <c r="K16" i="3"/>
  <c r="E16" i="3" s="1"/>
  <c r="E26" i="3"/>
  <c r="D27" i="3"/>
  <c r="J17" i="3"/>
  <c r="D17" i="3" s="1"/>
  <c r="F15" i="3"/>
  <c r="F17" i="3"/>
  <c r="F26" i="3"/>
  <c r="I16" i="3"/>
  <c r="B16" i="3" s="1"/>
  <c r="E27" i="3"/>
  <c r="D26" i="3"/>
  <c r="B33" i="3"/>
  <c r="I24" i="3" s="1"/>
  <c r="I14" i="3" s="1"/>
  <c r="B14" i="3" s="1"/>
  <c r="C33" i="3"/>
  <c r="F14" i="3" s="1"/>
  <c r="D33" i="3"/>
  <c r="J24" i="3" s="1"/>
  <c r="E33" i="3"/>
  <c r="F33" i="3"/>
  <c r="B57" i="3"/>
  <c r="C57" i="3"/>
  <c r="H28" i="4"/>
  <c r="K24" i="3" l="1"/>
  <c r="K14" i="3" s="1"/>
  <c r="D24" i="3"/>
  <c r="J14" i="3"/>
  <c r="D14" i="3" s="1"/>
  <c r="B24" i="3"/>
  <c r="F24" i="3"/>
  <c r="H29" i="4" l="1"/>
  <c r="H30" i="4" l="1"/>
  <c r="N5" i="3" l="1"/>
  <c r="M5" i="3" l="1"/>
  <c r="L5" i="3"/>
  <c r="K5" i="3"/>
  <c r="C50" i="3" l="1"/>
  <c r="C7" i="3"/>
  <c r="D48" i="3"/>
  <c r="D5" i="3"/>
  <c r="D50" i="3"/>
  <c r="D7" i="3"/>
  <c r="D47" i="3"/>
  <c r="D4" i="3"/>
</calcChain>
</file>

<file path=xl/sharedStrings.xml><?xml version="1.0" encoding="utf-8"?>
<sst xmlns="http://schemas.openxmlformats.org/spreadsheetml/2006/main" count="249" uniqueCount="139">
  <si>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</si>
  <si>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</si>
  <si>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</si>
  <si>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</si>
  <si>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</si>
  <si>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</si>
  <si>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</si>
  <si>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</si>
  <si>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</si>
  <si>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</si>
  <si>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</si>
  <si>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</si>
  <si>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</si>
  <si>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</si>
  <si>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</si>
  <si>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</si>
  <si>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</si>
  <si>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</si>
  <si>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</si>
  <si>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</si>
  <si>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</si>
  <si>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</si>
  <si>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</si>
  <si>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</si>
  <si>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</si>
  <si>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</si>
  <si>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</si>
  <si>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</si>
  <si>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</si>
  <si>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</si>
  <si>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</si>
  <si>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</si>
  <si>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</si>
  <si>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</si>
  <si>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</si>
  <si>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</si>
  <si>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</si>
  <si>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</si>
  <si>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</si>
  <si>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</si>
  <si>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</si>
  <si>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</si>
  <si>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</si>
  <si>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</si>
  <si>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</si>
  <si>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</si>
  <si>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</si>
  <si>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</si>
  <si>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</si>
  <si>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</si>
  <si>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</si>
  <si>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</si>
  <si>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</si>
  <si>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</si>
  <si>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</si>
  <si>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</si>
  <si>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</si>
  <si>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</si>
  <si>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</si>
  <si>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</si>
  <si>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</si>
  <si>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</si>
  <si>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</si>
  <si>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</si>
  <si>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</si>
  <si>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</si>
  <si>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</si>
  <si>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</si>
  <si>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</si>
  <si>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</si>
  <si>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</si>
  <si>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</si>
  <si>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</si>
  <si>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</si>
  <si>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</si>
  <si>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</si>
  <si>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</si>
  <si>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</si>
  <si>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</si>
  <si>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</si>
  <si>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</si>
  <si>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</si>
  <si>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</si>
  <si>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</si>
  <si>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</si>
  <si>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</si>
  <si>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</si>
  <si>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</si>
  <si>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</si>
  <si>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</si>
  <si>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</si>
  <si>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</si>
  <si>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</si>
  <si>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</si>
  <si>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</si>
  <si>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</si>
  <si>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</si>
  <si>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</si>
  <si>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</si>
  <si>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</si>
  <si>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</si>
  <si>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</si>
  <si>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</si>
  <si>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</si>
  <si>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</si>
  <si>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</si>
  <si>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</si>
  <si>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</si>
  <si>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</si>
  <si>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</si>
  <si>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</si>
  <si>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</si>
  <si>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</si>
  <si>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</si>
  <si>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</si>
  <si>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</si>
  <si>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</si>
  <si>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</si>
  <si>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</si>
  <si>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</si>
  <si>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</si>
  <si>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</si>
  <si>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</si>
  <si>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</si>
  <si>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</si>
  <si>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</si>
  <si>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</si>
  <si>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</si>
  <si>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</si>
  <si>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</si>
  <si>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</si>
  <si>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</si>
  <si>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</si>
  <si>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</si>
  <si>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</si>
  <si>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</si>
  <si>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</si>
  <si>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FASHION GREY 21371 SF</t>
  </si>
  <si>
    <t>N° 11864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</si>
</sst>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27</xdr:row>
      <xdr:rowOff>11430</xdr:rowOff>
    </xdr:from>
    <xdr:to>
      <xdr:col>5</xdr:col>
      <xdr:colOff>1386840</xdr:colOff>
      <xdr:row>30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51</xdr:row>
      <xdr:rowOff>171450</xdr:rowOff>
    </xdr:from>
    <xdr:to>
      <xdr:col>5</xdr:col>
      <xdr:colOff>1685924</xdr:colOff>
      <xdr:row>53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38100</xdr:rowOff>
    </xdr:from>
    <xdr:to>
      <xdr:col>6</xdr:col>
      <xdr:colOff>0</xdr:colOff>
      <xdr:row>48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62</xdr:row>
      <xdr:rowOff>0</xdr:rowOff>
    </xdr:from>
    <xdr:to>
      <xdr:col>2</xdr:col>
      <xdr:colOff>38100</xdr:colOff>
      <xdr:row>63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62</xdr:row>
      <xdr:rowOff>0</xdr:rowOff>
    </xdr:from>
    <xdr:to>
      <xdr:col>2</xdr:col>
      <xdr:colOff>1019175</xdr:colOff>
      <xdr:row>62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0</xdr:rowOff>
    </xdr:from>
    <xdr:to>
      <xdr:col>3</xdr:col>
      <xdr:colOff>352425</xdr:colOff>
      <xdr:row>63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0</xdr:rowOff>
    </xdr:from>
    <xdr:to>
      <xdr:col>4</xdr:col>
      <xdr:colOff>257175</xdr:colOff>
      <xdr:row>63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0</xdr:rowOff>
    </xdr:from>
    <xdr:to>
      <xdr:col>5</xdr:col>
      <xdr:colOff>447675</xdr:colOff>
      <xdr:row>62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0</xdr:rowOff>
    </xdr:from>
    <xdr:to>
      <xdr:col>6</xdr:col>
      <xdr:colOff>0</xdr:colOff>
      <xdr:row>62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62</xdr:row>
      <xdr:rowOff>190500</xdr:rowOff>
    </xdr:from>
    <xdr:to>
      <xdr:col>2</xdr:col>
      <xdr:colOff>304800</xdr:colOff>
      <xdr:row>64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62</xdr:row>
      <xdr:rowOff>190500</xdr:rowOff>
    </xdr:from>
    <xdr:to>
      <xdr:col>2</xdr:col>
      <xdr:colOff>1276350</xdr:colOff>
      <xdr:row>64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62</xdr:row>
      <xdr:rowOff>190500</xdr:rowOff>
    </xdr:from>
    <xdr:to>
      <xdr:col>3</xdr:col>
      <xdr:colOff>619125</xdr:colOff>
      <xdr:row>64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62</xdr:row>
      <xdr:rowOff>190500</xdr:rowOff>
    </xdr:from>
    <xdr:to>
      <xdr:col>4</xdr:col>
      <xdr:colOff>523875</xdr:colOff>
      <xdr:row>64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62</xdr:row>
      <xdr:rowOff>190500</xdr:rowOff>
    </xdr:from>
    <xdr:to>
      <xdr:col>5</xdr:col>
      <xdr:colOff>723900</xdr:colOff>
      <xdr:row>64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62</xdr:row>
      <xdr:rowOff>190500</xdr:rowOff>
    </xdr:from>
    <xdr:to>
      <xdr:col>6</xdr:col>
      <xdr:colOff>0</xdr:colOff>
      <xdr:row>64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38</xdr:row>
      <xdr:rowOff>15239</xdr:rowOff>
    </xdr:from>
    <xdr:to>
      <xdr:col>6</xdr:col>
      <xdr:colOff>68580</xdr:colOff>
      <xdr:row>42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28</xdr:row>
      <xdr:rowOff>200025</xdr:rowOff>
    </xdr:from>
    <xdr:to>
      <xdr:col>6</xdr:col>
      <xdr:colOff>19049</xdr:colOff>
      <xdr:row>30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65</xdr:row>
      <xdr:rowOff>32385</xdr:rowOff>
    </xdr:from>
    <xdr:to>
      <xdr:col>6</xdr:col>
      <xdr:colOff>19050</xdr:colOff>
      <xdr:row>69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45</xdr:row>
      <xdr:rowOff>41910</xdr:rowOff>
    </xdr:from>
    <xdr:to>
      <xdr:col>1</xdr:col>
      <xdr:colOff>556018</xdr:colOff>
      <xdr:row>51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A6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138</v>
      </c>
      <c r="E8" s="1"/>
      <c r="F8" s="92" t="s">
        <v>27</v>
      </c>
      <c r="G8" s="93">
        <v>7375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136</v>
      </c>
      <c r="D10" s="54"/>
      <c r="E10" s="54"/>
      <c r="F10" s="55" t="s">
        <v>28</v>
      </c>
      <c r="G10" s="56">
        <v>46056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/>
      <c r="H11" s="61"/>
      <c r="I11" s="1"/>
    </row>
    <row r="12" spans="1:17" ht="16.2" thickBot="1" x14ac:dyDescent="0.35">
      <c r="A12" s="1"/>
      <c r="B12" s="62" t="s">
        <v>130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132</v>
      </c>
      <c r="C13" s="85"/>
      <c r="D13" s="42"/>
      <c r="E13" s="42"/>
      <c r="F13" s="42" t="s">
        <v>128</v>
      </c>
      <c r="G13" s="63"/>
      <c r="H13" s="64"/>
      <c r="I13" s="1"/>
    </row>
    <row r="14" spans="1:17" ht="15.6" x14ac:dyDescent="0.3">
      <c r="A14" s="1"/>
      <c r="B14" s="58" t="s">
        <v>17</v>
      </c>
      <c r="C14" s="100"/>
      <c r="D14" s="65"/>
      <c r="E14" s="59"/>
      <c r="F14" s="59" t="s">
        <v>29</v>
      </c>
      <c r="G14" s="59" t="s">
        <v>134</v>
      </c>
      <c r="H14" s="61"/>
      <c r="I14" s="1"/>
    </row>
    <row r="15" spans="1:17" ht="15.6" x14ac:dyDescent="0.3">
      <c r="A15" s="1"/>
      <c r="B15" s="62" t="s">
        <v>1</v>
      </c>
      <c r="C15" s="96"/>
      <c r="D15" s="42"/>
      <c r="E15" s="42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131</v>
      </c>
      <c r="D16" s="68"/>
      <c r="E16" s="69"/>
      <c r="F16" s="121" t="s">
        <v>18</v>
      </c>
      <c r="G16" s="121"/>
      <c r="H16" s="12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3" t="s">
        <v>19</v>
      </c>
      <c r="C19" s="124"/>
      <c r="D19" s="124"/>
      <c r="E19" s="124"/>
      <c r="F19" s="124"/>
      <c r="G19" s="124"/>
      <c r="H19" s="125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9">
        <v>2</v>
      </c>
      <c r="C21" s="110" t="s">
        <v>127</v>
      </c>
      <c r="D21" s="111">
        <v>1600</v>
      </c>
      <c r="E21" s="111">
        <v>600</v>
      </c>
      <c r="F21" s="110" t="s">
        <v>137</v>
      </c>
      <c r="G21" s="112">
        <v>53378</v>
      </c>
      <c r="H21" s="113">
        <f t="shared" ref="H21" si="0">G21*B21</f>
        <v>106756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14">
        <v>1</v>
      </c>
      <c r="C22" s="101" t="s">
        <v>127</v>
      </c>
      <c r="D22" s="103">
        <v>2844</v>
      </c>
      <c r="E22" s="103">
        <v>600</v>
      </c>
      <c r="F22" s="101" t="s">
        <v>137</v>
      </c>
      <c r="G22" s="102">
        <v>92904</v>
      </c>
      <c r="H22" s="115">
        <f>G22*B22</f>
        <v>92904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4">
        <v>3</v>
      </c>
      <c r="C23" s="101" t="s">
        <v>127</v>
      </c>
      <c r="D23" s="103">
        <v>1200</v>
      </c>
      <c r="E23" s="103">
        <v>600</v>
      </c>
      <c r="F23" s="101" t="s">
        <v>137</v>
      </c>
      <c r="G23" s="102">
        <v>40669</v>
      </c>
      <c r="H23" s="115">
        <f t="shared" ref="H23:H24" si="1">G23*B23</f>
        <v>122007</v>
      </c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16">
        <v>1</v>
      </c>
      <c r="C24" s="117" t="s">
        <v>127</v>
      </c>
      <c r="D24" s="118">
        <v>1380</v>
      </c>
      <c r="E24" s="118">
        <v>600</v>
      </c>
      <c r="F24" s="117" t="s">
        <v>137</v>
      </c>
      <c r="G24" s="119">
        <v>46388</v>
      </c>
      <c r="H24" s="120">
        <f t="shared" si="1"/>
        <v>46388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07"/>
      <c r="C25" s="107"/>
      <c r="D25" s="108"/>
      <c r="E25" s="108"/>
      <c r="F25" s="107"/>
      <c r="G25" s="74"/>
      <c r="H25" s="74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07"/>
      <c r="C26" s="107"/>
      <c r="D26" s="108"/>
      <c r="E26" s="108"/>
      <c r="F26" s="107"/>
      <c r="G26" s="74"/>
      <c r="H26" s="74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3"/>
      <c r="C27" s="73"/>
      <c r="D27" s="73"/>
      <c r="E27" s="73"/>
      <c r="F27" s="73"/>
      <c r="G27" s="74"/>
      <c r="H27" s="74"/>
      <c r="I27" s="1"/>
    </row>
    <row r="28" spans="1:16" ht="15.6" x14ac:dyDescent="0.3">
      <c r="A28" s="1"/>
      <c r="B28" s="1"/>
      <c r="C28" s="1"/>
      <c r="D28" s="1"/>
      <c r="E28" s="1"/>
      <c r="F28" s="1"/>
      <c r="G28" s="75" t="s">
        <v>5</v>
      </c>
      <c r="H28" s="76">
        <f>SUM(H21:H27)</f>
        <v>368055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7" t="s">
        <v>6</v>
      </c>
      <c r="H29" s="78">
        <f>H28*19%</f>
        <v>69930.45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79" t="s">
        <v>4</v>
      </c>
      <c r="H30" s="80">
        <f>H28+H29</f>
        <v>437985.45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1"/>
      <c r="H31" s="95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1" t="s">
        <v>123</v>
      </c>
      <c r="C33" s="82"/>
      <c r="D33" s="83"/>
      <c r="E33" s="83"/>
      <c r="F33" s="73"/>
      <c r="G33" s="1"/>
      <c r="H33" s="1"/>
      <c r="I33" s="1"/>
    </row>
    <row r="34" spans="1:9" ht="15.6" x14ac:dyDescent="0.3">
      <c r="A34" s="1"/>
      <c r="B34" s="81" t="s">
        <v>122</v>
      </c>
      <c r="C34" s="82"/>
      <c r="D34" s="83"/>
      <c r="E34" s="83"/>
      <c r="F34" s="73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4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31</v>
      </c>
      <c r="C2" s="126"/>
      <c r="D2" s="126"/>
      <c r="E2" s="18"/>
      <c r="G2" s="126" t="s">
        <v>70</v>
      </c>
      <c r="H2" s="126"/>
      <c r="I2" s="126"/>
      <c r="P2" s="127" t="s">
        <v>58</v>
      </c>
      <c r="Q2" s="127"/>
      <c r="R2" s="12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7" t="s">
        <v>58</v>
      </c>
      <c r="M8" s="127"/>
      <c r="N8" s="12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3"/>
  <sheetViews>
    <sheetView zoomScaleNormal="100" workbookViewId="0">
      <selection activeCell="G43" sqref="A1:G43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8" t="s">
        <v>61</v>
      </c>
      <c r="L3" s="128"/>
      <c r="M3" s="128" t="s">
        <v>14</v>
      </c>
      <c r="N3" s="128"/>
    </row>
    <row r="4" spans="1:14" ht="15.75" customHeight="1" x14ac:dyDescent="0.3">
      <c r="A4" s="1"/>
      <c r="B4" s="1"/>
      <c r="C4" s="39" t="s">
        <v>27</v>
      </c>
      <c r="D4" s="14">
        <f>'4637'!G8</f>
        <v>7375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9" t="s">
        <v>61</v>
      </c>
      <c r="B10" s="129"/>
      <c r="C10" s="129"/>
      <c r="D10" s="129"/>
      <c r="E10" s="129"/>
      <c r="F10" s="12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135</v>
      </c>
      <c r="B14" s="25">
        <f t="shared" ref="B14" si="0">I14</f>
        <v>2</v>
      </c>
      <c r="C14" s="25"/>
      <c r="D14" s="25">
        <f>J14+$D$13</f>
        <v>1650</v>
      </c>
      <c r="E14" s="35">
        <v>460</v>
      </c>
      <c r="F14" s="98" t="str">
        <f>C33</f>
        <v>CUB C/R R6</v>
      </c>
      <c r="G14" s="1"/>
      <c r="I14" s="88">
        <f>I24</f>
        <v>2</v>
      </c>
      <c r="J14" s="4">
        <f>J24</f>
        <v>1600</v>
      </c>
      <c r="K14" s="4">
        <f>K24</f>
        <v>600</v>
      </c>
    </row>
    <row r="15" spans="1:14" ht="15.6" x14ac:dyDescent="0.3">
      <c r="A15" s="94"/>
      <c r="B15" s="25">
        <f t="shared" ref="B15:B17" si="1">I15</f>
        <v>1</v>
      </c>
      <c r="C15" s="25"/>
      <c r="D15" s="25">
        <f t="shared" ref="D15:D17" si="2">J15+$D$13</f>
        <v>2894</v>
      </c>
      <c r="E15" s="35">
        <f t="shared" ref="E15:E17" si="3">K15+$E$13</f>
        <v>570</v>
      </c>
      <c r="F15" s="98" t="str">
        <f t="shared" ref="F15:F17" si="4">C34</f>
        <v>CUB C/R R6</v>
      </c>
      <c r="G15" s="1"/>
      <c r="I15" s="88">
        <f t="shared" ref="I15:K15" si="5">I25</f>
        <v>1</v>
      </c>
      <c r="J15" s="4">
        <f t="shared" si="5"/>
        <v>2844</v>
      </c>
      <c r="K15" s="4">
        <f t="shared" si="5"/>
        <v>600</v>
      </c>
    </row>
    <row r="16" spans="1:14" ht="15.6" x14ac:dyDescent="0.3">
      <c r="A16" s="94"/>
      <c r="B16" s="25">
        <f t="shared" si="1"/>
        <v>3</v>
      </c>
      <c r="C16" s="25"/>
      <c r="D16" s="25">
        <f t="shared" si="2"/>
        <v>1250</v>
      </c>
      <c r="E16" s="35">
        <f t="shared" si="3"/>
        <v>570</v>
      </c>
      <c r="F16" s="98" t="str">
        <f t="shared" si="4"/>
        <v>CUB C/R R6</v>
      </c>
      <c r="G16" s="1"/>
      <c r="I16" s="88">
        <f t="shared" ref="I16:K16" si="6">I26</f>
        <v>3</v>
      </c>
      <c r="J16" s="4">
        <f t="shared" si="6"/>
        <v>1200</v>
      </c>
      <c r="K16" s="4">
        <f t="shared" si="6"/>
        <v>600</v>
      </c>
    </row>
    <row r="17" spans="1:11" ht="15.6" x14ac:dyDescent="0.3">
      <c r="A17" s="94"/>
      <c r="B17" s="25">
        <f t="shared" si="1"/>
        <v>1</v>
      </c>
      <c r="C17" s="25"/>
      <c r="D17" s="25">
        <f t="shared" si="2"/>
        <v>1430</v>
      </c>
      <c r="E17" s="35">
        <f t="shared" si="3"/>
        <v>570</v>
      </c>
      <c r="F17" s="98" t="str">
        <f t="shared" si="4"/>
        <v>CUB C/R R6</v>
      </c>
      <c r="G17" s="1"/>
      <c r="I17" s="88">
        <f t="shared" ref="I17:K17" si="7">I27</f>
        <v>1</v>
      </c>
      <c r="J17" s="4">
        <f t="shared" si="7"/>
        <v>1380</v>
      </c>
      <c r="K17" s="4">
        <f t="shared" si="7"/>
        <v>600</v>
      </c>
    </row>
    <row r="18" spans="1:11" ht="15.6" x14ac:dyDescent="0.3">
      <c r="A18" s="51"/>
      <c r="B18" s="6"/>
      <c r="C18" s="6"/>
      <c r="D18" s="6"/>
      <c r="E18" s="104"/>
      <c r="F18" s="6"/>
      <c r="G18" s="1"/>
      <c r="I18" s="88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29" t="s">
        <v>14</v>
      </c>
      <c r="B20" s="129"/>
      <c r="C20" s="129"/>
      <c r="D20" s="129"/>
      <c r="E20" s="129"/>
      <c r="F20" s="129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1" t="s">
        <v>7</v>
      </c>
      <c r="E22" s="51" t="s">
        <v>8</v>
      </c>
      <c r="F22" s="1"/>
      <c r="G22" s="1"/>
    </row>
    <row r="23" spans="1:11" ht="15.6" x14ac:dyDescent="0.3">
      <c r="A23" s="51" t="s">
        <v>9</v>
      </c>
      <c r="B23" s="36" t="s">
        <v>10</v>
      </c>
      <c r="C23" s="36" t="s">
        <v>11</v>
      </c>
      <c r="D23" s="21">
        <v>40</v>
      </c>
      <c r="E23" s="21">
        <v>130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4"/>
      <c r="B24" s="16">
        <f t="shared" ref="B24" si="8">I24</f>
        <v>2</v>
      </c>
      <c r="C24" s="16"/>
      <c r="D24" s="16">
        <f>J24+D$23</f>
        <v>1640</v>
      </c>
      <c r="E24" s="16">
        <f t="shared" ref="E24:E27" si="9">K24+E$23</f>
        <v>730</v>
      </c>
      <c r="F24" s="99" t="str">
        <f>C33</f>
        <v>CUB C/R R6</v>
      </c>
      <c r="G24" s="1"/>
      <c r="I24" s="3">
        <f>B33</f>
        <v>2</v>
      </c>
      <c r="J24" s="4">
        <f>D33</f>
        <v>1600</v>
      </c>
      <c r="K24" s="4">
        <f t="shared" ref="K24" si="10">E33</f>
        <v>600</v>
      </c>
    </row>
    <row r="25" spans="1:11" ht="15.6" x14ac:dyDescent="0.3">
      <c r="A25" s="94"/>
      <c r="B25" s="16">
        <f t="shared" ref="B25:B27" si="11">I25</f>
        <v>1</v>
      </c>
      <c r="C25" s="16"/>
      <c r="D25" s="16">
        <f t="shared" ref="D25:D27" si="12">J25+D$23</f>
        <v>2884</v>
      </c>
      <c r="E25" s="16">
        <f t="shared" si="9"/>
        <v>730</v>
      </c>
      <c r="F25" s="99" t="str">
        <f t="shared" ref="F25:F27" si="13">C34</f>
        <v>CUB C/R R6</v>
      </c>
      <c r="G25" s="1"/>
      <c r="I25" s="3">
        <f t="shared" ref="I25:I27" si="14">B34</f>
        <v>1</v>
      </c>
      <c r="J25" s="4">
        <f t="shared" ref="J25:J27" si="15">D34</f>
        <v>2844</v>
      </c>
      <c r="K25" s="4">
        <f t="shared" ref="K25:K27" si="16">E34</f>
        <v>600</v>
      </c>
    </row>
    <row r="26" spans="1:11" ht="15.6" x14ac:dyDescent="0.3">
      <c r="A26" s="94"/>
      <c r="B26" s="16">
        <f t="shared" si="11"/>
        <v>3</v>
      </c>
      <c r="C26" s="16"/>
      <c r="D26" s="16">
        <f t="shared" si="12"/>
        <v>1240</v>
      </c>
      <c r="E26" s="16">
        <f t="shared" si="9"/>
        <v>730</v>
      </c>
      <c r="F26" s="99" t="str">
        <f t="shared" si="13"/>
        <v>CUB C/R R6</v>
      </c>
      <c r="G26" s="1"/>
      <c r="I26" s="3">
        <f t="shared" si="14"/>
        <v>3</v>
      </c>
      <c r="J26" s="4">
        <f t="shared" si="15"/>
        <v>1200</v>
      </c>
      <c r="K26" s="4">
        <f t="shared" si="16"/>
        <v>600</v>
      </c>
    </row>
    <row r="27" spans="1:11" ht="15.6" x14ac:dyDescent="0.3">
      <c r="A27" s="94"/>
      <c r="B27" s="16">
        <f t="shared" si="11"/>
        <v>1</v>
      </c>
      <c r="C27" s="16"/>
      <c r="D27" s="16">
        <f t="shared" si="12"/>
        <v>1420</v>
      </c>
      <c r="E27" s="16">
        <f t="shared" si="9"/>
        <v>730</v>
      </c>
      <c r="F27" s="99" t="str">
        <f t="shared" si="13"/>
        <v>CUB C/R R6</v>
      </c>
      <c r="G27" s="1"/>
      <c r="I27" s="3">
        <f t="shared" si="14"/>
        <v>1</v>
      </c>
      <c r="J27" s="4">
        <f t="shared" si="15"/>
        <v>1380</v>
      </c>
      <c r="K27" s="4">
        <f t="shared" si="16"/>
        <v>600</v>
      </c>
    </row>
    <row r="28" spans="1:11" ht="15.6" x14ac:dyDescent="0.3">
      <c r="A28" s="94"/>
      <c r="B28" s="6"/>
      <c r="C28" s="6"/>
      <c r="D28" s="6"/>
      <c r="E28" s="6"/>
      <c r="F28" s="106"/>
      <c r="G28" s="1"/>
      <c r="I28" s="88"/>
      <c r="J28" s="2"/>
      <c r="K28" s="2"/>
    </row>
    <row r="29" spans="1:11" ht="16.2" thickBot="1" x14ac:dyDescent="0.35">
      <c r="A29" s="51"/>
      <c r="B29" s="6"/>
      <c r="C29" s="6"/>
      <c r="D29" s="6"/>
      <c r="E29" s="6"/>
      <c r="F29" s="6"/>
      <c r="G29" s="1"/>
      <c r="I29" s="2"/>
      <c r="J29" s="2"/>
      <c r="K29" s="2"/>
    </row>
    <row r="30" spans="1:11" ht="16.2" thickBot="1" x14ac:dyDescent="0.35">
      <c r="A30" s="51"/>
      <c r="B30" s="22" t="s">
        <v>107</v>
      </c>
      <c r="C30" s="23"/>
      <c r="D30" s="23"/>
      <c r="E30" s="23"/>
      <c r="F30" s="24"/>
      <c r="G30" s="1"/>
      <c r="I30" s="2"/>
      <c r="J30" s="2"/>
      <c r="K30" s="2"/>
    </row>
    <row r="31" spans="1:11" ht="10.5" customHeight="1" x14ac:dyDescent="0.3">
      <c r="A31" s="1"/>
      <c r="B31" s="1"/>
      <c r="C31" s="1"/>
      <c r="D31" s="1"/>
      <c r="E31" s="1"/>
      <c r="F31" s="1"/>
      <c r="G31" s="1"/>
    </row>
    <row r="32" spans="1:11" ht="15.6" x14ac:dyDescent="0.3">
      <c r="A32" s="51" t="s">
        <v>9</v>
      </c>
      <c r="B32" s="87" t="s">
        <v>10</v>
      </c>
      <c r="C32" s="87" t="s">
        <v>110</v>
      </c>
      <c r="D32" s="87" t="s">
        <v>7</v>
      </c>
      <c r="E32" s="87" t="s">
        <v>8</v>
      </c>
      <c r="F32" s="87" t="s">
        <v>23</v>
      </c>
      <c r="G32" s="1"/>
    </row>
    <row r="33" spans="1:7" ht="15.6" x14ac:dyDescent="0.3">
      <c r="A33" s="94" t="s">
        <v>135</v>
      </c>
      <c r="B33" s="25">
        <f>'4637'!B21</f>
        <v>2</v>
      </c>
      <c r="C33" s="98" t="str">
        <f>'4637'!C21</f>
        <v>CUB C/R R6</v>
      </c>
      <c r="D33" s="25">
        <f>'4637'!D21</f>
        <v>1600</v>
      </c>
      <c r="E33" s="25">
        <f>'4637'!E21</f>
        <v>600</v>
      </c>
      <c r="F33" s="25" t="str">
        <f>'4637'!F21</f>
        <v>FASHION GREY 21371 SF</v>
      </c>
      <c r="G33" s="1"/>
    </row>
    <row r="34" spans="1:7" ht="15.6" x14ac:dyDescent="0.3">
      <c r="A34" s="94"/>
      <c r="B34" s="25">
        <f>'4637'!B22</f>
        <v>1</v>
      </c>
      <c r="C34" s="98" t="str">
        <f>'4637'!C22</f>
        <v>CUB C/R R6</v>
      </c>
      <c r="D34" s="25">
        <f>'4637'!D22</f>
        <v>2844</v>
      </c>
      <c r="E34" s="25">
        <f>'4637'!E22</f>
        <v>600</v>
      </c>
      <c r="F34" s="25" t="str">
        <f>'4637'!F22</f>
        <v>FASHION GREY 21371 SF</v>
      </c>
      <c r="G34" s="1"/>
    </row>
    <row r="35" spans="1:7" ht="15.6" x14ac:dyDescent="0.3">
      <c r="A35" s="94"/>
      <c r="B35" s="25">
        <f>'4637'!B23</f>
        <v>3</v>
      </c>
      <c r="C35" s="98" t="str">
        <f>'4637'!C23</f>
        <v>CUB C/R R6</v>
      </c>
      <c r="D35" s="25">
        <f>'4637'!D23</f>
        <v>1200</v>
      </c>
      <c r="E35" s="25">
        <f>'4637'!E23</f>
        <v>600</v>
      </c>
      <c r="F35" s="25" t="str">
        <f>'4637'!F23</f>
        <v>FASHION GREY 21371 SF</v>
      </c>
      <c r="G35" s="1"/>
    </row>
    <row r="36" spans="1:7" ht="15.6" x14ac:dyDescent="0.3">
      <c r="A36" s="94"/>
      <c r="B36" s="25">
        <f>'4637'!B24</f>
        <v>1</v>
      </c>
      <c r="C36" s="98" t="str">
        <f>'4637'!C24</f>
        <v>CUB C/R R6</v>
      </c>
      <c r="D36" s="25">
        <f>'4637'!D24</f>
        <v>1380</v>
      </c>
      <c r="E36" s="25">
        <f>'4637'!E24</f>
        <v>600</v>
      </c>
      <c r="F36" s="25" t="str">
        <f>'4637'!F24</f>
        <v>FASHION GREY 21371 SF</v>
      </c>
      <c r="G36" s="1"/>
    </row>
    <row r="37" spans="1:7" ht="15.6" x14ac:dyDescent="0.3">
      <c r="A37" s="94"/>
      <c r="B37" s="6"/>
      <c r="C37" s="10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39" t="s">
        <v>27</v>
      </c>
      <c r="D47" s="14">
        <f>'4637'!G8</f>
        <v>7375</v>
      </c>
      <c r="E47" s="1"/>
      <c r="F47" s="1"/>
      <c r="G47" s="1"/>
    </row>
    <row r="48" spans="1:7" ht="17.25" customHeight="1" x14ac:dyDescent="0.3">
      <c r="A48" s="1"/>
      <c r="B48" s="1"/>
      <c r="C48" s="40" t="s">
        <v>67</v>
      </c>
      <c r="D48" s="41" t="str">
        <f>'4637'!C10</f>
        <v>MUEBLES ASENJO</v>
      </c>
      <c r="E48" s="42"/>
      <c r="F48" s="42"/>
      <c r="G48" s="1"/>
    </row>
    <row r="49" spans="1:7" ht="4.5" customHeight="1" x14ac:dyDescent="0.3">
      <c r="A49" s="1"/>
      <c r="B49" s="1"/>
      <c r="C49" s="43"/>
      <c r="D49" s="44"/>
      <c r="E49" s="1"/>
      <c r="F49" s="1"/>
      <c r="G49" s="1"/>
    </row>
    <row r="50" spans="1:7" ht="15.6" x14ac:dyDescent="0.3">
      <c r="A50" s="1"/>
      <c r="B50" s="1"/>
      <c r="C50" s="45" t="str">
        <f>'4637'!F11</f>
        <v>FECHA LIMITE :</v>
      </c>
      <c r="D50" s="13">
        <f>'4637'!G11</f>
        <v>0</v>
      </c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6" x14ac:dyDescent="0.3">
      <c r="A53" s="129" t="s">
        <v>68</v>
      </c>
      <c r="B53" s="129"/>
      <c r="C53" s="129"/>
      <c r="D53" s="129"/>
      <c r="E53" s="129"/>
      <c r="F53" s="129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75" customHeight="1" x14ac:dyDescent="0.3">
      <c r="A55" s="1"/>
      <c r="B55" s="130" t="s">
        <v>69</v>
      </c>
      <c r="C55" s="131"/>
      <c r="D55" s="132"/>
      <c r="E55" s="132"/>
      <c r="F55" s="133"/>
      <c r="G55" s="1"/>
    </row>
    <row r="56" spans="1:7" s="15" customFormat="1" ht="12.75" customHeight="1" x14ac:dyDescent="0.3">
      <c r="A56" s="1"/>
      <c r="B56" s="36" t="s">
        <v>10</v>
      </c>
      <c r="C56" s="46" t="s">
        <v>11</v>
      </c>
      <c r="D56" s="47" t="s">
        <v>7</v>
      </c>
      <c r="E56" s="47" t="s">
        <v>8</v>
      </c>
      <c r="F56" s="48" t="s">
        <v>12</v>
      </c>
      <c r="G56" s="1"/>
    </row>
    <row r="57" spans="1:7" s="15" customFormat="1" ht="15" customHeight="1" x14ac:dyDescent="0.3">
      <c r="A57" s="94" t="s">
        <v>135</v>
      </c>
      <c r="B57" s="38">
        <f>'4637'!B21</f>
        <v>2</v>
      </c>
      <c r="C57" s="97" t="str">
        <f>'4637'!C21</f>
        <v>CUB C/R R6</v>
      </c>
      <c r="D57" s="97">
        <f>'4637'!D21</f>
        <v>1600</v>
      </c>
      <c r="E57" s="97">
        <f>'4637'!E21</f>
        <v>600</v>
      </c>
      <c r="F57" s="97" t="str">
        <f>'4637'!F21</f>
        <v>FASHION GREY 21371 SF</v>
      </c>
      <c r="G57" s="1"/>
    </row>
    <row r="58" spans="1:7" s="15" customFormat="1" ht="15" customHeight="1" x14ac:dyDescent="0.3">
      <c r="A58" s="94"/>
      <c r="B58" s="51">
        <v>1</v>
      </c>
      <c r="C58" s="97" t="str">
        <f>'4637'!C22</f>
        <v>CUB C/R R6</v>
      </c>
      <c r="D58" s="97">
        <f>'4637'!D22</f>
        <v>2844</v>
      </c>
      <c r="E58" s="97">
        <f>'4637'!E22</f>
        <v>600</v>
      </c>
      <c r="F58" s="97" t="str">
        <f>'4637'!F22</f>
        <v>FASHION GREY 21371 SF</v>
      </c>
      <c r="G58" s="1"/>
    </row>
    <row r="59" spans="1:7" s="15" customFormat="1" ht="15" customHeight="1" x14ac:dyDescent="0.3">
      <c r="A59" s="94"/>
      <c r="B59" s="51">
        <v>1</v>
      </c>
      <c r="C59" s="97" t="str">
        <f>'4637'!C23</f>
        <v>CUB C/R R6</v>
      </c>
      <c r="D59" s="97">
        <f>'4637'!D23</f>
        <v>1200</v>
      </c>
      <c r="E59" s="97">
        <f>'4637'!E23</f>
        <v>600</v>
      </c>
      <c r="F59" s="97" t="str">
        <f>'4637'!F23</f>
        <v>FASHION GREY 21371 SF</v>
      </c>
      <c r="G59" s="1"/>
    </row>
    <row r="60" spans="1:7" s="15" customFormat="1" ht="15" customHeight="1" x14ac:dyDescent="0.3">
      <c r="A60" s="94"/>
      <c r="B60" s="51">
        <v>1</v>
      </c>
      <c r="C60" s="97" t="str">
        <f>'4637'!C24</f>
        <v>CUB C/R R6</v>
      </c>
      <c r="D60" s="97">
        <f>'4637'!D24</f>
        <v>1380</v>
      </c>
      <c r="E60" s="97">
        <f>'4637'!E24</f>
        <v>600</v>
      </c>
      <c r="F60" s="97" t="str">
        <f>'4637'!F24</f>
        <v>FASHION GREY 21371 SF</v>
      </c>
      <c r="G60" s="1"/>
    </row>
    <row r="61" spans="1:7" s="15" customFormat="1" ht="15" customHeight="1" x14ac:dyDescent="0.3">
      <c r="B61" s="51"/>
      <c r="C61" s="105"/>
      <c r="D61" s="51"/>
      <c r="E61" s="51"/>
      <c r="F61" s="51"/>
      <c r="G61" s="1"/>
    </row>
    <row r="62" spans="1:7" s="15" customFormat="1" ht="15" customHeight="1" x14ac:dyDescent="0.3">
      <c r="A62" s="49"/>
      <c r="B62" s="51"/>
      <c r="C62" s="51"/>
      <c r="D62" s="51"/>
      <c r="E62" s="51"/>
      <c r="F62" s="51"/>
      <c r="G62" s="1"/>
    </row>
    <row r="63" spans="1:7" ht="15.6" x14ac:dyDescent="0.3">
      <c r="A63" s="6"/>
      <c r="B63" s="6"/>
      <c r="C63" s="1"/>
      <c r="D63" s="6"/>
      <c r="E63" s="6"/>
      <c r="F63" s="43"/>
      <c r="G63" s="1"/>
    </row>
    <row r="64" spans="1:7" ht="15.6" x14ac:dyDescent="0.3">
      <c r="A64" s="6"/>
      <c r="B64" s="6"/>
      <c r="C64" s="1"/>
      <c r="D64" s="6"/>
      <c r="E64" s="6"/>
      <c r="F64" s="6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" customHeight="1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6"/>
      <c r="B70" s="50"/>
      <c r="C70" s="1"/>
      <c r="D70" s="1"/>
      <c r="E70" s="1"/>
      <c r="F70" s="1"/>
      <c r="G70" s="1"/>
    </row>
    <row r="71" spans="1:7" ht="15.6" x14ac:dyDescent="0.3">
      <c r="A71" s="1"/>
      <c r="B71" s="1"/>
      <c r="C71" s="1"/>
      <c r="D71" s="1"/>
      <c r="E71" s="1"/>
      <c r="F71" s="1"/>
      <c r="G71" s="1"/>
    </row>
    <row r="72" spans="1:7" x14ac:dyDescent="0.3">
      <c r="B72" s="20"/>
      <c r="C72" s="20"/>
      <c r="D72" s="20"/>
      <c r="E72" s="20"/>
      <c r="F72" s="20"/>
    </row>
    <row r="73" spans="1:7" x14ac:dyDescent="0.3">
      <c r="B73" s="20"/>
      <c r="C73" s="20"/>
      <c r="E73" s="20"/>
      <c r="F73" s="20"/>
    </row>
  </sheetData>
  <mergeCells count="6">
    <mergeCell ref="M3:N3"/>
    <mergeCell ref="A20:F20"/>
    <mergeCell ref="A10:F10"/>
    <mergeCell ref="A53:F53"/>
    <mergeCell ref="B55:F55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2026-02-04T12:27:43Z</cp:lastPrinted>
  <dcterms:created xsi:type="dcterms:W3CDTF">2013-03-19T12:54:14Z</dcterms:created>
  <dcterms:modified xsi:type="dcterms:W3CDTF">2026-02-04T12:37:35Z</dcterms:modified>
</cp:coreProperties>
</file>