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E79D00B6-650F-4EDA-B74F-3D36F0002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G11" i="4"/>
  <c r="C12" i="4"/>
  <c r="C13" i="4"/>
  <c r="C14" i="4"/>
  <c r="H23" i="4"/>
  <c r="D8" i="4"/>
  <c r="D40" i="3"/>
  <c r="D7" i="3"/>
  <c r="D5" i="3"/>
  <c r="D4" i="3"/>
  <c r="D49" i="3"/>
  <c r="D27" i="3" s="1"/>
  <c r="E49" i="3"/>
  <c r="E27" i="3" s="1"/>
  <c r="K14" i="3" s="1"/>
  <c r="F49" i="3"/>
  <c r="F27" i="3" s="1"/>
  <c r="C49" i="3"/>
  <c r="C27" i="3" s="1"/>
  <c r="D39" i="3"/>
  <c r="C42" i="3"/>
  <c r="C7" i="3"/>
  <c r="N5" i="3"/>
  <c r="B22" i="4"/>
  <c r="B49" i="3" l="1"/>
  <c r="B27" i="3" s="1"/>
  <c r="I21" i="3" s="1"/>
  <c r="H22" i="4"/>
  <c r="H25" i="4" s="1"/>
  <c r="H26" i="4" s="1"/>
  <c r="H27" i="4" s="1"/>
  <c r="D8" i="3"/>
  <c r="D42" i="3"/>
  <c r="J14" i="3"/>
  <c r="J21" i="3"/>
  <c r="K21" i="3"/>
  <c r="F21" i="3"/>
  <c r="E21" i="3" s="1"/>
  <c r="F14" i="3"/>
  <c r="I14" i="3" l="1"/>
  <c r="B14" i="3" s="1"/>
  <c r="B21" i="3"/>
  <c r="E14" i="3"/>
  <c r="L5" i="3"/>
  <c r="K5" i="3"/>
  <c r="D14" i="3"/>
  <c r="D21" i="3"/>
  <c r="M5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<sst xmlns="http://schemas.openxmlformats.org/spreadsheetml/2006/main" count="250" uniqueCount="147">
  <si>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</si>
  <si>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</si>
  <si>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</si>
  <si>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</si>
  <si>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</si>
  <si>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</si>
  <si>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</si>
  <si>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</si>
  <si>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</si>
  <si>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</si>
  <si>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</si>
  <si>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</si>
  <si>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</si>
  <si>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</si>
  <si>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</si>
  <si>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</si>
  <si>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</si>
  <si>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</si>
  <si>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</si>
  <si>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</si>
  <si>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</si>
  <si>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</si>
  <si>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</si>
  <si>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</si>
  <si>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</si>
  <si>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</si>
  <si>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</si>
  <si>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</si>
  <si>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</si>
  <si>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</si>
  <si>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</si>
  <si>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</si>
  <si>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</si>
  <si>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</si>
  <si>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</si>
  <si>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</si>
  <si>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</si>
  <si>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</si>
  <si>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</si>
  <si>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</si>
  <si>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</si>
  <si>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</si>
  <si>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</si>
  <si>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</si>
  <si>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</si>
  <si>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</si>
  <si>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</si>
  <si>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</si>
  <si>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</si>
  <si>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</si>
  <si>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</si>
  <si>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</si>
  <si>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</si>
  <si>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</si>
  <si>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</si>
  <si>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</si>
  <si>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</si>
  <si>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</si>
  <si>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</si>
  <si>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</si>
  <si>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</si>
  <si>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</si>
  <si>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</si>
  <si>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</si>
  <si>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</si>
  <si>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</si>
  <si>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</si>
  <si>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</si>
  <si>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</si>
  <si>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</si>
  <si>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</si>
  <si>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</si>
  <si>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</si>
  <si>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</si>
  <si>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</si>
  <si>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</si>
  <si>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</si>
  <si>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</si>
  <si>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</si>
  <si>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</si>
  <si>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</si>
  <si>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</si>
  <si>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</si>
  <si>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</si>
  <si>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</si>
  <si>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</si>
  <si>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</si>
  <si>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</si>
  <si>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</si>
  <si>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</si>
  <si>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</si>
  <si>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</si>
  <si>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</si>
  <si>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</si>
  <si>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</si>
  <si>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</si>
  <si>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</si>
  <si>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</si>
  <si>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</si>
  <si>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</si>
  <si>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</si>
  <si>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</si>
  <si>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</si>
  <si>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</si>
  <si>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</si>
  <si>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</si>
  <si>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</si>
  <si>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</si>
  <si>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</si>
  <si>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</si>
  <si>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</si>
  <si>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</si>
  <si>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</si>
  <si>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</si>
  <si>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</si>
  <si>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</si>
  <si>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</si>
  <si>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</si>
  <si>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</si>
  <si>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</si>
  <si>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</si>
  <si>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</si>
  <si>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</si>
  <si>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</si>
  <si>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</si>
  <si>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</si>
  <si>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</si>
  <si>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</si>
  <si>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</si>
  <si>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</si>
  <si>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CELULAR: 963868755</t>
  </si>
  <si>
    <t>E-MAIL: fdonoso@topmobili.cl</t>
  </si>
  <si>
    <t>DESPACHO:</t>
  </si>
  <si>
    <t>CORREO:</t>
  </si>
  <si>
    <t>FRANCO DONOSO</t>
  </si>
  <si>
    <t>MDF 18MM</t>
  </si>
  <si>
    <t xml:space="preserve"> MDF 18MM</t>
  </si>
  <si>
    <t>MDF18MM</t>
  </si>
  <si>
    <t>JOSHUA BUSTAMANTE</t>
  </si>
  <si>
    <t>+569 9572 6650</t>
  </si>
  <si>
    <t>NO</t>
  </si>
  <si>
    <t>ABONO 50% SALDO C/ ENTREGA</t>
  </si>
  <si>
    <t>CONCÓN</t>
  </si>
  <si>
    <t>Las Pimpinelas 765, Edificio Sol del Este</t>
  </si>
  <si>
    <t>CUB C/R R8</t>
  </si>
  <si>
    <t>CEREZO AGRESTRE 1473 MT</t>
  </si>
  <si>
    <t>EMBALAJE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</si>
</sst>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1" fillId="0" borderId="18" xfId="0" applyFont="1" applyBorder="1" applyAlignment="1">
      <alignment horizontal="center"/>
    </xf>
    <xf numFmtId="0" fontId="0" fillId="3" borderId="0" xfId="0" quotePrefix="1" applyFill="1"/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30CDF6-24E1-4470-9B8F-29FCEBE13091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$88.000</a:t>
          </a:r>
          <a:r>
            <a:rPr lang="es-CL" sz="900" b="1" i="1" baseline="0"/>
            <a:t> TRANSFERENCIA 10-02</a:t>
          </a:r>
          <a:endParaRPr lang="es-CL" sz="900" b="1" i="1"/>
        </a:p>
        <a:p>
          <a:pPr algn="l"/>
          <a:r>
            <a:rPr lang="es-CL" sz="900" b="1" i="1" baseline="0"/>
            <a:t>ENVÍO A DOMICILIO X PAGAR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247525</xdr:colOff>
      <xdr:row>6</xdr:row>
      <xdr:rowOff>56721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3A98AB-ECE6-44ED-BC87-6D931BCD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2152342</xdr:colOff>
      <xdr:row>6</xdr:row>
      <xdr:rowOff>55316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92E7C2-FCBA-4CF8-AB99-B1ECCCABBB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9ED9340-1B4B-4C0F-BFFB-FCFE5784F0AA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60F4E63-A717-4D31-9C9B-C574E73115F2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634DB32-ADA2-40F4-AB8C-1B3615023943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FC39A3B-691D-4ED1-B2AF-0A22E5D09A54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E1E8EB7-6230-4113-90E0-E369FFC6D24B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FD5F561-8DD5-4174-9467-D798E0DF48A9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AC7FCC96-89EA-4B95-A93D-C1FCD27F4BBE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DB93D3C-4038-40F1-B504-2599D2F172A2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9DAA8D8D-D870-431B-A93B-0CCB7731C6D8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C63FF73-4571-4F17-9B22-4BCAC475901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8E13939-D22F-43A1-9ECF-A18476EE54A6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A76B8535-1A11-48D7-8642-7D7C0500A613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C769D912-F646-4642-8D46-25DCCCE84A8B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15444989-3E88-4A5D-B572-907A8ABC9A63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418B7EB-45E6-4CE6-B7FF-0A5E9A263EFB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C181AED-3E13-4B22-AAAC-3ACACCF3AD40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D10851-25EF-48DB-ADAE-5D6027BCF570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17AC003-F1DF-479F-9CA7-FB9CF6D8945D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2F19B52-B7C1-41D2-81B0-88A92EBFD883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A3A52E15-2144-416A-8DCF-3024EAC5330F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6927C96F-19B2-48AA-B23F-F09589356086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A7459428-AD0D-45CE-B75D-595A291B286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35E96178-DFA7-4983-A8A8-5A9D3FEB631A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BE33EFBB-BD76-44DE-B527-CF2752F3D16F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ADF2A5C7-A41B-42D1-937C-8D8D3B0653B4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586740</xdr:colOff>
      <xdr:row>8</xdr:row>
      <xdr:rowOff>54694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DFD4BBE-3414-4C89-B880-0C3AFD15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777240</xdr:colOff>
      <xdr:row>42</xdr:row>
      <xdr:rowOff>130893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56F3182-5312-4110-B466-6EB61352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882%20MARIO%20ZAPATA.xlsx" TargetMode="External"/><Relationship Id="rId1" Type="http://schemas.openxmlformats.org/officeDocument/2006/relationships/externalLinkPath" Target="/Users/franc/Dropbox/PC/Desktop/POSTFORMADO%202020/COTIZACIONES%20MUEBLES%20SANTA%20FE/2%20FEBRERO%202026/11882%20MARIO%20ZAP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11882</v>
          </cell>
        </row>
        <row r="21">
          <cell r="B21">
            <v>1</v>
          </cell>
        </row>
      </sheetData>
      <sheetData sheetId="1"/>
      <sheetData sheetId="2">
        <row r="8">
          <cell r="G8">
            <v>7385</v>
          </cell>
        </row>
        <row r="10">
          <cell r="F10" t="str">
            <v>FECHA :</v>
          </cell>
        </row>
      </sheetData>
      <sheetData sheetId="3">
        <row r="4">
          <cell r="B4">
            <v>40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1">
          <cell r="F11" t="str">
            <v>FECHA LIMITE :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3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130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131</v>
      </c>
      <c r="G7" s="1"/>
      <c r="H7" s="1"/>
      <c r="I7" s="1"/>
    </row>
    <row r="8" spans="1:17" ht="16.2" thickBot="1" x14ac:dyDescent="0.35">
      <c r="A8" s="1"/>
      <c r="B8" s="64" t="s">
        <v>14</v>
      </c>
      <c r="C8" s="65"/>
      <c r="D8" s="66" t="str">
        <f>'[1]2229'!D8</f>
        <v>N° 11882</v>
      </c>
      <c r="E8" s="1"/>
      <c r="F8" s="67" t="s">
        <v>25</v>
      </c>
      <c r="G8" s="68">
        <v>7386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6" t="s">
        <v>127</v>
      </c>
      <c r="C10" s="77" t="s">
        <v>138</v>
      </c>
      <c r="D10" s="77"/>
      <c r="E10" s="77"/>
      <c r="F10" s="78" t="s">
        <v>26</v>
      </c>
      <c r="G10" s="79">
        <v>46063</v>
      </c>
      <c r="H10" s="80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1" t="s">
        <v>2</v>
      </c>
      <c r="C11" s="8" t="str">
        <f>IF('[1]2229'!C11="","",'[1]2229'!C11)</f>
        <v/>
      </c>
      <c r="D11" s="82"/>
      <c r="E11" s="82"/>
      <c r="F11" s="82" t="s">
        <v>122</v>
      </c>
      <c r="G11" s="83">
        <f>WORKDAY(G10,5)</f>
        <v>46070</v>
      </c>
      <c r="H11" s="84"/>
      <c r="I11" s="1"/>
    </row>
    <row r="12" spans="1:17" ht="15.6" x14ac:dyDescent="0.3">
      <c r="A12" s="1"/>
      <c r="B12" s="85" t="s">
        <v>128</v>
      </c>
      <c r="C12" s="86" t="str">
        <f>IF('[1]2229'!C12="","",'[1]2229'!C12)</f>
        <v/>
      </c>
      <c r="D12" s="86"/>
      <c r="E12" s="86"/>
      <c r="F12" s="86" t="s">
        <v>132</v>
      </c>
      <c r="G12" s="86" t="s">
        <v>140</v>
      </c>
      <c r="H12" s="87"/>
      <c r="I12" s="1"/>
    </row>
    <row r="13" spans="1:17" ht="15.6" x14ac:dyDescent="0.3">
      <c r="A13" s="1"/>
      <c r="B13" s="88" t="s">
        <v>129</v>
      </c>
      <c r="C13" s="8" t="str">
        <f>IF('[1]2229'!C13="","",'[1]2229'!C13)</f>
        <v/>
      </c>
      <c r="D13" s="8"/>
      <c r="E13" s="8"/>
      <c r="F13" s="8" t="s">
        <v>28</v>
      </c>
      <c r="G13" s="89"/>
      <c r="H13" s="90"/>
      <c r="I13" s="1"/>
    </row>
    <row r="14" spans="1:17" ht="15.6" x14ac:dyDescent="0.3">
      <c r="A14" s="1"/>
      <c r="B14" s="85" t="s">
        <v>133</v>
      </c>
      <c r="C14" s="86" t="str">
        <f>IF('[1]2229'!C14="","",'[1]2229'!C14)</f>
        <v/>
      </c>
      <c r="D14" s="86"/>
      <c r="E14" s="86"/>
      <c r="F14" s="86" t="s">
        <v>126</v>
      </c>
      <c r="G14" s="91" t="s">
        <v>134</v>
      </c>
      <c r="H14" s="87"/>
      <c r="I14" s="1"/>
    </row>
    <row r="15" spans="1:17" ht="15.6" x14ac:dyDescent="0.3">
      <c r="A15" s="1"/>
      <c r="B15" s="81" t="s">
        <v>15</v>
      </c>
      <c r="C15" s="107" t="s">
        <v>139</v>
      </c>
      <c r="D15" s="92"/>
      <c r="E15" s="82"/>
      <c r="F15" s="82" t="s">
        <v>27</v>
      </c>
      <c r="G15" s="82" t="s">
        <v>140</v>
      </c>
      <c r="H15" s="84"/>
      <c r="I15" s="1"/>
    </row>
    <row r="16" spans="1:17" ht="15.6" x14ac:dyDescent="0.3">
      <c r="A16" s="1"/>
      <c r="B16" s="85" t="s">
        <v>1</v>
      </c>
      <c r="C16" s="86" t="s">
        <v>143</v>
      </c>
      <c r="D16" s="86"/>
      <c r="E16" s="86"/>
      <c r="F16" s="86" t="s">
        <v>73</v>
      </c>
      <c r="G16" s="86" t="s">
        <v>141</v>
      </c>
      <c r="H16" s="87"/>
      <c r="I16" s="1"/>
    </row>
    <row r="17" spans="1:16" ht="16.2" thickBot="1" x14ac:dyDescent="0.35">
      <c r="A17" s="1"/>
      <c r="B17" s="93" t="s">
        <v>3</v>
      </c>
      <c r="C17" s="94" t="s">
        <v>142</v>
      </c>
      <c r="D17" s="95"/>
      <c r="E17" s="96"/>
      <c r="F17" s="112" t="s">
        <v>16</v>
      </c>
      <c r="G17" s="112"/>
      <c r="H17" s="113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4" t="s">
        <v>17</v>
      </c>
      <c r="C20" s="115"/>
      <c r="D20" s="115"/>
      <c r="E20" s="115"/>
      <c r="F20" s="115"/>
      <c r="G20" s="115"/>
      <c r="H20" s="116"/>
      <c r="I20" s="1"/>
    </row>
    <row r="21" spans="1:16" ht="15.6" x14ac:dyDescent="0.3">
      <c r="A21" s="1"/>
      <c r="B21" s="97" t="s">
        <v>18</v>
      </c>
      <c r="C21" s="98" t="s">
        <v>19</v>
      </c>
      <c r="D21" s="98" t="s">
        <v>20</v>
      </c>
      <c r="E21" s="98" t="s">
        <v>8</v>
      </c>
      <c r="F21" s="99" t="s">
        <v>21</v>
      </c>
      <c r="G21" s="97" t="s">
        <v>22</v>
      </c>
      <c r="H21" s="99" t="s">
        <v>4</v>
      </c>
      <c r="I21" s="1"/>
    </row>
    <row r="22" spans="1:16" ht="15.6" x14ac:dyDescent="0.3">
      <c r="A22" s="1"/>
      <c r="B22" s="108">
        <f>'[1]2229'!B21</f>
        <v>1</v>
      </c>
      <c r="C22" s="108" t="s">
        <v>144</v>
      </c>
      <c r="D22" s="109">
        <v>3000</v>
      </c>
      <c r="E22" s="109">
        <v>600</v>
      </c>
      <c r="F22" s="110" t="s">
        <v>145</v>
      </c>
      <c r="G22" s="111">
        <v>140659</v>
      </c>
      <c r="H22" s="100">
        <f>G22*B22</f>
        <v>140659</v>
      </c>
      <c r="I22" s="1"/>
      <c r="K22" s="17"/>
      <c r="L22" s="26"/>
      <c r="M22" s="17"/>
      <c r="N22" s="17"/>
      <c r="O22" s="26"/>
      <c r="P22" s="33"/>
    </row>
    <row r="23" spans="1:16" ht="15.6" x14ac:dyDescent="0.3">
      <c r="A23" s="1"/>
      <c r="B23" s="108">
        <v>1</v>
      </c>
      <c r="C23" s="108" t="s">
        <v>146</v>
      </c>
      <c r="D23" s="108"/>
      <c r="E23" s="108"/>
      <c r="F23" s="108"/>
      <c r="G23" s="100">
        <v>7500</v>
      </c>
      <c r="H23" s="100">
        <f>G23*B23</f>
        <v>7500</v>
      </c>
      <c r="I23" s="1"/>
      <c r="K23" s="17"/>
      <c r="L23" s="26"/>
      <c r="M23" s="17"/>
      <c r="N23" s="17"/>
      <c r="O23" s="26"/>
      <c r="P23" s="33"/>
    </row>
    <row r="24" spans="1:16" ht="16.2" thickBot="1" x14ac:dyDescent="0.35">
      <c r="A24" s="1"/>
      <c r="B24" s="75"/>
      <c r="C24" s="75"/>
      <c r="D24" s="75"/>
      <c r="E24" s="75"/>
      <c r="F24" s="102"/>
      <c r="G24" s="101"/>
      <c r="H24" s="101"/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G25" s="52" t="s">
        <v>5</v>
      </c>
      <c r="H25" s="53">
        <f>SUM(H22:H24)</f>
        <v>148159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54" t="s">
        <v>6</v>
      </c>
      <c r="H26" s="55">
        <f>H25*19%</f>
        <v>28150.21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56" t="s">
        <v>4</v>
      </c>
      <c r="H27" s="57">
        <f>H25+H26</f>
        <v>176309.21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7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58" t="s">
        <v>121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58" t="s">
        <v>120</v>
      </c>
      <c r="C31" s="59"/>
      <c r="D31" s="60"/>
      <c r="E31" s="60"/>
      <c r="F31" s="51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61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2">
    <mergeCell ref="F17:H17"/>
    <mergeCell ref="B20:H20"/>
  </mergeCells>
  <phoneticPr fontId="10" type="noConversion"/>
  <hyperlinks>
    <hyperlink ref="E32" r:id="rId1" xr:uid="{F7E22E7D-C52F-4A37-AE46-A4349ACD6A85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9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29</v>
      </c>
      <c r="C2" s="117"/>
      <c r="D2" s="117"/>
      <c r="E2" s="18"/>
      <c r="G2" s="117" t="s">
        <v>68</v>
      </c>
      <c r="H2" s="117"/>
      <c r="I2" s="117"/>
      <c r="P2" s="118" t="s">
        <v>56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8" t="s">
        <v>56</v>
      </c>
      <c r="M8" s="118"/>
      <c r="N8" s="118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7" zoomScaleNormal="100" workbookViewId="0">
      <selection activeCell="G37" sqref="A37:G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21.441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59</v>
      </c>
      <c r="L3" s="123"/>
      <c r="M3" s="123" t="s">
        <v>13</v>
      </c>
      <c r="N3" s="123"/>
    </row>
    <row r="4" spans="1:14" ht="15.75" customHeight="1" x14ac:dyDescent="0.3">
      <c r="A4" s="1"/>
      <c r="B4" s="1"/>
      <c r="C4" s="38" t="s">
        <v>25</v>
      </c>
      <c r="D4" s="14">
        <f>'4637'!$G$8</f>
        <v>7386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'4637'!$C$10</f>
        <v>JOSHUA BUSTAMANTE</v>
      </c>
      <c r="E5" s="41"/>
      <c r="F5" s="41"/>
      <c r="G5" s="1"/>
      <c r="K5">
        <f>LOOKUP(F14,[1]REGLAS!$I$4:$I$37,[1]REGLAS!$G$4:$G$37)+J14</f>
        <v>3050</v>
      </c>
      <c r="L5">
        <f>LOOKUP(F14,[1]REGLAS!$I$4:$I$37,[1]REGLAS!$H$4:$H$37)+K14</f>
        <v>570</v>
      </c>
      <c r="M5">
        <f>LOOKUP(F14,[1]REGLAS!$D$4:$D$37,[1]REGLAS!$B$4:$B$37)+J21</f>
        <v>3040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'[1]NOTA DE VENTA'!$F$10</f>
        <v>FECHA :</v>
      </c>
      <c r="D7" s="103">
        <f>'4637'!$G$10</f>
        <v>46063</v>
      </c>
      <c r="E7" s="1"/>
      <c r="F7" s="1"/>
      <c r="G7" s="1"/>
    </row>
    <row r="8" spans="1:14" ht="15.6" x14ac:dyDescent="0.3">
      <c r="A8" s="1"/>
      <c r="B8" s="1"/>
      <c r="C8" s="38" t="s">
        <v>123</v>
      </c>
      <c r="D8" s="104">
        <f>'4637'!$G$11</f>
        <v>46070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59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5" t="s">
        <v>135</v>
      </c>
      <c r="B14" s="25">
        <f t="shared" ref="B14" si="0">I14</f>
        <v>1</v>
      </c>
      <c r="C14" s="25"/>
      <c r="D14" s="25">
        <f>LOOKUP(F14,[1]REGLAS!$I$4:$I$37,[1]REGLAS!$G$4:$G$37)+J14</f>
        <v>3050</v>
      </c>
      <c r="E14" s="35">
        <f>LOOKUP(F14,[1]REGLAS!$I$4:$I$37,[1]REGLAS!$H$4:$H$37)+K14</f>
        <v>570</v>
      </c>
      <c r="F14" s="71" t="str">
        <f>C27</f>
        <v>CUB C/R R8</v>
      </c>
      <c r="G14" s="1"/>
      <c r="I14" s="3">
        <f>I21</f>
        <v>1</v>
      </c>
      <c r="J14" s="4">
        <f t="shared" ref="J14:K14" si="1">D27</f>
        <v>3000</v>
      </c>
      <c r="K14" s="4">
        <f t="shared" si="1"/>
        <v>600</v>
      </c>
    </row>
    <row r="15" spans="1:14" ht="15.6" x14ac:dyDescent="0.3">
      <c r="A15" s="50"/>
      <c r="B15" s="6"/>
      <c r="C15" s="6"/>
      <c r="D15" s="6"/>
      <c r="E15" s="73"/>
      <c r="F15" s="6"/>
      <c r="G15" s="1"/>
      <c r="I15" s="63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4" t="s">
        <v>13</v>
      </c>
      <c r="B17" s="124"/>
      <c r="C17" s="124"/>
      <c r="D17" s="124"/>
      <c r="E17" s="124"/>
      <c r="F17" s="12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5" t="s">
        <v>136</v>
      </c>
      <c r="B21" s="16">
        <f t="shared" ref="B21" si="2">I21</f>
        <v>1</v>
      </c>
      <c r="C21" s="16"/>
      <c r="D21" s="16">
        <f>LOOKUP(F14,[1]REGLAS!$D$4:$D$37,[1]REGLAS!$B$4:$B$37)+J21</f>
        <v>3040</v>
      </c>
      <c r="E21" s="16">
        <f>LOOKUP(F21,REGLAS!$D$4:$D$37,REGLAS!$C$4:$C$37)+K21</f>
        <v>730</v>
      </c>
      <c r="F21" s="72" t="str">
        <f>C27</f>
        <v>CUB C/R R8</v>
      </c>
      <c r="G21" s="1"/>
      <c r="I21" s="3">
        <f>B27</f>
        <v>1</v>
      </c>
      <c r="J21" s="4">
        <f>D27</f>
        <v>3000</v>
      </c>
      <c r="K21" s="4">
        <f>E27</f>
        <v>600</v>
      </c>
    </row>
    <row r="22" spans="1:11" ht="15.6" x14ac:dyDescent="0.3">
      <c r="A22" s="69"/>
      <c r="B22" s="6"/>
      <c r="C22" s="6"/>
      <c r="D22" s="6"/>
      <c r="E22" s="6"/>
      <c r="F22" s="6"/>
      <c r="G22" s="1"/>
      <c r="I22" s="63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62" t="s">
        <v>10</v>
      </c>
      <c r="C26" s="62" t="s">
        <v>108</v>
      </c>
      <c r="D26" s="62" t="s">
        <v>7</v>
      </c>
      <c r="E26" s="62" t="s">
        <v>8</v>
      </c>
      <c r="F26" s="62" t="s">
        <v>21</v>
      </c>
      <c r="G26" s="1"/>
    </row>
    <row r="27" spans="1:11" ht="15.6" x14ac:dyDescent="0.3">
      <c r="A27" s="105" t="s">
        <v>135</v>
      </c>
      <c r="B27" s="25">
        <f>B49</f>
        <v>1</v>
      </c>
      <c r="C27" s="25" t="str">
        <f t="shared" ref="C27:F27" si="3">C49</f>
        <v>CUB C/R R8</v>
      </c>
      <c r="D27" s="25">
        <f t="shared" si="3"/>
        <v>3000</v>
      </c>
      <c r="E27" s="25">
        <f t="shared" si="3"/>
        <v>600</v>
      </c>
      <c r="F27" s="25" t="str">
        <f t="shared" si="3"/>
        <v>CEREZO AGRESTRE 1473 MT</v>
      </c>
      <c r="G27" s="1"/>
    </row>
    <row r="28" spans="1:11" ht="15.6" x14ac:dyDescent="0.3">
      <c r="A28" s="69"/>
      <c r="B28" s="6"/>
      <c r="C28" s="6"/>
      <c r="D28" s="6"/>
      <c r="E28" s="6"/>
      <c r="F28" s="6"/>
      <c r="G28" s="1"/>
    </row>
    <row r="29" spans="1:11" ht="15.6" x14ac:dyDescent="0.3">
      <c r="A29" s="50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8" t="s">
        <v>25</v>
      </c>
      <c r="D39" s="14">
        <f>'4637'!G8</f>
        <v>7386</v>
      </c>
      <c r="E39" s="1"/>
      <c r="F39" s="1"/>
      <c r="G39" s="1"/>
    </row>
    <row r="40" spans="1:7" ht="17.25" customHeight="1" x14ac:dyDescent="0.3">
      <c r="A40" s="1"/>
      <c r="B40" s="1"/>
      <c r="C40" s="39" t="s">
        <v>65</v>
      </c>
      <c r="D40" s="40" t="str">
        <f>'4637'!C10</f>
        <v>JOSHUA BUSTAMANTE</v>
      </c>
      <c r="E40" s="41"/>
      <c r="F40" s="41"/>
      <c r="G40" s="1"/>
    </row>
    <row r="41" spans="1:7" ht="4.5" customHeight="1" x14ac:dyDescent="0.3">
      <c r="A41" s="1"/>
      <c r="B41" s="1"/>
      <c r="C41" s="42"/>
      <c r="D41" s="43"/>
      <c r="E41" s="1"/>
      <c r="F41" s="1"/>
      <c r="G41" s="1"/>
    </row>
    <row r="42" spans="1:7" ht="15.6" x14ac:dyDescent="0.3">
      <c r="A42" s="1"/>
      <c r="B42" s="1"/>
      <c r="C42" s="44" t="str">
        <f>'[2]4637'!F11</f>
        <v>FECHA LIMITE :</v>
      </c>
      <c r="D42" s="13">
        <f>'4637'!G11</f>
        <v>46070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66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67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105" t="s">
        <v>137</v>
      </c>
      <c r="B49" s="106">
        <f>'4637'!$B$22</f>
        <v>1</v>
      </c>
      <c r="C49" s="106" t="str">
        <f>'4637'!C22</f>
        <v>CUB C/R R8</v>
      </c>
      <c r="D49" s="106">
        <f>'4637'!D22</f>
        <v>3000</v>
      </c>
      <c r="E49" s="106">
        <f>'4637'!E22</f>
        <v>600</v>
      </c>
      <c r="F49" s="106" t="str">
        <f>'4637'!F22</f>
        <v>CEREZO AGRESTRE 1473 MT</v>
      </c>
      <c r="G49" s="1"/>
    </row>
    <row r="50" spans="1:7" s="15" customFormat="1" ht="15" customHeight="1" x14ac:dyDescent="0.3">
      <c r="A50" s="69"/>
      <c r="B50" s="50"/>
      <c r="C50" s="74"/>
      <c r="D50" s="50"/>
      <c r="E50" s="50"/>
      <c r="F50" s="50"/>
      <c r="G50" s="1"/>
    </row>
    <row r="51" spans="1:7" s="15" customFormat="1" ht="15" customHeight="1" x14ac:dyDescent="0.3">
      <c r="A51" s="48"/>
      <c r="B51" s="50"/>
      <c r="C51" s="50"/>
      <c r="D51" s="50"/>
      <c r="E51" s="50"/>
      <c r="F51" s="50"/>
      <c r="G51" s="1"/>
    </row>
    <row r="52" spans="1:7" ht="15.6" x14ac:dyDescent="0.3">
      <c r="A52" s="6"/>
      <c r="B52" s="6"/>
      <c r="C52" s="1"/>
      <c r="D52" s="6"/>
      <c r="E52" s="6"/>
      <c r="F52" s="42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9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B47:F47"/>
    <mergeCell ref="M3:N3"/>
    <mergeCell ref="A17:F17"/>
    <mergeCell ref="A10:F10"/>
    <mergeCell ref="K3:L3"/>
    <mergeCell ref="A45:F45"/>
  </mergeCells>
  <phoneticPr fontId="10" type="noConversion"/>
  <pageMargins left="0.70866141732283472" right="0.70866141732283472" top="0.74803149606299213" bottom="0.74803149606299213" header="0.31496062992125984" footer="0.31496062992125984"/>
  <pageSetup scale="3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2026-02-17T12:21:54Z</cp:lastPrinted>
  <dcterms:created xsi:type="dcterms:W3CDTF">2013-03-19T12:54:14Z</dcterms:created>
  <dcterms:modified xsi:type="dcterms:W3CDTF">2026-02-17T12:23:15Z</dcterms:modified>
</cp:coreProperties>
</file>