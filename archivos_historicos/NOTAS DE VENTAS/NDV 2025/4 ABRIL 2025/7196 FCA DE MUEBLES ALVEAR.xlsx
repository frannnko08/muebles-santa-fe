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4 ABRIL 2025\"/>
    </mc:Choice>
  </mc:AlternateContent>
  <xr:revisionPtr revIDLastSave="0" documentId="13_ncr:1_{812CA0C8-5D2F-4315-A6E7-4EE8B5645D0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'4637'!$A$1:$H$49</definedName>
    <definedName name="_xlnm.Print_Area" localSheetId="2">CUBIERTA!$61:$93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3" l="1"/>
  <c r="E16" i="3" s="1"/>
  <c r="J17" i="3"/>
  <c r="D17" i="3" s="1"/>
  <c r="K17" i="3"/>
  <c r="J18" i="3"/>
  <c r="D18" i="3" s="1"/>
  <c r="K18" i="3"/>
  <c r="E18" i="3" s="1"/>
  <c r="K20" i="3"/>
  <c r="E20" i="3" s="1"/>
  <c r="J21" i="3"/>
  <c r="D21" i="3" s="1"/>
  <c r="K21" i="3"/>
  <c r="J22" i="3"/>
  <c r="D22" i="3" s="1"/>
  <c r="K22" i="3"/>
  <c r="E22" i="3" s="1"/>
  <c r="K24" i="3"/>
  <c r="E24" i="3" s="1"/>
  <c r="J25" i="3"/>
  <c r="D25" i="3" s="1"/>
  <c r="K25" i="3"/>
  <c r="J26" i="3"/>
  <c r="D26" i="3" s="1"/>
  <c r="K26" i="3"/>
  <c r="E26" i="3" s="1"/>
  <c r="K28" i="3"/>
  <c r="E28" i="3" s="1"/>
  <c r="J29" i="3"/>
  <c r="D29" i="3" s="1"/>
  <c r="K29" i="3"/>
  <c r="J30" i="3"/>
  <c r="D30" i="3" s="1"/>
  <c r="K30" i="3"/>
  <c r="E30" i="3" s="1"/>
  <c r="K32" i="3"/>
  <c r="E32" i="3" s="1"/>
  <c r="J33" i="3"/>
  <c r="D33" i="3" s="1"/>
  <c r="K33" i="3"/>
  <c r="E33" i="3" s="1"/>
  <c r="B66" i="3"/>
  <c r="I42" i="3" s="1"/>
  <c r="B42" i="3" s="1"/>
  <c r="C66" i="3"/>
  <c r="F42" i="3" s="1"/>
  <c r="D66" i="3"/>
  <c r="J42" i="3" s="1"/>
  <c r="D42" i="3" s="1"/>
  <c r="E66" i="3"/>
  <c r="K42" i="3" s="1"/>
  <c r="E42" i="3" s="1"/>
  <c r="F66" i="3"/>
  <c r="B67" i="3"/>
  <c r="I43" i="3" s="1"/>
  <c r="B43" i="3" s="1"/>
  <c r="C67" i="3"/>
  <c r="F43" i="3" s="1"/>
  <c r="D67" i="3"/>
  <c r="J43" i="3" s="1"/>
  <c r="D43" i="3" s="1"/>
  <c r="E67" i="3"/>
  <c r="K43" i="3" s="1"/>
  <c r="E43" i="3" s="1"/>
  <c r="F67" i="3"/>
  <c r="B68" i="3"/>
  <c r="I44" i="3" s="1"/>
  <c r="B44" i="3" s="1"/>
  <c r="C68" i="3"/>
  <c r="F44" i="3" s="1"/>
  <c r="D68" i="3"/>
  <c r="J44" i="3" s="1"/>
  <c r="D44" i="3" s="1"/>
  <c r="E68" i="3"/>
  <c r="K44" i="3" s="1"/>
  <c r="E44" i="3" s="1"/>
  <c r="F68" i="3"/>
  <c r="B69" i="3"/>
  <c r="I45" i="3" s="1"/>
  <c r="B45" i="3" s="1"/>
  <c r="C69" i="3"/>
  <c r="F45" i="3" s="1"/>
  <c r="D69" i="3"/>
  <c r="J45" i="3" s="1"/>
  <c r="D45" i="3" s="1"/>
  <c r="E69" i="3"/>
  <c r="K45" i="3" s="1"/>
  <c r="E45" i="3" s="1"/>
  <c r="F69" i="3"/>
  <c r="B70" i="3"/>
  <c r="I46" i="3" s="1"/>
  <c r="B46" i="3" s="1"/>
  <c r="C70" i="3"/>
  <c r="F46" i="3" s="1"/>
  <c r="D70" i="3"/>
  <c r="J46" i="3" s="1"/>
  <c r="D46" i="3" s="1"/>
  <c r="E70" i="3"/>
  <c r="K46" i="3" s="1"/>
  <c r="E46" i="3" s="1"/>
  <c r="F70" i="3"/>
  <c r="B71" i="3"/>
  <c r="I47" i="3" s="1"/>
  <c r="B47" i="3" s="1"/>
  <c r="C71" i="3"/>
  <c r="F47" i="3" s="1"/>
  <c r="D71" i="3"/>
  <c r="J47" i="3" s="1"/>
  <c r="D47" i="3" s="1"/>
  <c r="E71" i="3"/>
  <c r="K47" i="3" s="1"/>
  <c r="E47" i="3" s="1"/>
  <c r="F71" i="3"/>
  <c r="B72" i="3"/>
  <c r="I48" i="3" s="1"/>
  <c r="B48" i="3" s="1"/>
  <c r="C72" i="3"/>
  <c r="F48" i="3" s="1"/>
  <c r="D72" i="3"/>
  <c r="J48" i="3" s="1"/>
  <c r="D48" i="3" s="1"/>
  <c r="E72" i="3"/>
  <c r="K48" i="3" s="1"/>
  <c r="E48" i="3" s="1"/>
  <c r="F72" i="3"/>
  <c r="B73" i="3"/>
  <c r="I49" i="3" s="1"/>
  <c r="B49" i="3" s="1"/>
  <c r="C73" i="3"/>
  <c r="F49" i="3" s="1"/>
  <c r="D73" i="3"/>
  <c r="J49" i="3" s="1"/>
  <c r="D49" i="3" s="1"/>
  <c r="E73" i="3"/>
  <c r="K49" i="3" s="1"/>
  <c r="E49" i="3" s="1"/>
  <c r="F73" i="3"/>
  <c r="B74" i="3"/>
  <c r="I50" i="3" s="1"/>
  <c r="B50" i="3" s="1"/>
  <c r="C74" i="3"/>
  <c r="F50" i="3" s="1"/>
  <c r="D74" i="3"/>
  <c r="J50" i="3" s="1"/>
  <c r="D50" i="3" s="1"/>
  <c r="E74" i="3"/>
  <c r="K50" i="3" s="1"/>
  <c r="E50" i="3" s="1"/>
  <c r="F74" i="3"/>
  <c r="B75" i="3"/>
  <c r="I51" i="3" s="1"/>
  <c r="B51" i="3" s="1"/>
  <c r="C75" i="3"/>
  <c r="F51" i="3" s="1"/>
  <c r="D75" i="3"/>
  <c r="J51" i="3" s="1"/>
  <c r="D51" i="3" s="1"/>
  <c r="E75" i="3"/>
  <c r="K51" i="3" s="1"/>
  <c r="E51" i="3" s="1"/>
  <c r="F75" i="3"/>
  <c r="B76" i="3"/>
  <c r="I52" i="3" s="1"/>
  <c r="B52" i="3" s="1"/>
  <c r="C76" i="3"/>
  <c r="F52" i="3" s="1"/>
  <c r="D76" i="3"/>
  <c r="J52" i="3" s="1"/>
  <c r="D52" i="3" s="1"/>
  <c r="E76" i="3"/>
  <c r="K52" i="3" s="1"/>
  <c r="E52" i="3" s="1"/>
  <c r="F76" i="3"/>
  <c r="B77" i="3"/>
  <c r="I53" i="3" s="1"/>
  <c r="B53" i="3" s="1"/>
  <c r="C77" i="3"/>
  <c r="F53" i="3" s="1"/>
  <c r="D77" i="3"/>
  <c r="J53" i="3" s="1"/>
  <c r="D53" i="3" s="1"/>
  <c r="E77" i="3"/>
  <c r="K53" i="3" s="1"/>
  <c r="E53" i="3" s="1"/>
  <c r="F77" i="3"/>
  <c r="B78" i="3"/>
  <c r="I54" i="3" s="1"/>
  <c r="B54" i="3" s="1"/>
  <c r="C78" i="3"/>
  <c r="F54" i="3" s="1"/>
  <c r="D78" i="3"/>
  <c r="J54" i="3" s="1"/>
  <c r="D54" i="3" s="1"/>
  <c r="E78" i="3"/>
  <c r="K54" i="3" s="1"/>
  <c r="E54" i="3" s="1"/>
  <c r="F78" i="3"/>
  <c r="B79" i="3"/>
  <c r="I55" i="3" s="1"/>
  <c r="B55" i="3" s="1"/>
  <c r="C79" i="3"/>
  <c r="F55" i="3" s="1"/>
  <c r="D79" i="3"/>
  <c r="J55" i="3" s="1"/>
  <c r="D55" i="3" s="1"/>
  <c r="E79" i="3"/>
  <c r="K55" i="3" s="1"/>
  <c r="E55" i="3" s="1"/>
  <c r="F79" i="3"/>
  <c r="B80" i="3"/>
  <c r="I56" i="3" s="1"/>
  <c r="B56" i="3" s="1"/>
  <c r="C80" i="3"/>
  <c r="F56" i="3" s="1"/>
  <c r="D80" i="3"/>
  <c r="J56" i="3" s="1"/>
  <c r="D56" i="3" s="1"/>
  <c r="E80" i="3"/>
  <c r="K56" i="3" s="1"/>
  <c r="E56" i="3" s="1"/>
  <c r="F80" i="3"/>
  <c r="B81" i="3"/>
  <c r="I57" i="3" s="1"/>
  <c r="B57" i="3" s="1"/>
  <c r="C81" i="3"/>
  <c r="F57" i="3" s="1"/>
  <c r="D81" i="3"/>
  <c r="J57" i="3" s="1"/>
  <c r="D57" i="3" s="1"/>
  <c r="E81" i="3"/>
  <c r="K57" i="3" s="1"/>
  <c r="E57" i="3" s="1"/>
  <c r="F81" i="3"/>
  <c r="B82" i="3"/>
  <c r="I58" i="3" s="1"/>
  <c r="B58" i="3" s="1"/>
  <c r="C82" i="3"/>
  <c r="F58" i="3" s="1"/>
  <c r="D82" i="3"/>
  <c r="J58" i="3" s="1"/>
  <c r="D58" i="3" s="1"/>
  <c r="E82" i="3"/>
  <c r="K58" i="3" s="1"/>
  <c r="E58" i="3" s="1"/>
  <c r="F82" i="3"/>
  <c r="B83" i="3"/>
  <c r="I59" i="3" s="1"/>
  <c r="B59" i="3" s="1"/>
  <c r="C83" i="3"/>
  <c r="F59" i="3" s="1"/>
  <c r="D83" i="3"/>
  <c r="J59" i="3" s="1"/>
  <c r="D59" i="3" s="1"/>
  <c r="E83" i="3"/>
  <c r="K59" i="3" s="1"/>
  <c r="E59" i="3" s="1"/>
  <c r="F83" i="3"/>
  <c r="B84" i="3"/>
  <c r="I60" i="3" s="1"/>
  <c r="B60" i="3" s="1"/>
  <c r="C84" i="3"/>
  <c r="F60" i="3" s="1"/>
  <c r="D84" i="3"/>
  <c r="J60" i="3" s="1"/>
  <c r="D60" i="3" s="1"/>
  <c r="E84" i="3"/>
  <c r="K60" i="3" s="1"/>
  <c r="E60" i="3" s="1"/>
  <c r="F84" i="3"/>
  <c r="B108" i="3"/>
  <c r="C108" i="3"/>
  <c r="D108" i="3"/>
  <c r="E108" i="3"/>
  <c r="F108" i="3"/>
  <c r="B109" i="3"/>
  <c r="C109" i="3"/>
  <c r="D109" i="3"/>
  <c r="E109" i="3"/>
  <c r="F109" i="3"/>
  <c r="B110" i="3"/>
  <c r="C110" i="3"/>
  <c r="D110" i="3"/>
  <c r="E110" i="3"/>
  <c r="F110" i="3"/>
  <c r="B111" i="3"/>
  <c r="C111" i="3"/>
  <c r="D111" i="3"/>
  <c r="E111" i="3"/>
  <c r="F111" i="3"/>
  <c r="B112" i="3"/>
  <c r="C112" i="3"/>
  <c r="D112" i="3"/>
  <c r="E112" i="3"/>
  <c r="F112" i="3"/>
  <c r="B113" i="3"/>
  <c r="C113" i="3"/>
  <c r="D113" i="3"/>
  <c r="E113" i="3"/>
  <c r="F113" i="3"/>
  <c r="B114" i="3"/>
  <c r="C114" i="3"/>
  <c r="D114" i="3"/>
  <c r="E114" i="3"/>
  <c r="F114" i="3"/>
  <c r="B115" i="3"/>
  <c r="C115" i="3"/>
  <c r="D115" i="3"/>
  <c r="E115" i="3"/>
  <c r="F115" i="3"/>
  <c r="B116" i="3"/>
  <c r="C116" i="3"/>
  <c r="D116" i="3"/>
  <c r="E116" i="3"/>
  <c r="F116" i="3"/>
  <c r="B117" i="3"/>
  <c r="C117" i="3"/>
  <c r="D117" i="3"/>
  <c r="E117" i="3"/>
  <c r="F117" i="3"/>
  <c r="B118" i="3"/>
  <c r="C118" i="3"/>
  <c r="D118" i="3"/>
  <c r="E118" i="3"/>
  <c r="F118" i="3"/>
  <c r="B119" i="3"/>
  <c r="C119" i="3"/>
  <c r="D119" i="3"/>
  <c r="E119" i="3"/>
  <c r="F119" i="3"/>
  <c r="B120" i="3"/>
  <c r="C120" i="3"/>
  <c r="D120" i="3"/>
  <c r="E120" i="3"/>
  <c r="F120" i="3"/>
  <c r="B121" i="3"/>
  <c r="C121" i="3"/>
  <c r="D121" i="3"/>
  <c r="E121" i="3"/>
  <c r="F121" i="3"/>
  <c r="B122" i="3"/>
  <c r="C122" i="3"/>
  <c r="D122" i="3"/>
  <c r="E122" i="3"/>
  <c r="F122" i="3"/>
  <c r="B123" i="3"/>
  <c r="C123" i="3"/>
  <c r="D123" i="3"/>
  <c r="E123" i="3"/>
  <c r="F123" i="3"/>
  <c r="B124" i="3"/>
  <c r="C124" i="3"/>
  <c r="D124" i="3"/>
  <c r="E124" i="3"/>
  <c r="F124" i="3"/>
  <c r="B125" i="3"/>
  <c r="C125" i="3"/>
  <c r="D125" i="3"/>
  <c r="E125" i="3"/>
  <c r="F125" i="3"/>
  <c r="B107" i="3"/>
  <c r="C107" i="3"/>
  <c r="D107" i="3"/>
  <c r="E107" i="3"/>
  <c r="F107" i="3"/>
  <c r="H40" i="4"/>
  <c r="H39" i="4"/>
  <c r="H37" i="4"/>
  <c r="H35" i="4"/>
  <c r="H33" i="4"/>
  <c r="H31" i="4"/>
  <c r="H29" i="4"/>
  <c r="H27" i="4"/>
  <c r="H25" i="4"/>
  <c r="H23" i="4"/>
  <c r="H21" i="4"/>
  <c r="B65" i="3"/>
  <c r="I41" i="3" s="1"/>
  <c r="C65" i="3"/>
  <c r="F14" i="3" s="1"/>
  <c r="D65" i="3"/>
  <c r="J14" i="3" s="1"/>
  <c r="D14" i="3" s="1"/>
  <c r="E65" i="3"/>
  <c r="K41" i="3" s="1"/>
  <c r="E41" i="3" s="1"/>
  <c r="F65" i="3"/>
  <c r="B106" i="3"/>
  <c r="C106" i="3"/>
  <c r="D106" i="3"/>
  <c r="E106" i="3"/>
  <c r="F106" i="3"/>
  <c r="K23" i="3" l="1"/>
  <c r="K19" i="3"/>
  <c r="J32" i="3"/>
  <c r="D32" i="3" s="1"/>
  <c r="J28" i="3"/>
  <c r="D28" i="3" s="1"/>
  <c r="J24" i="3"/>
  <c r="D24" i="3" s="1"/>
  <c r="J19" i="3"/>
  <c r="D19" i="3" s="1"/>
  <c r="J15" i="3"/>
  <c r="D15" i="3" s="1"/>
  <c r="I33" i="3"/>
  <c r="B33" i="3" s="1"/>
  <c r="I32" i="3"/>
  <c r="B32" i="3" s="1"/>
  <c r="I31" i="3"/>
  <c r="B31" i="3" s="1"/>
  <c r="I30" i="3"/>
  <c r="B30" i="3" s="1"/>
  <c r="I29" i="3"/>
  <c r="B29" i="3" s="1"/>
  <c r="I28" i="3"/>
  <c r="B28" i="3" s="1"/>
  <c r="I27" i="3"/>
  <c r="B27" i="3" s="1"/>
  <c r="I26" i="3"/>
  <c r="B26" i="3" s="1"/>
  <c r="I25" i="3"/>
  <c r="B25" i="3" s="1"/>
  <c r="I24" i="3"/>
  <c r="B24" i="3" s="1"/>
  <c r="I23" i="3"/>
  <c r="B23" i="3" s="1"/>
  <c r="I22" i="3"/>
  <c r="B22" i="3" s="1"/>
  <c r="I21" i="3"/>
  <c r="B21" i="3" s="1"/>
  <c r="I20" i="3"/>
  <c r="B20" i="3" s="1"/>
  <c r="I19" i="3"/>
  <c r="B19" i="3" s="1"/>
  <c r="I18" i="3"/>
  <c r="B18" i="3" s="1"/>
  <c r="I17" i="3"/>
  <c r="B17" i="3" s="1"/>
  <c r="I16" i="3"/>
  <c r="B16" i="3" s="1"/>
  <c r="I15" i="3"/>
  <c r="B15" i="3" s="1"/>
  <c r="K31" i="3"/>
  <c r="K27" i="3"/>
  <c r="K15" i="3"/>
  <c r="J31" i="3"/>
  <c r="D31" i="3" s="1"/>
  <c r="J27" i="3"/>
  <c r="D27" i="3" s="1"/>
  <c r="J23" i="3"/>
  <c r="D23" i="3" s="1"/>
  <c r="J20" i="3"/>
  <c r="D20" i="3" s="1"/>
  <c r="J16" i="3"/>
  <c r="D16" i="3" s="1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J41" i="3"/>
  <c r="D41" i="3" s="1"/>
  <c r="K14" i="3"/>
  <c r="E14" i="3" s="1"/>
  <c r="B41" i="3"/>
  <c r="I14" i="3"/>
  <c r="B14" i="3" s="1"/>
  <c r="F41" i="3"/>
  <c r="H43" i="4"/>
  <c r="H44" i="4" l="1"/>
  <c r="H45" i="4" l="1"/>
  <c r="N5" i="3" l="1"/>
  <c r="M5" i="3" l="1"/>
  <c r="L5" i="3"/>
  <c r="K5" i="3"/>
  <c r="C99" i="3" l="1"/>
  <c r="C7" i="3"/>
  <c r="D97" i="3"/>
  <c r="D5" i="3"/>
  <c r="D99" i="3"/>
  <c r="D7" i="3"/>
  <c r="D96" i="3"/>
  <c r="D4" i="3"/>
</calcChain>
</file>

<file path=xl/sharedStrings.xml><?xml version="1.0" encoding="utf-8"?>
<sst xmlns="http://schemas.openxmlformats.org/spreadsheetml/2006/main" count="285" uniqueCount="147">
  <si>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</si>
  <si>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</si>
  <si>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</si>
  <si>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</si>
  <si>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</si>
  <si>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</si>
  <si>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</si>
  <si>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</si>
  <si>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</si>
  <si>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</si>
  <si>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</si>
  <si>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</si>
  <si>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</si>
  <si>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</si>
  <si>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</si>
  <si>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</si>
  <si>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</si>
  <si>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</si>
  <si>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</si>
  <si>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</si>
  <si>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</si>
  <si>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</si>
  <si>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</si>
  <si>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</si>
  <si>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</si>
  <si>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</si>
  <si>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</si>
  <si>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</si>
  <si>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</si>
  <si>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</si>
  <si>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</si>
  <si>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</si>
  <si>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</si>
  <si>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</si>
  <si>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</si>
  <si>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</si>
  <si>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</si>
  <si>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</si>
  <si>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</si>
  <si>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</si>
  <si>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</si>
  <si>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</si>
  <si>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</si>
  <si>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</si>
  <si>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</si>
  <si>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</si>
  <si>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</si>
  <si>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</si>
  <si>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</si>
  <si>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</si>
  <si>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</si>
  <si>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</si>
  <si>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</si>
  <si>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</si>
  <si>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</si>
  <si>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</si>
  <si>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</si>
  <si>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</si>
  <si>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</si>
  <si>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</si>
  <si>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</si>
  <si>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</si>
  <si>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</si>
  <si>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</si>
  <si>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</si>
  <si>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</si>
  <si>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</si>
  <si>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</si>
  <si>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</si>
  <si>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</si>
  <si>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</si>
  <si>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</si>
  <si>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</si>
  <si>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</si>
  <si>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</si>
  <si>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</si>
  <si>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</si>
  <si>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</si>
  <si>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</si>
  <si>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</si>
  <si>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</si>
  <si>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</si>
  <si>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</si>
  <si>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</si>
  <si>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</si>
  <si>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</si>
  <si>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</si>
  <si>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</si>
  <si>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</si>
  <si>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</si>
  <si>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</si>
  <si>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</si>
  <si>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</si>
  <si>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</si>
  <si>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</si>
  <si>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</si>
  <si>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</si>
  <si>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</si>
  <si>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</si>
  <si>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</si>
  <si>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</si>
  <si>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</si>
  <si>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</si>
  <si>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</si>
  <si>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</si>
  <si>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</si>
  <si>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</si>
  <si>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</si>
  <si>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</si>
  <si>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</si>
  <si>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</si>
  <si>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</si>
  <si>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</si>
  <si>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</si>
  <si>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</si>
  <si>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</si>
  <si>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</si>
  <si>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</si>
  <si>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</si>
  <si>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</si>
  <si>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</si>
  <si>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</si>
  <si>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</si>
  <si>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</si>
  <si>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</si>
  <si>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</si>
  <si>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</si>
  <si>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</si>
  <si>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</si>
  <si>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</si>
  <si>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</si>
  <si>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</si>
  <si>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</si>
  <si>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</si>
  <si>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</si>
  <si>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</t>
  </si>
  <si>
    <t>NO</t>
  </si>
  <si>
    <t>N° 11381</t>
  </si>
  <si>
    <t>FCA DE MUEBLES ALVEAR Y ALVEAR LTDA</t>
  </si>
  <si>
    <t>76.143.978-2</t>
  </si>
  <si>
    <t>CLAUDIO ALVEAR</t>
  </si>
  <si>
    <t>ROSA ESTER 03281 LA PINTANA</t>
  </si>
  <si>
    <t>CONTADO</t>
  </si>
  <si>
    <t>CUB SIN RESPALDO 180°</t>
  </si>
  <si>
    <t>NIEBLA 2191 MT</t>
  </si>
  <si>
    <t>RESPADO R12</t>
  </si>
  <si>
    <t>WHITE OAK  1336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</si>
</sst>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0" xfId="0" applyFont="1" applyBorder="1" applyAlignment="1">
      <alignment horizontal="center" vertical="center"/>
    </xf>
    <xf numFmtId="165" fontId="15" fillId="0" borderId="0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3" borderId="0" xfId="0" applyFont="1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42</xdr:row>
      <xdr:rowOff>9525</xdr:rowOff>
    </xdr:from>
    <xdr:to>
      <xdr:col>5</xdr:col>
      <xdr:colOff>1390650</xdr:colOff>
      <xdr:row>46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$ 1.000.000.-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35</xdr:row>
      <xdr:rowOff>76200</xdr:rowOff>
    </xdr:from>
    <xdr:to>
      <xdr:col>5</xdr:col>
      <xdr:colOff>1676399</xdr:colOff>
      <xdr:row>37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100</xdr:row>
      <xdr:rowOff>171450</xdr:rowOff>
    </xdr:from>
    <xdr:to>
      <xdr:col>5</xdr:col>
      <xdr:colOff>1685924</xdr:colOff>
      <xdr:row>102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98</xdr:row>
      <xdr:rowOff>0</xdr:rowOff>
    </xdr:from>
    <xdr:to>
      <xdr:col>6</xdr:col>
      <xdr:colOff>0</xdr:colOff>
      <xdr:row>99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96</xdr:row>
      <xdr:rowOff>38100</xdr:rowOff>
    </xdr:from>
    <xdr:to>
      <xdr:col>6</xdr:col>
      <xdr:colOff>0</xdr:colOff>
      <xdr:row>97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95</xdr:row>
      <xdr:rowOff>0</xdr:rowOff>
    </xdr:from>
    <xdr:to>
      <xdr:col>6</xdr:col>
      <xdr:colOff>0</xdr:colOff>
      <xdr:row>96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127</xdr:row>
      <xdr:rowOff>0</xdr:rowOff>
    </xdr:from>
    <xdr:to>
      <xdr:col>2</xdr:col>
      <xdr:colOff>38100</xdr:colOff>
      <xdr:row>128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127</xdr:row>
      <xdr:rowOff>0</xdr:rowOff>
    </xdr:from>
    <xdr:to>
      <xdr:col>2</xdr:col>
      <xdr:colOff>1019175</xdr:colOff>
      <xdr:row>127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127</xdr:row>
      <xdr:rowOff>0</xdr:rowOff>
    </xdr:from>
    <xdr:to>
      <xdr:col>3</xdr:col>
      <xdr:colOff>352425</xdr:colOff>
      <xdr:row>128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127</xdr:row>
      <xdr:rowOff>0</xdr:rowOff>
    </xdr:from>
    <xdr:to>
      <xdr:col>4</xdr:col>
      <xdr:colOff>257175</xdr:colOff>
      <xdr:row>128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127</xdr:row>
      <xdr:rowOff>0</xdr:rowOff>
    </xdr:from>
    <xdr:to>
      <xdr:col>5</xdr:col>
      <xdr:colOff>447675</xdr:colOff>
      <xdr:row>127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127</xdr:row>
      <xdr:rowOff>0</xdr:rowOff>
    </xdr:from>
    <xdr:to>
      <xdr:col>6</xdr:col>
      <xdr:colOff>0</xdr:colOff>
      <xdr:row>127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127</xdr:row>
      <xdr:rowOff>190500</xdr:rowOff>
    </xdr:from>
    <xdr:to>
      <xdr:col>2</xdr:col>
      <xdr:colOff>304800</xdr:colOff>
      <xdr:row>129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127</xdr:row>
      <xdr:rowOff>190500</xdr:rowOff>
    </xdr:from>
    <xdr:to>
      <xdr:col>2</xdr:col>
      <xdr:colOff>1276350</xdr:colOff>
      <xdr:row>129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127</xdr:row>
      <xdr:rowOff>190500</xdr:rowOff>
    </xdr:from>
    <xdr:to>
      <xdr:col>3</xdr:col>
      <xdr:colOff>619125</xdr:colOff>
      <xdr:row>129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127</xdr:row>
      <xdr:rowOff>190500</xdr:rowOff>
    </xdr:from>
    <xdr:to>
      <xdr:col>4</xdr:col>
      <xdr:colOff>523875</xdr:colOff>
      <xdr:row>129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127</xdr:row>
      <xdr:rowOff>190500</xdr:rowOff>
    </xdr:from>
    <xdr:to>
      <xdr:col>5</xdr:col>
      <xdr:colOff>723900</xdr:colOff>
      <xdr:row>129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127</xdr:row>
      <xdr:rowOff>190500</xdr:rowOff>
    </xdr:from>
    <xdr:to>
      <xdr:col>6</xdr:col>
      <xdr:colOff>0</xdr:colOff>
      <xdr:row>129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87</xdr:row>
      <xdr:rowOff>15239</xdr:rowOff>
    </xdr:from>
    <xdr:to>
      <xdr:col>6</xdr:col>
      <xdr:colOff>68580</xdr:colOff>
      <xdr:row>91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60</xdr:row>
      <xdr:rowOff>200025</xdr:rowOff>
    </xdr:from>
    <xdr:to>
      <xdr:col>6</xdr:col>
      <xdr:colOff>19049</xdr:colOff>
      <xdr:row>62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130</xdr:row>
      <xdr:rowOff>32385</xdr:rowOff>
    </xdr:from>
    <xdr:to>
      <xdr:col>6</xdr:col>
      <xdr:colOff>19050</xdr:colOff>
      <xdr:row>134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94</xdr:row>
      <xdr:rowOff>41910</xdr:rowOff>
    </xdr:from>
    <xdr:to>
      <xdr:col>1</xdr:col>
      <xdr:colOff>801763</xdr:colOff>
      <xdr:row>100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2"/>
  <sheetViews>
    <sheetView topLeftCell="A3" workbookViewId="0">
      <selection activeCell="E22" sqref="E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137</v>
      </c>
      <c r="E8" s="1"/>
      <c r="F8" s="94" t="s">
        <v>27</v>
      </c>
      <c r="G8" s="95">
        <v>7196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138</v>
      </c>
      <c r="D10" s="55"/>
      <c r="E10" s="55"/>
      <c r="F10" s="56" t="s">
        <v>28</v>
      </c>
      <c r="G10" s="57">
        <v>45751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139</v>
      </c>
      <c r="D11" s="60"/>
      <c r="E11" s="60"/>
      <c r="F11" s="60" t="s">
        <v>124</v>
      </c>
      <c r="G11" s="61">
        <v>45757</v>
      </c>
      <c r="H11" s="62"/>
      <c r="I11" s="1"/>
    </row>
    <row r="12" spans="1:17" ht="16.2" thickBot="1" x14ac:dyDescent="0.35">
      <c r="A12" s="1"/>
      <c r="B12" s="63" t="s">
        <v>131</v>
      </c>
      <c r="C12" t="s">
        <v>135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133</v>
      </c>
      <c r="C13" s="86" t="s">
        <v>140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2">
        <v>56973069852</v>
      </c>
      <c r="D14" s="66"/>
      <c r="E14" s="60"/>
      <c r="F14" s="60" t="s">
        <v>29</v>
      </c>
      <c r="G14" s="60" t="s">
        <v>136</v>
      </c>
      <c r="H14" s="62"/>
      <c r="I14" s="1"/>
    </row>
    <row r="15" spans="1:17" ht="15.6" x14ac:dyDescent="0.3">
      <c r="A15" s="1"/>
      <c r="B15" s="63" t="s">
        <v>1</v>
      </c>
      <c r="C15" s="98" t="s">
        <v>141</v>
      </c>
      <c r="D15" s="43"/>
      <c r="E15" s="43"/>
      <c r="F15" s="67" t="s">
        <v>75</v>
      </c>
      <c r="G15" s="67" t="s">
        <v>142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05" t="s">
        <v>18</v>
      </c>
      <c r="G16" s="105"/>
      <c r="H16" s="106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07" t="s">
        <v>19</v>
      </c>
      <c r="C19" s="108"/>
      <c r="D19" s="108"/>
      <c r="E19" s="108"/>
      <c r="F19" s="108"/>
      <c r="G19" s="108"/>
      <c r="H19" s="109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3">
        <v>3</v>
      </c>
      <c r="C21" s="103" t="s">
        <v>143</v>
      </c>
      <c r="D21" s="122">
        <v>2850</v>
      </c>
      <c r="E21" s="122">
        <v>600</v>
      </c>
      <c r="F21" s="103" t="s">
        <v>144</v>
      </c>
      <c r="G21" s="104">
        <v>115851</v>
      </c>
      <c r="H21" s="104">
        <f>G21*B21</f>
        <v>347553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3">
        <v>3</v>
      </c>
      <c r="C22" s="103" t="s">
        <v>145</v>
      </c>
      <c r="D22" s="122">
        <v>2850</v>
      </c>
      <c r="E22" s="122">
        <v>60</v>
      </c>
      <c r="F22" s="103" t="s">
        <v>144</v>
      </c>
      <c r="G22" s="104"/>
      <c r="H22" s="104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3">
        <v>1</v>
      </c>
      <c r="C23" s="103" t="s">
        <v>143</v>
      </c>
      <c r="D23" s="122">
        <v>1220</v>
      </c>
      <c r="E23" s="122">
        <v>600</v>
      </c>
      <c r="F23" s="103" t="s">
        <v>144</v>
      </c>
      <c r="G23" s="104">
        <v>52236</v>
      </c>
      <c r="H23" s="104">
        <f t="shared" ref="H23:H40" si="0">G23*B23</f>
        <v>52236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3">
        <v>1</v>
      </c>
      <c r="C24" s="103" t="s">
        <v>145</v>
      </c>
      <c r="D24" s="122">
        <v>1220</v>
      </c>
      <c r="E24" s="122">
        <v>60</v>
      </c>
      <c r="F24" s="103" t="s">
        <v>144</v>
      </c>
      <c r="G24" s="104"/>
      <c r="H24" s="104"/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3">
        <v>1</v>
      </c>
      <c r="C25" s="103" t="s">
        <v>143</v>
      </c>
      <c r="D25" s="122">
        <v>1520</v>
      </c>
      <c r="E25" s="122">
        <v>600</v>
      </c>
      <c r="F25" s="103" t="s">
        <v>144</v>
      </c>
      <c r="G25" s="104">
        <v>63944</v>
      </c>
      <c r="H25" s="104">
        <f t="shared" si="0"/>
        <v>63944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3">
        <v>1</v>
      </c>
      <c r="C26" s="103" t="s">
        <v>145</v>
      </c>
      <c r="D26" s="122">
        <v>1520</v>
      </c>
      <c r="E26" s="122">
        <v>60</v>
      </c>
      <c r="F26" s="103" t="s">
        <v>144</v>
      </c>
      <c r="G26" s="104"/>
      <c r="H26" s="104"/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103">
        <v>2</v>
      </c>
      <c r="C27" s="103" t="s">
        <v>143</v>
      </c>
      <c r="D27" s="122">
        <v>2200</v>
      </c>
      <c r="E27" s="122">
        <v>600</v>
      </c>
      <c r="F27" s="103" t="s">
        <v>144</v>
      </c>
      <c r="G27" s="104">
        <v>90483</v>
      </c>
      <c r="H27" s="104">
        <f t="shared" si="0"/>
        <v>180966</v>
      </c>
      <c r="I27" s="1"/>
      <c r="K27" s="17"/>
      <c r="L27" s="26"/>
      <c r="M27" s="17"/>
      <c r="N27" s="17"/>
      <c r="O27" s="26"/>
      <c r="P27" s="33"/>
    </row>
    <row r="28" spans="1:16" ht="18" customHeight="1" x14ac:dyDescent="0.3">
      <c r="A28" s="1"/>
      <c r="B28" s="103">
        <v>2</v>
      </c>
      <c r="C28" s="103" t="s">
        <v>145</v>
      </c>
      <c r="D28" s="122">
        <v>2200</v>
      </c>
      <c r="E28" s="122">
        <v>60</v>
      </c>
      <c r="F28" s="103" t="s">
        <v>144</v>
      </c>
      <c r="G28" s="104"/>
      <c r="H28" s="104"/>
      <c r="I28" s="1"/>
      <c r="K28" s="17"/>
      <c r="L28" s="26"/>
      <c r="M28" s="17"/>
      <c r="N28" s="17"/>
      <c r="O28" s="26"/>
      <c r="P28" s="33"/>
    </row>
    <row r="29" spans="1:16" ht="18" customHeight="1" x14ac:dyDescent="0.3">
      <c r="A29" s="1"/>
      <c r="B29" s="103">
        <v>1</v>
      </c>
      <c r="C29" s="103" t="s">
        <v>143</v>
      </c>
      <c r="D29" s="122">
        <v>1860</v>
      </c>
      <c r="E29" s="122">
        <v>600</v>
      </c>
      <c r="F29" s="103" t="s">
        <v>146</v>
      </c>
      <c r="G29" s="104">
        <v>88698</v>
      </c>
      <c r="H29" s="104">
        <f t="shared" si="0"/>
        <v>88698</v>
      </c>
      <c r="I29" s="1"/>
      <c r="K29" s="17"/>
      <c r="L29" s="26"/>
      <c r="M29" s="17"/>
      <c r="N29" s="17"/>
      <c r="O29" s="26"/>
      <c r="P29" s="33"/>
    </row>
    <row r="30" spans="1:16" ht="18" customHeight="1" x14ac:dyDescent="0.3">
      <c r="A30" s="1"/>
      <c r="B30" s="103">
        <v>1</v>
      </c>
      <c r="C30" s="103" t="s">
        <v>145</v>
      </c>
      <c r="D30" s="122">
        <v>1860</v>
      </c>
      <c r="E30" s="122">
        <v>60</v>
      </c>
      <c r="F30" s="103" t="s">
        <v>146</v>
      </c>
      <c r="G30" s="104"/>
      <c r="H30" s="104"/>
      <c r="I30" s="1"/>
      <c r="K30" s="17"/>
      <c r="L30" s="26"/>
      <c r="M30" s="17"/>
      <c r="N30" s="17"/>
      <c r="O30" s="26"/>
      <c r="P30" s="33"/>
    </row>
    <row r="31" spans="1:16" ht="18" customHeight="1" x14ac:dyDescent="0.3">
      <c r="A31" s="1"/>
      <c r="B31" s="103">
        <v>2</v>
      </c>
      <c r="C31" s="103" t="s">
        <v>143</v>
      </c>
      <c r="D31" s="122">
        <v>2750</v>
      </c>
      <c r="E31" s="122">
        <v>600</v>
      </c>
      <c r="F31" s="103" t="s">
        <v>146</v>
      </c>
      <c r="G31" s="104">
        <v>128701</v>
      </c>
      <c r="H31" s="104">
        <f t="shared" si="0"/>
        <v>257402</v>
      </c>
      <c r="I31" s="1"/>
      <c r="K31" s="17"/>
      <c r="L31" s="26"/>
      <c r="M31" s="17"/>
      <c r="N31" s="17"/>
      <c r="O31" s="26"/>
      <c r="P31" s="33"/>
    </row>
    <row r="32" spans="1:16" ht="18" customHeight="1" x14ac:dyDescent="0.3">
      <c r="A32" s="1"/>
      <c r="B32" s="103">
        <v>2</v>
      </c>
      <c r="C32" s="103" t="s">
        <v>145</v>
      </c>
      <c r="D32" s="122">
        <v>2750</v>
      </c>
      <c r="E32" s="122">
        <v>60</v>
      </c>
      <c r="F32" s="103" t="s">
        <v>146</v>
      </c>
      <c r="G32" s="104"/>
      <c r="H32" s="104"/>
      <c r="I32" s="1"/>
      <c r="K32" s="17"/>
      <c r="L32" s="26"/>
      <c r="M32" s="17"/>
      <c r="N32" s="17"/>
      <c r="O32" s="26"/>
      <c r="P32" s="33"/>
    </row>
    <row r="33" spans="1:16" ht="18" customHeight="1" x14ac:dyDescent="0.3">
      <c r="A33" s="1"/>
      <c r="B33" s="103">
        <v>2</v>
      </c>
      <c r="C33" s="103" t="s">
        <v>143</v>
      </c>
      <c r="D33" s="122">
        <v>2310</v>
      </c>
      <c r="E33" s="122">
        <v>600</v>
      </c>
      <c r="F33" s="103" t="s">
        <v>146</v>
      </c>
      <c r="G33" s="104">
        <v>108924</v>
      </c>
      <c r="H33" s="104">
        <f t="shared" si="0"/>
        <v>217848</v>
      </c>
      <c r="I33" s="1"/>
      <c r="K33" s="17"/>
      <c r="L33" s="26"/>
      <c r="M33" s="17"/>
      <c r="N33" s="17"/>
      <c r="O33" s="26"/>
      <c r="P33" s="33"/>
    </row>
    <row r="34" spans="1:16" ht="18" customHeight="1" x14ac:dyDescent="0.3">
      <c r="A34" s="1"/>
      <c r="B34" s="103">
        <v>2</v>
      </c>
      <c r="C34" s="103" t="s">
        <v>145</v>
      </c>
      <c r="D34" s="122">
        <v>2310</v>
      </c>
      <c r="E34" s="122">
        <v>60</v>
      </c>
      <c r="F34" s="103" t="s">
        <v>146</v>
      </c>
      <c r="G34" s="104"/>
      <c r="H34" s="104"/>
      <c r="I34" s="1"/>
      <c r="K34" s="17"/>
      <c r="L34" s="26"/>
      <c r="M34" s="17"/>
      <c r="N34" s="17"/>
      <c r="O34" s="26"/>
      <c r="P34" s="33"/>
    </row>
    <row r="35" spans="1:16" ht="18" customHeight="1" x14ac:dyDescent="0.3">
      <c r="A35" s="1"/>
      <c r="B35" s="103">
        <v>3</v>
      </c>
      <c r="C35" s="103" t="s">
        <v>143</v>
      </c>
      <c r="D35" s="122">
        <v>2000</v>
      </c>
      <c r="E35" s="122">
        <v>600</v>
      </c>
      <c r="F35" s="103" t="s">
        <v>146</v>
      </c>
      <c r="G35" s="104">
        <v>94991</v>
      </c>
      <c r="H35" s="104">
        <f t="shared" si="0"/>
        <v>284973</v>
      </c>
      <c r="I35" s="1"/>
      <c r="K35" s="17"/>
      <c r="L35" s="26"/>
      <c r="M35" s="17"/>
      <c r="N35" s="17"/>
      <c r="O35" s="26"/>
      <c r="P35" s="33"/>
    </row>
    <row r="36" spans="1:16" ht="18" customHeight="1" x14ac:dyDescent="0.3">
      <c r="A36" s="1"/>
      <c r="B36" s="103">
        <v>3</v>
      </c>
      <c r="C36" s="103" t="s">
        <v>145</v>
      </c>
      <c r="D36" s="122">
        <v>2000</v>
      </c>
      <c r="E36" s="122">
        <v>60</v>
      </c>
      <c r="F36" s="103" t="s">
        <v>146</v>
      </c>
      <c r="G36" s="104"/>
      <c r="H36" s="104"/>
      <c r="I36" s="1"/>
      <c r="K36" s="17"/>
      <c r="L36" s="26"/>
      <c r="M36" s="17"/>
      <c r="N36" s="17"/>
      <c r="O36" s="26"/>
      <c r="P36" s="33"/>
    </row>
    <row r="37" spans="1:16" ht="18" customHeight="1" x14ac:dyDescent="0.3">
      <c r="A37" s="1"/>
      <c r="B37" s="103">
        <v>1</v>
      </c>
      <c r="C37" s="103" t="s">
        <v>143</v>
      </c>
      <c r="D37" s="122">
        <v>2250</v>
      </c>
      <c r="E37" s="122">
        <v>600</v>
      </c>
      <c r="F37" s="103" t="s">
        <v>146</v>
      </c>
      <c r="G37" s="104">
        <v>106227</v>
      </c>
      <c r="H37" s="104">
        <f t="shared" si="0"/>
        <v>106227</v>
      </c>
      <c r="I37" s="1"/>
      <c r="K37" s="17"/>
      <c r="L37" s="26"/>
      <c r="M37" s="17"/>
      <c r="N37" s="17"/>
      <c r="O37" s="26"/>
      <c r="P37" s="33"/>
    </row>
    <row r="38" spans="1:16" ht="18" customHeight="1" x14ac:dyDescent="0.3">
      <c r="A38" s="1"/>
      <c r="B38" s="103">
        <v>1</v>
      </c>
      <c r="C38" s="103" t="s">
        <v>145</v>
      </c>
      <c r="D38" s="122">
        <v>2250</v>
      </c>
      <c r="E38" s="122">
        <v>60</v>
      </c>
      <c r="F38" s="103" t="s">
        <v>146</v>
      </c>
      <c r="G38" s="104"/>
      <c r="H38" s="104"/>
      <c r="I38" s="1"/>
      <c r="K38" s="17"/>
      <c r="L38" s="26"/>
      <c r="M38" s="17"/>
      <c r="N38" s="17"/>
      <c r="O38" s="26"/>
      <c r="P38" s="33"/>
    </row>
    <row r="39" spans="1:16" ht="18" customHeight="1" x14ac:dyDescent="0.3">
      <c r="A39" s="1"/>
      <c r="B39" s="103">
        <v>2</v>
      </c>
      <c r="C39" s="103" t="s">
        <v>36</v>
      </c>
      <c r="D39" s="122">
        <v>1200</v>
      </c>
      <c r="E39" s="122">
        <v>600</v>
      </c>
      <c r="F39" s="103" t="s">
        <v>146</v>
      </c>
      <c r="G39" s="104">
        <v>59033</v>
      </c>
      <c r="H39" s="104">
        <f t="shared" si="0"/>
        <v>118066</v>
      </c>
      <c r="I39" s="1"/>
      <c r="K39" s="17"/>
      <c r="L39" s="26"/>
      <c r="M39" s="17"/>
      <c r="N39" s="17"/>
      <c r="O39" s="26"/>
      <c r="P39" s="33"/>
    </row>
    <row r="40" spans="1:16" ht="18" customHeight="1" x14ac:dyDescent="0.3">
      <c r="A40" s="1"/>
      <c r="B40" s="103">
        <v>6</v>
      </c>
      <c r="C40" s="103" t="s">
        <v>143</v>
      </c>
      <c r="D40" s="122">
        <v>1000</v>
      </c>
      <c r="E40" s="122">
        <v>350</v>
      </c>
      <c r="F40" s="103" t="s">
        <v>146</v>
      </c>
      <c r="G40" s="104">
        <v>29817</v>
      </c>
      <c r="H40" s="104">
        <f t="shared" si="0"/>
        <v>178902</v>
      </c>
      <c r="I40" s="1"/>
    </row>
    <row r="41" spans="1:16" ht="18" customHeight="1" x14ac:dyDescent="0.3">
      <c r="A41" s="1"/>
      <c r="B41" s="118"/>
      <c r="C41" s="118"/>
      <c r="D41" s="119"/>
      <c r="E41" s="119"/>
      <c r="F41" s="118"/>
      <c r="G41" s="75"/>
      <c r="H41" s="75"/>
      <c r="I41" s="1"/>
    </row>
    <row r="42" spans="1:16" ht="18" customHeight="1" thickBot="1" x14ac:dyDescent="0.35">
      <c r="A42" s="1"/>
      <c r="B42" s="118"/>
      <c r="C42" s="118"/>
      <c r="D42" s="119"/>
      <c r="E42" s="119"/>
      <c r="F42" s="118"/>
      <c r="G42" s="120"/>
      <c r="H42" s="121"/>
      <c r="I42" s="1"/>
    </row>
    <row r="43" spans="1:16" ht="15.6" x14ac:dyDescent="0.3">
      <c r="A43" s="1"/>
      <c r="B43" s="1"/>
      <c r="C43" s="1"/>
      <c r="D43" s="1"/>
      <c r="E43" s="1"/>
      <c r="F43" s="1"/>
      <c r="G43" s="76" t="s">
        <v>5</v>
      </c>
      <c r="H43" s="77">
        <f>SUM(H21:H40)</f>
        <v>1896815</v>
      </c>
      <c r="I43" s="1"/>
    </row>
    <row r="44" spans="1:16" ht="15.6" x14ac:dyDescent="0.3">
      <c r="A44" s="1"/>
      <c r="B44" s="1"/>
      <c r="C44" s="1"/>
      <c r="D44" s="1"/>
      <c r="E44" s="1"/>
      <c r="F44" s="1"/>
      <c r="G44" s="78" t="s">
        <v>6</v>
      </c>
      <c r="H44" s="79">
        <f>H43*19%</f>
        <v>360394.85</v>
      </c>
      <c r="I44" s="1"/>
    </row>
    <row r="45" spans="1:16" ht="16.2" thickBot="1" x14ac:dyDescent="0.35">
      <c r="A45" s="1"/>
      <c r="B45" s="1"/>
      <c r="C45" s="1"/>
      <c r="D45" s="1"/>
      <c r="E45" s="1"/>
      <c r="F45" s="1"/>
      <c r="G45" s="80" t="s">
        <v>4</v>
      </c>
      <c r="H45" s="81">
        <f>H43+H44</f>
        <v>2257209.85</v>
      </c>
      <c r="I45" s="1"/>
    </row>
    <row r="46" spans="1:16" ht="15.6" x14ac:dyDescent="0.3">
      <c r="A46" s="1"/>
      <c r="B46" s="1"/>
      <c r="C46" s="1"/>
      <c r="D46" s="1"/>
      <c r="E46" s="1"/>
      <c r="F46" s="1"/>
      <c r="G46" s="52"/>
      <c r="H46" s="97"/>
      <c r="I46" s="1"/>
    </row>
    <row r="47" spans="1:16" ht="15.6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16" ht="15.6" x14ac:dyDescent="0.3">
      <c r="A48" s="1"/>
      <c r="B48" s="82" t="s">
        <v>123</v>
      </c>
      <c r="C48" s="83"/>
      <c r="D48" s="84"/>
      <c r="E48" s="84"/>
      <c r="F48" s="74"/>
      <c r="G48" s="1"/>
      <c r="H48" s="1"/>
      <c r="I48" s="1"/>
    </row>
    <row r="49" spans="1:9" ht="15.6" x14ac:dyDescent="0.3">
      <c r="A49" s="1"/>
      <c r="B49" s="82" t="s">
        <v>122</v>
      </c>
      <c r="C49" s="83"/>
      <c r="D49" s="84"/>
      <c r="E49" s="84"/>
      <c r="F49" s="74"/>
      <c r="G49" s="1"/>
      <c r="H49" s="1"/>
      <c r="I49" s="1"/>
    </row>
    <row r="50" spans="1:9" ht="15.6" x14ac:dyDescent="0.3">
      <c r="A50" s="1"/>
      <c r="B50" s="1" t="s">
        <v>25</v>
      </c>
      <c r="C50" s="1"/>
      <c r="D50" s="1"/>
      <c r="E50" s="85" t="s">
        <v>26</v>
      </c>
      <c r="F50" s="1"/>
      <c r="G50" s="1"/>
      <c r="H50" s="1"/>
      <c r="I50" s="1"/>
    </row>
    <row r="51" spans="1:9" ht="15.6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9" ht="15.6" x14ac:dyDescent="0.3">
      <c r="A52" s="1"/>
      <c r="B52" s="1"/>
      <c r="C52" s="1"/>
      <c r="D52" s="1"/>
      <c r="E52" s="1"/>
      <c r="F52" s="1"/>
      <c r="G52" s="1"/>
      <c r="H52" s="1"/>
      <c r="I52" s="1"/>
    </row>
  </sheetData>
  <sortState xmlns:xlrd2="http://schemas.microsoft.com/office/spreadsheetml/2017/richdata2" ref="B54">
    <sortCondition sortBy="fontColor" ref="B54" dxfId="0"/>
  </sortState>
  <mergeCells count="2">
    <mergeCell ref="F16:H16"/>
    <mergeCell ref="B19:H19"/>
  </mergeCells>
  <phoneticPr fontId="10" type="noConversion"/>
  <hyperlinks>
    <hyperlink ref="E5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0" t="s">
        <v>31</v>
      </c>
      <c r="C2" s="110"/>
      <c r="D2" s="110"/>
      <c r="E2" s="18"/>
      <c r="G2" s="110" t="s">
        <v>70</v>
      </c>
      <c r="H2" s="110"/>
      <c r="I2" s="110"/>
      <c r="P2" s="111" t="s">
        <v>58</v>
      </c>
      <c r="Q2" s="111"/>
      <c r="R2" s="111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1" t="s">
        <v>58</v>
      </c>
      <c r="M8" s="111"/>
      <c r="N8" s="111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38"/>
  <sheetViews>
    <sheetView tabSelected="1" topLeftCell="A49" zoomScaleNormal="100" workbookViewId="0">
      <selection activeCell="A61" sqref="A61:XFD93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2" t="s">
        <v>61</v>
      </c>
      <c r="L3" s="112"/>
      <c r="M3" s="112" t="s">
        <v>14</v>
      </c>
      <c r="N3" s="112"/>
    </row>
    <row r="4" spans="1:14" ht="15.75" customHeight="1" x14ac:dyDescent="0.3">
      <c r="A4" s="1"/>
      <c r="B4" s="1"/>
      <c r="C4" s="40" t="s">
        <v>27</v>
      </c>
      <c r="D4" s="14">
        <f>'4637'!G8</f>
        <v>7196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FCA DE MUEBLES ALVEAR Y ALVEAR LTDA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45757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3" t="s">
        <v>61</v>
      </c>
      <c r="B10" s="113"/>
      <c r="C10" s="113"/>
      <c r="D10" s="113"/>
      <c r="E10" s="113"/>
      <c r="F10" s="113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3</v>
      </c>
      <c r="C14" s="25"/>
      <c r="D14" s="25">
        <f t="shared" ref="D14" si="1">J14+D$13</f>
        <v>2930</v>
      </c>
      <c r="E14" s="35">
        <f>K14+E$13</f>
        <v>600</v>
      </c>
      <c r="F14" s="100" t="str">
        <f>C65</f>
        <v>CUB SIN RESPALDO 180°</v>
      </c>
      <c r="G14" s="1"/>
      <c r="I14" s="3">
        <f>I41</f>
        <v>3</v>
      </c>
      <c r="J14" s="4">
        <f>D65</f>
        <v>2850</v>
      </c>
      <c r="K14" s="4">
        <f>E65</f>
        <v>600</v>
      </c>
    </row>
    <row r="15" spans="1:14" ht="15.6" x14ac:dyDescent="0.3">
      <c r="A15" s="96"/>
      <c r="B15" s="25">
        <f t="shared" ref="B15:B33" si="2">I15</f>
        <v>3</v>
      </c>
      <c r="C15" s="25"/>
      <c r="D15" s="25">
        <f t="shared" ref="D15:D33" si="3">J15+D$13</f>
        <v>2930</v>
      </c>
      <c r="E15" s="35">
        <v>100</v>
      </c>
      <c r="F15" s="100" t="str">
        <f>C66</f>
        <v>RESPADO R12</v>
      </c>
      <c r="G15" s="1"/>
      <c r="I15" s="3">
        <f>I42</f>
        <v>3</v>
      </c>
      <c r="J15" s="4">
        <f t="shared" ref="J15:K15" si="4">D66</f>
        <v>2850</v>
      </c>
      <c r="K15" s="4">
        <f t="shared" si="4"/>
        <v>60</v>
      </c>
    </row>
    <row r="16" spans="1:14" ht="15.6" x14ac:dyDescent="0.3">
      <c r="A16" s="96"/>
      <c r="B16" s="25">
        <f t="shared" si="2"/>
        <v>1</v>
      </c>
      <c r="C16" s="25"/>
      <c r="D16" s="25">
        <f t="shared" si="3"/>
        <v>1300</v>
      </c>
      <c r="E16" s="35">
        <f t="shared" ref="E15:E33" si="5">K16+E$13</f>
        <v>600</v>
      </c>
      <c r="F16" s="100" t="str">
        <f>C67</f>
        <v>CUB SIN RESPALDO 180°</v>
      </c>
      <c r="G16" s="1"/>
      <c r="I16" s="3">
        <f>I43</f>
        <v>1</v>
      </c>
      <c r="J16" s="4">
        <f t="shared" ref="J16:K16" si="6">D67</f>
        <v>1220</v>
      </c>
      <c r="K16" s="4">
        <f t="shared" si="6"/>
        <v>600</v>
      </c>
    </row>
    <row r="17" spans="1:11" ht="15.6" x14ac:dyDescent="0.3">
      <c r="A17" s="96"/>
      <c r="B17" s="25">
        <f t="shared" si="2"/>
        <v>1</v>
      </c>
      <c r="C17" s="25"/>
      <c r="D17" s="25">
        <f t="shared" si="3"/>
        <v>1300</v>
      </c>
      <c r="E17" s="35">
        <v>100</v>
      </c>
      <c r="F17" s="100" t="str">
        <f>C68</f>
        <v>RESPADO R12</v>
      </c>
      <c r="G17" s="1"/>
      <c r="I17" s="3">
        <f>I44</f>
        <v>1</v>
      </c>
      <c r="J17" s="4">
        <f t="shared" ref="J17:K17" si="7">D68</f>
        <v>1220</v>
      </c>
      <c r="K17" s="4">
        <f t="shared" si="7"/>
        <v>60</v>
      </c>
    </row>
    <row r="18" spans="1:11" ht="15.6" x14ac:dyDescent="0.3">
      <c r="A18" s="96"/>
      <c r="B18" s="25">
        <f t="shared" si="2"/>
        <v>1</v>
      </c>
      <c r="C18" s="25"/>
      <c r="D18" s="25">
        <f t="shared" si="3"/>
        <v>1600</v>
      </c>
      <c r="E18" s="35">
        <f t="shared" si="5"/>
        <v>600</v>
      </c>
      <c r="F18" s="100" t="str">
        <f>C69</f>
        <v>CUB SIN RESPALDO 180°</v>
      </c>
      <c r="G18" s="1"/>
      <c r="I18" s="3">
        <f>I45</f>
        <v>1</v>
      </c>
      <c r="J18" s="4">
        <f t="shared" ref="J18:K18" si="8">D69</f>
        <v>1520</v>
      </c>
      <c r="K18" s="4">
        <f t="shared" si="8"/>
        <v>600</v>
      </c>
    </row>
    <row r="19" spans="1:11" ht="15.6" x14ac:dyDescent="0.3">
      <c r="A19" s="96"/>
      <c r="B19" s="25">
        <f t="shared" si="2"/>
        <v>1</v>
      </c>
      <c r="C19" s="25"/>
      <c r="D19" s="25">
        <f t="shared" si="3"/>
        <v>1600</v>
      </c>
      <c r="E19" s="35">
        <v>100</v>
      </c>
      <c r="F19" s="100" t="str">
        <f>C70</f>
        <v>RESPADO R12</v>
      </c>
      <c r="G19" s="1"/>
      <c r="I19" s="3">
        <f>I46</f>
        <v>1</v>
      </c>
      <c r="J19" s="4">
        <f t="shared" ref="J19:K19" si="9">D70</f>
        <v>1520</v>
      </c>
      <c r="K19" s="4">
        <f t="shared" si="9"/>
        <v>60</v>
      </c>
    </row>
    <row r="20" spans="1:11" ht="15.6" x14ac:dyDescent="0.3">
      <c r="A20" s="96"/>
      <c r="B20" s="25">
        <f t="shared" si="2"/>
        <v>2</v>
      </c>
      <c r="C20" s="25"/>
      <c r="D20" s="25">
        <f t="shared" si="3"/>
        <v>2280</v>
      </c>
      <c r="E20" s="35">
        <f t="shared" si="5"/>
        <v>600</v>
      </c>
      <c r="F20" s="100" t="str">
        <f>C71</f>
        <v>CUB SIN RESPALDO 180°</v>
      </c>
      <c r="G20" s="1"/>
      <c r="I20" s="3">
        <f>I47</f>
        <v>2</v>
      </c>
      <c r="J20" s="4">
        <f t="shared" ref="J20:K20" si="10">D71</f>
        <v>2200</v>
      </c>
      <c r="K20" s="4">
        <f t="shared" si="10"/>
        <v>600</v>
      </c>
    </row>
    <row r="21" spans="1:11" ht="15.6" x14ac:dyDescent="0.3">
      <c r="A21" s="96"/>
      <c r="B21" s="25">
        <f t="shared" si="2"/>
        <v>2</v>
      </c>
      <c r="C21" s="25"/>
      <c r="D21" s="25">
        <f t="shared" si="3"/>
        <v>2280</v>
      </c>
      <c r="E21" s="35">
        <v>100</v>
      </c>
      <c r="F21" s="100" t="str">
        <f>C72</f>
        <v>RESPADO R12</v>
      </c>
      <c r="G21" s="1"/>
      <c r="I21" s="3">
        <f>I48</f>
        <v>2</v>
      </c>
      <c r="J21" s="4">
        <f t="shared" ref="J21:K21" si="11">D72</f>
        <v>2200</v>
      </c>
      <c r="K21" s="4">
        <f t="shared" si="11"/>
        <v>60</v>
      </c>
    </row>
    <row r="22" spans="1:11" ht="15.6" x14ac:dyDescent="0.3">
      <c r="A22" s="96"/>
      <c r="B22" s="25">
        <f t="shared" si="2"/>
        <v>1</v>
      </c>
      <c r="C22" s="25"/>
      <c r="D22" s="25">
        <f t="shared" si="3"/>
        <v>1940</v>
      </c>
      <c r="E22" s="35">
        <f t="shared" si="5"/>
        <v>600</v>
      </c>
      <c r="F22" s="100" t="str">
        <f>C73</f>
        <v>CUB SIN RESPALDO 180°</v>
      </c>
      <c r="G22" s="1"/>
      <c r="I22" s="3">
        <f>I49</f>
        <v>1</v>
      </c>
      <c r="J22" s="4">
        <f t="shared" ref="J22:K22" si="12">D73</f>
        <v>1860</v>
      </c>
      <c r="K22" s="4">
        <f t="shared" si="12"/>
        <v>600</v>
      </c>
    </row>
    <row r="23" spans="1:11" ht="15.6" x14ac:dyDescent="0.3">
      <c r="A23" s="96"/>
      <c r="B23" s="25">
        <f t="shared" si="2"/>
        <v>1</v>
      </c>
      <c r="C23" s="25"/>
      <c r="D23" s="25">
        <f t="shared" si="3"/>
        <v>1940</v>
      </c>
      <c r="E23" s="35">
        <v>100</v>
      </c>
      <c r="F23" s="100" t="str">
        <f>C74</f>
        <v>RESPADO R12</v>
      </c>
      <c r="G23" s="1"/>
      <c r="I23" s="3">
        <f>I50</f>
        <v>1</v>
      </c>
      <c r="J23" s="4">
        <f t="shared" ref="J23:K23" si="13">D74</f>
        <v>1860</v>
      </c>
      <c r="K23" s="4">
        <f t="shared" si="13"/>
        <v>60</v>
      </c>
    </row>
    <row r="24" spans="1:11" ht="15.6" x14ac:dyDescent="0.3">
      <c r="A24" s="96"/>
      <c r="B24" s="25">
        <f t="shared" si="2"/>
        <v>2</v>
      </c>
      <c r="C24" s="25"/>
      <c r="D24" s="25">
        <f t="shared" si="3"/>
        <v>2830</v>
      </c>
      <c r="E24" s="35">
        <f t="shared" si="5"/>
        <v>600</v>
      </c>
      <c r="F24" s="100" t="str">
        <f>C75</f>
        <v>CUB SIN RESPALDO 180°</v>
      </c>
      <c r="G24" s="1"/>
      <c r="I24" s="3">
        <f>I51</f>
        <v>2</v>
      </c>
      <c r="J24" s="4">
        <f t="shared" ref="J24:K24" si="14">D75</f>
        <v>2750</v>
      </c>
      <c r="K24" s="4">
        <f t="shared" si="14"/>
        <v>600</v>
      </c>
    </row>
    <row r="25" spans="1:11" ht="15.6" x14ac:dyDescent="0.3">
      <c r="A25" s="96"/>
      <c r="B25" s="25">
        <f t="shared" si="2"/>
        <v>2</v>
      </c>
      <c r="C25" s="25"/>
      <c r="D25" s="25">
        <f t="shared" si="3"/>
        <v>2830</v>
      </c>
      <c r="E25" s="35">
        <v>100</v>
      </c>
      <c r="F25" s="100" t="str">
        <f>C76</f>
        <v>RESPADO R12</v>
      </c>
      <c r="G25" s="1"/>
      <c r="I25" s="3">
        <f>I52</f>
        <v>2</v>
      </c>
      <c r="J25" s="4">
        <f t="shared" ref="J25:K25" si="15">D76</f>
        <v>2750</v>
      </c>
      <c r="K25" s="4">
        <f t="shared" si="15"/>
        <v>60</v>
      </c>
    </row>
    <row r="26" spans="1:11" ht="15.6" x14ac:dyDescent="0.3">
      <c r="A26" s="96"/>
      <c r="B26" s="25">
        <f t="shared" si="2"/>
        <v>2</v>
      </c>
      <c r="C26" s="25"/>
      <c r="D26" s="25">
        <f t="shared" si="3"/>
        <v>2390</v>
      </c>
      <c r="E26" s="35">
        <f t="shared" si="5"/>
        <v>600</v>
      </c>
      <c r="F26" s="100" t="str">
        <f>C77</f>
        <v>CUB SIN RESPALDO 180°</v>
      </c>
      <c r="G26" s="1"/>
      <c r="I26" s="3">
        <f>I53</f>
        <v>2</v>
      </c>
      <c r="J26" s="4">
        <f t="shared" ref="J26:K26" si="16">D77</f>
        <v>2310</v>
      </c>
      <c r="K26" s="4">
        <f t="shared" si="16"/>
        <v>600</v>
      </c>
    </row>
    <row r="27" spans="1:11" ht="15.6" x14ac:dyDescent="0.3">
      <c r="A27" s="96"/>
      <c r="B27" s="25">
        <f t="shared" si="2"/>
        <v>2</v>
      </c>
      <c r="C27" s="25"/>
      <c r="D27" s="25">
        <f t="shared" si="3"/>
        <v>2390</v>
      </c>
      <c r="E27" s="35">
        <v>100</v>
      </c>
      <c r="F27" s="100" t="str">
        <f>C78</f>
        <v>RESPADO R12</v>
      </c>
      <c r="G27" s="1"/>
      <c r="I27" s="3">
        <f>I54</f>
        <v>2</v>
      </c>
      <c r="J27" s="4">
        <f t="shared" ref="J27:K27" si="17">D78</f>
        <v>2310</v>
      </c>
      <c r="K27" s="4">
        <f t="shared" si="17"/>
        <v>60</v>
      </c>
    </row>
    <row r="28" spans="1:11" ht="15.6" x14ac:dyDescent="0.3">
      <c r="A28" s="96"/>
      <c r="B28" s="25">
        <f t="shared" si="2"/>
        <v>3</v>
      </c>
      <c r="C28" s="25"/>
      <c r="D28" s="25">
        <f t="shared" si="3"/>
        <v>2080</v>
      </c>
      <c r="E28" s="35">
        <f t="shared" si="5"/>
        <v>600</v>
      </c>
      <c r="F28" s="100" t="str">
        <f>C79</f>
        <v>CUB SIN RESPALDO 180°</v>
      </c>
      <c r="G28" s="1"/>
      <c r="I28" s="3">
        <f>I55</f>
        <v>3</v>
      </c>
      <c r="J28" s="4">
        <f t="shared" ref="J28:K28" si="18">D79</f>
        <v>2000</v>
      </c>
      <c r="K28" s="4">
        <f t="shared" si="18"/>
        <v>600</v>
      </c>
    </row>
    <row r="29" spans="1:11" ht="15.6" x14ac:dyDescent="0.3">
      <c r="A29" s="96"/>
      <c r="B29" s="25">
        <f t="shared" si="2"/>
        <v>3</v>
      </c>
      <c r="C29" s="25"/>
      <c r="D29" s="25">
        <f t="shared" si="3"/>
        <v>2080</v>
      </c>
      <c r="E29" s="35">
        <v>100</v>
      </c>
      <c r="F29" s="100" t="str">
        <f>C80</f>
        <v>RESPADO R12</v>
      </c>
      <c r="G29" s="1"/>
      <c r="I29" s="3">
        <f>I56</f>
        <v>3</v>
      </c>
      <c r="J29" s="4">
        <f t="shared" ref="J29:K29" si="19">D80</f>
        <v>2000</v>
      </c>
      <c r="K29" s="4">
        <f t="shared" si="19"/>
        <v>60</v>
      </c>
    </row>
    <row r="30" spans="1:11" ht="15.6" x14ac:dyDescent="0.3">
      <c r="A30" s="96"/>
      <c r="B30" s="25">
        <f t="shared" si="2"/>
        <v>1</v>
      </c>
      <c r="C30" s="25"/>
      <c r="D30" s="25">
        <f t="shared" si="3"/>
        <v>2330</v>
      </c>
      <c r="E30" s="35">
        <f t="shared" si="5"/>
        <v>600</v>
      </c>
      <c r="F30" s="100" t="str">
        <f>C81</f>
        <v>CUB SIN RESPALDO 180°</v>
      </c>
      <c r="G30" s="1"/>
      <c r="I30" s="3">
        <f>I57</f>
        <v>1</v>
      </c>
      <c r="J30" s="4">
        <f t="shared" ref="J30:K30" si="20">D81</f>
        <v>2250</v>
      </c>
      <c r="K30" s="4">
        <f t="shared" si="20"/>
        <v>600</v>
      </c>
    </row>
    <row r="31" spans="1:11" ht="15.6" x14ac:dyDescent="0.3">
      <c r="A31" s="96"/>
      <c r="B31" s="25">
        <f t="shared" si="2"/>
        <v>1</v>
      </c>
      <c r="C31" s="25"/>
      <c r="D31" s="25">
        <f t="shared" si="3"/>
        <v>2330</v>
      </c>
      <c r="E31" s="35">
        <v>100</v>
      </c>
      <c r="F31" s="100" t="str">
        <f>C82</f>
        <v>RESPADO R12</v>
      </c>
      <c r="G31" s="1"/>
      <c r="I31" s="3">
        <f>I58</f>
        <v>1</v>
      </c>
      <c r="J31" s="4">
        <f t="shared" ref="J31:K31" si="21">D82</f>
        <v>2250</v>
      </c>
      <c r="K31" s="4">
        <f t="shared" si="21"/>
        <v>60</v>
      </c>
    </row>
    <row r="32" spans="1:11" ht="15.6" x14ac:dyDescent="0.3">
      <c r="A32" s="96"/>
      <c r="B32" s="25">
        <f t="shared" si="2"/>
        <v>2</v>
      </c>
      <c r="C32" s="25"/>
      <c r="D32" s="25">
        <f t="shared" si="3"/>
        <v>1280</v>
      </c>
      <c r="E32" s="35">
        <f t="shared" si="5"/>
        <v>600</v>
      </c>
      <c r="F32" s="100" t="str">
        <f>C83</f>
        <v>CUB MESA 180° 2 LADOS</v>
      </c>
      <c r="G32" s="1"/>
      <c r="I32" s="3">
        <f>I59</f>
        <v>2</v>
      </c>
      <c r="J32" s="4">
        <f t="shared" ref="J32:K32" si="22">D83</f>
        <v>1200</v>
      </c>
      <c r="K32" s="4">
        <f t="shared" si="22"/>
        <v>600</v>
      </c>
    </row>
    <row r="33" spans="1:11" ht="15.6" x14ac:dyDescent="0.3">
      <c r="A33" s="96"/>
      <c r="B33" s="25">
        <f t="shared" si="2"/>
        <v>6</v>
      </c>
      <c r="C33" s="25"/>
      <c r="D33" s="25">
        <f t="shared" si="3"/>
        <v>1080</v>
      </c>
      <c r="E33" s="35">
        <f t="shared" si="5"/>
        <v>350</v>
      </c>
      <c r="F33" s="100" t="str">
        <f>C84</f>
        <v>CUB SIN RESPALDO 180°</v>
      </c>
      <c r="G33" s="1"/>
      <c r="I33" s="3">
        <f>I60</f>
        <v>6</v>
      </c>
      <c r="J33" s="4">
        <f t="shared" ref="J33:K33" si="23">D84</f>
        <v>1000</v>
      </c>
      <c r="K33" s="4">
        <f t="shared" si="23"/>
        <v>350</v>
      </c>
    </row>
    <row r="34" spans="1:11" ht="15.6" x14ac:dyDescent="0.3">
      <c r="A34" s="96"/>
      <c r="B34" s="125"/>
      <c r="C34" s="125"/>
      <c r="D34" s="125"/>
      <c r="E34" s="129"/>
      <c r="F34" s="126"/>
      <c r="G34" s="1"/>
      <c r="I34" s="127"/>
      <c r="J34" s="128"/>
      <c r="K34" s="128"/>
    </row>
    <row r="35" spans="1:11" ht="15.6" x14ac:dyDescent="0.3">
      <c r="A35" s="52"/>
      <c r="B35" s="6"/>
      <c r="C35" s="6"/>
      <c r="D35" s="6"/>
      <c r="E35" s="89"/>
      <c r="F35" s="6"/>
      <c r="G35" s="1"/>
      <c r="I35" s="90"/>
      <c r="J35" s="2"/>
      <c r="K35" s="2"/>
    </row>
    <row r="36" spans="1:11" ht="6.75" customHeight="1" x14ac:dyDescent="0.3">
      <c r="A36" s="1"/>
      <c r="B36" s="1"/>
      <c r="C36" s="1"/>
      <c r="D36" s="1"/>
      <c r="E36" s="1"/>
      <c r="F36" s="1"/>
      <c r="G36" s="1"/>
    </row>
    <row r="37" spans="1:11" ht="15.6" x14ac:dyDescent="0.3">
      <c r="A37" s="113" t="s">
        <v>14</v>
      </c>
      <c r="B37" s="113"/>
      <c r="C37" s="113"/>
      <c r="D37" s="113"/>
      <c r="E37" s="113"/>
      <c r="F37" s="113"/>
      <c r="G37" s="1"/>
    </row>
    <row r="38" spans="1:11" ht="10.5" customHeight="1" x14ac:dyDescent="0.3">
      <c r="A38" s="1"/>
      <c r="B38" s="1"/>
      <c r="C38" s="12"/>
      <c r="D38" s="1"/>
      <c r="E38" s="1"/>
      <c r="F38" s="1"/>
      <c r="G38" s="1"/>
    </row>
    <row r="39" spans="1:11" ht="15.6" x14ac:dyDescent="0.3">
      <c r="A39" s="1"/>
      <c r="B39" s="1"/>
      <c r="C39" s="1"/>
      <c r="D39" s="52" t="s">
        <v>7</v>
      </c>
      <c r="E39" s="52" t="s">
        <v>8</v>
      </c>
      <c r="F39" s="1"/>
      <c r="G39" s="1"/>
    </row>
    <row r="40" spans="1:11" ht="15.6" x14ac:dyDescent="0.3">
      <c r="A40" s="52" t="s">
        <v>9</v>
      </c>
      <c r="B40" s="36" t="s">
        <v>10</v>
      </c>
      <c r="C40" s="36" t="s">
        <v>11</v>
      </c>
      <c r="D40" s="21">
        <v>40</v>
      </c>
      <c r="E40" s="21">
        <v>60</v>
      </c>
      <c r="F40" s="36" t="s">
        <v>110</v>
      </c>
      <c r="G40" s="1"/>
      <c r="J40" s="5" t="s">
        <v>7</v>
      </c>
      <c r="K40" s="5" t="s">
        <v>8</v>
      </c>
    </row>
    <row r="41" spans="1:11" ht="15.6" x14ac:dyDescent="0.3">
      <c r="A41" s="96" t="s">
        <v>130</v>
      </c>
      <c r="B41" s="16">
        <f t="shared" ref="B41" si="24">I41</f>
        <v>3</v>
      </c>
      <c r="C41" s="16"/>
      <c r="D41" s="16">
        <f>J41+D$40</f>
        <v>2890</v>
      </c>
      <c r="E41" s="16">
        <f>K41+E$40</f>
        <v>660</v>
      </c>
      <c r="F41" s="101" t="str">
        <f>C65</f>
        <v>CUB SIN RESPALDO 180°</v>
      </c>
      <c r="G41" s="1"/>
      <c r="I41" s="3">
        <f>B65</f>
        <v>3</v>
      </c>
      <c r="J41" s="4">
        <f t="shared" ref="J41:K41" si="25">D65</f>
        <v>2850</v>
      </c>
      <c r="K41" s="4">
        <f t="shared" si="25"/>
        <v>600</v>
      </c>
    </row>
    <row r="42" spans="1:11" ht="15.6" x14ac:dyDescent="0.3">
      <c r="A42" s="96"/>
      <c r="B42" s="16">
        <f t="shared" ref="B42:B60" si="26">I42</f>
        <v>3</v>
      </c>
      <c r="C42" s="16"/>
      <c r="D42" s="16">
        <f>J42+D$40</f>
        <v>2890</v>
      </c>
      <c r="E42" s="16">
        <f>K42+E$40</f>
        <v>120</v>
      </c>
      <c r="F42" s="101" t="str">
        <f>C66</f>
        <v>RESPADO R12</v>
      </c>
      <c r="G42" s="1"/>
      <c r="I42" s="3">
        <f>B66</f>
        <v>3</v>
      </c>
      <c r="J42" s="4">
        <f>D66</f>
        <v>2850</v>
      </c>
      <c r="K42" s="4">
        <f>E66</f>
        <v>60</v>
      </c>
    </row>
    <row r="43" spans="1:11" ht="15.6" x14ac:dyDescent="0.3">
      <c r="A43" s="96"/>
      <c r="B43" s="16">
        <f t="shared" si="26"/>
        <v>1</v>
      </c>
      <c r="C43" s="16"/>
      <c r="D43" s="16">
        <f>J43+D$40</f>
        <v>1260</v>
      </c>
      <c r="E43" s="16">
        <f>K43+E$40</f>
        <v>660</v>
      </c>
      <c r="F43" s="101" t="str">
        <f>C67</f>
        <v>CUB SIN RESPALDO 180°</v>
      </c>
      <c r="G43" s="1"/>
      <c r="I43" s="3">
        <f>B67</f>
        <v>1</v>
      </c>
      <c r="J43" s="4">
        <f>D67</f>
        <v>1220</v>
      </c>
      <c r="K43" s="4">
        <f>E67</f>
        <v>600</v>
      </c>
    </row>
    <row r="44" spans="1:11" ht="15.6" x14ac:dyDescent="0.3">
      <c r="A44" s="96"/>
      <c r="B44" s="16">
        <f t="shared" si="26"/>
        <v>1</v>
      </c>
      <c r="C44" s="16"/>
      <c r="D44" s="16">
        <f>J44+D$40</f>
        <v>1260</v>
      </c>
      <c r="E44" s="16">
        <f>K44+E$40</f>
        <v>120</v>
      </c>
      <c r="F44" s="101" t="str">
        <f>C68</f>
        <v>RESPADO R12</v>
      </c>
      <c r="G44" s="1"/>
      <c r="I44" s="3">
        <f>B68</f>
        <v>1</v>
      </c>
      <c r="J44" s="4">
        <f>D68</f>
        <v>1220</v>
      </c>
      <c r="K44" s="4">
        <f>E68</f>
        <v>60</v>
      </c>
    </row>
    <row r="45" spans="1:11" ht="15.6" x14ac:dyDescent="0.3">
      <c r="A45" s="96"/>
      <c r="B45" s="16">
        <f t="shared" si="26"/>
        <v>1</v>
      </c>
      <c r="C45" s="16"/>
      <c r="D45" s="16">
        <f>J45+D$40</f>
        <v>1560</v>
      </c>
      <c r="E45" s="16">
        <f>K45+E$40</f>
        <v>660</v>
      </c>
      <c r="F45" s="101" t="str">
        <f>C69</f>
        <v>CUB SIN RESPALDO 180°</v>
      </c>
      <c r="G45" s="1"/>
      <c r="I45" s="3">
        <f>B69</f>
        <v>1</v>
      </c>
      <c r="J45" s="4">
        <f>D69</f>
        <v>1520</v>
      </c>
      <c r="K45" s="4">
        <f>E69</f>
        <v>600</v>
      </c>
    </row>
    <row r="46" spans="1:11" ht="15.6" x14ac:dyDescent="0.3">
      <c r="A46" s="96"/>
      <c r="B46" s="16">
        <f t="shared" si="26"/>
        <v>1</v>
      </c>
      <c r="C46" s="16"/>
      <c r="D46" s="16">
        <f>J46+D$40</f>
        <v>1560</v>
      </c>
      <c r="E46" s="16">
        <f>K46+E$40</f>
        <v>120</v>
      </c>
      <c r="F46" s="101" t="str">
        <f>C70</f>
        <v>RESPADO R12</v>
      </c>
      <c r="G46" s="1"/>
      <c r="I46" s="3">
        <f>B70</f>
        <v>1</v>
      </c>
      <c r="J46" s="4">
        <f>D70</f>
        <v>1520</v>
      </c>
      <c r="K46" s="4">
        <f>E70</f>
        <v>60</v>
      </c>
    </row>
    <row r="47" spans="1:11" ht="15.6" x14ac:dyDescent="0.3">
      <c r="A47" s="96"/>
      <c r="B47" s="16">
        <f t="shared" si="26"/>
        <v>2</v>
      </c>
      <c r="C47" s="16"/>
      <c r="D47" s="16">
        <f>J47+D$40</f>
        <v>2240</v>
      </c>
      <c r="E47" s="16">
        <f>K47+E$40</f>
        <v>660</v>
      </c>
      <c r="F47" s="101" t="str">
        <f>C71</f>
        <v>CUB SIN RESPALDO 180°</v>
      </c>
      <c r="G47" s="1"/>
      <c r="I47" s="3">
        <f>B71</f>
        <v>2</v>
      </c>
      <c r="J47" s="4">
        <f>D71</f>
        <v>2200</v>
      </c>
      <c r="K47" s="4">
        <f>E71</f>
        <v>600</v>
      </c>
    </row>
    <row r="48" spans="1:11" ht="15.6" x14ac:dyDescent="0.3">
      <c r="A48" s="96"/>
      <c r="B48" s="16">
        <f t="shared" si="26"/>
        <v>2</v>
      </c>
      <c r="C48" s="16"/>
      <c r="D48" s="16">
        <f>J48+D$40</f>
        <v>2240</v>
      </c>
      <c r="E48" s="16">
        <f>K48+E$40</f>
        <v>120</v>
      </c>
      <c r="F48" s="101" t="str">
        <f>C72</f>
        <v>RESPADO R12</v>
      </c>
      <c r="G48" s="1"/>
      <c r="I48" s="3">
        <f>B72</f>
        <v>2</v>
      </c>
      <c r="J48" s="4">
        <f>D72</f>
        <v>2200</v>
      </c>
      <c r="K48" s="4">
        <f>E72</f>
        <v>60</v>
      </c>
    </row>
    <row r="49" spans="1:11" ht="15.6" x14ac:dyDescent="0.3">
      <c r="A49" s="96"/>
      <c r="B49" s="16">
        <f t="shared" si="26"/>
        <v>1</v>
      </c>
      <c r="C49" s="16"/>
      <c r="D49" s="16">
        <f>J49+D$40</f>
        <v>1900</v>
      </c>
      <c r="E49" s="16">
        <f>K49+E$40</f>
        <v>660</v>
      </c>
      <c r="F49" s="101" t="str">
        <f>C73</f>
        <v>CUB SIN RESPALDO 180°</v>
      </c>
      <c r="G49" s="1"/>
      <c r="I49" s="3">
        <f>B73</f>
        <v>1</v>
      </c>
      <c r="J49" s="4">
        <f>D73</f>
        <v>1860</v>
      </c>
      <c r="K49" s="4">
        <f>E73</f>
        <v>600</v>
      </c>
    </row>
    <row r="50" spans="1:11" ht="15.6" x14ac:dyDescent="0.3">
      <c r="A50" s="96"/>
      <c r="B50" s="16">
        <f t="shared" si="26"/>
        <v>1</v>
      </c>
      <c r="C50" s="16"/>
      <c r="D50" s="16">
        <f>J50+D$40</f>
        <v>1900</v>
      </c>
      <c r="E50" s="16">
        <f>K50+E$40</f>
        <v>120</v>
      </c>
      <c r="F50" s="101" t="str">
        <f>C74</f>
        <v>RESPADO R12</v>
      </c>
      <c r="G50" s="1"/>
      <c r="I50" s="3">
        <f>B74</f>
        <v>1</v>
      </c>
      <c r="J50" s="4">
        <f>D74</f>
        <v>1860</v>
      </c>
      <c r="K50" s="4">
        <f>E74</f>
        <v>60</v>
      </c>
    </row>
    <row r="51" spans="1:11" ht="15.6" x14ac:dyDescent="0.3">
      <c r="A51" s="96"/>
      <c r="B51" s="16">
        <f t="shared" si="26"/>
        <v>2</v>
      </c>
      <c r="C51" s="16"/>
      <c r="D51" s="16">
        <f>J51+D$40</f>
        <v>2790</v>
      </c>
      <c r="E51" s="16">
        <f>K51+E$40</f>
        <v>660</v>
      </c>
      <c r="F51" s="101" t="str">
        <f>C75</f>
        <v>CUB SIN RESPALDO 180°</v>
      </c>
      <c r="G51" s="1"/>
      <c r="I51" s="3">
        <f>B75</f>
        <v>2</v>
      </c>
      <c r="J51" s="4">
        <f>D75</f>
        <v>2750</v>
      </c>
      <c r="K51" s="4">
        <f>E75</f>
        <v>600</v>
      </c>
    </row>
    <row r="52" spans="1:11" ht="15.6" x14ac:dyDescent="0.3">
      <c r="A52" s="96"/>
      <c r="B52" s="16">
        <f t="shared" si="26"/>
        <v>2</v>
      </c>
      <c r="C52" s="16"/>
      <c r="D52" s="16">
        <f>J52+D$40</f>
        <v>2790</v>
      </c>
      <c r="E52" s="16">
        <f>K52+E$40</f>
        <v>120</v>
      </c>
      <c r="F52" s="101" t="str">
        <f>C76</f>
        <v>RESPADO R12</v>
      </c>
      <c r="G52" s="1"/>
      <c r="I52" s="3">
        <f>B76</f>
        <v>2</v>
      </c>
      <c r="J52" s="4">
        <f>D76</f>
        <v>2750</v>
      </c>
      <c r="K52" s="4">
        <f>E76</f>
        <v>60</v>
      </c>
    </row>
    <row r="53" spans="1:11" ht="15.6" x14ac:dyDescent="0.3">
      <c r="A53" s="96"/>
      <c r="B53" s="16">
        <f t="shared" si="26"/>
        <v>2</v>
      </c>
      <c r="C53" s="16"/>
      <c r="D53" s="16">
        <f>J53+D$40</f>
        <v>2350</v>
      </c>
      <c r="E53" s="16">
        <f>K53+E$40</f>
        <v>660</v>
      </c>
      <c r="F53" s="101" t="str">
        <f>C77</f>
        <v>CUB SIN RESPALDO 180°</v>
      </c>
      <c r="G53" s="1"/>
      <c r="I53" s="3">
        <f>B77</f>
        <v>2</v>
      </c>
      <c r="J53" s="4">
        <f>D77</f>
        <v>2310</v>
      </c>
      <c r="K53" s="4">
        <f>E77</f>
        <v>600</v>
      </c>
    </row>
    <row r="54" spans="1:11" ht="15.6" x14ac:dyDescent="0.3">
      <c r="A54" s="96"/>
      <c r="B54" s="16">
        <f t="shared" si="26"/>
        <v>2</v>
      </c>
      <c r="C54" s="16"/>
      <c r="D54" s="16">
        <f>J54+D$40</f>
        <v>2350</v>
      </c>
      <c r="E54" s="16">
        <f>K54+E$40</f>
        <v>120</v>
      </c>
      <c r="F54" s="101" t="str">
        <f>C78</f>
        <v>RESPADO R12</v>
      </c>
      <c r="G54" s="1"/>
      <c r="I54" s="3">
        <f>B78</f>
        <v>2</v>
      </c>
      <c r="J54" s="4">
        <f>D78</f>
        <v>2310</v>
      </c>
      <c r="K54" s="4">
        <f>E78</f>
        <v>60</v>
      </c>
    </row>
    <row r="55" spans="1:11" ht="15.6" x14ac:dyDescent="0.3">
      <c r="A55" s="96"/>
      <c r="B55" s="16">
        <f t="shared" si="26"/>
        <v>3</v>
      </c>
      <c r="C55" s="16"/>
      <c r="D55" s="16">
        <f>J55+D$40</f>
        <v>2040</v>
      </c>
      <c r="E55" s="16">
        <f>K55+E$40</f>
        <v>660</v>
      </c>
      <c r="F55" s="101" t="str">
        <f>C79</f>
        <v>CUB SIN RESPALDO 180°</v>
      </c>
      <c r="G55" s="1"/>
      <c r="I55" s="3">
        <f>B79</f>
        <v>3</v>
      </c>
      <c r="J55" s="4">
        <f>D79</f>
        <v>2000</v>
      </c>
      <c r="K55" s="4">
        <f>E79</f>
        <v>600</v>
      </c>
    </row>
    <row r="56" spans="1:11" ht="15.6" x14ac:dyDescent="0.3">
      <c r="A56" s="96"/>
      <c r="B56" s="16">
        <f t="shared" si="26"/>
        <v>3</v>
      </c>
      <c r="C56" s="16"/>
      <c r="D56" s="16">
        <f>J56+D$40</f>
        <v>2040</v>
      </c>
      <c r="E56" s="16">
        <f>K56+E$40</f>
        <v>120</v>
      </c>
      <c r="F56" s="101" t="str">
        <f>C80</f>
        <v>RESPADO R12</v>
      </c>
      <c r="G56" s="1"/>
      <c r="I56" s="3">
        <f>B80</f>
        <v>3</v>
      </c>
      <c r="J56" s="4">
        <f>D80</f>
        <v>2000</v>
      </c>
      <c r="K56" s="4">
        <f>E80</f>
        <v>60</v>
      </c>
    </row>
    <row r="57" spans="1:11" ht="15.6" x14ac:dyDescent="0.3">
      <c r="A57" s="96"/>
      <c r="B57" s="16">
        <f t="shared" si="26"/>
        <v>1</v>
      </c>
      <c r="C57" s="16"/>
      <c r="D57" s="16">
        <f>J57+D$40</f>
        <v>2290</v>
      </c>
      <c r="E57" s="16">
        <f>K57+E$40</f>
        <v>660</v>
      </c>
      <c r="F57" s="101" t="str">
        <f>C81</f>
        <v>CUB SIN RESPALDO 180°</v>
      </c>
      <c r="G57" s="1"/>
      <c r="I57" s="3">
        <f>B81</f>
        <v>1</v>
      </c>
      <c r="J57" s="4">
        <f>D81</f>
        <v>2250</v>
      </c>
      <c r="K57" s="4">
        <f>E81</f>
        <v>600</v>
      </c>
    </row>
    <row r="58" spans="1:11" ht="15.6" x14ac:dyDescent="0.3">
      <c r="A58" s="96"/>
      <c r="B58" s="16">
        <f t="shared" si="26"/>
        <v>1</v>
      </c>
      <c r="C58" s="16"/>
      <c r="D58" s="16">
        <f>J58+D$40</f>
        <v>2290</v>
      </c>
      <c r="E58" s="16">
        <f>K58+E$40</f>
        <v>120</v>
      </c>
      <c r="F58" s="101" t="str">
        <f>C82</f>
        <v>RESPADO R12</v>
      </c>
      <c r="G58" s="1"/>
      <c r="I58" s="3">
        <f>B82</f>
        <v>1</v>
      </c>
      <c r="J58" s="4">
        <f>D82</f>
        <v>2250</v>
      </c>
      <c r="K58" s="4">
        <f>E82</f>
        <v>60</v>
      </c>
    </row>
    <row r="59" spans="1:11" ht="15.6" x14ac:dyDescent="0.3">
      <c r="A59" s="96"/>
      <c r="B59" s="16">
        <f t="shared" si="26"/>
        <v>2</v>
      </c>
      <c r="C59" s="16"/>
      <c r="D59" s="16">
        <f>J59+D$40</f>
        <v>1240</v>
      </c>
      <c r="E59" s="16">
        <f>K59+E$40</f>
        <v>660</v>
      </c>
      <c r="F59" s="101" t="str">
        <f>C83</f>
        <v>CUB MESA 180° 2 LADOS</v>
      </c>
      <c r="G59" s="1"/>
      <c r="I59" s="3">
        <f>B83</f>
        <v>2</v>
      </c>
      <c r="J59" s="4">
        <f>D83</f>
        <v>1200</v>
      </c>
      <c r="K59" s="4">
        <f>E83</f>
        <v>600</v>
      </c>
    </row>
    <row r="60" spans="1:11" ht="15.6" x14ac:dyDescent="0.3">
      <c r="A60" s="96"/>
      <c r="B60" s="16">
        <f t="shared" si="26"/>
        <v>6</v>
      </c>
      <c r="C60" s="16"/>
      <c r="D60" s="16">
        <f>J60+D$40</f>
        <v>1040</v>
      </c>
      <c r="E60" s="16">
        <f>K60+E$40</f>
        <v>410</v>
      </c>
      <c r="F60" s="101" t="str">
        <f>C84</f>
        <v>CUB SIN RESPALDO 180°</v>
      </c>
      <c r="G60" s="1"/>
      <c r="I60" s="3">
        <f>B84</f>
        <v>6</v>
      </c>
      <c r="J60" s="4">
        <f>D84</f>
        <v>1000</v>
      </c>
      <c r="K60" s="4">
        <f>E84</f>
        <v>350</v>
      </c>
    </row>
    <row r="61" spans="1:11" ht="16.2" thickBot="1" x14ac:dyDescent="0.35">
      <c r="A61" s="52"/>
      <c r="B61" s="6"/>
      <c r="C61" s="6"/>
      <c r="D61" s="6"/>
      <c r="E61" s="6"/>
      <c r="F61" s="6"/>
      <c r="G61" s="1"/>
      <c r="I61" s="2"/>
      <c r="J61" s="2"/>
      <c r="K61" s="2"/>
    </row>
    <row r="62" spans="1:11" ht="16.2" thickBot="1" x14ac:dyDescent="0.35">
      <c r="A62" s="52"/>
      <c r="B62" s="22" t="s">
        <v>107</v>
      </c>
      <c r="C62" s="23"/>
      <c r="D62" s="23"/>
      <c r="E62" s="23"/>
      <c r="F62" s="24"/>
      <c r="G62" s="1"/>
      <c r="I62" s="2"/>
      <c r="J62" s="2"/>
      <c r="K62" s="2"/>
    </row>
    <row r="63" spans="1:11" ht="10.5" customHeight="1" x14ac:dyDescent="0.3">
      <c r="A63" s="1"/>
      <c r="B63" s="1"/>
      <c r="C63" s="1"/>
      <c r="D63" s="1"/>
      <c r="E63" s="1"/>
      <c r="F63" s="1"/>
      <c r="G63" s="1"/>
    </row>
    <row r="64" spans="1:11" ht="15.6" x14ac:dyDescent="0.3">
      <c r="A64" s="52" t="s">
        <v>9</v>
      </c>
      <c r="B64" s="88" t="s">
        <v>10</v>
      </c>
      <c r="C64" s="88" t="s">
        <v>110</v>
      </c>
      <c r="D64" s="88" t="s">
        <v>7</v>
      </c>
      <c r="E64" s="88" t="s">
        <v>8</v>
      </c>
      <c r="F64" s="88" t="s">
        <v>23</v>
      </c>
      <c r="G64" s="1"/>
    </row>
    <row r="65" spans="1:7" ht="15.6" x14ac:dyDescent="0.3">
      <c r="A65" s="96" t="s">
        <v>134</v>
      </c>
      <c r="B65" s="25">
        <f>'4637'!B21</f>
        <v>3</v>
      </c>
      <c r="C65" s="100" t="str">
        <f>'4637'!C21</f>
        <v>CUB SIN RESPALDO 180°</v>
      </c>
      <c r="D65" s="25">
        <f>'4637'!D21</f>
        <v>2850</v>
      </c>
      <c r="E65" s="25">
        <f>'4637'!E21</f>
        <v>600</v>
      </c>
      <c r="F65" s="25" t="str">
        <f>'4637'!F21</f>
        <v>NIEBLA 2191 MT</v>
      </c>
      <c r="G65" s="1"/>
    </row>
    <row r="66" spans="1:7" ht="15.6" x14ac:dyDescent="0.3">
      <c r="A66" s="96"/>
      <c r="B66" s="25">
        <f>'4637'!B22</f>
        <v>3</v>
      </c>
      <c r="C66" s="100" t="str">
        <f>'4637'!C22</f>
        <v>RESPADO R12</v>
      </c>
      <c r="D66" s="25">
        <f>'4637'!D22</f>
        <v>2850</v>
      </c>
      <c r="E66" s="25">
        <f>'4637'!E22</f>
        <v>60</v>
      </c>
      <c r="F66" s="25" t="str">
        <f>'4637'!F22</f>
        <v>NIEBLA 2191 MT</v>
      </c>
      <c r="G66" s="1"/>
    </row>
    <row r="67" spans="1:7" ht="15.6" x14ac:dyDescent="0.3">
      <c r="A67" s="96"/>
      <c r="B67" s="25">
        <f>'4637'!B23</f>
        <v>1</v>
      </c>
      <c r="C67" s="100" t="str">
        <f>'4637'!C23</f>
        <v>CUB SIN RESPALDO 180°</v>
      </c>
      <c r="D67" s="25">
        <f>'4637'!D23</f>
        <v>1220</v>
      </c>
      <c r="E67" s="25">
        <f>'4637'!E23</f>
        <v>600</v>
      </c>
      <c r="F67" s="25" t="str">
        <f>'4637'!F23</f>
        <v>NIEBLA 2191 MT</v>
      </c>
      <c r="G67" s="1"/>
    </row>
    <row r="68" spans="1:7" ht="15.6" x14ac:dyDescent="0.3">
      <c r="A68" s="96"/>
      <c r="B68" s="25">
        <f>'4637'!B24</f>
        <v>1</v>
      </c>
      <c r="C68" s="100" t="str">
        <f>'4637'!C24</f>
        <v>RESPADO R12</v>
      </c>
      <c r="D68" s="25">
        <f>'4637'!D24</f>
        <v>1220</v>
      </c>
      <c r="E68" s="25">
        <f>'4637'!E24</f>
        <v>60</v>
      </c>
      <c r="F68" s="25" t="str">
        <f>'4637'!F24</f>
        <v>NIEBLA 2191 MT</v>
      </c>
      <c r="G68" s="1"/>
    </row>
    <row r="69" spans="1:7" ht="15.6" x14ac:dyDescent="0.3">
      <c r="A69" s="96"/>
      <c r="B69" s="25">
        <f>'4637'!B25</f>
        <v>1</v>
      </c>
      <c r="C69" s="100" t="str">
        <f>'4637'!C25</f>
        <v>CUB SIN RESPALDO 180°</v>
      </c>
      <c r="D69" s="25">
        <f>'4637'!D25</f>
        <v>1520</v>
      </c>
      <c r="E69" s="25">
        <f>'4637'!E25</f>
        <v>600</v>
      </c>
      <c r="F69" s="25" t="str">
        <f>'4637'!F25</f>
        <v>NIEBLA 2191 MT</v>
      </c>
      <c r="G69" s="1"/>
    </row>
    <row r="70" spans="1:7" ht="15.6" x14ac:dyDescent="0.3">
      <c r="A70" s="96"/>
      <c r="B70" s="25">
        <f>'4637'!B26</f>
        <v>1</v>
      </c>
      <c r="C70" s="100" t="str">
        <f>'4637'!C26</f>
        <v>RESPADO R12</v>
      </c>
      <c r="D70" s="25">
        <f>'4637'!D26</f>
        <v>1520</v>
      </c>
      <c r="E70" s="25">
        <f>'4637'!E26</f>
        <v>60</v>
      </c>
      <c r="F70" s="25" t="str">
        <f>'4637'!F26</f>
        <v>NIEBLA 2191 MT</v>
      </c>
      <c r="G70" s="1"/>
    </row>
    <row r="71" spans="1:7" ht="15.6" x14ac:dyDescent="0.3">
      <c r="A71" s="96"/>
      <c r="B71" s="25">
        <f>'4637'!B27</f>
        <v>2</v>
      </c>
      <c r="C71" s="100" t="str">
        <f>'4637'!C27</f>
        <v>CUB SIN RESPALDO 180°</v>
      </c>
      <c r="D71" s="25">
        <f>'4637'!D27</f>
        <v>2200</v>
      </c>
      <c r="E71" s="25">
        <f>'4637'!E27</f>
        <v>600</v>
      </c>
      <c r="F71" s="25" t="str">
        <f>'4637'!F27</f>
        <v>NIEBLA 2191 MT</v>
      </c>
      <c r="G71" s="1"/>
    </row>
    <row r="72" spans="1:7" ht="15.6" x14ac:dyDescent="0.3">
      <c r="A72" s="96"/>
      <c r="B72" s="25">
        <f>'4637'!B28</f>
        <v>2</v>
      </c>
      <c r="C72" s="100" t="str">
        <f>'4637'!C28</f>
        <v>RESPADO R12</v>
      </c>
      <c r="D72" s="25">
        <f>'4637'!D28</f>
        <v>2200</v>
      </c>
      <c r="E72" s="25">
        <f>'4637'!E28</f>
        <v>60</v>
      </c>
      <c r="F72" s="25" t="str">
        <f>'4637'!F28</f>
        <v>NIEBLA 2191 MT</v>
      </c>
      <c r="G72" s="1"/>
    </row>
    <row r="73" spans="1:7" ht="15.6" x14ac:dyDescent="0.3">
      <c r="A73" s="96"/>
      <c r="B73" s="25">
        <f>'4637'!B29</f>
        <v>1</v>
      </c>
      <c r="C73" s="100" t="str">
        <f>'4637'!C29</f>
        <v>CUB SIN RESPALDO 180°</v>
      </c>
      <c r="D73" s="25">
        <f>'4637'!D29</f>
        <v>1860</v>
      </c>
      <c r="E73" s="25">
        <f>'4637'!E29</f>
        <v>600</v>
      </c>
      <c r="F73" s="25" t="str">
        <f>'4637'!F29</f>
        <v>WHITE OAK  1336 MT</v>
      </c>
      <c r="G73" s="1"/>
    </row>
    <row r="74" spans="1:7" ht="15.6" x14ac:dyDescent="0.3">
      <c r="A74" s="96"/>
      <c r="B74" s="25">
        <f>'4637'!B30</f>
        <v>1</v>
      </c>
      <c r="C74" s="100" t="str">
        <f>'4637'!C30</f>
        <v>RESPADO R12</v>
      </c>
      <c r="D74" s="25">
        <f>'4637'!D30</f>
        <v>1860</v>
      </c>
      <c r="E74" s="25">
        <f>'4637'!E30</f>
        <v>60</v>
      </c>
      <c r="F74" s="25" t="str">
        <f>'4637'!F30</f>
        <v>WHITE OAK  1336 MT</v>
      </c>
      <c r="G74" s="1"/>
    </row>
    <row r="75" spans="1:7" ht="15.6" x14ac:dyDescent="0.3">
      <c r="A75" s="96"/>
      <c r="B75" s="25">
        <f>'4637'!B31</f>
        <v>2</v>
      </c>
      <c r="C75" s="100" t="str">
        <f>'4637'!C31</f>
        <v>CUB SIN RESPALDO 180°</v>
      </c>
      <c r="D75" s="25">
        <f>'4637'!D31</f>
        <v>2750</v>
      </c>
      <c r="E75" s="25">
        <f>'4637'!E31</f>
        <v>600</v>
      </c>
      <c r="F75" s="25" t="str">
        <f>'4637'!F31</f>
        <v>WHITE OAK  1336 MT</v>
      </c>
      <c r="G75" s="1"/>
    </row>
    <row r="76" spans="1:7" ht="15.6" x14ac:dyDescent="0.3">
      <c r="A76" s="96"/>
      <c r="B76" s="25">
        <f>'4637'!B32</f>
        <v>2</v>
      </c>
      <c r="C76" s="100" t="str">
        <f>'4637'!C32</f>
        <v>RESPADO R12</v>
      </c>
      <c r="D76" s="25">
        <f>'4637'!D32</f>
        <v>2750</v>
      </c>
      <c r="E76" s="25">
        <f>'4637'!E32</f>
        <v>60</v>
      </c>
      <c r="F76" s="25" t="str">
        <f>'4637'!F32</f>
        <v>WHITE OAK  1336 MT</v>
      </c>
      <c r="G76" s="1"/>
    </row>
    <row r="77" spans="1:7" ht="15.6" x14ac:dyDescent="0.3">
      <c r="A77" s="96"/>
      <c r="B77" s="25">
        <f>'4637'!B33</f>
        <v>2</v>
      </c>
      <c r="C77" s="100" t="str">
        <f>'4637'!C33</f>
        <v>CUB SIN RESPALDO 180°</v>
      </c>
      <c r="D77" s="25">
        <f>'4637'!D33</f>
        <v>2310</v>
      </c>
      <c r="E77" s="25">
        <f>'4637'!E33</f>
        <v>600</v>
      </c>
      <c r="F77" s="25" t="str">
        <f>'4637'!F33</f>
        <v>WHITE OAK  1336 MT</v>
      </c>
      <c r="G77" s="1"/>
    </row>
    <row r="78" spans="1:7" ht="15.6" x14ac:dyDescent="0.3">
      <c r="A78" s="96"/>
      <c r="B78" s="25">
        <f>'4637'!B34</f>
        <v>2</v>
      </c>
      <c r="C78" s="100" t="str">
        <f>'4637'!C34</f>
        <v>RESPADO R12</v>
      </c>
      <c r="D78" s="25">
        <f>'4637'!D34</f>
        <v>2310</v>
      </c>
      <c r="E78" s="25">
        <f>'4637'!E34</f>
        <v>60</v>
      </c>
      <c r="F78" s="25" t="str">
        <f>'4637'!F34</f>
        <v>WHITE OAK  1336 MT</v>
      </c>
      <c r="G78" s="1"/>
    </row>
    <row r="79" spans="1:7" ht="15.6" x14ac:dyDescent="0.3">
      <c r="A79" s="96"/>
      <c r="B79" s="25">
        <f>'4637'!B35</f>
        <v>3</v>
      </c>
      <c r="C79" s="100" t="str">
        <f>'4637'!C35</f>
        <v>CUB SIN RESPALDO 180°</v>
      </c>
      <c r="D79" s="25">
        <f>'4637'!D35</f>
        <v>2000</v>
      </c>
      <c r="E79" s="25">
        <f>'4637'!E35</f>
        <v>600</v>
      </c>
      <c r="F79" s="25" t="str">
        <f>'4637'!F35</f>
        <v>WHITE OAK  1336 MT</v>
      </c>
      <c r="G79" s="1"/>
    </row>
    <row r="80" spans="1:7" ht="15.6" x14ac:dyDescent="0.3">
      <c r="A80" s="96"/>
      <c r="B80" s="25">
        <f>'4637'!B36</f>
        <v>3</v>
      </c>
      <c r="C80" s="100" t="str">
        <f>'4637'!C36</f>
        <v>RESPADO R12</v>
      </c>
      <c r="D80" s="25">
        <f>'4637'!D36</f>
        <v>2000</v>
      </c>
      <c r="E80" s="25">
        <f>'4637'!E36</f>
        <v>60</v>
      </c>
      <c r="F80" s="25" t="str">
        <f>'4637'!F36</f>
        <v>WHITE OAK  1336 MT</v>
      </c>
      <c r="G80" s="1"/>
    </row>
    <row r="81" spans="1:7" ht="15.6" x14ac:dyDescent="0.3">
      <c r="A81" s="96"/>
      <c r="B81" s="25">
        <f>'4637'!B37</f>
        <v>1</v>
      </c>
      <c r="C81" s="100" t="str">
        <f>'4637'!C37</f>
        <v>CUB SIN RESPALDO 180°</v>
      </c>
      <c r="D81" s="25">
        <f>'4637'!D37</f>
        <v>2250</v>
      </c>
      <c r="E81" s="25">
        <f>'4637'!E37</f>
        <v>600</v>
      </c>
      <c r="F81" s="25" t="str">
        <f>'4637'!F37</f>
        <v>WHITE OAK  1336 MT</v>
      </c>
      <c r="G81" s="1"/>
    </row>
    <row r="82" spans="1:7" ht="15.6" x14ac:dyDescent="0.3">
      <c r="A82" s="96"/>
      <c r="B82" s="25">
        <f>'4637'!B38</f>
        <v>1</v>
      </c>
      <c r="C82" s="100" t="str">
        <f>'4637'!C38</f>
        <v>RESPADO R12</v>
      </c>
      <c r="D82" s="25">
        <f>'4637'!D38</f>
        <v>2250</v>
      </c>
      <c r="E82" s="25">
        <f>'4637'!E38</f>
        <v>60</v>
      </c>
      <c r="F82" s="25" t="str">
        <f>'4637'!F38</f>
        <v>WHITE OAK  1336 MT</v>
      </c>
      <c r="G82" s="1"/>
    </row>
    <row r="83" spans="1:7" ht="15.6" x14ac:dyDescent="0.3">
      <c r="A83" s="96"/>
      <c r="B83" s="25">
        <f>'4637'!B39</f>
        <v>2</v>
      </c>
      <c r="C83" s="100" t="str">
        <f>'4637'!C39</f>
        <v>CUB MESA 180° 2 LADOS</v>
      </c>
      <c r="D83" s="25">
        <f>'4637'!D39</f>
        <v>1200</v>
      </c>
      <c r="E83" s="25">
        <f>'4637'!E39</f>
        <v>600</v>
      </c>
      <c r="F83" s="25" t="str">
        <f>'4637'!F39</f>
        <v>WHITE OAK  1336 MT</v>
      </c>
      <c r="G83" s="1"/>
    </row>
    <row r="84" spans="1:7" ht="15.6" x14ac:dyDescent="0.3">
      <c r="A84" s="96"/>
      <c r="B84" s="25">
        <f>'4637'!B40</f>
        <v>6</v>
      </c>
      <c r="C84" s="100" t="str">
        <f>'4637'!C40</f>
        <v>CUB SIN RESPALDO 180°</v>
      </c>
      <c r="D84" s="25">
        <f>'4637'!D40</f>
        <v>1000</v>
      </c>
      <c r="E84" s="25">
        <f>'4637'!E40</f>
        <v>350</v>
      </c>
      <c r="F84" s="25" t="str">
        <f>'4637'!F40</f>
        <v>WHITE OAK  1336 MT</v>
      </c>
      <c r="G84" s="1"/>
    </row>
    <row r="85" spans="1:7" ht="15.6" x14ac:dyDescent="0.3">
      <c r="A85" s="96"/>
      <c r="B85" s="125"/>
      <c r="C85" s="126"/>
      <c r="D85" s="125"/>
      <c r="E85" s="125"/>
      <c r="F85" s="125"/>
      <c r="G85" s="1"/>
    </row>
    <row r="86" spans="1:7" ht="15.6" x14ac:dyDescent="0.3">
      <c r="A86" s="52"/>
      <c r="B86" s="6"/>
      <c r="C86" s="6"/>
      <c r="D86" s="6"/>
      <c r="E86" s="6"/>
      <c r="F86" s="6"/>
      <c r="G86" s="1"/>
    </row>
    <row r="87" spans="1:7" ht="15.6" x14ac:dyDescent="0.3">
      <c r="A87" s="1"/>
      <c r="B87" s="6"/>
      <c r="C87" s="6"/>
      <c r="D87" s="6"/>
      <c r="E87" s="6"/>
      <c r="F87" s="6"/>
      <c r="G87" s="1"/>
    </row>
    <row r="88" spans="1:7" ht="15.6" x14ac:dyDescent="0.3">
      <c r="A88" s="1"/>
      <c r="B88" s="6"/>
      <c r="C88" s="6"/>
      <c r="D88" s="6"/>
      <c r="E88" s="6"/>
      <c r="F88" s="6"/>
      <c r="G88" s="1"/>
    </row>
    <row r="89" spans="1:7" ht="15.6" x14ac:dyDescent="0.3">
      <c r="A89" s="1"/>
      <c r="B89" s="6"/>
      <c r="C89" s="6"/>
      <c r="D89" s="6"/>
      <c r="E89" s="6"/>
      <c r="F89" s="6"/>
      <c r="G89" s="1"/>
    </row>
    <row r="90" spans="1:7" ht="15.6" x14ac:dyDescent="0.3">
      <c r="A90" s="1"/>
      <c r="B90" s="6"/>
      <c r="C90" s="6"/>
      <c r="D90" s="6"/>
      <c r="E90" s="6"/>
      <c r="F90" s="6"/>
      <c r="G90" s="1"/>
    </row>
    <row r="91" spans="1:7" ht="15.6" x14ac:dyDescent="0.3">
      <c r="A91" s="1"/>
      <c r="B91" s="6"/>
      <c r="C91" s="6"/>
      <c r="D91" s="6"/>
      <c r="E91" s="6"/>
      <c r="F91" s="6"/>
      <c r="G91" s="1"/>
    </row>
    <row r="92" spans="1:7" ht="15.6" x14ac:dyDescent="0.3">
      <c r="A92" s="1"/>
      <c r="B92" s="6"/>
      <c r="C92" s="6"/>
      <c r="D92" s="6"/>
      <c r="E92" s="6"/>
      <c r="F92" s="6"/>
      <c r="G92" s="1"/>
    </row>
    <row r="93" spans="1:7" ht="15.6" x14ac:dyDescent="0.3">
      <c r="A93" s="1"/>
      <c r="B93" s="6"/>
      <c r="C93" s="6"/>
      <c r="D93" s="6"/>
      <c r="E93" s="6"/>
      <c r="F93" s="6"/>
      <c r="G93" s="1"/>
    </row>
    <row r="94" spans="1:7" ht="15.6" x14ac:dyDescent="0.3">
      <c r="A94" s="1"/>
      <c r="B94" s="6"/>
      <c r="C94" s="6"/>
      <c r="D94" s="6"/>
      <c r="E94" s="6"/>
      <c r="F94" s="6"/>
      <c r="G94" s="1"/>
    </row>
    <row r="95" spans="1:7" ht="15.6" x14ac:dyDescent="0.3">
      <c r="A95" s="1"/>
      <c r="B95" s="1"/>
      <c r="C95" s="1"/>
      <c r="D95" s="1"/>
      <c r="E95" s="1"/>
      <c r="F95" s="1"/>
      <c r="G95" s="1"/>
    </row>
    <row r="96" spans="1:7" ht="15.6" x14ac:dyDescent="0.3">
      <c r="A96" s="1"/>
      <c r="B96" s="1"/>
      <c r="C96" s="40" t="s">
        <v>27</v>
      </c>
      <c r="D96" s="14">
        <f>'4637'!G8</f>
        <v>7196</v>
      </c>
      <c r="E96" s="1"/>
      <c r="F96" s="1"/>
      <c r="G96" s="1"/>
    </row>
    <row r="97" spans="1:7" ht="17.25" customHeight="1" x14ac:dyDescent="0.3">
      <c r="A97" s="1"/>
      <c r="B97" s="1"/>
      <c r="C97" s="41" t="s">
        <v>67</v>
      </c>
      <c r="D97" s="42" t="str">
        <f>'4637'!C10</f>
        <v>FCA DE MUEBLES ALVEAR Y ALVEAR LTDA</v>
      </c>
      <c r="E97" s="43"/>
      <c r="F97" s="43"/>
      <c r="G97" s="1"/>
    </row>
    <row r="98" spans="1:7" ht="4.5" customHeight="1" x14ac:dyDescent="0.3">
      <c r="A98" s="1"/>
      <c r="B98" s="1"/>
      <c r="C98" s="44"/>
      <c r="D98" s="45"/>
      <c r="E98" s="1"/>
      <c r="F98" s="1"/>
      <c r="G98" s="1"/>
    </row>
    <row r="99" spans="1:7" ht="15.6" x14ac:dyDescent="0.3">
      <c r="A99" s="1"/>
      <c r="B99" s="1"/>
      <c r="C99" s="46" t="str">
        <f>'4637'!F11</f>
        <v>FECHA LIMITE :</v>
      </c>
      <c r="D99" s="13">
        <f>'4637'!G11</f>
        <v>45757</v>
      </c>
      <c r="E99" s="1"/>
      <c r="F99" s="1"/>
      <c r="G99" s="1"/>
    </row>
    <row r="100" spans="1:7" ht="15.6" x14ac:dyDescent="0.3">
      <c r="A100" s="1"/>
      <c r="B100" s="1"/>
      <c r="C100" s="1"/>
      <c r="D100" s="1"/>
      <c r="E100" s="1"/>
      <c r="F100" s="1"/>
      <c r="G100" s="1"/>
    </row>
    <row r="101" spans="1:7" ht="15.6" x14ac:dyDescent="0.3">
      <c r="A101" s="1"/>
      <c r="B101" s="1"/>
      <c r="C101" s="1"/>
      <c r="D101" s="1"/>
      <c r="E101" s="1"/>
      <c r="F101" s="1"/>
      <c r="G101" s="1"/>
    </row>
    <row r="102" spans="1:7" ht="15.6" x14ac:dyDescent="0.3">
      <c r="A102" s="113" t="s">
        <v>68</v>
      </c>
      <c r="B102" s="113"/>
      <c r="C102" s="113"/>
      <c r="D102" s="113"/>
      <c r="E102" s="113"/>
      <c r="F102" s="113"/>
      <c r="G102" s="1"/>
    </row>
    <row r="103" spans="1:7" ht="15.6" x14ac:dyDescent="0.3">
      <c r="A103" s="1"/>
      <c r="B103" s="1"/>
      <c r="C103" s="1"/>
      <c r="D103" s="1"/>
      <c r="E103" s="1"/>
      <c r="F103" s="1"/>
      <c r="G103" s="1"/>
    </row>
    <row r="104" spans="1:7" ht="15.75" customHeight="1" x14ac:dyDescent="0.3">
      <c r="A104" s="1"/>
      <c r="B104" s="114" t="s">
        <v>69</v>
      </c>
      <c r="C104" s="115"/>
      <c r="D104" s="116"/>
      <c r="E104" s="116"/>
      <c r="F104" s="117"/>
      <c r="G104" s="1"/>
    </row>
    <row r="105" spans="1:7" s="15" customFormat="1" ht="12.75" customHeight="1" x14ac:dyDescent="0.3">
      <c r="A105" s="1"/>
      <c r="B105" s="36" t="s">
        <v>10</v>
      </c>
      <c r="C105" s="47" t="s">
        <v>11</v>
      </c>
      <c r="D105" s="48" t="s">
        <v>7</v>
      </c>
      <c r="E105" s="48" t="s">
        <v>8</v>
      </c>
      <c r="F105" s="49" t="s">
        <v>12</v>
      </c>
      <c r="G105" s="1"/>
    </row>
    <row r="106" spans="1:7" s="15" customFormat="1" ht="15" customHeight="1" x14ac:dyDescent="0.3">
      <c r="A106" s="96"/>
      <c r="B106" s="38">
        <f>'4637'!B21</f>
        <v>3</v>
      </c>
      <c r="C106" s="99" t="str">
        <f>'4637'!C21</f>
        <v>CUB SIN RESPALDO 180°</v>
      </c>
      <c r="D106" s="39">
        <f>'4637'!D21</f>
        <v>2850</v>
      </c>
      <c r="E106" s="39">
        <f>'4637'!E21</f>
        <v>600</v>
      </c>
      <c r="F106" s="38" t="str">
        <f>'4637'!F21</f>
        <v>NIEBLA 2191 MT</v>
      </c>
      <c r="G106" s="1"/>
    </row>
    <row r="107" spans="1:7" s="15" customFormat="1" ht="15" customHeight="1" x14ac:dyDescent="0.3">
      <c r="A107" s="96"/>
      <c r="B107" s="38">
        <f>'4637'!B22</f>
        <v>3</v>
      </c>
      <c r="C107" s="99" t="str">
        <f>'4637'!C22</f>
        <v>RESPADO R12</v>
      </c>
      <c r="D107" s="39">
        <f>'4637'!D22</f>
        <v>2850</v>
      </c>
      <c r="E107" s="39">
        <f>'4637'!E22</f>
        <v>60</v>
      </c>
      <c r="F107" s="38" t="str">
        <f>'4637'!F22</f>
        <v>NIEBLA 2191 MT</v>
      </c>
      <c r="G107" s="1"/>
    </row>
    <row r="108" spans="1:7" s="15" customFormat="1" ht="15" customHeight="1" x14ac:dyDescent="0.3">
      <c r="A108" s="96"/>
      <c r="B108" s="38">
        <f>'4637'!B23</f>
        <v>1</v>
      </c>
      <c r="C108" s="99" t="str">
        <f>'4637'!C23</f>
        <v>CUB SIN RESPALDO 180°</v>
      </c>
      <c r="D108" s="39">
        <f>'4637'!D23</f>
        <v>1220</v>
      </c>
      <c r="E108" s="39">
        <f>'4637'!E23</f>
        <v>600</v>
      </c>
      <c r="F108" s="38" t="str">
        <f>'4637'!F23</f>
        <v>NIEBLA 2191 MT</v>
      </c>
      <c r="G108" s="1"/>
    </row>
    <row r="109" spans="1:7" s="15" customFormat="1" ht="15" customHeight="1" x14ac:dyDescent="0.3">
      <c r="A109" s="96"/>
      <c r="B109" s="38">
        <f>'4637'!B24</f>
        <v>1</v>
      </c>
      <c r="C109" s="99" t="str">
        <f>'4637'!C24</f>
        <v>RESPADO R12</v>
      </c>
      <c r="D109" s="39">
        <f>'4637'!D24</f>
        <v>1220</v>
      </c>
      <c r="E109" s="39">
        <f>'4637'!E24</f>
        <v>60</v>
      </c>
      <c r="F109" s="38" t="str">
        <f>'4637'!F24</f>
        <v>NIEBLA 2191 MT</v>
      </c>
      <c r="G109" s="1"/>
    </row>
    <row r="110" spans="1:7" s="15" customFormat="1" ht="15" customHeight="1" x14ac:dyDescent="0.3">
      <c r="A110" s="96"/>
      <c r="B110" s="38">
        <f>'4637'!B25</f>
        <v>1</v>
      </c>
      <c r="C110" s="99" t="str">
        <f>'4637'!C25</f>
        <v>CUB SIN RESPALDO 180°</v>
      </c>
      <c r="D110" s="39">
        <f>'4637'!D25</f>
        <v>1520</v>
      </c>
      <c r="E110" s="39">
        <f>'4637'!E25</f>
        <v>600</v>
      </c>
      <c r="F110" s="38" t="str">
        <f>'4637'!F25</f>
        <v>NIEBLA 2191 MT</v>
      </c>
      <c r="G110" s="1"/>
    </row>
    <row r="111" spans="1:7" s="15" customFormat="1" ht="15" customHeight="1" x14ac:dyDescent="0.3">
      <c r="A111" s="96"/>
      <c r="B111" s="38">
        <f>'4637'!B26</f>
        <v>1</v>
      </c>
      <c r="C111" s="99" t="str">
        <f>'4637'!C26</f>
        <v>RESPADO R12</v>
      </c>
      <c r="D111" s="39">
        <f>'4637'!D26</f>
        <v>1520</v>
      </c>
      <c r="E111" s="39">
        <f>'4637'!E26</f>
        <v>60</v>
      </c>
      <c r="F111" s="38" t="str">
        <f>'4637'!F26</f>
        <v>NIEBLA 2191 MT</v>
      </c>
      <c r="G111" s="1"/>
    </row>
    <row r="112" spans="1:7" s="15" customFormat="1" ht="15" customHeight="1" x14ac:dyDescent="0.3">
      <c r="A112" s="96"/>
      <c r="B112" s="38">
        <f>'4637'!B27</f>
        <v>2</v>
      </c>
      <c r="C112" s="99" t="str">
        <f>'4637'!C27</f>
        <v>CUB SIN RESPALDO 180°</v>
      </c>
      <c r="D112" s="39">
        <f>'4637'!D27</f>
        <v>2200</v>
      </c>
      <c r="E112" s="39">
        <f>'4637'!E27</f>
        <v>600</v>
      </c>
      <c r="F112" s="38" t="str">
        <f>'4637'!F27</f>
        <v>NIEBLA 2191 MT</v>
      </c>
      <c r="G112" s="1"/>
    </row>
    <row r="113" spans="1:7" s="15" customFormat="1" ht="15" customHeight="1" x14ac:dyDescent="0.3">
      <c r="A113" s="96"/>
      <c r="B113" s="38">
        <f>'4637'!B28</f>
        <v>2</v>
      </c>
      <c r="C113" s="99" t="str">
        <f>'4637'!C28</f>
        <v>RESPADO R12</v>
      </c>
      <c r="D113" s="39">
        <f>'4637'!D28</f>
        <v>2200</v>
      </c>
      <c r="E113" s="39">
        <f>'4637'!E28</f>
        <v>60</v>
      </c>
      <c r="F113" s="38" t="str">
        <f>'4637'!F28</f>
        <v>NIEBLA 2191 MT</v>
      </c>
      <c r="G113" s="1"/>
    </row>
    <row r="114" spans="1:7" s="15" customFormat="1" ht="15" customHeight="1" x14ac:dyDescent="0.3">
      <c r="A114" s="96"/>
      <c r="B114" s="38">
        <f>'4637'!B29</f>
        <v>1</v>
      </c>
      <c r="C114" s="99" t="str">
        <f>'4637'!C29</f>
        <v>CUB SIN RESPALDO 180°</v>
      </c>
      <c r="D114" s="39">
        <f>'4637'!D29</f>
        <v>1860</v>
      </c>
      <c r="E114" s="39">
        <f>'4637'!E29</f>
        <v>600</v>
      </c>
      <c r="F114" s="38" t="str">
        <f>'4637'!F29</f>
        <v>WHITE OAK  1336 MT</v>
      </c>
      <c r="G114" s="1"/>
    </row>
    <row r="115" spans="1:7" s="15" customFormat="1" ht="15" customHeight="1" x14ac:dyDescent="0.3">
      <c r="A115" s="96"/>
      <c r="B115" s="38">
        <f>'4637'!B30</f>
        <v>1</v>
      </c>
      <c r="C115" s="99" t="str">
        <f>'4637'!C30</f>
        <v>RESPADO R12</v>
      </c>
      <c r="D115" s="39">
        <f>'4637'!D30</f>
        <v>1860</v>
      </c>
      <c r="E115" s="39">
        <f>'4637'!E30</f>
        <v>60</v>
      </c>
      <c r="F115" s="38" t="str">
        <f>'4637'!F30</f>
        <v>WHITE OAK  1336 MT</v>
      </c>
      <c r="G115" s="1"/>
    </row>
    <row r="116" spans="1:7" s="15" customFormat="1" ht="15" customHeight="1" x14ac:dyDescent="0.3">
      <c r="A116" s="96"/>
      <c r="B116" s="38">
        <f>'4637'!B31</f>
        <v>2</v>
      </c>
      <c r="C116" s="99" t="str">
        <f>'4637'!C31</f>
        <v>CUB SIN RESPALDO 180°</v>
      </c>
      <c r="D116" s="39">
        <f>'4637'!D31</f>
        <v>2750</v>
      </c>
      <c r="E116" s="39">
        <f>'4637'!E31</f>
        <v>600</v>
      </c>
      <c r="F116" s="38" t="str">
        <f>'4637'!F31</f>
        <v>WHITE OAK  1336 MT</v>
      </c>
      <c r="G116" s="1"/>
    </row>
    <row r="117" spans="1:7" s="15" customFormat="1" ht="15" customHeight="1" x14ac:dyDescent="0.3">
      <c r="A117" s="96"/>
      <c r="B117" s="38">
        <f>'4637'!B32</f>
        <v>2</v>
      </c>
      <c r="C117" s="99" t="str">
        <f>'4637'!C32</f>
        <v>RESPADO R12</v>
      </c>
      <c r="D117" s="39">
        <f>'4637'!D32</f>
        <v>2750</v>
      </c>
      <c r="E117" s="39">
        <f>'4637'!E32</f>
        <v>60</v>
      </c>
      <c r="F117" s="38" t="str">
        <f>'4637'!F32</f>
        <v>WHITE OAK  1336 MT</v>
      </c>
      <c r="G117" s="1"/>
    </row>
    <row r="118" spans="1:7" s="15" customFormat="1" ht="15" customHeight="1" x14ac:dyDescent="0.3">
      <c r="A118" s="96"/>
      <c r="B118" s="38">
        <f>'4637'!B33</f>
        <v>2</v>
      </c>
      <c r="C118" s="99" t="str">
        <f>'4637'!C33</f>
        <v>CUB SIN RESPALDO 180°</v>
      </c>
      <c r="D118" s="39">
        <f>'4637'!D33</f>
        <v>2310</v>
      </c>
      <c r="E118" s="39">
        <f>'4637'!E33</f>
        <v>600</v>
      </c>
      <c r="F118" s="38" t="str">
        <f>'4637'!F33</f>
        <v>WHITE OAK  1336 MT</v>
      </c>
      <c r="G118" s="1"/>
    </row>
    <row r="119" spans="1:7" s="15" customFormat="1" ht="15" customHeight="1" x14ac:dyDescent="0.3">
      <c r="A119" s="96"/>
      <c r="B119" s="38">
        <f>'4637'!B34</f>
        <v>2</v>
      </c>
      <c r="C119" s="99" t="str">
        <f>'4637'!C34</f>
        <v>RESPADO R12</v>
      </c>
      <c r="D119" s="39">
        <f>'4637'!D34</f>
        <v>2310</v>
      </c>
      <c r="E119" s="39">
        <f>'4637'!E34</f>
        <v>60</v>
      </c>
      <c r="F119" s="38" t="str">
        <f>'4637'!F34</f>
        <v>WHITE OAK  1336 MT</v>
      </c>
      <c r="G119" s="1"/>
    </row>
    <row r="120" spans="1:7" s="15" customFormat="1" ht="15" customHeight="1" x14ac:dyDescent="0.3">
      <c r="A120" s="96"/>
      <c r="B120" s="38">
        <f>'4637'!B35</f>
        <v>3</v>
      </c>
      <c r="C120" s="99" t="str">
        <f>'4637'!C35</f>
        <v>CUB SIN RESPALDO 180°</v>
      </c>
      <c r="D120" s="39">
        <f>'4637'!D35</f>
        <v>2000</v>
      </c>
      <c r="E120" s="39">
        <f>'4637'!E35</f>
        <v>600</v>
      </c>
      <c r="F120" s="38" t="str">
        <f>'4637'!F35</f>
        <v>WHITE OAK  1336 MT</v>
      </c>
      <c r="G120" s="1"/>
    </row>
    <row r="121" spans="1:7" s="15" customFormat="1" ht="15" customHeight="1" x14ac:dyDescent="0.3">
      <c r="A121" s="96"/>
      <c r="B121" s="38">
        <f>'4637'!B36</f>
        <v>3</v>
      </c>
      <c r="C121" s="99" t="str">
        <f>'4637'!C36</f>
        <v>RESPADO R12</v>
      </c>
      <c r="D121" s="39">
        <f>'4637'!D36</f>
        <v>2000</v>
      </c>
      <c r="E121" s="39">
        <f>'4637'!E36</f>
        <v>60</v>
      </c>
      <c r="F121" s="38" t="str">
        <f>'4637'!F36</f>
        <v>WHITE OAK  1336 MT</v>
      </c>
      <c r="G121" s="1"/>
    </row>
    <row r="122" spans="1:7" s="15" customFormat="1" ht="15" customHeight="1" x14ac:dyDescent="0.3">
      <c r="A122" s="96"/>
      <c r="B122" s="38">
        <f>'4637'!B37</f>
        <v>1</v>
      </c>
      <c r="C122" s="99" t="str">
        <f>'4637'!C37</f>
        <v>CUB SIN RESPALDO 180°</v>
      </c>
      <c r="D122" s="39">
        <f>'4637'!D37</f>
        <v>2250</v>
      </c>
      <c r="E122" s="39">
        <f>'4637'!E37</f>
        <v>600</v>
      </c>
      <c r="F122" s="38" t="str">
        <f>'4637'!F37</f>
        <v>WHITE OAK  1336 MT</v>
      </c>
      <c r="G122" s="1"/>
    </row>
    <row r="123" spans="1:7" s="15" customFormat="1" ht="15" customHeight="1" x14ac:dyDescent="0.3">
      <c r="A123" s="96"/>
      <c r="B123" s="38">
        <f>'4637'!B38</f>
        <v>1</v>
      </c>
      <c r="C123" s="99" t="str">
        <f>'4637'!C38</f>
        <v>RESPADO R12</v>
      </c>
      <c r="D123" s="39">
        <f>'4637'!D38</f>
        <v>2250</v>
      </c>
      <c r="E123" s="39">
        <f>'4637'!E38</f>
        <v>60</v>
      </c>
      <c r="F123" s="38" t="str">
        <f>'4637'!F38</f>
        <v>WHITE OAK  1336 MT</v>
      </c>
      <c r="G123" s="1"/>
    </row>
    <row r="124" spans="1:7" s="15" customFormat="1" ht="15" customHeight="1" x14ac:dyDescent="0.3">
      <c r="A124" s="96"/>
      <c r="B124" s="38">
        <f>'4637'!B39</f>
        <v>2</v>
      </c>
      <c r="C124" s="99" t="str">
        <f>'4637'!C39</f>
        <v>CUB MESA 180° 2 LADOS</v>
      </c>
      <c r="D124" s="39">
        <f>'4637'!D39</f>
        <v>1200</v>
      </c>
      <c r="E124" s="39">
        <f>'4637'!E39</f>
        <v>600</v>
      </c>
      <c r="F124" s="38" t="str">
        <f>'4637'!F39</f>
        <v>WHITE OAK  1336 MT</v>
      </c>
      <c r="G124" s="1"/>
    </row>
    <row r="125" spans="1:7" s="15" customFormat="1" ht="15" customHeight="1" x14ac:dyDescent="0.3">
      <c r="A125" s="96"/>
      <c r="B125" s="38">
        <f>'4637'!B40</f>
        <v>6</v>
      </c>
      <c r="C125" s="99" t="str">
        <f>'4637'!C40</f>
        <v>CUB SIN RESPALDO 180°</v>
      </c>
      <c r="D125" s="39">
        <f>'4637'!D40</f>
        <v>1000</v>
      </c>
      <c r="E125" s="39">
        <f>'4637'!E40</f>
        <v>350</v>
      </c>
      <c r="F125" s="38" t="str">
        <f>'4637'!F40</f>
        <v>WHITE OAK  1336 MT</v>
      </c>
      <c r="G125" s="1"/>
    </row>
    <row r="126" spans="1:7" s="15" customFormat="1" ht="15" customHeight="1" x14ac:dyDescent="0.3">
      <c r="A126" s="96"/>
      <c r="B126" s="123"/>
      <c r="C126" s="124"/>
      <c r="D126" s="123"/>
      <c r="E126" s="123"/>
      <c r="F126" s="123"/>
      <c r="G126" s="1"/>
    </row>
    <row r="127" spans="1:7" s="15" customFormat="1" ht="15" customHeight="1" x14ac:dyDescent="0.3">
      <c r="A127" s="50"/>
      <c r="B127" s="52"/>
      <c r="C127" s="52"/>
      <c r="D127" s="52"/>
      <c r="E127" s="52"/>
      <c r="F127" s="52"/>
      <c r="G127" s="1"/>
    </row>
    <row r="128" spans="1:7" ht="15.6" x14ac:dyDescent="0.3">
      <c r="A128" s="6"/>
      <c r="B128" s="6"/>
      <c r="C128" s="1"/>
      <c r="D128" s="6"/>
      <c r="E128" s="6"/>
      <c r="F128" s="44"/>
      <c r="G128" s="1"/>
    </row>
    <row r="129" spans="1:7" ht="15.6" x14ac:dyDescent="0.3">
      <c r="A129" s="6"/>
      <c r="B129" s="6"/>
      <c r="C129" s="1"/>
      <c r="D129" s="6"/>
      <c r="E129" s="6"/>
      <c r="F129" s="6"/>
      <c r="G129" s="1"/>
    </row>
    <row r="130" spans="1:7" ht="15.6" x14ac:dyDescent="0.3">
      <c r="A130" s="1"/>
      <c r="B130" s="1"/>
      <c r="C130" s="1"/>
      <c r="D130" s="1"/>
      <c r="E130" s="1"/>
      <c r="F130" s="1"/>
      <c r="G130" s="1"/>
    </row>
    <row r="131" spans="1:7" ht="15.6" x14ac:dyDescent="0.3">
      <c r="A131" s="1"/>
      <c r="B131" s="1"/>
      <c r="C131" s="1"/>
      <c r="D131" s="1"/>
      <c r="E131" s="1"/>
      <c r="F131" s="1"/>
      <c r="G131" s="1"/>
    </row>
    <row r="132" spans="1:7" ht="15.6" x14ac:dyDescent="0.3">
      <c r="A132" s="1"/>
      <c r="B132" s="1"/>
      <c r="C132" s="1"/>
      <c r="D132" s="1"/>
      <c r="E132" s="1"/>
      <c r="F132" s="1"/>
      <c r="G132" s="1"/>
    </row>
    <row r="133" spans="1:7" ht="15" customHeight="1" x14ac:dyDescent="0.3">
      <c r="A133" s="1"/>
      <c r="B133" s="1"/>
      <c r="C133" s="1"/>
      <c r="D133" s="1"/>
      <c r="E133" s="1"/>
      <c r="F133" s="1"/>
      <c r="G133" s="1"/>
    </row>
    <row r="134" spans="1:7" ht="15.6" x14ac:dyDescent="0.3">
      <c r="A134" s="1"/>
      <c r="B134" s="1"/>
      <c r="C134" s="1"/>
      <c r="D134" s="1"/>
      <c r="E134" s="1"/>
      <c r="F134" s="1"/>
      <c r="G134" s="1"/>
    </row>
    <row r="135" spans="1:7" ht="15.6" x14ac:dyDescent="0.3">
      <c r="A135" s="6"/>
      <c r="B135" s="51"/>
      <c r="C135" s="1"/>
      <c r="D135" s="1"/>
      <c r="E135" s="1"/>
      <c r="F135" s="1"/>
      <c r="G135" s="1"/>
    </row>
    <row r="136" spans="1:7" ht="15.6" x14ac:dyDescent="0.3">
      <c r="A136" s="1"/>
      <c r="B136" s="1"/>
      <c r="C136" s="1"/>
      <c r="D136" s="1"/>
      <c r="E136" s="1"/>
      <c r="F136" s="1"/>
      <c r="G136" s="1"/>
    </row>
    <row r="137" spans="1:7" x14ac:dyDescent="0.3">
      <c r="B137" s="20"/>
      <c r="C137" s="20"/>
      <c r="D137" s="20"/>
      <c r="E137" s="20"/>
      <c r="F137" s="20"/>
    </row>
    <row r="138" spans="1:7" x14ac:dyDescent="0.3">
      <c r="B138" s="20"/>
      <c r="C138" s="20"/>
      <c r="E138" s="20"/>
      <c r="F138" s="20"/>
    </row>
  </sheetData>
  <mergeCells count="6">
    <mergeCell ref="M3:N3"/>
    <mergeCell ref="A37:F37"/>
    <mergeCell ref="A10:F10"/>
    <mergeCell ref="A102:F102"/>
    <mergeCell ref="B104:F104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2025-04-04T13:54:41Z</cp:lastPrinted>
  <dcterms:created xsi:type="dcterms:W3CDTF">2013-03-19T12:54:14Z</dcterms:created>
  <dcterms:modified xsi:type="dcterms:W3CDTF">2025-04-04T18:02:34Z</dcterms:modified>
</cp:coreProperties>
</file>