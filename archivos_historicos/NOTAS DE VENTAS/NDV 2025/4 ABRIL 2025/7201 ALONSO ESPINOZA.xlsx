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D2BB3580-0777-42D1-9867-88AF41069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4" l="1"/>
  <c r="H21" i="4"/>
  <c r="H24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J22" i="3" l="1"/>
  <c r="D22" i="3" s="1"/>
  <c r="K14" i="3"/>
  <c r="E14" i="3" s="1"/>
  <c r="B22" i="3"/>
  <c r="I14" i="3"/>
  <c r="B14" i="3" s="1"/>
  <c r="F22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<sst xmlns="http://schemas.openxmlformats.org/spreadsheetml/2006/main" count="247" uniqueCount="145">
  <si>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</si>
  <si>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</si>
  <si>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</si>
  <si>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</si>
  <si>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</si>
  <si>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</si>
  <si>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</si>
  <si>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</si>
  <si>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</si>
  <si>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</si>
  <si>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</si>
  <si>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</si>
  <si>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</si>
  <si>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</si>
  <si>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</si>
  <si>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</si>
  <si>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</si>
  <si>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</si>
  <si>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</si>
  <si>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</si>
  <si>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</si>
  <si>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</si>
  <si>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</si>
  <si>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</si>
  <si>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</si>
  <si>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</si>
  <si>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</si>
  <si>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</si>
  <si>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</si>
  <si>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</si>
  <si>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</si>
  <si>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</si>
  <si>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</si>
  <si>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</si>
  <si>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</si>
  <si>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</si>
  <si>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</si>
  <si>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</si>
  <si>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</si>
  <si>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</si>
  <si>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</si>
  <si>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</si>
  <si>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</si>
  <si>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</si>
  <si>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</si>
  <si>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</si>
  <si>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</si>
  <si>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</si>
  <si>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</si>
  <si>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</si>
  <si>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</si>
  <si>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</si>
  <si>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</si>
  <si>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</si>
  <si>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</si>
  <si>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</si>
  <si>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</si>
  <si>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</si>
  <si>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</si>
  <si>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</si>
  <si>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</si>
  <si>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</si>
  <si>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</si>
  <si>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</si>
  <si>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</si>
  <si>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</si>
  <si>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</si>
  <si>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</si>
  <si>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</si>
  <si>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</si>
  <si>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</si>
  <si>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</si>
  <si>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</si>
  <si>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</si>
  <si>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</si>
  <si>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</si>
  <si>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</si>
  <si>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</si>
  <si>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</si>
  <si>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</si>
  <si>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</si>
  <si>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</si>
  <si>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</si>
  <si>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</si>
  <si>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</si>
  <si>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</si>
  <si>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</si>
  <si>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</si>
  <si>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</si>
  <si>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</si>
  <si>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</si>
  <si>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</si>
  <si>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</si>
  <si>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</si>
  <si>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</si>
  <si>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</si>
  <si>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</si>
  <si>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</si>
  <si>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</si>
  <si>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</si>
  <si>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</si>
  <si>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</si>
  <si>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</si>
  <si>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</si>
  <si>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</si>
  <si>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</si>
  <si>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</si>
  <si>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</si>
  <si>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</si>
  <si>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</si>
  <si>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</si>
  <si>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</si>
  <si>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</si>
  <si>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</si>
  <si>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</si>
  <si>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</si>
  <si>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</si>
  <si>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</si>
  <si>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</si>
  <si>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</si>
  <si>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</si>
  <si>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</si>
  <si>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</si>
  <si>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</si>
  <si>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</si>
  <si>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</si>
  <si>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</si>
  <si>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</si>
  <si>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</si>
  <si>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</si>
  <si>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</si>
  <si>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</si>
  <si>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</si>
  <si>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</si>
  <si>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</si>
  <si>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 xml:space="preserve">CUB MESA F/E R2 2 LADOS </t>
  </si>
  <si>
    <t>COBRE 5MM</t>
  </si>
  <si>
    <t>N° 11396</t>
  </si>
  <si>
    <t>ALONSO ESPINOZA</t>
  </si>
  <si>
    <t>12.687.268-0</t>
  </si>
  <si>
    <t>DISEÑO</t>
  </si>
  <si>
    <t>569 8211 6844</t>
  </si>
  <si>
    <t>SEPTIMA AVENISA 1611 SAN MIGUEL</t>
  </si>
  <si>
    <t>MDF30MM</t>
  </si>
  <si>
    <t>"MUEBLES SANTA FE SPA." - RUT : 77.054.606-0, FRANCODONOSO@TOPMOBILI.CL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</si>
</sst>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CLIENTE APORTA PLANCHA DE COBRE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 CANTOS CON TAPACANTO PVC BLANCO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ENCHAPAR CON TAPACANTO PVC 0,4MM BLANCO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9" workbookViewId="0">
      <selection activeCell="B30" sqref="B3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1093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7201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128</v>
      </c>
      <c r="C10" s="86" t="s">
        <v>138</v>
      </c>
      <c r="D10" s="55"/>
      <c r="E10" s="55"/>
      <c r="F10" s="56" t="s">
        <v>28</v>
      </c>
      <c r="G10" s="57">
        <v>45761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139</v>
      </c>
      <c r="D11" s="60"/>
      <c r="E11" s="60"/>
      <c r="F11" s="60" t="s">
        <v>123</v>
      </c>
      <c r="G11" s="61">
        <v>45762</v>
      </c>
      <c r="H11" s="62"/>
      <c r="I11" s="1"/>
    </row>
    <row r="12" spans="1:17" ht="16.2" thickBot="1" x14ac:dyDescent="0.35">
      <c r="A12" s="1"/>
      <c r="B12" s="63" t="s">
        <v>129</v>
      </c>
      <c r="C12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131</v>
      </c>
      <c r="C13" s="86"/>
      <c r="D13" s="43"/>
      <c r="E13" s="43"/>
      <c r="F13" s="43" t="s">
        <v>127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141</v>
      </c>
      <c r="D14" s="66"/>
      <c r="E14" s="60"/>
      <c r="F14" s="60" t="s">
        <v>29</v>
      </c>
      <c r="G14" s="60" t="s">
        <v>132</v>
      </c>
      <c r="H14" s="62"/>
      <c r="I14" s="1"/>
    </row>
    <row r="15" spans="1:17" ht="15.6" x14ac:dyDescent="0.3">
      <c r="A15" s="1"/>
      <c r="B15" s="63" t="s">
        <v>1</v>
      </c>
      <c r="C15" s="98" t="s">
        <v>142</v>
      </c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130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135</v>
      </c>
      <c r="D21" s="108">
        <v>1980</v>
      </c>
      <c r="E21" s="108">
        <v>580</v>
      </c>
      <c r="F21" s="102" t="s">
        <v>136</v>
      </c>
      <c r="G21" s="103">
        <v>121082</v>
      </c>
      <c r="H21" s="103">
        <f>G21*B21</f>
        <v>121082</v>
      </c>
      <c r="I21" s="1"/>
      <c r="K21" s="17">
        <v>74500</v>
      </c>
      <c r="L21" s="26"/>
      <c r="M21" s="17"/>
      <c r="N21" s="17"/>
      <c r="O21" s="26"/>
      <c r="P21" s="33"/>
    </row>
    <row r="22" spans="1:16" ht="18" customHeight="1" x14ac:dyDescent="0.3">
      <c r="A22" s="1"/>
      <c r="B22" s="104"/>
      <c r="C22" s="104"/>
      <c r="D22" s="105"/>
      <c r="E22" s="105"/>
      <c r="F22" s="104"/>
      <c r="G22" s="75"/>
      <c r="H22" s="75"/>
      <c r="I22" s="1"/>
      <c r="K22">
        <f>K21/1.19</f>
        <v>62605.042016806728</v>
      </c>
    </row>
    <row r="23" spans="1:16" ht="18" customHeight="1" thickBot="1" x14ac:dyDescent="0.35">
      <c r="A23" s="1"/>
      <c r="B23" s="104"/>
      <c r="C23" s="104"/>
      <c r="D23" s="105"/>
      <c r="E23" s="105"/>
      <c r="F23" s="104"/>
      <c r="G23" s="106"/>
      <c r="H23" s="107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121082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23005.58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144087.58000000002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122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144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12" zoomScaleNormal="100" workbookViewId="0">
      <selection activeCell="I57" sqref="I5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7201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ALONSO ESPINOZA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45762</v>
      </c>
      <c r="E7" s="1"/>
      <c r="F7" s="1"/>
      <c r="G7" s="1"/>
    </row>
    <row r="8" spans="1:14" ht="15.6" x14ac:dyDescent="0.3">
      <c r="A8" s="1"/>
      <c r="B8" s="1"/>
      <c r="C8" s="53" t="s">
        <v>124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143</v>
      </c>
      <c r="B14" s="25">
        <f t="shared" ref="B14" si="0">I14</f>
        <v>1</v>
      </c>
      <c r="C14" s="25"/>
      <c r="D14" s="25">
        <f t="shared" ref="D14" si="1">J14+D$13</f>
        <v>2060</v>
      </c>
      <c r="E14" s="35">
        <f>K14+E$13</f>
        <v>580</v>
      </c>
      <c r="F14" s="100" t="str">
        <f>C28</f>
        <v xml:space="preserve">CUB MESA F/E R2 2 LADOS </v>
      </c>
      <c r="G14" s="1"/>
      <c r="I14" s="3">
        <f>I22</f>
        <v>1</v>
      </c>
      <c r="J14" s="4">
        <f>D28</f>
        <v>1980</v>
      </c>
      <c r="K14" s="4">
        <f>E28</f>
        <v>580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120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/>
      <c r="D22" s="16">
        <f>J22+D$21</f>
        <v>2020</v>
      </c>
      <c r="E22" s="16">
        <f>K22+E$21</f>
        <v>700</v>
      </c>
      <c r="F22" s="101" t="str">
        <f>C28</f>
        <v xml:space="preserve">CUB MESA F/E R2 2 LADOS </v>
      </c>
      <c r="G22" s="1"/>
      <c r="I22" s="3">
        <f>B28</f>
        <v>1</v>
      </c>
      <c r="J22" s="4">
        <f t="shared" ref="J22:K22" si="3">D28</f>
        <v>1980</v>
      </c>
      <c r="K22" s="4">
        <f t="shared" si="3"/>
        <v>580</v>
      </c>
    </row>
    <row r="23" spans="1:11" ht="15.6" x14ac:dyDescent="0.3">
      <c r="A23" s="96"/>
      <c r="B23" s="6"/>
      <c r="C23" s="6"/>
      <c r="D23" s="6"/>
      <c r="E23" s="6"/>
      <c r="F23" s="110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</v>
      </c>
      <c r="C28" s="100" t="str">
        <f>'4637'!C21</f>
        <v xml:space="preserve">CUB MESA F/E R2 2 LADOS </v>
      </c>
      <c r="D28" s="25">
        <f>'4637'!D21</f>
        <v>1980</v>
      </c>
      <c r="E28" s="25">
        <f>'4637'!E21</f>
        <v>580</v>
      </c>
      <c r="F28" s="25" t="str">
        <f>'4637'!F21</f>
        <v>COBRE 5MM</v>
      </c>
      <c r="G28" s="1"/>
    </row>
    <row r="29" spans="1:11" ht="15.6" x14ac:dyDescent="0.3">
      <c r="A29" s="96"/>
      <c r="B29" s="6"/>
      <c r="C29" s="110"/>
      <c r="D29" s="6"/>
      <c r="E29" s="6"/>
      <c r="F29" s="6"/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7201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ALONSO ESPINOZA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45762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134</v>
      </c>
      <c r="B50" s="38">
        <f>'4637'!B21</f>
        <v>1</v>
      </c>
      <c r="C50" s="99" t="str">
        <f>'4637'!C21</f>
        <v xml:space="preserve">CUB MESA F/E R2 2 LADOS </v>
      </c>
      <c r="D50" s="39">
        <f>'4637'!D21</f>
        <v>1980</v>
      </c>
      <c r="E50" s="39">
        <f>'4637'!E21</f>
        <v>580</v>
      </c>
      <c r="F50" s="38" t="str">
        <f>'4637'!F21</f>
        <v>COBRE 5MM</v>
      </c>
      <c r="G50" s="1"/>
    </row>
    <row r="51" spans="1:7" s="15" customFormat="1" ht="15" customHeight="1" x14ac:dyDescent="0.3">
      <c r="A51" s="96"/>
      <c r="B51" s="52"/>
      <c r="C51" s="109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2025-04-07T21:54:05Z</cp:lastPrinted>
  <dcterms:created xsi:type="dcterms:W3CDTF">2013-03-19T12:54:14Z</dcterms:created>
  <dcterms:modified xsi:type="dcterms:W3CDTF">2025-04-14T17:04:54Z</dcterms:modified>
</cp:coreProperties>
</file>