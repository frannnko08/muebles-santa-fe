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5\"/>
    </mc:Choice>
  </mc:AlternateContent>
  <xr:revisionPtr revIDLastSave="0" documentId="13_ncr:1_{842FED05-417D-4E4A-B405-817F9A902DA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CUBIERTA!$A$44:$F$71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F16" i="3"/>
  <c r="I16" i="3"/>
  <c r="B16" i="3" s="1"/>
  <c r="J16" i="3"/>
  <c r="D16" i="3" s="1"/>
  <c r="K16" i="3"/>
  <c r="E16" i="3" s="1"/>
  <c r="I25" i="3"/>
  <c r="B25" i="3" s="1"/>
  <c r="K26" i="3"/>
  <c r="E26" i="3" s="1"/>
  <c r="B33" i="3"/>
  <c r="C33" i="3"/>
  <c r="F25" i="3" s="1"/>
  <c r="D33" i="3"/>
  <c r="J25" i="3" s="1"/>
  <c r="D25" i="3" s="1"/>
  <c r="E33" i="3"/>
  <c r="K25" i="3" s="1"/>
  <c r="E25" i="3" s="1"/>
  <c r="F33" i="3"/>
  <c r="B34" i="3"/>
  <c r="I26" i="3" s="1"/>
  <c r="B26" i="3" s="1"/>
  <c r="C34" i="3"/>
  <c r="F26" i="3" s="1"/>
  <c r="D34" i="3"/>
  <c r="J26" i="3" s="1"/>
  <c r="D26" i="3" s="1"/>
  <c r="E34" i="3"/>
  <c r="F34" i="3"/>
  <c r="B57" i="3"/>
  <c r="C57" i="3"/>
  <c r="D57" i="3"/>
  <c r="E57" i="3"/>
  <c r="F57" i="3"/>
  <c r="B58" i="3"/>
  <c r="C58" i="3"/>
  <c r="D58" i="3"/>
  <c r="E58" i="3"/>
  <c r="F58" i="3"/>
  <c r="H26" i="4"/>
  <c r="H22" i="4"/>
  <c r="H23" i="4"/>
  <c r="K24" i="4"/>
  <c r="H21" i="4"/>
  <c r="B32" i="3"/>
  <c r="I24" i="3" s="1"/>
  <c r="C32" i="3"/>
  <c r="F14" i="3" s="1"/>
  <c r="D32" i="3"/>
  <c r="J14" i="3" s="1"/>
  <c r="D14" i="3" s="1"/>
  <c r="E32" i="3"/>
  <c r="K24" i="3" s="1"/>
  <c r="E24" i="3" s="1"/>
  <c r="F32" i="3"/>
  <c r="B56" i="3"/>
  <c r="C56" i="3"/>
  <c r="D56" i="3"/>
  <c r="E56" i="3"/>
  <c r="F56" i="3"/>
  <c r="J24" i="3" l="1"/>
  <c r="D24" i="3" s="1"/>
  <c r="K14" i="3"/>
  <c r="E14" i="3" s="1"/>
  <c r="B24" i="3"/>
  <c r="I14" i="3"/>
  <c r="B14" i="3" s="1"/>
  <c r="F24" i="3"/>
  <c r="H27" i="4" l="1"/>
  <c r="H28" i="4" l="1"/>
  <c r="N5" i="3" l="1"/>
  <c r="M5" i="3" l="1"/>
  <c r="L5" i="3"/>
  <c r="K5" i="3"/>
  <c r="C49" i="3" l="1"/>
  <c r="C7" i="3"/>
  <c r="D47" i="3"/>
  <c r="D5" i="3"/>
  <c r="D49" i="3"/>
  <c r="D7" i="3"/>
  <c r="D46" i="3"/>
  <c r="D4" i="3"/>
</calcChain>
</file>

<file path=xl/sharedStrings.xml><?xml version="1.0" encoding="utf-8"?>
<sst xmlns="http://schemas.openxmlformats.org/spreadsheetml/2006/main" count="248" uniqueCount="141">
  <si>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</si>
  <si>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</si>
  <si>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</si>
  <si>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</si>
  <si>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</si>
  <si>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</si>
  <si>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</si>
  <si>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</si>
  <si>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</si>
  <si>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</si>
  <si>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</si>
  <si>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</si>
  <si>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</si>
  <si>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</si>
  <si>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</si>
  <si>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</si>
  <si>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</si>
  <si>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</si>
  <si>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</si>
  <si>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</si>
  <si>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</si>
  <si>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</si>
  <si>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</si>
  <si>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</si>
  <si>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</si>
  <si>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</si>
  <si>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</si>
  <si>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</si>
  <si>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</si>
  <si>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</si>
  <si>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</si>
  <si>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</si>
  <si>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</si>
  <si>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</si>
  <si>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</si>
  <si>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</si>
  <si>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</si>
  <si>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</si>
  <si>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</si>
  <si>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</si>
  <si>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</si>
  <si>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</si>
  <si>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</si>
  <si>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</si>
  <si>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</si>
  <si>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</si>
  <si>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</si>
  <si>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</si>
  <si>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</si>
  <si>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</si>
  <si>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</si>
  <si>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</si>
  <si>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</si>
  <si>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</si>
  <si>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</si>
  <si>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</si>
  <si>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</si>
  <si>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</si>
  <si>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</si>
  <si>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</si>
  <si>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</si>
  <si>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</si>
  <si>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</si>
  <si>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</si>
  <si>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</si>
  <si>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</si>
  <si>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</si>
  <si>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</si>
  <si>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</si>
  <si>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</si>
  <si>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</si>
  <si>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</si>
  <si>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</si>
  <si>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</si>
  <si>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</si>
  <si>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</si>
  <si>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</si>
  <si>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</si>
  <si>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</si>
  <si>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</si>
  <si>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</si>
  <si>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</si>
  <si>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</si>
  <si>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</si>
  <si>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</si>
  <si>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</si>
  <si>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</si>
  <si>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</si>
  <si>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</si>
  <si>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</si>
  <si>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</si>
  <si>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</si>
  <si>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</si>
  <si>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</si>
  <si>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</si>
  <si>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</si>
  <si>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</si>
  <si>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</si>
  <si>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</si>
  <si>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</si>
  <si>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</si>
  <si>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</si>
  <si>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</si>
  <si>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</si>
  <si>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</si>
  <si>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</si>
  <si>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</si>
  <si>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</si>
  <si>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</si>
  <si>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</si>
  <si>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</si>
  <si>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</si>
  <si>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</si>
  <si>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</si>
  <si>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</si>
  <si>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</si>
  <si>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</si>
  <si>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</si>
  <si>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</si>
  <si>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</si>
  <si>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</si>
  <si>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</si>
  <si>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</si>
  <si>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</si>
  <si>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</si>
  <si>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</si>
  <si>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</si>
  <si>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</si>
  <si>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</si>
  <si>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</si>
  <si>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</si>
  <si>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</si>
  <si>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</si>
  <si>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</si>
  <si>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CONTADO</t>
  </si>
  <si>
    <t>MDF18MM</t>
  </si>
  <si>
    <t>OSCAR LOPEZ</t>
  </si>
  <si>
    <t>N° 11297</t>
  </si>
  <si>
    <t>569 7150 2245</t>
  </si>
  <si>
    <t>NEGRO 21066 SF MERINO</t>
  </si>
  <si>
    <t>CUB C/R F/E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</si>
</sst>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7" fillId="3" borderId="0" xfId="0" quotePrefix="1" applyFont="1" applyFill="1"/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 O $ 210.000.-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50</xdr:row>
      <xdr:rowOff>171450</xdr:rowOff>
    </xdr:from>
    <xdr:to>
      <xdr:col>5</xdr:col>
      <xdr:colOff>1685924</xdr:colOff>
      <xdr:row>52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38100</xdr:rowOff>
    </xdr:from>
    <xdr:to>
      <xdr:col>6</xdr:col>
      <xdr:colOff>0</xdr:colOff>
      <xdr:row>47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2</xdr:col>
      <xdr:colOff>38100</xdr:colOff>
      <xdr:row>61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60</xdr:row>
      <xdr:rowOff>0</xdr:rowOff>
    </xdr:from>
    <xdr:to>
      <xdr:col>2</xdr:col>
      <xdr:colOff>1019175</xdr:colOff>
      <xdr:row>60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60</xdr:row>
      <xdr:rowOff>0</xdr:rowOff>
    </xdr:from>
    <xdr:to>
      <xdr:col>3</xdr:col>
      <xdr:colOff>352425</xdr:colOff>
      <xdr:row>61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0</xdr:rowOff>
    </xdr:from>
    <xdr:to>
      <xdr:col>4</xdr:col>
      <xdr:colOff>257175</xdr:colOff>
      <xdr:row>61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0</xdr:rowOff>
    </xdr:from>
    <xdr:to>
      <xdr:col>5</xdr:col>
      <xdr:colOff>447675</xdr:colOff>
      <xdr:row>60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0</xdr:rowOff>
    </xdr:from>
    <xdr:to>
      <xdr:col>6</xdr:col>
      <xdr:colOff>0</xdr:colOff>
      <xdr:row>60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60</xdr:row>
      <xdr:rowOff>190500</xdr:rowOff>
    </xdr:from>
    <xdr:to>
      <xdr:col>2</xdr:col>
      <xdr:colOff>304800</xdr:colOff>
      <xdr:row>62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60</xdr:row>
      <xdr:rowOff>190500</xdr:rowOff>
    </xdr:from>
    <xdr:to>
      <xdr:col>2</xdr:col>
      <xdr:colOff>1276350</xdr:colOff>
      <xdr:row>62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60</xdr:row>
      <xdr:rowOff>190500</xdr:rowOff>
    </xdr:from>
    <xdr:to>
      <xdr:col>3</xdr:col>
      <xdr:colOff>619125</xdr:colOff>
      <xdr:row>62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190500</xdr:rowOff>
    </xdr:from>
    <xdr:to>
      <xdr:col>4</xdr:col>
      <xdr:colOff>523875</xdr:colOff>
      <xdr:row>62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190500</xdr:rowOff>
    </xdr:from>
    <xdr:to>
      <xdr:col>5</xdr:col>
      <xdr:colOff>723900</xdr:colOff>
      <xdr:row>62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190500</xdr:rowOff>
    </xdr:from>
    <xdr:to>
      <xdr:col>6</xdr:col>
      <xdr:colOff>0</xdr:colOff>
      <xdr:row>62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37</xdr:row>
      <xdr:rowOff>15239</xdr:rowOff>
    </xdr:from>
    <xdr:to>
      <xdr:col>6</xdr:col>
      <xdr:colOff>68580</xdr:colOff>
      <xdr:row>41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63</xdr:row>
      <xdr:rowOff>32385</xdr:rowOff>
    </xdr:from>
    <xdr:to>
      <xdr:col>6</xdr:col>
      <xdr:colOff>19050</xdr:colOff>
      <xdr:row>67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41910</xdr:rowOff>
    </xdr:from>
    <xdr:to>
      <xdr:col>1</xdr:col>
      <xdr:colOff>801763</xdr:colOff>
      <xdr:row>50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7" workbookViewId="0">
      <selection activeCell="L19" sqref="L1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3.4414062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137</v>
      </c>
      <c r="E8" s="1"/>
      <c r="F8" s="94" t="s">
        <v>27</v>
      </c>
      <c r="G8" s="95">
        <v>7200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45758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45763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86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24" t="s">
        <v>138</v>
      </c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8"/>
      <c r="D15" s="43"/>
      <c r="E15" s="43"/>
      <c r="F15" s="67" t="s">
        <v>75</v>
      </c>
      <c r="G15" s="67" t="s">
        <v>134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1</v>
      </c>
      <c r="C21" s="102" t="s">
        <v>140</v>
      </c>
      <c r="D21" s="108">
        <v>2050</v>
      </c>
      <c r="E21" s="108">
        <v>565</v>
      </c>
      <c r="F21" s="102" t="s">
        <v>139</v>
      </c>
      <c r="G21" s="103">
        <v>111841</v>
      </c>
      <c r="H21" s="103">
        <f>G21*B21</f>
        <v>111841</v>
      </c>
      <c r="I21" s="1"/>
      <c r="K21" s="17">
        <v>74500</v>
      </c>
      <c r="L21" s="26"/>
      <c r="M21" s="17"/>
      <c r="N21" s="17"/>
      <c r="O21" s="26"/>
      <c r="P21" s="33"/>
    </row>
    <row r="22" spans="1:16" ht="18" customHeight="1" x14ac:dyDescent="0.3">
      <c r="A22" s="1"/>
      <c r="B22" s="102">
        <v>1</v>
      </c>
      <c r="C22" s="102" t="s">
        <v>140</v>
      </c>
      <c r="D22" s="108">
        <v>2040</v>
      </c>
      <c r="E22" s="108">
        <v>580</v>
      </c>
      <c r="F22" s="102" t="s">
        <v>139</v>
      </c>
      <c r="G22" s="103">
        <v>114206</v>
      </c>
      <c r="H22" s="103">
        <f t="shared" ref="H22:H23" si="0">G22*B22</f>
        <v>114206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2">
        <v>1</v>
      </c>
      <c r="C23" s="102" t="s">
        <v>140</v>
      </c>
      <c r="D23" s="108">
        <v>2200</v>
      </c>
      <c r="E23" s="108">
        <v>600</v>
      </c>
      <c r="F23" s="102" t="s">
        <v>139</v>
      </c>
      <c r="G23" s="103">
        <v>126723</v>
      </c>
      <c r="H23" s="103">
        <f t="shared" si="0"/>
        <v>126723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4"/>
      <c r="C24" s="104"/>
      <c r="D24" s="105"/>
      <c r="E24" s="105"/>
      <c r="F24" s="104"/>
      <c r="G24" s="75"/>
      <c r="H24" s="75"/>
      <c r="I24" s="1"/>
      <c r="K24">
        <f>K21/1.19</f>
        <v>62605.042016806728</v>
      </c>
    </row>
    <row r="25" spans="1:16" ht="18" customHeight="1" thickBot="1" x14ac:dyDescent="0.35">
      <c r="A25" s="1"/>
      <c r="B25" s="104"/>
      <c r="C25" s="104"/>
      <c r="D25" s="105"/>
      <c r="E25" s="105"/>
      <c r="F25" s="104"/>
      <c r="G25" s="106"/>
      <c r="H25" s="107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SUM(H21:H23)</f>
        <v>352770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67026.3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419796.3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97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2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1"/>
  <sheetViews>
    <sheetView tabSelected="1" topLeftCell="A11" zoomScaleNormal="100" workbookViewId="0">
      <selection activeCell="D14" sqref="D1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7200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OSCAR LOPEZ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45763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135</v>
      </c>
      <c r="B14" s="25">
        <f t="shared" ref="B14" si="0">I14</f>
        <v>1</v>
      </c>
      <c r="C14" s="25"/>
      <c r="D14" s="25">
        <f t="shared" ref="D14" si="1">J14+D$13</f>
        <v>2130</v>
      </c>
      <c r="E14" s="35">
        <f>K14+E$13</f>
        <v>535</v>
      </c>
      <c r="F14" s="100" t="str">
        <f>C32</f>
        <v>CUB C/R F/E R8</v>
      </c>
      <c r="G14" s="1"/>
      <c r="I14" s="3">
        <f>I24</f>
        <v>1</v>
      </c>
      <c r="J14" s="4">
        <f>D32</f>
        <v>2050</v>
      </c>
      <c r="K14" s="4">
        <f>E32</f>
        <v>565</v>
      </c>
    </row>
    <row r="15" spans="1:14" ht="15.6" x14ac:dyDescent="0.3">
      <c r="A15" s="96"/>
      <c r="B15" s="25">
        <f t="shared" ref="B15:B16" si="2">I15</f>
        <v>1</v>
      </c>
      <c r="C15" s="25"/>
      <c r="D15" s="25">
        <f t="shared" ref="D15:D16" si="3">J15+D$13</f>
        <v>2120</v>
      </c>
      <c r="E15" s="35">
        <f t="shared" ref="E15:E16" si="4">K15+E$13</f>
        <v>550</v>
      </c>
      <c r="F15" s="100" t="str">
        <f t="shared" ref="F15:F16" si="5">C33</f>
        <v>CUB C/R F/E R8</v>
      </c>
      <c r="G15" s="1"/>
      <c r="I15" s="3">
        <f t="shared" ref="I15:I16" si="6">I25</f>
        <v>1</v>
      </c>
      <c r="J15" s="4">
        <f t="shared" ref="J15:K15" si="7">D33</f>
        <v>2040</v>
      </c>
      <c r="K15" s="4">
        <f t="shared" si="7"/>
        <v>580</v>
      </c>
    </row>
    <row r="16" spans="1:14" ht="15.6" x14ac:dyDescent="0.3">
      <c r="A16" s="96"/>
      <c r="B16" s="25">
        <f t="shared" si="2"/>
        <v>1</v>
      </c>
      <c r="C16" s="25"/>
      <c r="D16" s="25">
        <f t="shared" si="3"/>
        <v>2280</v>
      </c>
      <c r="E16" s="35">
        <f t="shared" si="4"/>
        <v>570</v>
      </c>
      <c r="F16" s="100" t="str">
        <f t="shared" si="5"/>
        <v>CUB C/R F/E R8</v>
      </c>
      <c r="G16" s="1"/>
      <c r="I16" s="3">
        <f t="shared" si="6"/>
        <v>1</v>
      </c>
      <c r="J16" s="4">
        <f t="shared" ref="J16:K16" si="8">D34</f>
        <v>2200</v>
      </c>
      <c r="K16" s="4">
        <f t="shared" si="8"/>
        <v>600</v>
      </c>
    </row>
    <row r="17" spans="1:11" ht="15.6" x14ac:dyDescent="0.3">
      <c r="A17" s="96"/>
      <c r="B17" s="6"/>
      <c r="C17" s="6"/>
      <c r="D17" s="6"/>
      <c r="E17" s="89"/>
      <c r="F17" s="110"/>
      <c r="G17" s="1"/>
      <c r="I17" s="90"/>
      <c r="J17" s="2"/>
      <c r="K17" s="2"/>
    </row>
    <row r="18" spans="1:11" ht="15.6" x14ac:dyDescent="0.3">
      <c r="A18" s="52"/>
      <c r="B18" s="6"/>
      <c r="C18" s="6"/>
      <c r="D18" s="6"/>
      <c r="E18" s="89"/>
      <c r="F18" s="6"/>
      <c r="G18" s="1"/>
      <c r="I18" s="90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19" t="s">
        <v>14</v>
      </c>
      <c r="B20" s="119"/>
      <c r="C20" s="119"/>
      <c r="D20" s="119"/>
      <c r="E20" s="119"/>
      <c r="F20" s="119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150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6"/>
      <c r="B24" s="16">
        <f t="shared" ref="B24" si="9">I24</f>
        <v>1</v>
      </c>
      <c r="C24" s="16"/>
      <c r="D24" s="16">
        <f>J24+D$23</f>
        <v>2090</v>
      </c>
      <c r="E24" s="16">
        <f>K24+E$23</f>
        <v>715</v>
      </c>
      <c r="F24" s="101" t="str">
        <f>C32</f>
        <v>CUB C/R F/E R8</v>
      </c>
      <c r="G24" s="1"/>
      <c r="I24" s="3">
        <f>B32</f>
        <v>1</v>
      </c>
      <c r="J24" s="4">
        <f t="shared" ref="J24:K24" si="10">D32</f>
        <v>2050</v>
      </c>
      <c r="K24" s="4">
        <f t="shared" si="10"/>
        <v>565</v>
      </c>
    </row>
    <row r="25" spans="1:11" ht="15.6" x14ac:dyDescent="0.3">
      <c r="A25" s="96"/>
      <c r="B25" s="16">
        <f t="shared" ref="B25:B26" si="11">I25</f>
        <v>1</v>
      </c>
      <c r="C25" s="16"/>
      <c r="D25" s="16">
        <f t="shared" ref="D25:D26" si="12">J25+D$23</f>
        <v>2080</v>
      </c>
      <c r="E25" s="16">
        <f t="shared" ref="E25:E26" si="13">K25+E$23</f>
        <v>730</v>
      </c>
      <c r="F25" s="101" t="str">
        <f t="shared" ref="F25:F26" si="14">C33</f>
        <v>CUB C/R F/E R8</v>
      </c>
      <c r="G25" s="1"/>
      <c r="I25" s="3">
        <f t="shared" ref="I25:I26" si="15">B33</f>
        <v>1</v>
      </c>
      <c r="J25" s="4">
        <f t="shared" ref="J25:J26" si="16">D33</f>
        <v>2040</v>
      </c>
      <c r="K25" s="4">
        <f t="shared" ref="K25:K26" si="17">E33</f>
        <v>580</v>
      </c>
    </row>
    <row r="26" spans="1:11" ht="15.6" x14ac:dyDescent="0.3">
      <c r="A26" s="96"/>
      <c r="B26" s="16">
        <f t="shared" si="11"/>
        <v>1</v>
      </c>
      <c r="C26" s="16"/>
      <c r="D26" s="16">
        <f t="shared" si="12"/>
        <v>2240</v>
      </c>
      <c r="E26" s="16">
        <f t="shared" si="13"/>
        <v>750</v>
      </c>
      <c r="F26" s="101" t="str">
        <f t="shared" si="14"/>
        <v>CUB C/R F/E R8</v>
      </c>
      <c r="G26" s="1"/>
      <c r="I26" s="3">
        <f t="shared" si="15"/>
        <v>1</v>
      </c>
      <c r="J26" s="4">
        <f t="shared" si="16"/>
        <v>2200</v>
      </c>
      <c r="K26" s="4">
        <f t="shared" si="17"/>
        <v>600</v>
      </c>
    </row>
    <row r="27" spans="1:11" ht="15.6" x14ac:dyDescent="0.3">
      <c r="A27" s="96"/>
      <c r="B27" s="125"/>
      <c r="C27" s="125"/>
      <c r="D27" s="125"/>
      <c r="E27" s="125"/>
      <c r="F27" s="126"/>
      <c r="G27" s="1"/>
      <c r="I27" s="127"/>
      <c r="J27" s="128"/>
      <c r="K27" s="128"/>
    </row>
    <row r="28" spans="1:11" ht="16.2" thickBot="1" x14ac:dyDescent="0.35">
      <c r="A28" s="52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52"/>
      <c r="B29" s="22" t="s">
        <v>107</v>
      </c>
      <c r="C29" s="23"/>
      <c r="D29" s="23"/>
      <c r="E29" s="23"/>
      <c r="F29" s="24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52" t="s">
        <v>9</v>
      </c>
      <c r="B31" s="88" t="s">
        <v>10</v>
      </c>
      <c r="C31" s="88" t="s">
        <v>110</v>
      </c>
      <c r="D31" s="88" t="s">
        <v>7</v>
      </c>
      <c r="E31" s="88" t="s">
        <v>8</v>
      </c>
      <c r="F31" s="88" t="s">
        <v>23</v>
      </c>
      <c r="G31" s="1"/>
    </row>
    <row r="32" spans="1:11" ht="15.6" x14ac:dyDescent="0.3">
      <c r="A32" s="96" t="s">
        <v>135</v>
      </c>
      <c r="B32" s="25">
        <f>'4637'!B21</f>
        <v>1</v>
      </c>
      <c r="C32" s="100" t="str">
        <f>'4637'!C21</f>
        <v>CUB C/R F/E R8</v>
      </c>
      <c r="D32" s="25">
        <f>'4637'!D21</f>
        <v>2050</v>
      </c>
      <c r="E32" s="25">
        <f>'4637'!E21</f>
        <v>565</v>
      </c>
      <c r="F32" s="25" t="str">
        <f>'4637'!F21</f>
        <v>NEGRO 21066 SF MERINO</v>
      </c>
      <c r="G32" s="1"/>
    </row>
    <row r="33" spans="1:7" ht="15.6" x14ac:dyDescent="0.3">
      <c r="A33" s="96"/>
      <c r="B33" s="25">
        <f>'4637'!B22</f>
        <v>1</v>
      </c>
      <c r="C33" s="100" t="str">
        <f>'4637'!C22</f>
        <v>CUB C/R F/E R8</v>
      </c>
      <c r="D33" s="25">
        <f>'4637'!D22</f>
        <v>2040</v>
      </c>
      <c r="E33" s="25">
        <f>'4637'!E22</f>
        <v>580</v>
      </c>
      <c r="F33" s="25" t="str">
        <f>'4637'!F22</f>
        <v>NEGRO 21066 SF MERINO</v>
      </c>
      <c r="G33" s="1"/>
    </row>
    <row r="34" spans="1:7" ht="15.6" x14ac:dyDescent="0.3">
      <c r="A34" s="96"/>
      <c r="B34" s="25">
        <f>'4637'!B23</f>
        <v>1</v>
      </c>
      <c r="C34" s="100" t="str">
        <f>'4637'!C23</f>
        <v>CUB C/R F/E R8</v>
      </c>
      <c r="D34" s="25">
        <f>'4637'!D23</f>
        <v>2200</v>
      </c>
      <c r="E34" s="25">
        <f>'4637'!E23</f>
        <v>600</v>
      </c>
      <c r="F34" s="25" t="str">
        <f>'4637'!F23</f>
        <v>NEGRO 21066 SF MERINO</v>
      </c>
      <c r="G34" s="1"/>
    </row>
    <row r="35" spans="1:7" ht="15.6" x14ac:dyDescent="0.3">
      <c r="A35" s="96"/>
      <c r="B35" s="6"/>
      <c r="C35" s="110"/>
      <c r="D35" s="6"/>
      <c r="E35" s="6"/>
      <c r="F35" s="6"/>
      <c r="G35" s="1"/>
    </row>
    <row r="36" spans="1:7" ht="15.6" x14ac:dyDescent="0.3">
      <c r="A36" s="52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40" t="s">
        <v>27</v>
      </c>
      <c r="D46" s="14">
        <f>'4637'!G8</f>
        <v>7200</v>
      </c>
      <c r="E46" s="1"/>
      <c r="F46" s="1"/>
      <c r="G46" s="1"/>
    </row>
    <row r="47" spans="1:7" ht="17.25" customHeight="1" x14ac:dyDescent="0.3">
      <c r="A47" s="1"/>
      <c r="B47" s="1"/>
      <c r="C47" s="41" t="s">
        <v>67</v>
      </c>
      <c r="D47" s="42" t="str">
        <f>'4637'!C10</f>
        <v>OSCAR LOPEZ</v>
      </c>
      <c r="E47" s="43"/>
      <c r="F47" s="43"/>
      <c r="G47" s="1"/>
    </row>
    <row r="48" spans="1:7" ht="4.5" customHeight="1" x14ac:dyDescent="0.3">
      <c r="A48" s="1"/>
      <c r="B48" s="1"/>
      <c r="C48" s="44"/>
      <c r="D48" s="45"/>
      <c r="E48" s="1"/>
      <c r="F48" s="1"/>
      <c r="G48" s="1"/>
    </row>
    <row r="49" spans="1:7" ht="15.6" x14ac:dyDescent="0.3">
      <c r="A49" s="1"/>
      <c r="B49" s="1"/>
      <c r="C49" s="46" t="str">
        <f>'4637'!F11</f>
        <v>FECHA LIMITE :</v>
      </c>
      <c r="D49" s="13">
        <f>'4637'!G11</f>
        <v>45763</v>
      </c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19" t="s">
        <v>68</v>
      </c>
      <c r="B52" s="119"/>
      <c r="C52" s="119"/>
      <c r="D52" s="119"/>
      <c r="E52" s="119"/>
      <c r="F52" s="119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75" customHeight="1" x14ac:dyDescent="0.3">
      <c r="A54" s="1"/>
      <c r="B54" s="120" t="s">
        <v>69</v>
      </c>
      <c r="C54" s="121"/>
      <c r="D54" s="122"/>
      <c r="E54" s="122"/>
      <c r="F54" s="123"/>
      <c r="G54" s="1"/>
    </row>
    <row r="55" spans="1:7" s="15" customFormat="1" ht="12.75" customHeight="1" x14ac:dyDescent="0.3">
      <c r="A55" s="1"/>
      <c r="B55" s="36" t="s">
        <v>10</v>
      </c>
      <c r="C55" s="47" t="s">
        <v>11</v>
      </c>
      <c r="D55" s="48" t="s">
        <v>7</v>
      </c>
      <c r="E55" s="48" t="s">
        <v>8</v>
      </c>
      <c r="F55" s="49" t="s">
        <v>12</v>
      </c>
      <c r="G55" s="1"/>
    </row>
    <row r="56" spans="1:7" s="15" customFormat="1" ht="15" customHeight="1" x14ac:dyDescent="0.3">
      <c r="A56" s="96" t="s">
        <v>135</v>
      </c>
      <c r="B56" s="38">
        <f>'4637'!B21</f>
        <v>1</v>
      </c>
      <c r="C56" s="99" t="str">
        <f>'4637'!C21</f>
        <v>CUB C/R F/E R8</v>
      </c>
      <c r="D56" s="39">
        <f>'4637'!D21</f>
        <v>2050</v>
      </c>
      <c r="E56" s="39">
        <f>'4637'!E21</f>
        <v>565</v>
      </c>
      <c r="F56" s="38" t="str">
        <f>'4637'!F21</f>
        <v>NEGRO 21066 SF MERINO</v>
      </c>
      <c r="G56" s="1"/>
    </row>
    <row r="57" spans="1:7" s="15" customFormat="1" ht="15" customHeight="1" x14ac:dyDescent="0.3">
      <c r="A57" s="96"/>
      <c r="B57" s="38">
        <f>'4637'!B22</f>
        <v>1</v>
      </c>
      <c r="C57" s="99" t="str">
        <f>'4637'!C22</f>
        <v>CUB C/R F/E R8</v>
      </c>
      <c r="D57" s="39">
        <f>'4637'!D22</f>
        <v>2040</v>
      </c>
      <c r="E57" s="39">
        <f>'4637'!E22</f>
        <v>580</v>
      </c>
      <c r="F57" s="38" t="str">
        <f>'4637'!F22</f>
        <v>NEGRO 21066 SF MERINO</v>
      </c>
      <c r="G57" s="1"/>
    </row>
    <row r="58" spans="1:7" s="15" customFormat="1" ht="15" customHeight="1" x14ac:dyDescent="0.3">
      <c r="A58" s="96"/>
      <c r="B58" s="38">
        <f>'4637'!B23</f>
        <v>1</v>
      </c>
      <c r="C58" s="99" t="str">
        <f>'4637'!C23</f>
        <v>CUB C/R F/E R8</v>
      </c>
      <c r="D58" s="39">
        <f>'4637'!D23</f>
        <v>2200</v>
      </c>
      <c r="E58" s="39">
        <f>'4637'!E23</f>
        <v>600</v>
      </c>
      <c r="F58" s="38" t="str">
        <f>'4637'!F23</f>
        <v>NEGRO 21066 SF MERINO</v>
      </c>
      <c r="G58" s="1"/>
    </row>
    <row r="59" spans="1:7" s="15" customFormat="1" ht="15" customHeight="1" x14ac:dyDescent="0.3">
      <c r="A59" s="96"/>
      <c r="B59" s="52"/>
      <c r="C59" s="109"/>
      <c r="D59" s="52"/>
      <c r="E59" s="52"/>
      <c r="F59" s="52"/>
      <c r="G59" s="1"/>
    </row>
    <row r="60" spans="1:7" s="15" customFormat="1" ht="15" customHeight="1" x14ac:dyDescent="0.3">
      <c r="A60" s="50"/>
      <c r="B60" s="52"/>
      <c r="C60" s="52"/>
      <c r="D60" s="52"/>
      <c r="E60" s="52"/>
      <c r="F60" s="52"/>
      <c r="G60" s="1"/>
    </row>
    <row r="61" spans="1:7" ht="15.6" x14ac:dyDescent="0.3">
      <c r="A61" s="6"/>
      <c r="B61" s="6"/>
      <c r="C61" s="1"/>
      <c r="D61" s="6"/>
      <c r="E61" s="6"/>
      <c r="F61" s="44"/>
      <c r="G61" s="1"/>
    </row>
    <row r="62" spans="1:7" ht="15.6" x14ac:dyDescent="0.3">
      <c r="A62" s="6"/>
      <c r="B62" s="6"/>
      <c r="C62" s="1"/>
      <c r="D62" s="6"/>
      <c r="E62" s="6"/>
      <c r="F62" s="6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" customHeight="1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6"/>
      <c r="B68" s="5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x14ac:dyDescent="0.3">
      <c r="B70" s="20"/>
      <c r="C70" s="20"/>
      <c r="D70" s="20"/>
      <c r="E70" s="20"/>
      <c r="F70" s="20"/>
    </row>
    <row r="71" spans="1:7" x14ac:dyDescent="0.3">
      <c r="B71" s="20"/>
      <c r="C71" s="20"/>
      <c r="E71" s="20"/>
      <c r="F71" s="20"/>
    </row>
  </sheetData>
  <mergeCells count="6">
    <mergeCell ref="M3:N3"/>
    <mergeCell ref="A20:F20"/>
    <mergeCell ref="A10:F10"/>
    <mergeCell ref="A52:F52"/>
    <mergeCell ref="B54:F5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2025-04-07T21:54:05Z</cp:lastPrinted>
  <dcterms:created xsi:type="dcterms:W3CDTF">2013-03-19T12:54:14Z</dcterms:created>
  <dcterms:modified xsi:type="dcterms:W3CDTF">2025-04-11T19:43:42Z</dcterms:modified>
</cp:coreProperties>
</file>