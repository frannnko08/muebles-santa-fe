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159CE39D-F3DD-4D4B-AA76-21729998E0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H21" i="4"/>
  <c r="B30" i="3"/>
  <c r="I24" i="3" s="1"/>
  <c r="B24" i="3" s="1"/>
  <c r="C30" i="3"/>
  <c r="F24" i="3" s="1"/>
  <c r="D30" i="3"/>
  <c r="J24" i="3" s="1"/>
  <c r="D24" i="3" s="1"/>
  <c r="E30" i="3"/>
  <c r="K24" i="3" s="1"/>
  <c r="E24" i="3" s="1"/>
  <c r="F30" i="3"/>
  <c r="B31" i="3"/>
  <c r="C31" i="3"/>
  <c r="D31" i="3"/>
  <c r="E31" i="3"/>
  <c r="F31" i="3"/>
  <c r="B55" i="3"/>
  <c r="C55" i="3"/>
  <c r="D55" i="3"/>
  <c r="E55" i="3"/>
  <c r="F55" i="3"/>
  <c r="B54" i="3"/>
  <c r="C54" i="3"/>
  <c r="D54" i="3"/>
  <c r="E54" i="3"/>
  <c r="F54" i="3"/>
  <c r="B29" i="3"/>
  <c r="I23" i="3" s="1"/>
  <c r="C29" i="3"/>
  <c r="F14" i="3" s="1"/>
  <c r="D29" i="3"/>
  <c r="J14" i="3" s="1"/>
  <c r="D14" i="3" s="1"/>
  <c r="E29" i="3"/>
  <c r="K23" i="3" s="1"/>
  <c r="E23" i="3" s="1"/>
  <c r="F29" i="3"/>
  <c r="B53" i="3"/>
  <c r="C53" i="3"/>
  <c r="D53" i="3"/>
  <c r="E53" i="3"/>
  <c r="F53" i="3"/>
  <c r="J15" i="3" l="1"/>
  <c r="D15" i="3" s="1"/>
  <c r="I15" i="3"/>
  <c r="B15" i="3" s="1"/>
  <c r="K15" i="3"/>
  <c r="E15" i="3" s="1"/>
  <c r="F15" i="3"/>
  <c r="J23" i="3"/>
  <c r="D23" i="3" s="1"/>
  <c r="K14" i="3"/>
  <c r="E14" i="3" s="1"/>
  <c r="B23" i="3"/>
  <c r="I14" i="3"/>
  <c r="B14" i="3" s="1"/>
  <c r="F23" i="3"/>
  <c r="H26" i="4"/>
  <c r="H27" i="4" l="1"/>
  <c r="H28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<sst xmlns="http://schemas.openxmlformats.org/spreadsheetml/2006/main" count="250" uniqueCount="146">
  <si>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</si>
  <si>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</si>
  <si>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</si>
  <si>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</si>
  <si>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</si>
  <si>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</si>
  <si>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</si>
  <si>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</si>
  <si>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</si>
  <si>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</si>
  <si>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</si>
  <si>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</si>
  <si>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</si>
  <si>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</si>
  <si>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</si>
  <si>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</si>
  <si>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</si>
  <si>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</si>
  <si>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</si>
  <si>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</si>
  <si>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</si>
  <si>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</si>
  <si>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</si>
  <si>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</si>
  <si>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</si>
  <si>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</si>
  <si>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</si>
  <si>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</si>
  <si>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</si>
  <si>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</si>
  <si>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</si>
  <si>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</si>
  <si>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</si>
  <si>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</si>
  <si>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</si>
  <si>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</si>
  <si>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</si>
  <si>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</si>
  <si>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</si>
  <si>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</si>
  <si>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</si>
  <si>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</si>
  <si>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</si>
  <si>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</si>
  <si>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</si>
  <si>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</si>
  <si>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</si>
  <si>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</si>
  <si>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</si>
  <si>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</si>
  <si>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</si>
  <si>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</si>
  <si>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</si>
  <si>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</si>
  <si>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</si>
  <si>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</si>
  <si>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</si>
  <si>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</si>
  <si>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</si>
  <si>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</si>
  <si>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</si>
  <si>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</si>
  <si>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</si>
  <si>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</si>
  <si>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</si>
  <si>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</si>
  <si>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</si>
  <si>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</si>
  <si>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</si>
  <si>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</si>
  <si>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</si>
  <si>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</si>
  <si>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</si>
  <si>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</si>
  <si>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</si>
  <si>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</si>
  <si>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</si>
  <si>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</si>
  <si>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</si>
  <si>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</si>
  <si>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</si>
  <si>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</si>
  <si>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</si>
  <si>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</si>
  <si>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</si>
  <si>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</si>
  <si>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</si>
  <si>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</si>
  <si>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</si>
  <si>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</si>
  <si>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</si>
  <si>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</si>
  <si>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</si>
  <si>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</si>
  <si>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</si>
  <si>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</si>
  <si>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</si>
  <si>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</si>
  <si>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</si>
  <si>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</si>
  <si>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</si>
  <si>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</si>
  <si>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</si>
  <si>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</si>
  <si>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</si>
  <si>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</si>
  <si>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</si>
  <si>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</si>
  <si>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</si>
  <si>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</si>
  <si>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</si>
  <si>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</si>
  <si>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</si>
  <si>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</si>
  <si>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</si>
  <si>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</si>
  <si>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</si>
  <si>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</si>
  <si>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</si>
  <si>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</si>
  <si>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</si>
  <si>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</si>
  <si>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</si>
  <si>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</si>
  <si>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</si>
  <si>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</si>
  <si>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</si>
  <si>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</si>
  <si>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</si>
  <si>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</si>
  <si>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</si>
  <si>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</si>
  <si>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</si>
  <si>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</si>
  <si>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</si>
  <si>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</si>
  <si>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NO</t>
  </si>
  <si>
    <t>FCA DE MUEBLES ALVEAR Y ALVEAR LTDA</t>
  </si>
  <si>
    <t>76.143.978-2</t>
  </si>
  <si>
    <t>CLAUDIO ALVEAR</t>
  </si>
  <si>
    <t>ROSA ESTER 03281 LA PINTANA</t>
  </si>
  <si>
    <t>CONTADO</t>
  </si>
  <si>
    <t>N° 11380</t>
  </si>
  <si>
    <t>FONDLE SAMSARA MAPLE 14868 SF</t>
  </si>
  <si>
    <t>CORTE A LA MEDIDA Y 45°</t>
  </si>
  <si>
    <t>CUB C/R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</si>
</sst>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5" fontId="15" fillId="0" borderId="2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$ 70.000.-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34</xdr:row>
      <xdr:rowOff>15239</xdr:rowOff>
    </xdr:from>
    <xdr:to>
      <xdr:col>6</xdr:col>
      <xdr:colOff>68580</xdr:colOff>
      <xdr:row>38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45° Y MEDIDA EXACTA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45° Y CORTADO A LA MEDIDA EXACTA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801763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3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7197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45751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45756</v>
      </c>
      <c r="H11" s="62"/>
      <c r="I11" s="1"/>
    </row>
    <row r="12" spans="1:17" ht="16.2" thickBot="1" x14ac:dyDescent="0.35">
      <c r="A12" s="1"/>
      <c r="B12" s="63" t="s">
        <v>131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2">
        <v>56973069852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98" t="s">
        <v>140</v>
      </c>
      <c r="D15" s="43"/>
      <c r="E15" s="43"/>
      <c r="F15" s="67" t="s">
        <v>75</v>
      </c>
      <c r="G15" s="67" t="s">
        <v>141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3">
        <v>1</v>
      </c>
      <c r="C21" s="103" t="s">
        <v>145</v>
      </c>
      <c r="D21" s="109">
        <v>1340</v>
      </c>
      <c r="E21" s="109">
        <v>600</v>
      </c>
      <c r="F21" s="103" t="s">
        <v>143</v>
      </c>
      <c r="G21" s="104">
        <v>64339</v>
      </c>
      <c r="H21" s="104">
        <f>G21*B21</f>
        <v>64339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>
        <v>1</v>
      </c>
      <c r="C22" s="103" t="s">
        <v>145</v>
      </c>
      <c r="D22" s="109">
        <v>1250</v>
      </c>
      <c r="E22" s="109">
        <v>600</v>
      </c>
      <c r="F22" s="103" t="s">
        <v>143</v>
      </c>
      <c r="G22" s="104">
        <v>60356</v>
      </c>
      <c r="H22" s="104">
        <f t="shared" ref="H22:H23" si="0">G22*B22</f>
        <v>60356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>
        <v>2</v>
      </c>
      <c r="C23" s="103" t="s">
        <v>144</v>
      </c>
      <c r="D23" s="125"/>
      <c r="E23" s="125"/>
      <c r="F23" s="103"/>
      <c r="G23" s="104">
        <v>10000</v>
      </c>
      <c r="H23" s="104">
        <f t="shared" si="0"/>
        <v>20000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/>
      <c r="C24" s="105"/>
      <c r="D24" s="106"/>
      <c r="E24" s="106"/>
      <c r="F24" s="105"/>
      <c r="G24" s="75"/>
      <c r="H24" s="75"/>
      <c r="I24" s="1"/>
    </row>
    <row r="25" spans="1:16" ht="18" customHeight="1" thickBot="1" x14ac:dyDescent="0.35">
      <c r="A25" s="1"/>
      <c r="B25" s="105"/>
      <c r="C25" s="105"/>
      <c r="D25" s="106"/>
      <c r="E25" s="106"/>
      <c r="F25" s="105"/>
      <c r="G25" s="107"/>
      <c r="H25" s="108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SUM(H21:H23)</f>
        <v>144695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27492.05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172187.05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zoomScaleNormal="100" workbookViewId="0">
      <selection sqref="A1:F4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7197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FCA DE MUEBLES ALVEAR Y ALVEAR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1420</v>
      </c>
      <c r="E14" s="35">
        <f>K14+E$13</f>
        <v>570</v>
      </c>
      <c r="F14" s="100" t="str">
        <f>C29</f>
        <v>CUB C/R 90° R8</v>
      </c>
      <c r="G14" s="1"/>
      <c r="I14" s="3">
        <f t="shared" ref="I14:I15" si="2">I23</f>
        <v>1</v>
      </c>
      <c r="J14" s="4">
        <f>D29</f>
        <v>1340</v>
      </c>
      <c r="K14" s="4">
        <f>E29</f>
        <v>600</v>
      </c>
    </row>
    <row r="15" spans="1:14" ht="15.6" x14ac:dyDescent="0.3">
      <c r="A15" s="96"/>
      <c r="B15" s="25">
        <f t="shared" ref="B15" si="3">I15</f>
        <v>1</v>
      </c>
      <c r="C15" s="25"/>
      <c r="D15" s="25">
        <f t="shared" ref="D15" si="4">J15+D$13</f>
        <v>1330</v>
      </c>
      <c r="E15" s="35">
        <f>K15+E$13</f>
        <v>570</v>
      </c>
      <c r="F15" s="100" t="str">
        <f>C30</f>
        <v>CUB C/R 90° R8</v>
      </c>
      <c r="G15" s="1"/>
      <c r="I15" s="3">
        <f t="shared" si="2"/>
        <v>1</v>
      </c>
      <c r="J15" s="4">
        <f t="shared" ref="J15:K15" si="5">D30</f>
        <v>1250</v>
      </c>
      <c r="K15" s="4">
        <f t="shared" si="5"/>
        <v>600</v>
      </c>
    </row>
    <row r="16" spans="1:14" ht="15.6" x14ac:dyDescent="0.3">
      <c r="A16" s="96"/>
      <c r="B16" s="6"/>
      <c r="C16" s="6"/>
      <c r="D16" s="6"/>
      <c r="E16" s="89"/>
      <c r="F16" s="111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6">I23</f>
        <v>1</v>
      </c>
      <c r="C23" s="16"/>
      <c r="D23" s="16">
        <f>J23+D$22</f>
        <v>1380</v>
      </c>
      <c r="E23" s="16">
        <f>K23+E$22</f>
        <v>730</v>
      </c>
      <c r="F23" s="101" t="str">
        <f>C29</f>
        <v>CUB C/R 90° R8</v>
      </c>
      <c r="G23" s="1"/>
      <c r="I23" s="3">
        <f>B29</f>
        <v>1</v>
      </c>
      <c r="J23" s="4">
        <f t="shared" ref="J23:K23" si="7">D29</f>
        <v>1340</v>
      </c>
      <c r="K23" s="4">
        <f t="shared" si="7"/>
        <v>600</v>
      </c>
    </row>
    <row r="24" spans="1:11" ht="15.6" x14ac:dyDescent="0.3">
      <c r="A24" s="96"/>
      <c r="B24" s="16">
        <f t="shared" ref="B24" si="8">I24</f>
        <v>1</v>
      </c>
      <c r="C24" s="16"/>
      <c r="D24" s="16">
        <f>J24+D$22</f>
        <v>1290</v>
      </c>
      <c r="E24" s="16">
        <f>K24+E$22</f>
        <v>730</v>
      </c>
      <c r="F24" s="101" t="str">
        <f>C30</f>
        <v>CUB C/R 90° R8</v>
      </c>
      <c r="G24" s="1"/>
      <c r="I24" s="3">
        <f>B30</f>
        <v>1</v>
      </c>
      <c r="J24" s="4">
        <f>D30</f>
        <v>1250</v>
      </c>
      <c r="K24" s="4">
        <f>E30</f>
        <v>600</v>
      </c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0" t="str">
        <f>'4637'!C21</f>
        <v>CUB C/R 90° R8</v>
      </c>
      <c r="D29" s="25">
        <f>'4637'!D21</f>
        <v>1340</v>
      </c>
      <c r="E29" s="25">
        <f>'4637'!E21</f>
        <v>600</v>
      </c>
      <c r="F29" s="25" t="str">
        <f>'4637'!F21</f>
        <v>FONDLE SAMSARA MAPLE 14868 SF</v>
      </c>
      <c r="G29" s="1"/>
    </row>
    <row r="30" spans="1:11" ht="15.6" x14ac:dyDescent="0.3">
      <c r="A30" s="96"/>
      <c r="B30" s="25">
        <f>'4637'!B22</f>
        <v>1</v>
      </c>
      <c r="C30" s="100" t="str">
        <f>'4637'!C22</f>
        <v>CUB C/R 90° R8</v>
      </c>
      <c r="D30" s="25">
        <f>'4637'!D22</f>
        <v>1250</v>
      </c>
      <c r="E30" s="25">
        <f>'4637'!E22</f>
        <v>600</v>
      </c>
      <c r="F30" s="25" t="str">
        <f>'4637'!F22</f>
        <v>FONDLE SAMSARA MAPLE 14868 SF</v>
      </c>
      <c r="G30" s="1"/>
    </row>
    <row r="31" spans="1:11" ht="15.6" x14ac:dyDescent="0.3">
      <c r="A31" s="96"/>
      <c r="B31" s="25">
        <f>'4637'!B23</f>
        <v>2</v>
      </c>
      <c r="C31" s="100" t="str">
        <f>'4637'!C23</f>
        <v>CORTE A LA MEDIDA Y 45°</v>
      </c>
      <c r="D31" s="25">
        <f>'4637'!D23</f>
        <v>0</v>
      </c>
      <c r="E31" s="25">
        <f>'4637'!E23</f>
        <v>0</v>
      </c>
      <c r="F31" s="25">
        <f>'4637'!F23</f>
        <v>0</v>
      </c>
      <c r="G31" s="1"/>
    </row>
    <row r="32" spans="1:11" ht="15.6" x14ac:dyDescent="0.3">
      <c r="A32" s="96"/>
      <c r="B32" s="6"/>
      <c r="C32" s="111"/>
      <c r="D32" s="6"/>
      <c r="E32" s="6"/>
      <c r="F32" s="6"/>
      <c r="G32" s="1"/>
    </row>
    <row r="33" spans="1:7" ht="15.6" x14ac:dyDescent="0.3">
      <c r="A33" s="52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7197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FCA DE MUEBLES ALVEAR Y ALVEAR LTDA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45756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0" t="s">
        <v>68</v>
      </c>
      <c r="B49" s="120"/>
      <c r="C49" s="120"/>
      <c r="D49" s="120"/>
      <c r="E49" s="120"/>
      <c r="F49" s="120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1" t="s">
        <v>69</v>
      </c>
      <c r="C51" s="122"/>
      <c r="D51" s="123"/>
      <c r="E51" s="123"/>
      <c r="F51" s="124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6"/>
      <c r="B53" s="38">
        <f>'4637'!B21</f>
        <v>1</v>
      </c>
      <c r="C53" s="99" t="str">
        <f>'4637'!C21</f>
        <v>CUB C/R 90° R8</v>
      </c>
      <c r="D53" s="39">
        <f>'4637'!D21</f>
        <v>1340</v>
      </c>
      <c r="E53" s="39">
        <f>'4637'!E21</f>
        <v>600</v>
      </c>
      <c r="F53" s="38" t="str">
        <f>'4637'!F21</f>
        <v>FONDLE SAMSARA MAPLE 14868 SF</v>
      </c>
      <c r="G53" s="1"/>
    </row>
    <row r="54" spans="1:7" s="15" customFormat="1" ht="15" customHeight="1" x14ac:dyDescent="0.3">
      <c r="A54" s="96"/>
      <c r="B54" s="38">
        <f>'4637'!B22</f>
        <v>1</v>
      </c>
      <c r="C54" s="99" t="str">
        <f>'4637'!C22</f>
        <v>CUB C/R 90° R8</v>
      </c>
      <c r="D54" s="39">
        <f>'4637'!D22</f>
        <v>1250</v>
      </c>
      <c r="E54" s="39">
        <f>'4637'!E22</f>
        <v>600</v>
      </c>
      <c r="F54" s="38" t="str">
        <f>'4637'!F22</f>
        <v>FONDLE SAMSARA MAPLE 14868 SF</v>
      </c>
      <c r="G54" s="1"/>
    </row>
    <row r="55" spans="1:7" s="15" customFormat="1" ht="15" customHeight="1" x14ac:dyDescent="0.3">
      <c r="A55" s="96"/>
      <c r="B55" s="38">
        <f>'4637'!B23</f>
        <v>2</v>
      </c>
      <c r="C55" s="99" t="str">
        <f>'4637'!C23</f>
        <v>CORTE A LA MEDIDA Y 45°</v>
      </c>
      <c r="D55" s="39">
        <f>'4637'!D23</f>
        <v>0</v>
      </c>
      <c r="E55" s="39">
        <f>'4637'!E23</f>
        <v>0</v>
      </c>
      <c r="F55" s="38">
        <f>'4637'!F23</f>
        <v>0</v>
      </c>
      <c r="G55" s="1"/>
    </row>
    <row r="56" spans="1:7" s="15" customFormat="1" ht="15" customHeight="1" x14ac:dyDescent="0.3">
      <c r="A56" s="96"/>
      <c r="B56" s="52"/>
      <c r="C56" s="110"/>
      <c r="D56" s="52"/>
      <c r="E56" s="52"/>
      <c r="F56" s="52"/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2025-04-07T21:45:21Z</cp:lastPrinted>
  <dcterms:created xsi:type="dcterms:W3CDTF">2013-03-19T12:54:14Z</dcterms:created>
  <dcterms:modified xsi:type="dcterms:W3CDTF">2025-04-07T21:45:35Z</dcterms:modified>
</cp:coreProperties>
</file>