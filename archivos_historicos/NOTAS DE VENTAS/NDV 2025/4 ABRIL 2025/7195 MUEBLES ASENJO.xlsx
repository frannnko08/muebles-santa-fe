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4D0A8511-32A8-472F-A381-ED38F2D9E3D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H21" i="4"/>
  <c r="J21" i="3" l="1"/>
  <c r="D21" i="3" s="1"/>
  <c r="K14" i="3"/>
  <c r="E14" i="3" s="1"/>
  <c r="B21" i="3"/>
  <c r="I14" i="3"/>
  <c r="B14" i="3" s="1"/>
  <c r="F21" i="3"/>
  <c r="H25" i="4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<sst xmlns="http://schemas.openxmlformats.org/spreadsheetml/2006/main" count="247" uniqueCount="144">
  <si>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</si>
  <si>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</si>
  <si>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</si>
  <si>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</si>
  <si>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</si>
  <si>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</si>
  <si>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</si>
  <si>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</si>
  <si>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</si>
  <si>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</si>
  <si>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</si>
  <si>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</si>
  <si>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</si>
  <si>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</si>
  <si>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</si>
  <si>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</si>
  <si>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</si>
  <si>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</si>
  <si>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</si>
  <si>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</si>
  <si>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</si>
  <si>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</si>
  <si>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</si>
  <si>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</si>
  <si>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</si>
  <si>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</si>
  <si>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</si>
  <si>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</si>
  <si>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</si>
  <si>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</si>
  <si>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</si>
  <si>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</si>
  <si>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</si>
  <si>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</si>
  <si>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</si>
  <si>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</si>
  <si>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</si>
  <si>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</si>
  <si>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</si>
  <si>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</si>
  <si>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</si>
  <si>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</si>
  <si>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</si>
  <si>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</si>
  <si>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</si>
  <si>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</si>
  <si>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</si>
  <si>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</si>
  <si>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</si>
  <si>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</si>
  <si>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</si>
  <si>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</si>
  <si>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</si>
  <si>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</si>
  <si>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</si>
  <si>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</si>
  <si>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</si>
  <si>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</si>
  <si>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</si>
  <si>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</si>
  <si>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</si>
  <si>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</si>
  <si>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</si>
  <si>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</si>
  <si>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</si>
  <si>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</si>
  <si>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</si>
  <si>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</si>
  <si>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</si>
  <si>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</si>
  <si>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</si>
  <si>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</si>
  <si>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</si>
  <si>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</si>
  <si>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</si>
  <si>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</si>
  <si>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</si>
  <si>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</si>
  <si>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</si>
  <si>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</si>
  <si>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</si>
  <si>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</si>
  <si>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</si>
  <si>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</si>
  <si>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</si>
  <si>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</si>
  <si>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</si>
  <si>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</si>
  <si>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</si>
  <si>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</si>
  <si>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</si>
  <si>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</si>
  <si>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</si>
  <si>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</si>
  <si>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</si>
  <si>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</si>
  <si>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</si>
  <si>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</si>
  <si>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</si>
  <si>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</si>
  <si>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</si>
  <si>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</si>
  <si>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</si>
  <si>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</si>
  <si>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</si>
  <si>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</si>
  <si>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</si>
  <si>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</si>
  <si>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</si>
  <si>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</si>
  <si>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</si>
  <si>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</si>
  <si>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</si>
  <si>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</si>
  <si>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</si>
  <si>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</si>
  <si>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</si>
  <si>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</si>
  <si>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</si>
  <si>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</si>
  <si>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</si>
  <si>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</si>
  <si>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</si>
  <si>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</si>
  <si>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</si>
  <si>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</si>
  <si>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</si>
  <si>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</si>
  <si>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</si>
  <si>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</si>
  <si>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</si>
  <si>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</si>
  <si>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</si>
  <si>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</si>
  <si>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</si>
  <si>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</si>
  <si>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</si>
  <si>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</si>
  <si>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</si>
  <si>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</si>
  <si>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</si>
  <si>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</si>
  <si>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BLANCO MERINO MATE</t>
  </si>
  <si>
    <t>N° 11383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</si>
</sst>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right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5" workbookViewId="0">
      <selection activeCell="I17" sqref="I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7195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45750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45751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22962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36</v>
      </c>
      <c r="D21" s="110">
        <v>1800</v>
      </c>
      <c r="E21" s="110">
        <v>800</v>
      </c>
      <c r="F21" s="106" t="s">
        <v>142</v>
      </c>
      <c r="G21" s="108">
        <v>97075</v>
      </c>
      <c r="H21" s="107">
        <f t="shared" ref="H21" si="0">G21*B21</f>
        <v>194150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194150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36888.5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231038.5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topLeftCell="A34" zoomScaleNormal="100" workbookViewId="0">
      <selection activeCell="A36" sqref="A36:G5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7195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45751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 t="shared" ref="D14" si="1">J14+D$13</f>
        <v>1880</v>
      </c>
      <c r="E14" s="35">
        <f>K14+E$13</f>
        <v>800</v>
      </c>
      <c r="F14" s="103" t="str">
        <f>C27</f>
        <v>CUB MESA 180° 2 LADOS</v>
      </c>
      <c r="G14" s="1"/>
      <c r="I14" s="3">
        <f>I21</f>
        <v>2</v>
      </c>
      <c r="J14" s="4">
        <f>D27</f>
        <v>1800</v>
      </c>
      <c r="K14" s="4">
        <f>E27</f>
        <v>800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2">I21</f>
        <v>2</v>
      </c>
      <c r="C21" s="16"/>
      <c r="D21" s="16">
        <f>J21+D$20</f>
        <v>1840</v>
      </c>
      <c r="E21" s="16">
        <f>K21+E$20</f>
        <v>950</v>
      </c>
      <c r="F21" s="104" t="str">
        <f>C27</f>
        <v>CUB MESA 180° 2 LADOS</v>
      </c>
      <c r="G21" s="1"/>
      <c r="I21" s="3">
        <f>B27</f>
        <v>2</v>
      </c>
      <c r="J21" s="4">
        <f t="shared" ref="J21:K21" si="3">D27</f>
        <v>1800</v>
      </c>
      <c r="K21" s="4">
        <f t="shared" si="3"/>
        <v>800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2</v>
      </c>
      <c r="C27" s="103" t="str">
        <f>'4637'!C21</f>
        <v>CUB MESA 180° 2 LADOS</v>
      </c>
      <c r="D27" s="25">
        <f>'4637'!D21</f>
        <v>1800</v>
      </c>
      <c r="E27" s="25">
        <f>'4637'!E21</f>
        <v>800</v>
      </c>
      <c r="F27" s="25" t="str">
        <f>'4637'!F21</f>
        <v>BLANCO MERINO MATE</v>
      </c>
      <c r="G27" s="1"/>
    </row>
    <row r="28" spans="1:11" ht="15.6" x14ac:dyDescent="0.3">
      <c r="A28" s="52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7195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45751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2</v>
      </c>
      <c r="C48" s="102" t="str">
        <f>'4637'!C21</f>
        <v>CUB MESA 180° 2 LADOS</v>
      </c>
      <c r="D48" s="39">
        <f>'4637'!D21</f>
        <v>1800</v>
      </c>
      <c r="E48" s="39">
        <f>'4637'!E21</f>
        <v>800</v>
      </c>
      <c r="F48" s="38" t="str">
        <f>'4637'!F21</f>
        <v>BLANCO MERINO MATE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2025-04-03T11:53:20Z</cp:lastPrinted>
  <dcterms:created xsi:type="dcterms:W3CDTF">2013-03-19T12:54:14Z</dcterms:created>
  <dcterms:modified xsi:type="dcterms:W3CDTF">2025-04-03T11:53:27Z</dcterms:modified>
</cp:coreProperties>
</file>