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E8DAF9CF-2214-46ED-8AAC-CF7A1700EB4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/>
  <c r="I22" i="3" s="1"/>
  <c r="C27" i="3"/>
  <c r="F14" i="3" s="1"/>
  <c r="D27" i="3"/>
  <c r="J14" i="3" s="1"/>
  <c r="D14" i="3" s="1"/>
  <c r="E27" i="3"/>
  <c r="K22" i="3" s="1"/>
  <c r="E22" i="3" s="1"/>
  <c r="F27" i="3"/>
  <c r="B49" i="3"/>
  <c r="C49" i="3"/>
  <c r="D49" i="3"/>
  <c r="E49" i="3"/>
  <c r="F49" i="3"/>
  <c r="J22" i="3" l="1"/>
  <c r="D22" i="3" s="1"/>
  <c r="K14" i="3"/>
  <c r="E14" i="3" s="1"/>
  <c r="B22" i="3"/>
  <c r="I14" i="3"/>
  <c r="B14" i="3" s="1"/>
  <c r="F22" i="3"/>
  <c r="H24" i="4"/>
  <c r="H25" i="4" l="1"/>
  <c r="H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<sst xmlns="http://schemas.openxmlformats.org/spreadsheetml/2006/main" count="246" uniqueCount="143">
  <si>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</si>
  <si>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</si>
  <si>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</si>
  <si>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</si>
  <si>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</si>
  <si>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</si>
  <si>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</si>
  <si>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</si>
  <si>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</si>
  <si>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</si>
  <si>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</si>
  <si>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</si>
  <si>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</si>
  <si>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</si>
  <si>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</si>
  <si>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</si>
  <si>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</si>
  <si>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</si>
  <si>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</si>
  <si>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</si>
  <si>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</si>
  <si>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</si>
  <si>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</si>
  <si>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</si>
  <si>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</si>
  <si>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</si>
  <si>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</si>
  <si>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</si>
  <si>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</si>
  <si>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</si>
  <si>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</si>
  <si>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</si>
  <si>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</si>
  <si>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</si>
  <si>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</si>
  <si>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</si>
  <si>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</si>
  <si>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</si>
  <si>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</si>
  <si>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</si>
  <si>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</si>
  <si>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</si>
  <si>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</si>
  <si>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</si>
  <si>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</si>
  <si>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</si>
  <si>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</si>
  <si>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</si>
  <si>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</si>
  <si>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</si>
  <si>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</si>
  <si>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</si>
  <si>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</si>
  <si>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</si>
  <si>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</si>
  <si>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</si>
  <si>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</si>
  <si>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</si>
  <si>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</si>
  <si>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</si>
  <si>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</si>
  <si>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</si>
  <si>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</si>
  <si>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</si>
  <si>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</si>
  <si>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</si>
  <si>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</si>
  <si>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</si>
  <si>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</si>
  <si>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</si>
  <si>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</si>
  <si>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</si>
  <si>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</si>
  <si>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</si>
  <si>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</si>
  <si>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</si>
  <si>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</si>
  <si>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</si>
  <si>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</si>
  <si>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</si>
  <si>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</si>
  <si>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</si>
  <si>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</si>
  <si>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</si>
  <si>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</si>
  <si>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</si>
  <si>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</si>
  <si>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</si>
  <si>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</si>
  <si>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</si>
  <si>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</si>
  <si>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</si>
  <si>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</si>
  <si>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</si>
  <si>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</si>
  <si>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</si>
  <si>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</si>
  <si>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</si>
  <si>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</si>
  <si>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</si>
  <si>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</si>
  <si>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</si>
  <si>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</si>
  <si>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</si>
  <si>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</si>
  <si>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</si>
  <si>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</si>
  <si>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</si>
  <si>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</si>
  <si>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</si>
  <si>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</si>
  <si>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</si>
  <si>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</si>
  <si>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</si>
  <si>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</si>
  <si>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</si>
  <si>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</si>
  <si>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</si>
  <si>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</si>
  <si>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</si>
  <si>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</si>
  <si>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</si>
  <si>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</si>
  <si>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</si>
  <si>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</si>
  <si>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</si>
  <si>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</si>
  <si>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</si>
  <si>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</si>
  <si>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</si>
  <si>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</si>
  <si>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</si>
  <si>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</si>
  <si>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</t>
  </si>
  <si>
    <t>NO</t>
  </si>
  <si>
    <t>CONTADO</t>
  </si>
  <si>
    <t>L&amp;A MUEBLES ESPECIALES SPA</t>
  </si>
  <si>
    <t>ANDREA NUÑEZ</t>
  </si>
  <si>
    <t>56961914275</t>
  </si>
  <si>
    <t>ROVERE FIUMO 1462 MT</t>
  </si>
  <si>
    <t>MELAMIL 18MM</t>
  </si>
  <si>
    <t>BETA HORIZONTAL</t>
  </si>
  <si>
    <t>N° 11404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</si>
</sst>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CANCELADA $ 56.924.- 28/04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OBSERVACIONES:BETA HORIZONTAL , ENCHAPAR CON TAPACANTO MISMA LAMINA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BETA DE LAMINADO HORIZONTAL, ENCHAPAR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TAPACANTO MISMA LAMINA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workbookViewId="0">
      <selection activeCell="K20" sqref="K2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3.4414062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7210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45776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45782</v>
      </c>
      <c r="H11" s="62"/>
      <c r="I11" s="1"/>
    </row>
    <row r="12" spans="1:17" ht="16.2" thickBot="1" x14ac:dyDescent="0.35">
      <c r="A12" s="1"/>
      <c r="B12" s="63" t="s">
        <v>130</v>
      </c>
      <c r="C12" t="s">
        <v>133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11" t="s">
        <v>138</v>
      </c>
      <c r="D14" s="66"/>
      <c r="E14" s="60"/>
      <c r="F14" s="60" t="s">
        <v>29</v>
      </c>
      <c r="G14" s="60" t="s">
        <v>134</v>
      </c>
      <c r="H14" s="62"/>
      <c r="I14" s="1"/>
    </row>
    <row r="15" spans="1:17" ht="15.6" x14ac:dyDescent="0.3">
      <c r="A15" s="1"/>
      <c r="B15" s="63" t="s">
        <v>1</v>
      </c>
      <c r="C15" s="98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1</v>
      </c>
      <c r="C21" s="102" t="s">
        <v>65</v>
      </c>
      <c r="D21" s="108">
        <v>700</v>
      </c>
      <c r="E21" s="108">
        <v>595</v>
      </c>
      <c r="F21" s="102" t="s">
        <v>139</v>
      </c>
      <c r="G21" s="103">
        <v>47835</v>
      </c>
      <c r="H21" s="103">
        <f>G21*B21</f>
        <v>47835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4"/>
      <c r="C22" s="104"/>
      <c r="D22" s="105"/>
      <c r="E22" s="105"/>
      <c r="F22" s="104"/>
      <c r="G22" s="75"/>
      <c r="H22" s="75"/>
      <c r="I22" s="1"/>
    </row>
    <row r="23" spans="1:16" ht="18" customHeight="1" thickBot="1" x14ac:dyDescent="0.35">
      <c r="A23" s="1"/>
      <c r="B23" s="104"/>
      <c r="C23" s="104"/>
      <c r="D23" s="105"/>
      <c r="E23" s="105"/>
      <c r="F23" s="104"/>
      <c r="G23" s="106"/>
      <c r="H23" s="107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SUM(H21:H21)</f>
        <v>47835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9088.65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56923.65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7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sqref="A1:F3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7210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L&amp;A MUEBLES ESPECIALES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45782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-2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140</v>
      </c>
      <c r="B14" s="25">
        <f t="shared" ref="B14" si="0">I14</f>
        <v>1</v>
      </c>
      <c r="C14" s="25"/>
      <c r="D14" s="25">
        <f t="shared" ref="D14" si="1">J14+D$13</f>
        <v>750</v>
      </c>
      <c r="E14" s="35">
        <f>K14+E$13</f>
        <v>593</v>
      </c>
      <c r="F14" s="100" t="str">
        <f>C27</f>
        <v>PR12</v>
      </c>
      <c r="G14" s="1"/>
      <c r="I14" s="3">
        <f>I22</f>
        <v>1</v>
      </c>
      <c r="J14" s="4">
        <f>D27</f>
        <v>700</v>
      </c>
      <c r="K14" s="4">
        <f>E27</f>
        <v>595</v>
      </c>
    </row>
    <row r="15" spans="1:14" ht="15.6" x14ac:dyDescent="0.3">
      <c r="A15" s="96"/>
      <c r="B15" s="6"/>
      <c r="C15" s="6"/>
      <c r="D15" s="6"/>
      <c r="E15" s="89"/>
      <c r="F15" s="110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90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2">I22</f>
        <v>1</v>
      </c>
      <c r="C22" s="16" t="s">
        <v>141</v>
      </c>
      <c r="D22" s="16">
        <f>J22+D$21</f>
        <v>740</v>
      </c>
      <c r="E22" s="16">
        <f>K22+E$21</f>
        <v>685</v>
      </c>
      <c r="F22" s="101" t="str">
        <f>C27</f>
        <v>PR12</v>
      </c>
      <c r="G22" s="1"/>
      <c r="I22" s="3">
        <f>B27</f>
        <v>1</v>
      </c>
      <c r="J22" s="4">
        <f t="shared" ref="J22:K22" si="3">D27</f>
        <v>700</v>
      </c>
      <c r="K22" s="4">
        <f t="shared" si="3"/>
        <v>595</v>
      </c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140</v>
      </c>
      <c r="B27" s="25">
        <f>'4637'!B21</f>
        <v>1</v>
      </c>
      <c r="C27" s="100" t="str">
        <f>'4637'!C21</f>
        <v>PR12</v>
      </c>
      <c r="D27" s="25">
        <f>'4637'!D21</f>
        <v>700</v>
      </c>
      <c r="E27" s="25">
        <f>'4637'!E21</f>
        <v>595</v>
      </c>
      <c r="F27" s="25" t="str">
        <f>'4637'!F21</f>
        <v>ROVERE FIUMO 1462 MT</v>
      </c>
      <c r="G27" s="1"/>
    </row>
    <row r="28" spans="1:11" ht="15.6" x14ac:dyDescent="0.3">
      <c r="A28" s="96"/>
      <c r="B28" s="6"/>
      <c r="C28" s="110"/>
      <c r="D28" s="6"/>
      <c r="E28" s="6"/>
      <c r="F28" s="6"/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7210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L&amp;A MUEBLES ESPECIALES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45782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0" t="s">
        <v>68</v>
      </c>
      <c r="B45" s="120"/>
      <c r="C45" s="120"/>
      <c r="D45" s="120"/>
      <c r="E45" s="120"/>
      <c r="F45" s="120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1" t="s">
        <v>69</v>
      </c>
      <c r="C47" s="122"/>
      <c r="D47" s="123"/>
      <c r="E47" s="123"/>
      <c r="F47" s="124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99" t="str">
        <f>'4637'!C21</f>
        <v>PR12</v>
      </c>
      <c r="D49" s="39">
        <f>'4637'!D21</f>
        <v>700</v>
      </c>
      <c r="E49" s="39">
        <f>'4637'!E21</f>
        <v>595</v>
      </c>
      <c r="F49" s="38" t="str">
        <f>'4637'!F21</f>
        <v>ROVERE FIUMO 1462 MT</v>
      </c>
      <c r="G49" s="1"/>
    </row>
    <row r="50" spans="1:7" s="15" customFormat="1" ht="15" customHeight="1" x14ac:dyDescent="0.3">
      <c r="A50" s="96"/>
      <c r="B50" s="52"/>
      <c r="C50" s="109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2025-04-29T13:49:47Z</cp:lastPrinted>
  <dcterms:created xsi:type="dcterms:W3CDTF">2013-03-19T12:54:14Z</dcterms:created>
  <dcterms:modified xsi:type="dcterms:W3CDTF">2025-05-05T13:56:03Z</dcterms:modified>
</cp:coreProperties>
</file>