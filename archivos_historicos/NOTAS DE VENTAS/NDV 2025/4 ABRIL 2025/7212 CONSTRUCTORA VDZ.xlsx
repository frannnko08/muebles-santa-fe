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4 ABRIL 2025\"/>
    </mc:Choice>
  </mc:AlternateContent>
  <xr:revisionPtr revIDLastSave="0" documentId="13_ncr:1_{66F2FDBF-8728-4C2C-8FC1-D20D0080FC6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CUBIERTA!$A$37:$F$61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B27" i="3"/>
  <c r="I22" i="3" s="1"/>
  <c r="C27" i="3"/>
  <c r="F14" i="3" s="1"/>
  <c r="D27" i="3"/>
  <c r="J14" i="3" s="1"/>
  <c r="D14" i="3" s="1"/>
  <c r="E27" i="3"/>
  <c r="K22" i="3" s="1"/>
  <c r="E22" i="3" s="1"/>
  <c r="F27" i="3"/>
  <c r="B49" i="3"/>
  <c r="C49" i="3"/>
  <c r="D49" i="3"/>
  <c r="E49" i="3"/>
  <c r="F49" i="3"/>
  <c r="J22" i="3" l="1"/>
  <c r="D22" i="3" s="1"/>
  <c r="K14" i="3"/>
  <c r="E14" i="3" s="1"/>
  <c r="B22" i="3"/>
  <c r="I14" i="3"/>
  <c r="B14" i="3" s="1"/>
  <c r="F22" i="3"/>
  <c r="H24" i="4"/>
  <c r="H25" i="4" l="1"/>
  <c r="H26" i="4" l="1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<sst xmlns="http://schemas.openxmlformats.org/spreadsheetml/2006/main" count="249" uniqueCount="147">
  <si>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</si>
  <si>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</si>
  <si>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</si>
  <si>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</si>
  <si>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</si>
  <si>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</si>
  <si>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</si>
  <si>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</si>
  <si>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</si>
  <si>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</si>
  <si>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</si>
  <si>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</si>
  <si>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</si>
  <si>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</si>
  <si>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</si>
  <si>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</si>
  <si>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</si>
  <si>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</si>
  <si>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</si>
  <si>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</si>
  <si>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</si>
  <si>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</si>
  <si>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</si>
  <si>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</si>
  <si>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</si>
  <si>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</si>
  <si>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</si>
  <si>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</si>
  <si>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</si>
  <si>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</si>
  <si>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</si>
  <si>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</si>
  <si>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</si>
  <si>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</si>
  <si>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</si>
  <si>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</si>
  <si>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</si>
  <si>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</si>
  <si>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</si>
  <si>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</si>
  <si>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</si>
  <si>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</si>
  <si>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</si>
  <si>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</si>
  <si>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</si>
  <si>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</si>
  <si>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</si>
  <si>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</si>
  <si>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</si>
  <si>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</si>
  <si>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</si>
  <si>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</si>
  <si>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</si>
  <si>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</si>
  <si>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</si>
  <si>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</si>
  <si>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</si>
  <si>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</si>
  <si>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</si>
  <si>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</si>
  <si>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</si>
  <si>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</si>
  <si>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</si>
  <si>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</si>
  <si>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</si>
  <si>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</si>
  <si>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</si>
  <si>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</si>
  <si>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</si>
  <si>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</si>
  <si>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</si>
  <si>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</si>
  <si>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</si>
  <si>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</si>
  <si>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</si>
  <si>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</si>
  <si>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</si>
  <si>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</si>
  <si>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</si>
  <si>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</si>
  <si>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</si>
  <si>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</si>
  <si>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</si>
  <si>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</si>
  <si>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</si>
  <si>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</si>
  <si>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</si>
  <si>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</si>
  <si>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</si>
  <si>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</si>
  <si>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</si>
  <si>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</si>
  <si>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</si>
  <si>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</si>
  <si>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</si>
  <si>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</si>
  <si>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</si>
  <si>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</si>
  <si>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</si>
  <si>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</si>
  <si>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</si>
  <si>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</si>
  <si>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</si>
  <si>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</si>
  <si>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</si>
  <si>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</si>
  <si>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</si>
  <si>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</si>
  <si>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</si>
  <si>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</si>
  <si>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</si>
  <si>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</si>
  <si>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</si>
  <si>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</si>
  <si>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</si>
  <si>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</si>
  <si>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</si>
  <si>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</si>
  <si>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</si>
  <si>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</si>
  <si>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</si>
  <si>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</si>
  <si>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</si>
  <si>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</si>
  <si>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</si>
  <si>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</si>
  <si>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</si>
  <si>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</si>
  <si>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</si>
  <si>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</si>
  <si>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</si>
  <si>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</si>
  <si>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</si>
  <si>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NO</t>
  </si>
  <si>
    <t>CONTADO</t>
  </si>
  <si>
    <t>BETA HORIZONTAL</t>
  </si>
  <si>
    <t>N° 11399</t>
  </si>
  <si>
    <t>CONSTRUCTORA VDZ SPA</t>
  </si>
  <si>
    <t>HERNAN GUAJARDO</t>
  </si>
  <si>
    <t>CONSTRUCCION Y REMODELACION DE INMUEBLES</t>
  </si>
  <si>
    <t>AV LAS CONDES 12265 OF 26</t>
  </si>
  <si>
    <t>76.060.625-1</t>
  </si>
  <si>
    <t>56972403953</t>
  </si>
  <si>
    <t>CUB C/R R8</t>
  </si>
  <si>
    <t>BLANCO BRILLO MERINO</t>
  </si>
  <si>
    <t>MDF18MM</t>
  </si>
  <si>
    <t>MDF 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</si>
</sst>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quotePrefix="1" applyFont="1"/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CANCELADA $ 251.952.-  28/04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6</xdr:col>
      <xdr:colOff>68580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37</xdr:row>
      <xdr:rowOff>41910</xdr:rowOff>
    </xdr:from>
    <xdr:to>
      <xdr:col>1</xdr:col>
      <xdr:colOff>801763</xdr:colOff>
      <xdr:row>43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opLeftCell="A6" workbookViewId="0">
      <selection activeCell="J19" sqref="J1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3.44140625" customWidth="1"/>
    <col min="4" max="5" width="9.109375" customWidth="1"/>
    <col min="6" max="6" width="33.7773437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136</v>
      </c>
      <c r="E8" s="1"/>
      <c r="F8" s="94" t="s">
        <v>27</v>
      </c>
      <c r="G8" s="95">
        <v>7212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137</v>
      </c>
      <c r="D10" s="55"/>
      <c r="E10" s="55"/>
      <c r="F10" s="56" t="s">
        <v>28</v>
      </c>
      <c r="G10" s="57">
        <v>45777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141</v>
      </c>
      <c r="D11" s="60"/>
      <c r="E11" s="60"/>
      <c r="F11" s="60" t="s">
        <v>124</v>
      </c>
      <c r="G11" s="61">
        <v>45782</v>
      </c>
      <c r="H11" s="62"/>
      <c r="I11" s="1"/>
    </row>
    <row r="12" spans="1:17" ht="16.2" thickBot="1" x14ac:dyDescent="0.35">
      <c r="A12" s="1"/>
      <c r="B12" s="63" t="s">
        <v>130</v>
      </c>
      <c r="C12" t="s">
        <v>139</v>
      </c>
      <c r="D12" s="43"/>
      <c r="E12" s="43"/>
      <c r="F12" s="43" t="s">
        <v>30</v>
      </c>
      <c r="G12" s="64">
        <v>63040</v>
      </c>
      <c r="H12" s="65"/>
      <c r="I12" s="1"/>
    </row>
    <row r="13" spans="1:17" ht="15.6" x14ac:dyDescent="0.3">
      <c r="A13" s="1"/>
      <c r="B13" s="63" t="s">
        <v>132</v>
      </c>
      <c r="C13" s="86" t="s">
        <v>138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11" t="s">
        <v>142</v>
      </c>
      <c r="D14" s="66"/>
      <c r="E14" s="60"/>
      <c r="F14" s="60" t="s">
        <v>29</v>
      </c>
      <c r="G14" s="60" t="s">
        <v>133</v>
      </c>
      <c r="H14" s="62"/>
      <c r="I14" s="1"/>
    </row>
    <row r="15" spans="1:17" ht="15.6" x14ac:dyDescent="0.3">
      <c r="A15" s="1"/>
      <c r="B15" s="63" t="s">
        <v>1</v>
      </c>
      <c r="C15" s="98" t="s">
        <v>140</v>
      </c>
      <c r="D15" s="43"/>
      <c r="E15" s="43"/>
      <c r="F15" s="67" t="s">
        <v>75</v>
      </c>
      <c r="G15" s="67" t="s">
        <v>134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2" t="s">
        <v>18</v>
      </c>
      <c r="G16" s="112"/>
      <c r="H16" s="113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4" t="s">
        <v>19</v>
      </c>
      <c r="C19" s="115"/>
      <c r="D19" s="115"/>
      <c r="E19" s="115"/>
      <c r="F19" s="115"/>
      <c r="G19" s="115"/>
      <c r="H19" s="116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2">
        <v>2</v>
      </c>
      <c r="C21" s="102" t="s">
        <v>143</v>
      </c>
      <c r="D21" s="108">
        <v>2400</v>
      </c>
      <c r="E21" s="108">
        <v>870</v>
      </c>
      <c r="F21" s="102" t="s">
        <v>144</v>
      </c>
      <c r="G21" s="103">
        <v>105862</v>
      </c>
      <c r="H21" s="103">
        <f>G21*B21</f>
        <v>211724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4"/>
      <c r="C22" s="104"/>
      <c r="D22" s="105"/>
      <c r="E22" s="105"/>
      <c r="F22" s="104"/>
      <c r="G22" s="75"/>
      <c r="H22" s="75"/>
      <c r="I22" s="1"/>
    </row>
    <row r="23" spans="1:16" ht="18" customHeight="1" thickBot="1" x14ac:dyDescent="0.35">
      <c r="A23" s="1"/>
      <c r="B23" s="104"/>
      <c r="C23" s="104"/>
      <c r="D23" s="105"/>
      <c r="E23" s="105"/>
      <c r="F23" s="104"/>
      <c r="G23" s="106"/>
      <c r="H23" s="107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SUM(H21:H21)</f>
        <v>211724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>
        <f>H24*19%</f>
        <v>40227.56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251951.56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97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123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122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5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7" t="s">
        <v>31</v>
      </c>
      <c r="C2" s="117"/>
      <c r="D2" s="117"/>
      <c r="E2" s="18"/>
      <c r="G2" s="117" t="s">
        <v>70</v>
      </c>
      <c r="H2" s="117"/>
      <c r="I2" s="117"/>
      <c r="P2" s="118" t="s">
        <v>58</v>
      </c>
      <c r="Q2" s="118"/>
      <c r="R2" s="118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8" t="s">
        <v>58</v>
      </c>
      <c r="M8" s="118"/>
      <c r="N8" s="118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abSelected="1" topLeftCell="A37" zoomScaleNormal="100" workbookViewId="0">
      <selection activeCell="A37" sqref="A37:F61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9" t="s">
        <v>61</v>
      </c>
      <c r="L3" s="119"/>
      <c r="M3" s="119" t="s">
        <v>14</v>
      </c>
      <c r="N3" s="119"/>
    </row>
    <row r="4" spans="1:14" ht="15.75" customHeight="1" x14ac:dyDescent="0.3">
      <c r="A4" s="1"/>
      <c r="B4" s="1"/>
      <c r="C4" s="40" t="s">
        <v>27</v>
      </c>
      <c r="D4" s="14">
        <f>'4637'!G8</f>
        <v>7212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CONSTRUCTORA VDZ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45782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0" t="s">
        <v>61</v>
      </c>
      <c r="B10" s="120"/>
      <c r="C10" s="120"/>
      <c r="D10" s="120"/>
      <c r="E10" s="120"/>
      <c r="F10" s="120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40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145</v>
      </c>
      <c r="B14" s="25">
        <f t="shared" ref="B14" si="0">I14</f>
        <v>2</v>
      </c>
      <c r="C14" s="25"/>
      <c r="D14" s="25">
        <f t="shared" ref="D14" si="1">J14+D$13</f>
        <v>2440</v>
      </c>
      <c r="E14" s="35">
        <f>K14+E$13</f>
        <v>840</v>
      </c>
      <c r="F14" s="100" t="str">
        <f>C27</f>
        <v>CUB C/R R8</v>
      </c>
      <c r="G14" s="1"/>
      <c r="I14" s="3">
        <f>I22</f>
        <v>2</v>
      </c>
      <c r="J14" s="4">
        <f>D27</f>
        <v>2400</v>
      </c>
      <c r="K14" s="4">
        <f>E27</f>
        <v>870</v>
      </c>
    </row>
    <row r="15" spans="1:14" ht="15.6" x14ac:dyDescent="0.3">
      <c r="A15" s="96"/>
      <c r="B15" s="6"/>
      <c r="C15" s="6"/>
      <c r="D15" s="6"/>
      <c r="E15" s="89"/>
      <c r="F15" s="110"/>
      <c r="G15" s="1"/>
      <c r="I15" s="90"/>
      <c r="J15" s="2"/>
      <c r="K15" s="2"/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0" t="s">
        <v>14</v>
      </c>
      <c r="B18" s="120"/>
      <c r="C18" s="120"/>
      <c r="D18" s="120"/>
      <c r="E18" s="120"/>
      <c r="F18" s="120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130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/>
      <c r="B22" s="16">
        <f t="shared" ref="B22" si="2">I22</f>
        <v>2</v>
      </c>
      <c r="C22" s="16" t="s">
        <v>135</v>
      </c>
      <c r="D22" s="16">
        <f>J22+D$21</f>
        <v>2440</v>
      </c>
      <c r="E22" s="16">
        <f>K22+E$21</f>
        <v>1000</v>
      </c>
      <c r="F22" s="101" t="str">
        <f>C27</f>
        <v>CUB C/R R8</v>
      </c>
      <c r="G22" s="1"/>
      <c r="I22" s="3">
        <f>B27</f>
        <v>2</v>
      </c>
      <c r="J22" s="4">
        <f t="shared" ref="J22:K22" si="3">D27</f>
        <v>2400</v>
      </c>
      <c r="K22" s="4">
        <f t="shared" si="3"/>
        <v>870</v>
      </c>
    </row>
    <row r="23" spans="1:11" ht="16.2" thickBot="1" x14ac:dyDescent="0.35">
      <c r="A23" s="52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2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2" t="s">
        <v>9</v>
      </c>
      <c r="B26" s="88" t="s">
        <v>10</v>
      </c>
      <c r="C26" s="88" t="s">
        <v>110</v>
      </c>
      <c r="D26" s="88" t="s">
        <v>7</v>
      </c>
      <c r="E26" s="88" t="s">
        <v>8</v>
      </c>
      <c r="F26" s="88" t="s">
        <v>23</v>
      </c>
      <c r="G26" s="1"/>
    </row>
    <row r="27" spans="1:11" ht="15.6" x14ac:dyDescent="0.3">
      <c r="A27" s="96" t="s">
        <v>146</v>
      </c>
      <c r="B27" s="25">
        <f>'4637'!B21</f>
        <v>2</v>
      </c>
      <c r="C27" s="100" t="str">
        <f>'4637'!C21</f>
        <v>CUB C/R R8</v>
      </c>
      <c r="D27" s="25">
        <f>'4637'!D21</f>
        <v>2400</v>
      </c>
      <c r="E27" s="25">
        <f>'4637'!E21</f>
        <v>870</v>
      </c>
      <c r="F27" s="25" t="str">
        <f>'4637'!F21</f>
        <v>BLANCO BRILLO MERINO</v>
      </c>
      <c r="G27" s="1"/>
    </row>
    <row r="28" spans="1:11" ht="15.6" x14ac:dyDescent="0.3">
      <c r="A28" s="96"/>
      <c r="B28" s="6"/>
      <c r="C28" s="110"/>
      <c r="D28" s="6"/>
      <c r="E28" s="6"/>
      <c r="F28" s="6"/>
      <c r="G28" s="1"/>
    </row>
    <row r="29" spans="1:11" ht="15.6" x14ac:dyDescent="0.3">
      <c r="A29" s="52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40" t="s">
        <v>27</v>
      </c>
      <c r="D39" s="14">
        <f>'4637'!G8</f>
        <v>7212</v>
      </c>
      <c r="E39" s="1"/>
      <c r="F39" s="1"/>
      <c r="G39" s="1"/>
    </row>
    <row r="40" spans="1:7" ht="17.25" customHeight="1" x14ac:dyDescent="0.3">
      <c r="A40" s="1"/>
      <c r="B40" s="1"/>
      <c r="C40" s="41" t="s">
        <v>67</v>
      </c>
      <c r="D40" s="42" t="str">
        <f>'4637'!C10</f>
        <v>CONSTRUCTORA VDZ SPA</v>
      </c>
      <c r="E40" s="43"/>
      <c r="F40" s="43"/>
      <c r="G40" s="1"/>
    </row>
    <row r="41" spans="1:7" ht="4.5" customHeight="1" x14ac:dyDescent="0.3">
      <c r="A41" s="1"/>
      <c r="B41" s="1"/>
      <c r="C41" s="44"/>
      <c r="D41" s="45"/>
      <c r="E41" s="1"/>
      <c r="F41" s="1"/>
      <c r="G41" s="1"/>
    </row>
    <row r="42" spans="1:7" ht="15.6" x14ac:dyDescent="0.3">
      <c r="A42" s="1"/>
      <c r="B42" s="1"/>
      <c r="C42" s="46" t="str">
        <f>'4637'!F11</f>
        <v>FECHA LIMITE :</v>
      </c>
      <c r="D42" s="13">
        <f>'4637'!G11</f>
        <v>45782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20" t="s">
        <v>68</v>
      </c>
      <c r="B45" s="120"/>
      <c r="C45" s="120"/>
      <c r="D45" s="120"/>
      <c r="E45" s="120"/>
      <c r="F45" s="120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21" t="s">
        <v>69</v>
      </c>
      <c r="C47" s="122"/>
      <c r="D47" s="123"/>
      <c r="E47" s="123"/>
      <c r="F47" s="124"/>
      <c r="G47" s="1"/>
    </row>
    <row r="48" spans="1:7" s="15" customFormat="1" ht="12.75" customHeight="1" x14ac:dyDescent="0.3">
      <c r="A48" s="1"/>
      <c r="B48" s="36" t="s">
        <v>10</v>
      </c>
      <c r="C48" s="47" t="s">
        <v>11</v>
      </c>
      <c r="D48" s="48" t="s">
        <v>7</v>
      </c>
      <c r="E48" s="48" t="s">
        <v>8</v>
      </c>
      <c r="F48" s="49" t="s">
        <v>12</v>
      </c>
      <c r="G48" s="1"/>
    </row>
    <row r="49" spans="1:7" s="15" customFormat="1" ht="15" customHeight="1" x14ac:dyDescent="0.3">
      <c r="A49" s="96" t="s">
        <v>145</v>
      </c>
      <c r="B49" s="38">
        <f>'4637'!B21</f>
        <v>2</v>
      </c>
      <c r="C49" s="99" t="str">
        <f>'4637'!C21</f>
        <v>CUB C/R R8</v>
      </c>
      <c r="D49" s="39">
        <f>'4637'!D21</f>
        <v>2400</v>
      </c>
      <c r="E49" s="39">
        <f>'4637'!E21</f>
        <v>870</v>
      </c>
      <c r="F49" s="38" t="str">
        <f>'4637'!F21</f>
        <v>BLANCO BRILLO MERINO</v>
      </c>
      <c r="G49" s="1"/>
    </row>
    <row r="50" spans="1:7" s="15" customFormat="1" ht="15" customHeight="1" x14ac:dyDescent="0.3">
      <c r="A50" s="96"/>
      <c r="B50" s="52"/>
      <c r="C50" s="109"/>
      <c r="D50" s="52"/>
      <c r="E50" s="52"/>
      <c r="F50" s="52"/>
      <c r="G50" s="1"/>
    </row>
    <row r="51" spans="1:7" s="15" customFormat="1" ht="15" customHeight="1" x14ac:dyDescent="0.3">
      <c r="A51" s="50"/>
      <c r="B51" s="52"/>
      <c r="C51" s="52"/>
      <c r="D51" s="52"/>
      <c r="E51" s="52"/>
      <c r="F51" s="52"/>
      <c r="G51" s="1"/>
    </row>
    <row r="52" spans="1:7" ht="15.6" x14ac:dyDescent="0.3">
      <c r="A52" s="6"/>
      <c r="B52" s="6"/>
      <c r="C52" s="1"/>
      <c r="D52" s="6"/>
      <c r="E52" s="6"/>
      <c r="F52" s="44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8:F18"/>
    <mergeCell ref="A10:F10"/>
    <mergeCell ref="A45:F45"/>
    <mergeCell ref="B47:F47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2025-04-30T14:04:41Z</cp:lastPrinted>
  <dcterms:created xsi:type="dcterms:W3CDTF">2013-03-19T12:54:14Z</dcterms:created>
  <dcterms:modified xsi:type="dcterms:W3CDTF">2025-04-30T14:04:47Z</dcterms:modified>
</cp:coreProperties>
</file>