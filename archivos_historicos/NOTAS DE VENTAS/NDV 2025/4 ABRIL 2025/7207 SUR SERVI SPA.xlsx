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F566D571-4085-492C-8066-80C5E39CB5A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CUBIERTA!$A$38:$F$63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4" l="1"/>
  <c r="H21" i="4"/>
  <c r="H24" i="4" s="1"/>
  <c r="B28" i="3"/>
  <c r="I22" i="3" s="1"/>
  <c r="C28" i="3"/>
  <c r="F14" i="3" s="1"/>
  <c r="D28" i="3"/>
  <c r="J14" i="3" s="1"/>
  <c r="D14" i="3" s="1"/>
  <c r="E28" i="3"/>
  <c r="K22" i="3" s="1"/>
  <c r="E22" i="3" s="1"/>
  <c r="F28" i="3"/>
  <c r="B50" i="3"/>
  <c r="C50" i="3"/>
  <c r="D50" i="3"/>
  <c r="E50" i="3"/>
  <c r="F50" i="3"/>
  <c r="J22" i="3" l="1"/>
  <c r="D22" i="3" s="1"/>
  <c r="K14" i="3"/>
  <c r="E14" i="3" s="1"/>
  <c r="B22" i="3"/>
  <c r="I14" i="3"/>
  <c r="B14" i="3" s="1"/>
  <c r="F22" i="3"/>
  <c r="H25" i="4" l="1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<sst xmlns="http://schemas.openxmlformats.org/spreadsheetml/2006/main" count="249" uniqueCount="147">
  <si>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</si>
  <si>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</si>
  <si>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</si>
  <si>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</si>
  <si>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</si>
  <si>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</si>
  <si>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</si>
  <si>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</si>
  <si>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</si>
  <si>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</si>
  <si>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</si>
  <si>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</si>
  <si>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</si>
  <si>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</si>
  <si>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</si>
  <si>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</si>
  <si>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</si>
  <si>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</si>
  <si>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</si>
  <si>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</si>
  <si>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</si>
  <si>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</si>
  <si>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</si>
  <si>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</si>
  <si>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</si>
  <si>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</si>
  <si>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</si>
  <si>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</si>
  <si>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</si>
  <si>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</si>
  <si>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</si>
  <si>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</si>
  <si>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</si>
  <si>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</si>
  <si>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</si>
  <si>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</si>
  <si>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</si>
  <si>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</si>
  <si>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</si>
  <si>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</si>
  <si>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</si>
  <si>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</si>
  <si>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</si>
  <si>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</si>
  <si>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</si>
  <si>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</si>
  <si>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</si>
  <si>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</si>
  <si>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</si>
  <si>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</si>
  <si>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</si>
  <si>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</si>
  <si>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</si>
  <si>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</si>
  <si>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</si>
  <si>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</si>
  <si>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</si>
  <si>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</si>
  <si>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</si>
  <si>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</si>
  <si>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</si>
  <si>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</si>
  <si>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</si>
  <si>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</si>
  <si>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</si>
  <si>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</si>
  <si>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</si>
  <si>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</si>
  <si>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</si>
  <si>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</si>
  <si>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</si>
  <si>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</si>
  <si>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</si>
  <si>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</si>
  <si>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</si>
  <si>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</si>
  <si>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</si>
  <si>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</si>
  <si>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</si>
  <si>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</si>
  <si>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</si>
  <si>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</si>
  <si>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</si>
  <si>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</si>
  <si>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</si>
  <si>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</si>
  <si>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</si>
  <si>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</si>
  <si>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</si>
  <si>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</si>
  <si>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</si>
  <si>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</si>
  <si>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</si>
  <si>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</si>
  <si>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</si>
  <si>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</si>
  <si>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</si>
  <si>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</si>
  <si>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</si>
  <si>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</si>
  <si>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</si>
  <si>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</si>
  <si>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</si>
  <si>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</si>
  <si>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</si>
  <si>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</si>
  <si>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</si>
  <si>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</si>
  <si>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</si>
  <si>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</si>
  <si>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</si>
  <si>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</si>
  <si>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</si>
  <si>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</si>
  <si>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</si>
  <si>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</si>
  <si>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</si>
  <si>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</si>
  <si>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</si>
  <si>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</si>
  <si>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</si>
  <si>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</si>
  <si>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</si>
  <si>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</si>
  <si>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</si>
  <si>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</si>
  <si>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</si>
  <si>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</si>
  <si>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</si>
  <si>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</si>
  <si>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</si>
  <si>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</si>
  <si>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</si>
  <si>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</si>
  <si>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MDF18MM</t>
  </si>
  <si>
    <t>MDF30MM</t>
  </si>
  <si>
    <t>"MUEBLES SANTA FE SPA." - RUT : 77.054.606-0, FRANCODONOSO@TOPMOBILI.CL</t>
  </si>
  <si>
    <t>N° 11410</t>
  </si>
  <si>
    <t>SUR SERVI SPA</t>
  </si>
  <si>
    <t>76.738.950-7</t>
  </si>
  <si>
    <t>FCA DE MUEBLES</t>
  </si>
  <si>
    <t>EDUARDO COLLAO</t>
  </si>
  <si>
    <t>569 8807 8074</t>
  </si>
  <si>
    <t>PEDRO MIRA 560 SAN MIGUEL</t>
  </si>
  <si>
    <t>CUB C/R R8</t>
  </si>
  <si>
    <t>NEGRO MERINO SF</t>
  </si>
  <si>
    <t>CORTAR RESPALDO A 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</si>
</sst>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3" borderId="0" xfId="0" quotePrefix="1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$ 52.541.-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 DE 10 CMS SOBRE LA BASE.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FRENTE DE 48MM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19050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RESPALDO A 88MM , FRENTE DE 48MM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workbookViewId="0">
      <selection activeCell="I22" sqref="I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10937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>
        <v>7207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128</v>
      </c>
      <c r="C10" s="86" t="s">
        <v>138</v>
      </c>
      <c r="D10" s="55"/>
      <c r="E10" s="55"/>
      <c r="F10" s="56" t="s">
        <v>28</v>
      </c>
      <c r="G10" s="57">
        <v>45775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139</v>
      </c>
      <c r="D11" s="60"/>
      <c r="E11" s="60"/>
      <c r="F11" s="60" t="s">
        <v>123</v>
      </c>
      <c r="G11" s="61">
        <v>45776</v>
      </c>
      <c r="H11" s="62"/>
      <c r="I11" s="1"/>
    </row>
    <row r="12" spans="1:17" ht="16.2" thickBot="1" x14ac:dyDescent="0.35">
      <c r="A12" s="1"/>
      <c r="B12" s="63" t="s">
        <v>129</v>
      </c>
      <c r="C12" t="s">
        <v>140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131</v>
      </c>
      <c r="C13" s="86" t="s">
        <v>141</v>
      </c>
      <c r="D13" s="43"/>
      <c r="E13" s="43"/>
      <c r="F13" s="43" t="s">
        <v>127</v>
      </c>
      <c r="G13" s="64"/>
      <c r="H13" s="65"/>
      <c r="I13" s="1"/>
    </row>
    <row r="14" spans="1:17" ht="15.6" x14ac:dyDescent="0.3">
      <c r="A14" s="1"/>
      <c r="B14" s="59" t="s">
        <v>17</v>
      </c>
      <c r="C14" s="111" t="s">
        <v>142</v>
      </c>
      <c r="D14" s="66"/>
      <c r="E14" s="60"/>
      <c r="F14" s="60" t="s">
        <v>29</v>
      </c>
      <c r="G14" s="60" t="s">
        <v>132</v>
      </c>
      <c r="H14" s="62"/>
      <c r="I14" s="1"/>
    </row>
    <row r="15" spans="1:17" ht="15.6" x14ac:dyDescent="0.3">
      <c r="A15" s="1"/>
      <c r="B15" s="63" t="s">
        <v>1</v>
      </c>
      <c r="C15" s="98" t="s">
        <v>143</v>
      </c>
      <c r="D15" s="43"/>
      <c r="E15" s="43"/>
      <c r="F15" s="67" t="s">
        <v>75</v>
      </c>
      <c r="G15" s="67" t="s">
        <v>133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130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1</v>
      </c>
      <c r="C21" s="102" t="s">
        <v>144</v>
      </c>
      <c r="D21" s="108">
        <v>1980</v>
      </c>
      <c r="E21" s="108">
        <v>610</v>
      </c>
      <c r="F21" s="102" t="s">
        <v>145</v>
      </c>
      <c r="G21" s="103">
        <v>105083</v>
      </c>
      <c r="H21" s="103">
        <f>G21*B21</f>
        <v>105083</v>
      </c>
      <c r="I21" s="1"/>
      <c r="K21" s="17">
        <v>74500</v>
      </c>
      <c r="L21" s="26"/>
      <c r="M21" s="17"/>
      <c r="N21" s="17"/>
      <c r="O21" s="26"/>
      <c r="P21" s="33"/>
    </row>
    <row r="22" spans="1:16" ht="18" customHeight="1" x14ac:dyDescent="0.3">
      <c r="A22" s="1"/>
      <c r="B22" s="104"/>
      <c r="C22" s="104"/>
      <c r="D22" s="105"/>
      <c r="E22" s="105"/>
      <c r="F22" s="104"/>
      <c r="G22" s="75"/>
      <c r="H22" s="75"/>
      <c r="I22" s="1"/>
      <c r="K22">
        <f>K21/1.19</f>
        <v>62605.042016806728</v>
      </c>
    </row>
    <row r="23" spans="1:16" ht="18" customHeight="1" thickBot="1" x14ac:dyDescent="0.35">
      <c r="A23" s="1"/>
      <c r="B23" s="104"/>
      <c r="C23" s="104"/>
      <c r="D23" s="105"/>
      <c r="E23" s="105"/>
      <c r="F23" s="104"/>
      <c r="G23" s="106"/>
      <c r="H23" s="107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SUM(H21:H21)</f>
        <v>105083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19965.77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125048.77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7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122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136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abSelected="1" topLeftCell="A38" zoomScaleNormal="100" workbookViewId="0">
      <selection activeCell="I54" sqref="I5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7207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SUR SERVI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45776</v>
      </c>
      <c r="E7" s="1"/>
      <c r="F7" s="1"/>
      <c r="G7" s="1"/>
    </row>
    <row r="8" spans="1:14" ht="15.6" x14ac:dyDescent="0.3">
      <c r="A8" s="1"/>
      <c r="B8" s="1"/>
      <c r="C8" s="53" t="s">
        <v>124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135</v>
      </c>
      <c r="B14" s="25">
        <f t="shared" ref="B14" si="0">I14</f>
        <v>1</v>
      </c>
      <c r="C14" s="25" t="s">
        <v>146</v>
      </c>
      <c r="D14" s="25">
        <f t="shared" ref="D14" si="1">J14+D$13</f>
        <v>2060</v>
      </c>
      <c r="E14" s="35">
        <f>K14+E$13</f>
        <v>580</v>
      </c>
      <c r="F14" s="100" t="str">
        <f>C28</f>
        <v>CUB C/R R8</v>
      </c>
      <c r="G14" s="1"/>
      <c r="I14" s="3">
        <f>I22</f>
        <v>1</v>
      </c>
      <c r="J14" s="4">
        <f>D28</f>
        <v>1980</v>
      </c>
      <c r="K14" s="4">
        <f>E28</f>
        <v>610</v>
      </c>
    </row>
    <row r="15" spans="1:14" ht="15.6" x14ac:dyDescent="0.3">
      <c r="A15" s="96"/>
      <c r="B15" s="6"/>
      <c r="C15" s="6"/>
      <c r="D15" s="6"/>
      <c r="E15" s="89"/>
      <c r="F15" s="110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2">I22</f>
        <v>1</v>
      </c>
      <c r="C22" s="16"/>
      <c r="D22" s="16">
        <f>J22+D$21</f>
        <v>2020</v>
      </c>
      <c r="E22" s="16">
        <f>K22+E$21</f>
        <v>770</v>
      </c>
      <c r="F22" s="101" t="str">
        <f>C28</f>
        <v>CUB C/R R8</v>
      </c>
      <c r="G22" s="1"/>
      <c r="I22" s="3">
        <f>B28</f>
        <v>1</v>
      </c>
      <c r="J22" s="4">
        <f t="shared" ref="J22:K22" si="3">D28</f>
        <v>1980</v>
      </c>
      <c r="K22" s="4">
        <f t="shared" si="3"/>
        <v>610</v>
      </c>
    </row>
    <row r="23" spans="1:11" ht="15.6" x14ac:dyDescent="0.3">
      <c r="A23" s="96"/>
      <c r="B23" s="6"/>
      <c r="C23" s="6"/>
      <c r="D23" s="6"/>
      <c r="E23" s="6"/>
      <c r="F23" s="110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134</v>
      </c>
      <c r="B28" s="25">
        <f>'4637'!B21</f>
        <v>1</v>
      </c>
      <c r="C28" s="100" t="str">
        <f>'4637'!C21</f>
        <v>CUB C/R R8</v>
      </c>
      <c r="D28" s="25">
        <f>'4637'!D21</f>
        <v>1980</v>
      </c>
      <c r="E28" s="25">
        <f>'4637'!E21</f>
        <v>610</v>
      </c>
      <c r="F28" s="25" t="str">
        <f>'4637'!F21</f>
        <v>NEGRO MERINO SF</v>
      </c>
      <c r="G28" s="1"/>
    </row>
    <row r="29" spans="1:11" ht="15.6" x14ac:dyDescent="0.3">
      <c r="A29" s="96"/>
      <c r="B29" s="6"/>
      <c r="C29" s="110"/>
      <c r="D29" s="6"/>
      <c r="E29" s="6"/>
      <c r="F29" s="6"/>
      <c r="G29" s="1"/>
    </row>
    <row r="30" spans="1:11" ht="15.6" x14ac:dyDescent="0.3">
      <c r="A30" s="52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7207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SUR SERVI SPA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45776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0" t="s">
        <v>68</v>
      </c>
      <c r="B46" s="120"/>
      <c r="C46" s="120"/>
      <c r="D46" s="120"/>
      <c r="E46" s="120"/>
      <c r="F46" s="120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1" t="s">
        <v>69</v>
      </c>
      <c r="C48" s="122"/>
      <c r="D48" s="123"/>
      <c r="E48" s="123"/>
      <c r="F48" s="124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 t="s">
        <v>134</v>
      </c>
      <c r="B50" s="38">
        <f>'4637'!B21</f>
        <v>1</v>
      </c>
      <c r="C50" s="99" t="str">
        <f>'4637'!C21</f>
        <v>CUB C/R R8</v>
      </c>
      <c r="D50" s="39">
        <f>'4637'!D21</f>
        <v>1980</v>
      </c>
      <c r="E50" s="39">
        <f>'4637'!E21</f>
        <v>610</v>
      </c>
      <c r="F50" s="38" t="str">
        <f>'4637'!F21</f>
        <v>NEGRO MERINO SF</v>
      </c>
      <c r="G50" s="1"/>
    </row>
    <row r="51" spans="1:7" s="15" customFormat="1" ht="15" customHeight="1" x14ac:dyDescent="0.3">
      <c r="A51" s="96"/>
      <c r="B51" s="52"/>
      <c r="C51" s="109"/>
      <c r="D51" s="52"/>
      <c r="E51" s="52"/>
      <c r="F51" s="52"/>
      <c r="G51" s="1"/>
    </row>
    <row r="52" spans="1:7" s="15" customFormat="1" ht="15" customHeight="1" x14ac:dyDescent="0.3">
      <c r="A52" s="50"/>
      <c r="B52" s="52"/>
      <c r="C52" s="52"/>
      <c r="D52" s="52"/>
      <c r="E52" s="52"/>
      <c r="F52" s="52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2025-04-07T21:54:05Z</cp:lastPrinted>
  <dcterms:created xsi:type="dcterms:W3CDTF">2013-03-19T12:54:14Z</dcterms:created>
  <dcterms:modified xsi:type="dcterms:W3CDTF">2025-04-28T13:37:59Z</dcterms:modified>
</cp:coreProperties>
</file>