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E2EF6E68-465F-4AB5-A879-4C50B9122E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4" i="4"/>
  <c r="H25" i="4"/>
  <c r="H22" i="4"/>
  <c r="H28" i="4" l="1"/>
  <c r="B37" i="3"/>
  <c r="B28" i="3" s="1"/>
  <c r="C37" i="3"/>
  <c r="F28" i="3" s="1"/>
  <c r="D37" i="3"/>
  <c r="J28" i="3" s="1"/>
  <c r="D28" i="3" s="1"/>
  <c r="E37" i="3"/>
  <c r="K28" i="3" s="1"/>
  <c r="E28" i="3" s="1"/>
  <c r="F59" i="3"/>
  <c r="F35" i="3" s="1"/>
  <c r="F60" i="3"/>
  <c r="F36" i="3" s="1"/>
  <c r="F61" i="3"/>
  <c r="F37" i="3" s="1"/>
  <c r="F58" i="3"/>
  <c r="F34" i="3" s="1"/>
  <c r="B61" i="3"/>
  <c r="C61" i="3"/>
  <c r="D61" i="3"/>
  <c r="E61" i="3"/>
  <c r="I17" i="3" l="1"/>
  <c r="B17" i="3" s="1"/>
  <c r="F17" i="3"/>
  <c r="K17" i="3"/>
  <c r="E17" i="3" s="1"/>
  <c r="J17" i="3"/>
  <c r="D17" i="3" s="1"/>
  <c r="B35" i="3"/>
  <c r="B26" i="3" s="1"/>
  <c r="C35" i="3"/>
  <c r="F26" i="3" s="1"/>
  <c r="D35" i="3"/>
  <c r="J26" i="3" s="1"/>
  <c r="D26" i="3" s="1"/>
  <c r="E35" i="3"/>
  <c r="K26" i="3" s="1"/>
  <c r="E26" i="3" s="1"/>
  <c r="B36" i="3"/>
  <c r="B27" i="3" s="1"/>
  <c r="C36" i="3"/>
  <c r="F27" i="3" s="1"/>
  <c r="D36" i="3"/>
  <c r="J27" i="3" s="1"/>
  <c r="D27" i="3" s="1"/>
  <c r="E36" i="3"/>
  <c r="K27" i="3" s="1"/>
  <c r="E27" i="3" s="1"/>
  <c r="B59" i="3"/>
  <c r="C59" i="3"/>
  <c r="D59" i="3"/>
  <c r="E59" i="3"/>
  <c r="B60" i="3"/>
  <c r="C60" i="3"/>
  <c r="D60" i="3"/>
  <c r="E60" i="3"/>
  <c r="B34" i="3"/>
  <c r="C34" i="3"/>
  <c r="F14" i="3" s="1"/>
  <c r="D34" i="3"/>
  <c r="J14" i="3" s="1"/>
  <c r="D14" i="3" s="1"/>
  <c r="E34" i="3"/>
  <c r="K25" i="3" s="1"/>
  <c r="E25" i="3" s="1"/>
  <c r="B58" i="3"/>
  <c r="C58" i="3"/>
  <c r="D58" i="3"/>
  <c r="E58" i="3"/>
  <c r="K16" i="3" l="1"/>
  <c r="E16" i="3" s="1"/>
  <c r="K15" i="3"/>
  <c r="E15" i="3" s="1"/>
  <c r="F15" i="3"/>
  <c r="J16" i="3"/>
  <c r="D16" i="3" s="1"/>
  <c r="J15" i="3"/>
  <c r="D15" i="3" s="1"/>
  <c r="F16" i="3"/>
  <c r="I16" i="3"/>
  <c r="B16" i="3" s="1"/>
  <c r="I15" i="3"/>
  <c r="B15" i="3" s="1"/>
  <c r="J25" i="3"/>
  <c r="D25" i="3" s="1"/>
  <c r="K14" i="3"/>
  <c r="E14" i="3" s="1"/>
  <c r="B25" i="3"/>
  <c r="I14" i="3"/>
  <c r="B14" i="3" s="1"/>
  <c r="F25" i="3"/>
  <c r="H29" i="4" l="1"/>
  <c r="H30" i="4" l="1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<sst xmlns="http://schemas.openxmlformats.org/spreadsheetml/2006/main" count="257" uniqueCount="150">
  <si>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</si>
  <si>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</si>
  <si>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</si>
  <si>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</si>
  <si>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</si>
  <si>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</si>
  <si>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</si>
  <si>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</si>
  <si>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</si>
  <si>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</si>
  <si>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</si>
  <si>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</si>
  <si>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</si>
  <si>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</si>
  <si>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</si>
  <si>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</si>
  <si>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</si>
  <si>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</si>
  <si>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</si>
  <si>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</si>
  <si>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</si>
  <si>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</si>
  <si>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</si>
  <si>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</si>
  <si>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</si>
  <si>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</si>
  <si>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</si>
  <si>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</si>
  <si>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</si>
  <si>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</si>
  <si>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</si>
  <si>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</si>
  <si>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</si>
  <si>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</si>
  <si>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</si>
  <si>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</si>
  <si>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</si>
  <si>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</si>
  <si>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</si>
  <si>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</si>
  <si>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</si>
  <si>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</si>
  <si>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</si>
  <si>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</si>
  <si>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</si>
  <si>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</si>
  <si>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</si>
  <si>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</si>
  <si>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</si>
  <si>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</si>
  <si>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</si>
  <si>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</si>
  <si>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</si>
  <si>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</si>
  <si>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</si>
  <si>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</si>
  <si>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</si>
  <si>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</si>
  <si>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</si>
  <si>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</si>
  <si>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</si>
  <si>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</si>
  <si>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</si>
  <si>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</si>
  <si>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</si>
  <si>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</si>
  <si>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</si>
  <si>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</si>
  <si>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</si>
  <si>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</si>
  <si>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</si>
  <si>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</si>
  <si>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</si>
  <si>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</si>
  <si>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</si>
  <si>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</si>
  <si>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</si>
  <si>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</si>
  <si>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</si>
  <si>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</si>
  <si>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</si>
  <si>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</si>
  <si>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</si>
  <si>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</si>
  <si>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</si>
  <si>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</si>
  <si>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</si>
  <si>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</si>
  <si>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</si>
  <si>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</si>
  <si>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</si>
  <si>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</si>
  <si>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</si>
  <si>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</si>
  <si>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</si>
  <si>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</si>
  <si>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</si>
  <si>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</si>
  <si>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</si>
  <si>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</si>
  <si>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</si>
  <si>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</si>
  <si>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</si>
  <si>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</si>
  <si>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</si>
  <si>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</si>
  <si>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</si>
  <si>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</si>
  <si>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</si>
  <si>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</si>
  <si>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</si>
  <si>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</si>
  <si>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</si>
  <si>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</si>
  <si>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</si>
  <si>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</si>
  <si>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</si>
  <si>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</si>
  <si>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</si>
  <si>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</si>
  <si>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</si>
  <si>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</si>
  <si>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</si>
  <si>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</si>
  <si>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</si>
  <si>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</si>
  <si>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</si>
  <si>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</si>
  <si>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</si>
  <si>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</si>
  <si>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</si>
  <si>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</si>
  <si>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</si>
  <si>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</si>
  <si>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</si>
  <si>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</si>
  <si>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N° 11397</t>
  </si>
  <si>
    <t>CONSTRUCCIONES VIENTOS DEL SUR LTDA.</t>
  </si>
  <si>
    <t>77.396.090-9</t>
  </si>
  <si>
    <t>CONSTRUCCION</t>
  </si>
  <si>
    <t>RICARDO VIDAL</t>
  </si>
  <si>
    <t>CVS.LTDA@HOTMAIL.COM</t>
  </si>
  <si>
    <t>+569 37274807</t>
  </si>
  <si>
    <t>PJE. JULIO MONTT 65698 LA CISTERNA</t>
  </si>
  <si>
    <t>CORREO:</t>
  </si>
  <si>
    <t>BLANCO MERINO 22191 SF</t>
  </si>
  <si>
    <t>CUB S/R R8 FALDON 5 CMS</t>
  </si>
  <si>
    <t xml:space="preserve">RESPALDO </t>
  </si>
  <si>
    <t>E/R 2 CARAS MDF 36MM</t>
  </si>
  <si>
    <t>7205R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</si>
</sst>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3" borderId="0" xfId="0" quotePrefix="1" applyFont="1" applyFill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0" fillId="3" borderId="0" xfId="0" quotePrefix="1" applyFill="1"/>
    <xf numFmtId="0" fontId="6" fillId="0" borderId="0" xfId="2"/>
    <xf numFmtId="0" fontId="19" fillId="3" borderId="9" xfId="2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$ 200.000.- + $ 719.014.-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CON TAPACANTO PVC 2MM BLANCO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INSTALAR VAN ENCHAPADOS CON TAPACANTO PVC DE 2MM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41910</xdr:rowOff>
    </xdr:from>
    <xdr:to>
      <xdr:col>1</xdr:col>
      <xdr:colOff>801763</xdr:colOff>
      <xdr:row>52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VS.LTDA@HOT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12" workbookViewId="0">
      <selection activeCell="K12" sqref="K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10937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 t="s">
        <v>149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45792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138</v>
      </c>
      <c r="D11" s="60"/>
      <c r="E11" s="60"/>
      <c r="F11" s="60" t="s">
        <v>124</v>
      </c>
      <c r="G11" s="61">
        <v>45771</v>
      </c>
      <c r="H11" s="62"/>
      <c r="I11" s="1"/>
    </row>
    <row r="12" spans="1:17" ht="16.8" x14ac:dyDescent="0.4">
      <c r="A12" s="1"/>
      <c r="B12" s="63" t="s">
        <v>130</v>
      </c>
      <c r="C12" s="112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13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144</v>
      </c>
      <c r="C14" s="114" t="s">
        <v>141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9" t="s">
        <v>142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11" t="s">
        <v>143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15" t="s">
        <v>131</v>
      </c>
      <c r="D17" s="69"/>
      <c r="E17" s="70"/>
      <c r="F17" s="116" t="s">
        <v>18</v>
      </c>
      <c r="G17" s="116"/>
      <c r="H17" s="117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8" t="s">
        <v>19</v>
      </c>
      <c r="C20" s="119"/>
      <c r="D20" s="119"/>
      <c r="E20" s="119"/>
      <c r="F20" s="119"/>
      <c r="G20" s="119"/>
      <c r="H20" s="120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1">
        <v>1</v>
      </c>
      <c r="C22" s="101" t="s">
        <v>146</v>
      </c>
      <c r="D22" s="107">
        <v>2380</v>
      </c>
      <c r="E22" s="107">
        <v>400</v>
      </c>
      <c r="F22" s="101" t="s">
        <v>145</v>
      </c>
      <c r="G22" s="102">
        <v>23887</v>
      </c>
      <c r="H22" s="102">
        <f>G22*B22</f>
        <v>23887</v>
      </c>
      <c r="K22" s="17">
        <v>74500</v>
      </c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1" t="s">
        <v>147</v>
      </c>
      <c r="D23" s="107">
        <v>2380</v>
      </c>
      <c r="E23" s="107">
        <v>100</v>
      </c>
      <c r="F23" s="101" t="s">
        <v>145</v>
      </c>
      <c r="G23" s="102">
        <v>57183</v>
      </c>
      <c r="H23" s="102">
        <f t="shared" ref="H23:H25" si="0">G23*B23</f>
        <v>57183</v>
      </c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1</v>
      </c>
      <c r="C24" s="101" t="s">
        <v>147</v>
      </c>
      <c r="D24" s="107">
        <v>1700</v>
      </c>
      <c r="E24" s="107">
        <v>100</v>
      </c>
      <c r="F24" s="101" t="s">
        <v>145</v>
      </c>
      <c r="G24" s="102">
        <v>27673</v>
      </c>
      <c r="H24" s="102">
        <f t="shared" si="0"/>
        <v>27673</v>
      </c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>
        <v>1</v>
      </c>
      <c r="C25" s="101" t="s">
        <v>148</v>
      </c>
      <c r="D25" s="107">
        <v>1370</v>
      </c>
      <c r="E25" s="107">
        <v>900</v>
      </c>
      <c r="F25" s="101" t="s">
        <v>145</v>
      </c>
      <c r="G25" s="102">
        <v>54511</v>
      </c>
      <c r="H25" s="102">
        <f t="shared" si="0"/>
        <v>54511</v>
      </c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3"/>
      <c r="C26" s="103"/>
      <c r="D26" s="110"/>
      <c r="E26" s="110"/>
      <c r="F26" s="103"/>
      <c r="G26" s="75"/>
      <c r="H26" s="75"/>
      <c r="I26" s="1"/>
      <c r="K26" s="17"/>
      <c r="L26" s="26"/>
      <c r="M26" s="17"/>
      <c r="N26" s="17"/>
      <c r="O26" s="26"/>
      <c r="P26" s="33"/>
    </row>
    <row r="27" spans="1:16" ht="18" customHeight="1" thickBot="1" x14ac:dyDescent="0.35">
      <c r="A27" s="1"/>
      <c r="B27" s="103"/>
      <c r="C27" s="103"/>
      <c r="D27" s="104"/>
      <c r="E27" s="104"/>
      <c r="F27" s="103"/>
      <c r="G27" s="105"/>
      <c r="H27" s="106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SUM(H22:H27)</f>
        <v>163254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31018.260000000002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194272.26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7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7:H17"/>
    <mergeCell ref="B20:H20"/>
  </mergeCells>
  <phoneticPr fontId="10" type="noConversion"/>
  <hyperlinks>
    <hyperlink ref="E35" r:id="rId1" xr:uid="{00000000-0004-0000-0000-000000000000}"/>
    <hyperlink ref="C14" r:id="rId2" xr:uid="{9A34D27F-E169-48FF-AC45-169123F5E277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tabSelected="1" zoomScaleNormal="100" workbookViewId="0">
      <selection sqref="A1:F4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 t="str">
        <f>'4637'!G8</f>
        <v>7205R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CONSTRUCCIONES VIENTOS DEL SUR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45771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1</v>
      </c>
      <c r="C14" s="25"/>
      <c r="D14" s="25">
        <f t="shared" ref="D14" si="1">J14+D$13</f>
        <v>2400</v>
      </c>
      <c r="E14" s="35">
        <f>K14+E$13</f>
        <v>420</v>
      </c>
      <c r="F14" s="99" t="str">
        <f>C34</f>
        <v>CUB S/R R8 FALDON 5 CMS</v>
      </c>
      <c r="G14" s="1"/>
      <c r="I14" s="3">
        <f t="shared" ref="I14:I17" si="2">I25</f>
        <v>1</v>
      </c>
      <c r="J14" s="4">
        <f>D34</f>
        <v>2380</v>
      </c>
      <c r="K14" s="4">
        <f>E34</f>
        <v>400</v>
      </c>
    </row>
    <row r="15" spans="1:14" ht="15.6" x14ac:dyDescent="0.3">
      <c r="A15" s="96"/>
      <c r="B15" s="25">
        <f t="shared" ref="B15:B16" si="3">I15</f>
        <v>1</v>
      </c>
      <c r="C15" s="25"/>
      <c r="D15" s="25">
        <f t="shared" ref="D15:D16" si="4">J15+D$13</f>
        <v>2400</v>
      </c>
      <c r="E15" s="35">
        <f t="shared" ref="E15:E16" si="5">K15+E$13</f>
        <v>120</v>
      </c>
      <c r="F15" s="99" t="str">
        <f t="shared" ref="F15:F16" si="6">C35</f>
        <v xml:space="preserve">RESPALDO </v>
      </c>
      <c r="G15" s="1"/>
      <c r="I15" s="3">
        <f t="shared" si="2"/>
        <v>1</v>
      </c>
      <c r="J15" s="4">
        <f t="shared" ref="J15:K15" si="7">D35</f>
        <v>2380</v>
      </c>
      <c r="K15" s="4">
        <f t="shared" si="7"/>
        <v>100</v>
      </c>
    </row>
    <row r="16" spans="1:14" ht="15.6" x14ac:dyDescent="0.3">
      <c r="A16" s="96"/>
      <c r="B16" s="25">
        <f t="shared" si="3"/>
        <v>1</v>
      </c>
      <c r="C16" s="25"/>
      <c r="D16" s="25">
        <f t="shared" si="4"/>
        <v>1720</v>
      </c>
      <c r="E16" s="35">
        <f t="shared" si="5"/>
        <v>120</v>
      </c>
      <c r="F16" s="99" t="str">
        <f t="shared" si="6"/>
        <v xml:space="preserve">RESPALDO </v>
      </c>
      <c r="G16" s="1"/>
      <c r="I16" s="3">
        <f t="shared" si="2"/>
        <v>1</v>
      </c>
      <c r="J16" s="4">
        <f t="shared" ref="J16:K16" si="8">D36</f>
        <v>1700</v>
      </c>
      <c r="K16" s="4">
        <f t="shared" si="8"/>
        <v>100</v>
      </c>
    </row>
    <row r="17" spans="1:11" ht="15.6" x14ac:dyDescent="0.3">
      <c r="A17" s="96"/>
      <c r="B17" s="25">
        <f t="shared" ref="B17" si="9">I17</f>
        <v>2</v>
      </c>
      <c r="C17" s="25"/>
      <c r="D17" s="25">
        <f t="shared" ref="D17" si="10">J17+D$13</f>
        <v>1390</v>
      </c>
      <c r="E17" s="35">
        <f t="shared" ref="E17" si="11">K17+E$13</f>
        <v>920</v>
      </c>
      <c r="F17" s="99" t="str">
        <f t="shared" ref="F17" si="12">C37</f>
        <v>E/R 2 CARAS MDF 36MM</v>
      </c>
      <c r="G17" s="1"/>
      <c r="I17" s="3">
        <f t="shared" si="2"/>
        <v>2</v>
      </c>
      <c r="J17" s="4">
        <f t="shared" ref="J17" si="13">D37</f>
        <v>1370</v>
      </c>
      <c r="K17" s="4">
        <f t="shared" ref="K17" si="14">E37</f>
        <v>900</v>
      </c>
    </row>
    <row r="18" spans="1:11" ht="15.6" x14ac:dyDescent="0.3">
      <c r="A18" s="96"/>
      <c r="B18" s="6"/>
      <c r="C18" s="6"/>
      <c r="D18" s="6"/>
      <c r="E18" s="89"/>
      <c r="F18" s="108"/>
      <c r="G18" s="1"/>
      <c r="I18" s="90"/>
      <c r="J18" s="2"/>
      <c r="K18" s="2"/>
    </row>
    <row r="19" spans="1:11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24" t="s">
        <v>14</v>
      </c>
      <c r="B21" s="124"/>
      <c r="C21" s="124"/>
      <c r="D21" s="124"/>
      <c r="E21" s="124"/>
      <c r="F21" s="124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20</v>
      </c>
      <c r="E24" s="21">
        <v>20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6"/>
      <c r="B25" s="16">
        <f t="shared" ref="B25" si="15">I25</f>
        <v>1</v>
      </c>
      <c r="C25" s="16"/>
      <c r="D25" s="16">
        <f>J25+D$24</f>
        <v>2400</v>
      </c>
      <c r="E25" s="16">
        <f>K25+E$24</f>
        <v>420</v>
      </c>
      <c r="F25" s="100" t="str">
        <f>C34</f>
        <v>CUB S/R R8 FALDON 5 CMS</v>
      </c>
      <c r="G25" s="1"/>
      <c r="I25" s="3">
        <v>1</v>
      </c>
      <c r="J25" s="4">
        <f t="shared" ref="J25:K25" si="16">D34</f>
        <v>2380</v>
      </c>
      <c r="K25" s="4">
        <f t="shared" si="16"/>
        <v>400</v>
      </c>
    </row>
    <row r="26" spans="1:11" ht="15.6" x14ac:dyDescent="0.3">
      <c r="A26" s="96"/>
      <c r="B26" s="16">
        <f t="shared" ref="B26:B27" si="17">I26</f>
        <v>1</v>
      </c>
      <c r="C26" s="16"/>
      <c r="D26" s="16">
        <f t="shared" ref="D26:D27" si="18">J26+D$24</f>
        <v>2400</v>
      </c>
      <c r="E26" s="16">
        <f t="shared" ref="E26:E27" si="19">K26+E$24</f>
        <v>120</v>
      </c>
      <c r="F26" s="100" t="str">
        <f t="shared" ref="F26:F27" si="20">C35</f>
        <v xml:space="preserve">RESPALDO </v>
      </c>
      <c r="G26" s="1"/>
      <c r="I26" s="3">
        <v>1</v>
      </c>
      <c r="J26" s="4">
        <f t="shared" ref="J26:J27" si="21">D35</f>
        <v>2380</v>
      </c>
      <c r="K26" s="4">
        <f t="shared" ref="K26:K27" si="22">E35</f>
        <v>100</v>
      </c>
    </row>
    <row r="27" spans="1:11" ht="15.6" x14ac:dyDescent="0.3">
      <c r="A27" s="96"/>
      <c r="B27" s="16">
        <f t="shared" si="17"/>
        <v>1</v>
      </c>
      <c r="C27" s="16"/>
      <c r="D27" s="16">
        <f t="shared" si="18"/>
        <v>1720</v>
      </c>
      <c r="E27" s="16">
        <f t="shared" si="19"/>
        <v>120</v>
      </c>
      <c r="F27" s="100" t="str">
        <f t="shared" si="20"/>
        <v xml:space="preserve">RESPALDO </v>
      </c>
      <c r="G27" s="1"/>
      <c r="I27" s="3">
        <v>1</v>
      </c>
      <c r="J27" s="4">
        <f t="shared" si="21"/>
        <v>1700</v>
      </c>
      <c r="K27" s="4">
        <f t="shared" si="22"/>
        <v>100</v>
      </c>
    </row>
    <row r="28" spans="1:11" ht="15.6" x14ac:dyDescent="0.3">
      <c r="A28" s="96"/>
      <c r="B28" s="16">
        <f t="shared" ref="B28" si="23">I28</f>
        <v>2</v>
      </c>
      <c r="C28" s="16"/>
      <c r="D28" s="16">
        <f>J28+D$24</f>
        <v>1390</v>
      </c>
      <c r="E28" s="16">
        <f>K28+E$24</f>
        <v>920</v>
      </c>
      <c r="F28" s="100" t="str">
        <f t="shared" ref="F28" si="24">C37</f>
        <v>E/R 2 CARAS MDF 36MM</v>
      </c>
      <c r="G28" s="1"/>
      <c r="I28" s="3">
        <v>2</v>
      </c>
      <c r="J28" s="4">
        <f t="shared" ref="J28" si="25">D37</f>
        <v>1370</v>
      </c>
      <c r="K28" s="4">
        <f t="shared" ref="K28" si="26">E37</f>
        <v>900</v>
      </c>
    </row>
    <row r="29" spans="1:11" ht="15.6" x14ac:dyDescent="0.3">
      <c r="A29" s="96"/>
      <c r="B29" s="6"/>
      <c r="C29" s="6"/>
      <c r="D29" s="6"/>
      <c r="E29" s="6"/>
      <c r="F29" s="108"/>
      <c r="G29" s="1"/>
      <c r="I29" s="90"/>
      <c r="J29" s="2"/>
      <c r="K29" s="2"/>
    </row>
    <row r="30" spans="1:11" ht="16.2" thickBot="1" x14ac:dyDescent="0.35">
      <c r="A30" s="52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2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2" t="s">
        <v>9</v>
      </c>
      <c r="B33" s="88" t="s">
        <v>10</v>
      </c>
      <c r="C33" s="88" t="s">
        <v>110</v>
      </c>
      <c r="D33" s="88" t="s">
        <v>7</v>
      </c>
      <c r="E33" s="88" t="s">
        <v>8</v>
      </c>
      <c r="F33" s="88" t="s">
        <v>23</v>
      </c>
      <c r="G33" s="1"/>
    </row>
    <row r="34" spans="1:7" ht="15.6" x14ac:dyDescent="0.3">
      <c r="A34" s="96" t="s">
        <v>135</v>
      </c>
      <c r="B34" s="25">
        <f>'4637'!B22</f>
        <v>1</v>
      </c>
      <c r="C34" s="99" t="str">
        <f>'4637'!C22</f>
        <v>CUB S/R R8 FALDON 5 CMS</v>
      </c>
      <c r="D34" s="25">
        <f>'4637'!D22</f>
        <v>2380</v>
      </c>
      <c r="E34" s="25">
        <f>'4637'!E22</f>
        <v>400</v>
      </c>
      <c r="F34" s="25" t="str">
        <f t="shared" ref="F34:F37" si="27">F58</f>
        <v>BLANCO MERINO 22191 SF</v>
      </c>
      <c r="G34" s="1"/>
    </row>
    <row r="35" spans="1:7" ht="15.6" x14ac:dyDescent="0.3">
      <c r="A35" s="96"/>
      <c r="B35" s="25">
        <f>'4637'!B23</f>
        <v>1</v>
      </c>
      <c r="C35" s="99" t="str">
        <f>'4637'!C23</f>
        <v xml:space="preserve">RESPALDO </v>
      </c>
      <c r="D35" s="25">
        <f>'4637'!D23</f>
        <v>2380</v>
      </c>
      <c r="E35" s="25">
        <f>'4637'!E23</f>
        <v>100</v>
      </c>
      <c r="F35" s="25" t="str">
        <f t="shared" si="27"/>
        <v>BLANCO MERINO 22191 SF</v>
      </c>
      <c r="G35" s="1"/>
    </row>
    <row r="36" spans="1:7" ht="15.6" x14ac:dyDescent="0.3">
      <c r="A36" s="96"/>
      <c r="B36" s="25">
        <f>'4637'!B24</f>
        <v>1</v>
      </c>
      <c r="C36" s="99" t="str">
        <f>'4637'!C24</f>
        <v xml:space="preserve">RESPALDO </v>
      </c>
      <c r="D36" s="25">
        <f>'4637'!D24</f>
        <v>1700</v>
      </c>
      <c r="E36" s="25">
        <f>'4637'!E24</f>
        <v>100</v>
      </c>
      <c r="F36" s="25" t="str">
        <f t="shared" si="27"/>
        <v>BLANCO MERINO 22191 SF</v>
      </c>
      <c r="G36" s="1"/>
    </row>
    <row r="37" spans="1:7" ht="15.6" x14ac:dyDescent="0.3">
      <c r="A37" s="96"/>
      <c r="B37" s="25">
        <f>'4637'!B25</f>
        <v>1</v>
      </c>
      <c r="C37" s="99" t="str">
        <f>'4637'!C25</f>
        <v>E/R 2 CARAS MDF 36MM</v>
      </c>
      <c r="D37" s="25">
        <f>'4637'!D25</f>
        <v>1370</v>
      </c>
      <c r="E37" s="25">
        <f>'4637'!E25</f>
        <v>900</v>
      </c>
      <c r="F37" s="25" t="str">
        <f t="shared" si="27"/>
        <v>BLANCO MERINO 22191 SF</v>
      </c>
      <c r="G37" s="1"/>
    </row>
    <row r="38" spans="1:7" ht="15.6" x14ac:dyDescent="0.3">
      <c r="A38" s="52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40" t="s">
        <v>27</v>
      </c>
      <c r="D48" s="14" t="str">
        <f>'4637'!G8</f>
        <v>7205R</v>
      </c>
      <c r="E48" s="1"/>
      <c r="F48" s="1"/>
      <c r="G48" s="1"/>
    </row>
    <row r="49" spans="1:7" ht="17.25" customHeight="1" x14ac:dyDescent="0.3">
      <c r="A49" s="1"/>
      <c r="B49" s="1"/>
      <c r="C49" s="41" t="s">
        <v>67</v>
      </c>
      <c r="D49" s="42" t="str">
        <f>'4637'!C10</f>
        <v>CONSTRUCCIONES VIENTOS DEL SUR LTDA.</v>
      </c>
      <c r="E49" s="43"/>
      <c r="F49" s="43"/>
      <c r="G49" s="1"/>
    </row>
    <row r="50" spans="1:7" ht="4.5" customHeight="1" x14ac:dyDescent="0.3">
      <c r="A50" s="1"/>
      <c r="B50" s="1"/>
      <c r="C50" s="44"/>
      <c r="D50" s="45"/>
      <c r="E50" s="1"/>
      <c r="F50" s="1"/>
      <c r="G50" s="1"/>
    </row>
    <row r="51" spans="1:7" ht="15.6" x14ac:dyDescent="0.3">
      <c r="A51" s="1"/>
      <c r="B51" s="1"/>
      <c r="C51" s="46" t="str">
        <f>'4637'!F11</f>
        <v>FECHA LIMITE :</v>
      </c>
      <c r="D51" s="13">
        <f>'4637'!G11</f>
        <v>45771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4" t="s">
        <v>68</v>
      </c>
      <c r="B54" s="124"/>
      <c r="C54" s="124"/>
      <c r="D54" s="124"/>
      <c r="E54" s="124"/>
      <c r="F54" s="124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5" t="s">
        <v>69</v>
      </c>
      <c r="C56" s="126"/>
      <c r="D56" s="127"/>
      <c r="E56" s="127"/>
      <c r="F56" s="128"/>
      <c r="G56" s="1"/>
    </row>
    <row r="57" spans="1:7" s="15" customFormat="1" ht="12.75" customHeight="1" x14ac:dyDescent="0.3">
      <c r="A57" s="1"/>
      <c r="B57" s="36" t="s">
        <v>10</v>
      </c>
      <c r="C57" s="47" t="s">
        <v>11</v>
      </c>
      <c r="D57" s="48" t="s">
        <v>7</v>
      </c>
      <c r="E57" s="48" t="s">
        <v>8</v>
      </c>
      <c r="F57" s="49" t="s">
        <v>12</v>
      </c>
      <c r="G57" s="1"/>
    </row>
    <row r="58" spans="1:7" s="15" customFormat="1" ht="15" customHeight="1" x14ac:dyDescent="0.3">
      <c r="A58" s="96" t="s">
        <v>135</v>
      </c>
      <c r="B58" s="38">
        <f>'4637'!B22</f>
        <v>1</v>
      </c>
      <c r="C58" s="98" t="str">
        <f>'4637'!C22</f>
        <v>CUB S/R R8 FALDON 5 CMS</v>
      </c>
      <c r="D58" s="39">
        <f>'4637'!D22</f>
        <v>2380</v>
      </c>
      <c r="E58" s="39">
        <f>'4637'!E22</f>
        <v>400</v>
      </c>
      <c r="F58" s="38" t="str">
        <f>'4637'!F22</f>
        <v>BLANCO MERINO 22191 SF</v>
      </c>
      <c r="G58" s="1"/>
    </row>
    <row r="59" spans="1:7" s="15" customFormat="1" ht="15" customHeight="1" x14ac:dyDescent="0.3">
      <c r="A59" s="96"/>
      <c r="B59" s="38">
        <f>'4637'!B23</f>
        <v>1</v>
      </c>
      <c r="C59" s="98" t="str">
        <f>'4637'!C23</f>
        <v xml:space="preserve">RESPALDO </v>
      </c>
      <c r="D59" s="39">
        <f>'4637'!D23</f>
        <v>2380</v>
      </c>
      <c r="E59" s="39">
        <f>'4637'!E23</f>
        <v>100</v>
      </c>
      <c r="F59" s="38" t="str">
        <f>'4637'!F23</f>
        <v>BLANCO MERINO 22191 SF</v>
      </c>
      <c r="G59" s="1"/>
    </row>
    <row r="60" spans="1:7" s="15" customFormat="1" ht="15" customHeight="1" x14ac:dyDescent="0.3">
      <c r="A60" s="96"/>
      <c r="B60" s="38">
        <f>'4637'!B24</f>
        <v>1</v>
      </c>
      <c r="C60" s="98" t="str">
        <f>'4637'!C24</f>
        <v xml:space="preserve">RESPALDO </v>
      </c>
      <c r="D60" s="39">
        <f>'4637'!D24</f>
        <v>1700</v>
      </c>
      <c r="E60" s="39">
        <f>'4637'!E24</f>
        <v>100</v>
      </c>
      <c r="F60" s="38" t="str">
        <f>'4637'!F24</f>
        <v>BLANCO MERINO 22191 SF</v>
      </c>
      <c r="G60" s="1"/>
    </row>
    <row r="61" spans="1:7" s="15" customFormat="1" ht="15" customHeight="1" x14ac:dyDescent="0.3">
      <c r="A61" s="96"/>
      <c r="B61" s="38">
        <f>'4637'!B25</f>
        <v>1</v>
      </c>
      <c r="C61" s="98" t="str">
        <f>'4637'!C25</f>
        <v>E/R 2 CARAS MDF 36MM</v>
      </c>
      <c r="D61" s="39">
        <f>'4637'!D25</f>
        <v>1370</v>
      </c>
      <c r="E61" s="39">
        <f>'4637'!E25</f>
        <v>900</v>
      </c>
      <c r="F61" s="38" t="str">
        <f>'4637'!F25</f>
        <v>BLANCO MERINO 22191 SF</v>
      </c>
      <c r="G61" s="1"/>
    </row>
    <row r="62" spans="1:7" s="15" customFormat="1" ht="15" customHeight="1" x14ac:dyDescent="0.3">
      <c r="A62" s="50"/>
      <c r="B62" s="52"/>
      <c r="C62" s="52"/>
      <c r="D62" s="52"/>
      <c r="E62" s="52"/>
      <c r="F62" s="52"/>
      <c r="G62" s="1"/>
    </row>
    <row r="63" spans="1:7" ht="15.6" x14ac:dyDescent="0.3">
      <c r="A63" s="6"/>
      <c r="B63" s="6"/>
      <c r="C63" s="1"/>
      <c r="D63" s="6"/>
      <c r="E63" s="6"/>
      <c r="F63" s="44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2025-05-16T12:34:46Z</cp:lastPrinted>
  <dcterms:created xsi:type="dcterms:W3CDTF">2013-03-19T12:54:14Z</dcterms:created>
  <dcterms:modified xsi:type="dcterms:W3CDTF">2025-05-16T13:53:06Z</dcterms:modified>
</cp:coreProperties>
</file>