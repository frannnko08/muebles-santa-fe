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4 ABRIL 2025\"/>
    </mc:Choice>
  </mc:AlternateContent>
  <xr:revisionPtr revIDLastSave="0" documentId="13_ncr:1_{B201FF38-C3E3-4AEB-B0A3-9FBED59353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CUBIERTA!$A$2:$G$34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3" l="1"/>
  <c r="I21" i="3" s="1"/>
  <c r="C27" i="3"/>
  <c r="F14" i="3" s="1"/>
  <c r="D27" i="3"/>
  <c r="J14" i="3" s="1"/>
  <c r="D14" i="3" s="1"/>
  <c r="E27" i="3"/>
  <c r="K21" i="3" s="1"/>
  <c r="E21" i="3" s="1"/>
  <c r="F27" i="3"/>
  <c r="B48" i="3"/>
  <c r="C48" i="3"/>
  <c r="D48" i="3"/>
  <c r="E48" i="3"/>
  <c r="F48" i="3"/>
  <c r="H21" i="4"/>
  <c r="J21" i="3" l="1"/>
  <c r="D21" i="3" s="1"/>
  <c r="K14" i="3"/>
  <c r="E14" i="3" s="1"/>
  <c r="B21" i="3"/>
  <c r="I14" i="3"/>
  <c r="B14" i="3" s="1"/>
  <c r="F21" i="3"/>
  <c r="H25" i="4"/>
  <c r="H26" i="4" l="1"/>
  <c r="H27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<sst xmlns="http://schemas.openxmlformats.org/spreadsheetml/2006/main" count="247" uniqueCount="145">
  <si>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</si>
  <si>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</si>
  <si>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</si>
  <si>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</si>
  <si>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</si>
  <si>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</si>
  <si>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</si>
  <si>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</si>
  <si>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</si>
  <si>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</si>
  <si>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</si>
  <si>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</si>
  <si>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</si>
  <si>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</si>
  <si>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</si>
  <si>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</si>
  <si>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</si>
  <si>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</si>
  <si>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</si>
  <si>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</si>
  <si>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</si>
  <si>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</si>
  <si>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</si>
  <si>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</si>
  <si>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</si>
  <si>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</si>
  <si>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</si>
  <si>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</si>
  <si>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</si>
  <si>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</si>
  <si>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</si>
  <si>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</si>
  <si>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</si>
  <si>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</si>
  <si>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</si>
  <si>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</si>
  <si>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</si>
  <si>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</si>
  <si>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</si>
  <si>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</si>
  <si>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</si>
  <si>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</si>
  <si>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</si>
  <si>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</si>
  <si>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</si>
  <si>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</si>
  <si>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</si>
  <si>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</si>
  <si>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</si>
  <si>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</si>
  <si>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</si>
  <si>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</si>
  <si>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</si>
  <si>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</si>
  <si>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</si>
  <si>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</si>
  <si>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</si>
  <si>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</si>
  <si>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</si>
  <si>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</si>
  <si>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</si>
  <si>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</si>
  <si>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</si>
  <si>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</si>
  <si>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</si>
  <si>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</si>
  <si>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</si>
  <si>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</si>
  <si>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</si>
  <si>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</si>
  <si>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</si>
  <si>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</si>
  <si>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</si>
  <si>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</si>
  <si>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</si>
  <si>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</si>
  <si>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</si>
  <si>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</si>
  <si>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</si>
  <si>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</si>
  <si>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</si>
  <si>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</si>
  <si>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</si>
  <si>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</si>
  <si>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</si>
  <si>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</si>
  <si>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</si>
  <si>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</si>
  <si>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</si>
  <si>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</si>
  <si>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</si>
  <si>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</si>
  <si>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</si>
  <si>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</si>
  <si>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</si>
  <si>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</si>
  <si>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</si>
  <si>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</si>
  <si>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</si>
  <si>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</si>
  <si>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</si>
  <si>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</si>
  <si>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</si>
  <si>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</si>
  <si>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</si>
  <si>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</si>
  <si>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</si>
  <si>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</si>
  <si>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</si>
  <si>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</si>
  <si>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</si>
  <si>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</si>
  <si>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</si>
  <si>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</si>
  <si>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</si>
  <si>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</si>
  <si>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</si>
  <si>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</si>
  <si>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</si>
  <si>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</si>
  <si>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</si>
  <si>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</si>
  <si>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</si>
  <si>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</si>
  <si>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</si>
  <si>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</si>
  <si>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</si>
  <si>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</si>
  <si>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</si>
  <si>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</si>
  <si>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</si>
  <si>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</si>
  <si>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</si>
  <si>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</si>
  <si>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</si>
  <si>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</si>
  <si>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</si>
  <si>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</si>
  <si>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</si>
  <si>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</si>
  <si>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</si>
  <si>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</si>
  <si>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BLANCO OPACO MERINO</t>
  </si>
  <si>
    <t>N° 11354</t>
  </si>
  <si>
    <t>CUB C/R 180°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</si>
</sst>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49</xdr:row>
      <xdr:rowOff>0</xdr:rowOff>
    </xdr:from>
    <xdr:to>
      <xdr:col>2</xdr:col>
      <xdr:colOff>38100</xdr:colOff>
      <xdr:row>50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49</xdr:row>
      <xdr:rowOff>0</xdr:rowOff>
    </xdr:from>
    <xdr:to>
      <xdr:col>2</xdr:col>
      <xdr:colOff>1019175</xdr:colOff>
      <xdr:row>49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0</xdr:rowOff>
    </xdr:from>
    <xdr:to>
      <xdr:col>3</xdr:col>
      <xdr:colOff>352425</xdr:colOff>
      <xdr:row>50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0</xdr:rowOff>
    </xdr:from>
    <xdr:to>
      <xdr:col>4</xdr:col>
      <xdr:colOff>257175</xdr:colOff>
      <xdr:row>50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0</xdr:rowOff>
    </xdr:from>
    <xdr:to>
      <xdr:col>5</xdr:col>
      <xdr:colOff>447675</xdr:colOff>
      <xdr:row>49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0</xdr:rowOff>
    </xdr:from>
    <xdr:to>
      <xdr:col>6</xdr:col>
      <xdr:colOff>0</xdr:colOff>
      <xdr:row>49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49</xdr:row>
      <xdr:rowOff>190500</xdr:rowOff>
    </xdr:from>
    <xdr:to>
      <xdr:col>2</xdr:col>
      <xdr:colOff>304800</xdr:colOff>
      <xdr:row>51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49</xdr:row>
      <xdr:rowOff>190500</xdr:rowOff>
    </xdr:from>
    <xdr:to>
      <xdr:col>2</xdr:col>
      <xdr:colOff>1276350</xdr:colOff>
      <xdr:row>51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190500</xdr:rowOff>
    </xdr:from>
    <xdr:to>
      <xdr:col>3</xdr:col>
      <xdr:colOff>619125</xdr:colOff>
      <xdr:row>51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190500</xdr:rowOff>
    </xdr:from>
    <xdr:to>
      <xdr:col>4</xdr:col>
      <xdr:colOff>523875</xdr:colOff>
      <xdr:row>51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190500</xdr:rowOff>
    </xdr:from>
    <xdr:to>
      <xdr:col>5</xdr:col>
      <xdr:colOff>723900</xdr:colOff>
      <xdr:row>51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190500</xdr:rowOff>
    </xdr:from>
    <xdr:to>
      <xdr:col>6</xdr:col>
      <xdr:colOff>0</xdr:colOff>
      <xdr:row>51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52</xdr:row>
      <xdr:rowOff>32385</xdr:rowOff>
    </xdr:from>
    <xdr:to>
      <xdr:col>6</xdr:col>
      <xdr:colOff>19050</xdr:colOff>
      <xdr:row>56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ES PARA ESTE JUEVES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801763</xdr:colOff>
      <xdr:row>42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6" workbookViewId="0">
      <selection activeCell="A22" sqref="A22:XFD2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143</v>
      </c>
      <c r="E8" s="1"/>
      <c r="F8" s="94" t="s">
        <v>27</v>
      </c>
      <c r="G8" s="95">
        <v>7202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135</v>
      </c>
      <c r="D10" s="55"/>
      <c r="E10" s="55"/>
      <c r="F10" s="56" t="s">
        <v>28</v>
      </c>
      <c r="G10" s="57">
        <v>46127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>
        <v>45764</v>
      </c>
      <c r="H11" s="62"/>
      <c r="I11" s="1"/>
    </row>
    <row r="12" spans="1:17" ht="16.2" thickBot="1" x14ac:dyDescent="0.35">
      <c r="A12" s="1"/>
      <c r="B12" s="63" t="s">
        <v>131</v>
      </c>
      <c r="C12" t="s">
        <v>137</v>
      </c>
      <c r="D12" s="43"/>
      <c r="E12" s="43"/>
      <c r="F12" s="43" t="s">
        <v>30</v>
      </c>
      <c r="G12" s="64">
        <v>22911</v>
      </c>
      <c r="H12" s="65"/>
      <c r="I12" s="1"/>
    </row>
    <row r="13" spans="1:17" ht="15.6" x14ac:dyDescent="0.3">
      <c r="A13" s="1"/>
      <c r="B13" s="63" t="s">
        <v>133</v>
      </c>
      <c r="C13" s="86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141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140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1</v>
      </c>
      <c r="C21" s="106" t="s">
        <v>144</v>
      </c>
      <c r="D21" s="109">
        <v>2150</v>
      </c>
      <c r="E21" s="109">
        <v>700</v>
      </c>
      <c r="F21" s="106" t="s">
        <v>142</v>
      </c>
      <c r="G21" s="108">
        <v>78468</v>
      </c>
      <c r="H21" s="107">
        <f t="shared" ref="H21" si="0">G21*B21</f>
        <v>78468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110"/>
      <c r="E22" s="110"/>
      <c r="F22" s="97"/>
      <c r="G22" s="75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78468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14908.92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93376.92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0"/>
  <sheetViews>
    <sheetView topLeftCell="A38" zoomScaleNormal="100" workbookViewId="0">
      <selection activeCell="C62" sqref="C62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7202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45764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 t="shared" ref="D14" si="1">J14+D$13</f>
        <v>2230</v>
      </c>
      <c r="E14" s="35">
        <f>K14+E$13</f>
        <v>670</v>
      </c>
      <c r="F14" s="103" t="str">
        <f>C27</f>
        <v>CUB C/R 180°</v>
      </c>
      <c r="G14" s="1"/>
      <c r="I14" s="3">
        <f>I21</f>
        <v>1</v>
      </c>
      <c r="J14" s="4">
        <f>D27</f>
        <v>2150</v>
      </c>
      <c r="K14" s="4">
        <f>E27</f>
        <v>700</v>
      </c>
    </row>
    <row r="15" spans="1:14" ht="15.6" x14ac:dyDescent="0.3">
      <c r="A15" s="52"/>
      <c r="B15" s="6"/>
      <c r="C15" s="6"/>
      <c r="D15" s="6"/>
      <c r="E15" s="89"/>
      <c r="F15" s="6"/>
      <c r="G15" s="1"/>
      <c r="I15" s="90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9" t="s">
        <v>14</v>
      </c>
      <c r="B17" s="119"/>
      <c r="C17" s="119"/>
      <c r="D17" s="119"/>
      <c r="E17" s="119"/>
      <c r="F17" s="119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150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6" t="s">
        <v>130</v>
      </c>
      <c r="B21" s="16">
        <f t="shared" ref="B21" si="2">I21</f>
        <v>1</v>
      </c>
      <c r="C21" s="16"/>
      <c r="D21" s="16">
        <f t="shared" ref="D21:E21" si="3">J21+D$20</f>
        <v>2190</v>
      </c>
      <c r="E21" s="16">
        <f t="shared" si="3"/>
        <v>850</v>
      </c>
      <c r="F21" s="104" t="str">
        <f>C27</f>
        <v>CUB C/R 180°</v>
      </c>
      <c r="G21" s="1"/>
      <c r="I21" s="3">
        <f>B27</f>
        <v>1</v>
      </c>
      <c r="J21" s="4">
        <f t="shared" ref="J21:K21" si="4">D27</f>
        <v>2150</v>
      </c>
      <c r="K21" s="4">
        <f t="shared" si="4"/>
        <v>700</v>
      </c>
    </row>
    <row r="22" spans="1:11" ht="15.6" x14ac:dyDescent="0.3">
      <c r="A22" s="96"/>
      <c r="B22" s="6"/>
      <c r="C22" s="6"/>
      <c r="D22" s="6"/>
      <c r="E22" s="6"/>
      <c r="F22" s="6"/>
      <c r="G22" s="1"/>
      <c r="I22" s="90"/>
      <c r="J22" s="2"/>
      <c r="K22" s="2"/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96" t="s">
        <v>134</v>
      </c>
      <c r="B27" s="25">
        <f>'4637'!B21</f>
        <v>1</v>
      </c>
      <c r="C27" s="103" t="str">
        <f>'4637'!C21</f>
        <v>CUB C/R 180°</v>
      </c>
      <c r="D27" s="25">
        <f>'4637'!D21</f>
        <v>2150</v>
      </c>
      <c r="E27" s="25">
        <f>'4637'!E21</f>
        <v>700</v>
      </c>
      <c r="F27" s="25" t="str">
        <f>'4637'!F21</f>
        <v>BLANCO OPACO MERINO</v>
      </c>
      <c r="G27" s="1"/>
    </row>
    <row r="28" spans="1:11" ht="15.6" x14ac:dyDescent="0.3">
      <c r="A28" s="52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40" t="s">
        <v>27</v>
      </c>
      <c r="D38" s="14">
        <f>'4637'!G8</f>
        <v>7202</v>
      </c>
      <c r="E38" s="1"/>
      <c r="F38" s="1"/>
      <c r="G38" s="1"/>
    </row>
    <row r="39" spans="1:7" ht="17.25" customHeight="1" x14ac:dyDescent="0.3">
      <c r="A39" s="1"/>
      <c r="B39" s="1"/>
      <c r="C39" s="41" t="s">
        <v>67</v>
      </c>
      <c r="D39" s="42" t="str">
        <f>'4637'!C10</f>
        <v>MUEBLES ASENJO LTDA.</v>
      </c>
      <c r="E39" s="43"/>
      <c r="F39" s="43"/>
      <c r="G39" s="1"/>
    </row>
    <row r="40" spans="1:7" ht="4.5" customHeight="1" x14ac:dyDescent="0.3">
      <c r="A40" s="1"/>
      <c r="B40" s="1"/>
      <c r="C40" s="44"/>
      <c r="D40" s="45"/>
      <c r="E40" s="1"/>
      <c r="F40" s="1"/>
      <c r="G40" s="1"/>
    </row>
    <row r="41" spans="1:7" ht="15.6" x14ac:dyDescent="0.3">
      <c r="A41" s="1"/>
      <c r="B41" s="1"/>
      <c r="C41" s="46" t="str">
        <f>'4637'!F11</f>
        <v>FECHA LIMITE :</v>
      </c>
      <c r="D41" s="13">
        <f>'4637'!G11</f>
        <v>45764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9" t="s">
        <v>68</v>
      </c>
      <c r="B44" s="119"/>
      <c r="C44" s="119"/>
      <c r="D44" s="119"/>
      <c r="E44" s="119"/>
      <c r="F44" s="119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20" t="s">
        <v>69</v>
      </c>
      <c r="C46" s="121"/>
      <c r="D46" s="122"/>
      <c r="E46" s="122"/>
      <c r="F46" s="123"/>
      <c r="G46" s="1"/>
    </row>
    <row r="47" spans="1:7" s="15" customFormat="1" ht="12.75" customHeight="1" x14ac:dyDescent="0.3">
      <c r="A47" s="1"/>
      <c r="B47" s="36" t="s">
        <v>10</v>
      </c>
      <c r="C47" s="47" t="s">
        <v>11</v>
      </c>
      <c r="D47" s="48" t="s">
        <v>7</v>
      </c>
      <c r="E47" s="48" t="s">
        <v>8</v>
      </c>
      <c r="F47" s="49" t="s">
        <v>12</v>
      </c>
      <c r="G47" s="1"/>
    </row>
    <row r="48" spans="1:7" s="15" customFormat="1" ht="15" customHeight="1" x14ac:dyDescent="0.3">
      <c r="A48" s="96"/>
      <c r="B48" s="38">
        <f>'4637'!B21</f>
        <v>1</v>
      </c>
      <c r="C48" s="102" t="str">
        <f>'4637'!C21</f>
        <v>CUB C/R 180°</v>
      </c>
      <c r="D48" s="39">
        <f>'4637'!D21</f>
        <v>2150</v>
      </c>
      <c r="E48" s="39">
        <f>'4637'!E21</f>
        <v>700</v>
      </c>
      <c r="F48" s="38" t="str">
        <f>'4637'!F21</f>
        <v>BLANCO OPACO MERINO</v>
      </c>
      <c r="G48" s="1"/>
    </row>
    <row r="49" spans="1:7" s="15" customFormat="1" ht="15" customHeight="1" x14ac:dyDescent="0.3">
      <c r="A49" s="50"/>
      <c r="B49" s="52"/>
      <c r="C49" s="52"/>
      <c r="D49" s="52"/>
      <c r="E49" s="52"/>
      <c r="F49" s="52"/>
      <c r="G49" s="1"/>
    </row>
    <row r="50" spans="1:7" ht="15.6" x14ac:dyDescent="0.3">
      <c r="A50" s="6"/>
      <c r="B50" s="6"/>
      <c r="C50" s="1"/>
      <c r="D50" s="6"/>
      <c r="E50" s="6"/>
      <c r="F50" s="44"/>
      <c r="G50" s="1"/>
    </row>
    <row r="51" spans="1:7" ht="15.6" x14ac:dyDescent="0.3">
      <c r="A51" s="6"/>
      <c r="B51" s="6"/>
      <c r="C51" s="1"/>
      <c r="D51" s="6"/>
      <c r="E51" s="6"/>
      <c r="F51" s="6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" customHeight="1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6"/>
      <c r="B57" s="5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x14ac:dyDescent="0.3">
      <c r="B59" s="20"/>
      <c r="C59" s="20"/>
      <c r="D59" s="20"/>
      <c r="E59" s="20"/>
      <c r="F59" s="20"/>
    </row>
    <row r="60" spans="1:7" x14ac:dyDescent="0.3">
      <c r="B60" s="20"/>
      <c r="C60" s="20"/>
      <c r="E60" s="20"/>
      <c r="F60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2025-03-05T21:10:06Z</cp:lastPrinted>
  <dcterms:created xsi:type="dcterms:W3CDTF">2013-03-19T12:54:14Z</dcterms:created>
  <dcterms:modified xsi:type="dcterms:W3CDTF">2025-04-15T15:47:35Z</dcterms:modified>
</cp:coreProperties>
</file>