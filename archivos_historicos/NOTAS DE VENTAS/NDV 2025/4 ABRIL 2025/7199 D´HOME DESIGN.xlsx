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7C68A569-AFEB-4F13-9624-FBC8CB7E6B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4" l="1"/>
  <c r="H21" i="4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<sst xmlns="http://schemas.openxmlformats.org/spreadsheetml/2006/main" count="246" uniqueCount="143">
  <si>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</si>
  <si>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</si>
  <si>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</si>
  <si>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</si>
  <si>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</si>
  <si>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</si>
  <si>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</si>
  <si>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</si>
  <si>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</si>
  <si>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</si>
  <si>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</si>
  <si>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</si>
  <si>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</si>
  <si>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</si>
  <si>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</si>
  <si>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</si>
  <si>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</si>
  <si>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</si>
  <si>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</si>
  <si>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</si>
  <si>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</si>
  <si>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</si>
  <si>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</si>
  <si>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</si>
  <si>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</si>
  <si>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</si>
  <si>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</si>
  <si>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</si>
  <si>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</si>
  <si>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</si>
  <si>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</si>
  <si>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</si>
  <si>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</si>
  <si>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</si>
  <si>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</si>
  <si>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</si>
  <si>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</si>
  <si>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</si>
  <si>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</si>
  <si>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</si>
  <si>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</si>
  <si>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</si>
  <si>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</si>
  <si>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</si>
  <si>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</si>
  <si>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</si>
  <si>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</si>
  <si>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</si>
  <si>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</si>
  <si>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</si>
  <si>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</si>
  <si>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</si>
  <si>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</si>
  <si>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</si>
  <si>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</si>
  <si>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</si>
  <si>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</si>
  <si>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</si>
  <si>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</si>
  <si>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</si>
  <si>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</si>
  <si>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</si>
  <si>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</si>
  <si>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</si>
  <si>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</si>
  <si>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</si>
  <si>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</si>
  <si>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</si>
  <si>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</si>
  <si>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</si>
  <si>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</si>
  <si>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</si>
  <si>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</si>
  <si>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</si>
  <si>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</si>
  <si>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</si>
  <si>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</si>
  <si>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</si>
  <si>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</si>
  <si>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</si>
  <si>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</si>
  <si>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</si>
  <si>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</si>
  <si>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</si>
  <si>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</si>
  <si>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</si>
  <si>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</si>
  <si>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</si>
  <si>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</si>
  <si>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</si>
  <si>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</si>
  <si>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</si>
  <si>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</si>
  <si>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</si>
  <si>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</si>
  <si>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</si>
  <si>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</si>
  <si>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</si>
  <si>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</si>
  <si>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</si>
  <si>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</si>
  <si>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</si>
  <si>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</si>
  <si>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</si>
  <si>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</si>
  <si>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</si>
  <si>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</si>
  <si>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</si>
  <si>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</si>
  <si>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</si>
  <si>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</si>
  <si>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</si>
  <si>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</si>
  <si>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</si>
  <si>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</si>
  <si>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</si>
  <si>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</si>
  <si>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</si>
  <si>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</si>
  <si>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</si>
  <si>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</si>
  <si>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</si>
  <si>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</si>
  <si>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</si>
  <si>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</si>
  <si>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</si>
  <si>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</si>
  <si>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</si>
  <si>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</si>
  <si>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</si>
  <si>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</si>
  <si>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</si>
  <si>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</si>
  <si>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</si>
  <si>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</si>
  <si>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 xml:space="preserve">N° </t>
  </si>
  <si>
    <t>D´HOME DESIGN SPA</t>
  </si>
  <si>
    <t>77.855.367-8</t>
  </si>
  <si>
    <t>JUAN GONZALEZ</t>
  </si>
  <si>
    <t>56942194105</t>
  </si>
  <si>
    <t>CUB C/R R8</t>
  </si>
  <si>
    <t>NOCE NATURALES 1534 UP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</si>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</sst>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PAGADA</a:t>
          </a:r>
          <a:r>
            <a:rPr lang="es-CL" sz="900" b="1" i="1" baseline="0"/>
            <a:t> $ 74.500.-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5" workbookViewId="0">
      <selection activeCell="J17" sqref="J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135</v>
      </c>
      <c r="E8" s="1"/>
      <c r="F8" s="94" t="s">
        <v>27</v>
      </c>
      <c r="G8" s="95">
        <v>7199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45757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45760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 t="s">
        <v>138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139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8"/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140</v>
      </c>
      <c r="D21" s="108">
        <v>1150</v>
      </c>
      <c r="E21" s="108">
        <v>570</v>
      </c>
      <c r="F21" s="102" t="s">
        <v>141</v>
      </c>
      <c r="G21" s="103">
        <v>62605</v>
      </c>
      <c r="H21" s="103">
        <f>G21*B21</f>
        <v>62605</v>
      </c>
      <c r="I21" s="1"/>
      <c r="K21" s="17">
        <v>74500</v>
      </c>
      <c r="L21" s="26"/>
      <c r="M21" s="17"/>
      <c r="N21" s="17"/>
      <c r="O21" s="26"/>
      <c r="P21" s="33"/>
    </row>
    <row r="22" spans="1:16" ht="18" customHeight="1" x14ac:dyDescent="0.3">
      <c r="A22" s="1"/>
      <c r="B22" s="104"/>
      <c r="C22" s="104"/>
      <c r="D22" s="105"/>
      <c r="E22" s="105"/>
      <c r="F22" s="104"/>
      <c r="G22" s="75"/>
      <c r="H22" s="75"/>
      <c r="I22" s="1"/>
      <c r="K22">
        <f>K21/1.19</f>
        <v>62605.042016806728</v>
      </c>
    </row>
    <row r="23" spans="1:16" ht="18" customHeight="1" thickBot="1" x14ac:dyDescent="0.35">
      <c r="A23" s="1"/>
      <c r="B23" s="104"/>
      <c r="C23" s="104"/>
      <c r="D23" s="105"/>
      <c r="E23" s="105"/>
      <c r="F23" s="104"/>
      <c r="G23" s="106"/>
      <c r="H23" s="107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62605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11894.95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74499.95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" zoomScaleNormal="100" workbookViewId="0">
      <selection activeCell="A15" sqref="A1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7199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D´HOME DESIGN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45760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142</v>
      </c>
      <c r="B14" s="25">
        <f t="shared" ref="B14" si="0">I14</f>
        <v>1</v>
      </c>
      <c r="C14" s="25"/>
      <c r="D14" s="25">
        <f t="shared" ref="D14" si="1">J14+D$13</f>
        <v>1200</v>
      </c>
      <c r="E14" s="35">
        <f>K14+E$13</f>
        <v>540</v>
      </c>
      <c r="F14" s="100" t="str">
        <f>C27</f>
        <v>CUB C/R R8</v>
      </c>
      <c r="G14" s="1"/>
      <c r="I14" s="3">
        <f>I22</f>
        <v>1</v>
      </c>
      <c r="J14" s="4">
        <f>D27</f>
        <v>1150</v>
      </c>
      <c r="K14" s="4">
        <f>E27</f>
        <v>570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/>
      <c r="D22" s="16">
        <f>J22+D$21</f>
        <v>1190</v>
      </c>
      <c r="E22" s="16">
        <f>K22+E$21</f>
        <v>700</v>
      </c>
      <c r="F22" s="101" t="str">
        <f>C27</f>
        <v>CUB C/R R8</v>
      </c>
      <c r="G22" s="1"/>
      <c r="I22" s="3">
        <f>B27</f>
        <v>1</v>
      </c>
      <c r="J22" s="4">
        <f t="shared" ref="J22:K22" si="3">D27</f>
        <v>1150</v>
      </c>
      <c r="K22" s="4">
        <f t="shared" si="3"/>
        <v>570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142</v>
      </c>
      <c r="B27" s="25">
        <f>'4637'!B21</f>
        <v>1</v>
      </c>
      <c r="C27" s="100" t="str">
        <f>'4637'!C21</f>
        <v>CUB C/R R8</v>
      </c>
      <c r="D27" s="25">
        <f>'4637'!D21</f>
        <v>1150</v>
      </c>
      <c r="E27" s="25">
        <f>'4637'!E21</f>
        <v>570</v>
      </c>
      <c r="F27" s="25" t="str">
        <f>'4637'!F21</f>
        <v>NOCE NATURALES 1534 UP</v>
      </c>
      <c r="G27" s="1"/>
    </row>
    <row r="28" spans="1:11" ht="15.6" x14ac:dyDescent="0.3">
      <c r="A28" s="96"/>
      <c r="B28" s="6"/>
      <c r="C28" s="110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7199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D´HOME DESIGN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45760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142</v>
      </c>
      <c r="B49" s="38">
        <f>'4637'!B21</f>
        <v>1</v>
      </c>
      <c r="C49" s="99" t="str">
        <f>'4637'!C21</f>
        <v>CUB C/R R8</v>
      </c>
      <c r="D49" s="39">
        <f>'4637'!D21</f>
        <v>1150</v>
      </c>
      <c r="E49" s="39">
        <f>'4637'!E21</f>
        <v>570</v>
      </c>
      <c r="F49" s="38" t="str">
        <f>'4637'!F21</f>
        <v>NOCE NATURALES 1534 UP</v>
      </c>
      <c r="G49" s="1"/>
    </row>
    <row r="50" spans="1:7" s="15" customFormat="1" ht="15" customHeight="1" x14ac:dyDescent="0.3">
      <c r="A50" s="96"/>
      <c r="B50" s="52"/>
      <c r="C50" s="109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2025-04-07T21:54:05Z</cp:lastPrinted>
  <dcterms:created xsi:type="dcterms:W3CDTF">2013-03-19T12:54:14Z</dcterms:created>
  <dcterms:modified xsi:type="dcterms:W3CDTF">2025-04-10T17:53:50Z</dcterms:modified>
</cp:coreProperties>
</file>