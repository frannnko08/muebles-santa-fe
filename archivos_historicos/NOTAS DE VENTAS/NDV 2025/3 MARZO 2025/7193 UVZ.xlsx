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3 MARZO 2025\"/>
    </mc:Choice>
  </mc:AlternateContent>
  <xr:revisionPtr revIDLastSave="0" documentId="13_ncr:1_{7F8AAAA3-29ED-46CE-8DE7-7AF2B8110F9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CUBIERTA!$A$37:$F$59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3" l="1"/>
  <c r="H21" i="4"/>
  <c r="B28" i="3"/>
  <c r="I22" i="3" s="1"/>
  <c r="C28" i="3"/>
  <c r="F14" i="3" s="1"/>
  <c r="D28" i="3"/>
  <c r="J14" i="3" s="1"/>
  <c r="D14" i="3" s="1"/>
  <c r="E28" i="3"/>
  <c r="K22" i="3" s="1"/>
  <c r="E22" i="3" s="1"/>
  <c r="F28" i="3"/>
  <c r="B49" i="3"/>
  <c r="C49" i="3"/>
  <c r="D49" i="3"/>
  <c r="E49" i="3"/>
  <c r="F49" i="3"/>
  <c r="D15" i="3" l="1"/>
  <c r="B15" i="3"/>
  <c r="J22" i="3"/>
  <c r="D22" i="3" s="1"/>
  <c r="K14" i="3"/>
  <c r="E14" i="3" s="1"/>
  <c r="B22" i="3"/>
  <c r="I14" i="3"/>
  <c r="B14" i="3" s="1"/>
  <c r="F22" i="3"/>
  <c r="H25" i="4"/>
  <c r="H26" i="4" l="1"/>
  <c r="H27" i="4" l="1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<sst xmlns="http://schemas.openxmlformats.org/spreadsheetml/2006/main" count="249" uniqueCount="147">
  <si>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</si>
  <si>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</si>
  <si>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</si>
  <si>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</si>
  <si>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</si>
  <si>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</si>
  <si>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</si>
  <si>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</si>
  <si>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</si>
  <si>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</si>
  <si>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</si>
  <si>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</si>
  <si>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</si>
  <si>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</si>
  <si>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</si>
  <si>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</si>
  <si>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</si>
  <si>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</si>
  <si>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</si>
  <si>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</si>
  <si>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</si>
  <si>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</si>
  <si>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</si>
  <si>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</si>
  <si>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</si>
  <si>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</si>
  <si>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</si>
  <si>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</si>
  <si>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</si>
  <si>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</si>
  <si>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</si>
  <si>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</si>
  <si>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</si>
  <si>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</si>
  <si>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</si>
  <si>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</si>
  <si>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</si>
  <si>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</si>
  <si>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</si>
  <si>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</si>
  <si>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</si>
  <si>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</si>
  <si>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</si>
  <si>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</si>
  <si>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</si>
  <si>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</si>
  <si>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</si>
  <si>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</si>
  <si>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</si>
  <si>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</si>
  <si>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</si>
  <si>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</si>
  <si>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</si>
  <si>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</si>
  <si>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</si>
  <si>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</si>
  <si>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</si>
  <si>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</si>
  <si>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</si>
  <si>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</si>
  <si>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</si>
  <si>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</si>
  <si>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</si>
  <si>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</si>
  <si>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</si>
  <si>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</si>
  <si>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</si>
  <si>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</si>
  <si>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</si>
  <si>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</si>
  <si>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</si>
  <si>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</si>
  <si>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</si>
  <si>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</si>
  <si>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</si>
  <si>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</si>
  <si>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</si>
  <si>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</si>
  <si>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</si>
  <si>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</si>
  <si>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</si>
  <si>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</si>
  <si>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</si>
  <si>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</si>
  <si>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</si>
  <si>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</si>
  <si>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</si>
  <si>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</si>
  <si>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</si>
  <si>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</si>
  <si>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</si>
  <si>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</si>
  <si>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</si>
  <si>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</si>
  <si>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</si>
  <si>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</si>
  <si>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</si>
  <si>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</si>
  <si>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</si>
  <si>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</si>
  <si>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</si>
  <si>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</si>
  <si>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</si>
  <si>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</si>
  <si>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</si>
  <si>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</si>
  <si>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</si>
  <si>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</si>
  <si>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</si>
  <si>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</si>
  <si>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</si>
  <si>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</si>
  <si>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</si>
  <si>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</si>
  <si>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</si>
  <si>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</si>
  <si>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</si>
  <si>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</si>
  <si>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</si>
  <si>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</si>
  <si>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</si>
  <si>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</si>
  <si>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</si>
  <si>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</si>
  <si>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</si>
  <si>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</si>
  <si>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</si>
  <si>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</si>
  <si>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</si>
  <si>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</si>
  <si>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</si>
  <si>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</si>
  <si>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</si>
  <si>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</si>
  <si>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</si>
  <si>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77.018.060-0</t>
  </si>
  <si>
    <t>NO</t>
  </si>
  <si>
    <t>GALAXIA GRAFITO 0491 MT</t>
  </si>
  <si>
    <t>CONTADO</t>
  </si>
  <si>
    <t>UVZ MOBILIARIO SPA</t>
  </si>
  <si>
    <t>ACONDICIONAMIENTO DE EDIFICIOS</t>
  </si>
  <si>
    <t>RAMON SALINAS</t>
  </si>
  <si>
    <t>+569 42714183</t>
  </si>
  <si>
    <t>TOTORAL 300 QUILICURA</t>
  </si>
  <si>
    <t>N° 11301</t>
  </si>
  <si>
    <t>CUB C/R R8</t>
  </si>
  <si>
    <t>RESPALDO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</si>
</sst>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1155CC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0" applyFont="1" applyAlignment="1">
      <alignment horizontal="center"/>
    </xf>
    <xf numFmtId="1" fontId="1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8" fillId="0" borderId="0" xfId="0" applyFont="1"/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  34.541.- 20/03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RESPALDO 5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SOBRE LA BASE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RESPALDO 5 CMS SOBRE LA BASE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41910</xdr:rowOff>
    </xdr:from>
    <xdr:to>
      <xdr:col>1</xdr:col>
      <xdr:colOff>801763</xdr:colOff>
      <xdr:row>43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6" workbookViewId="0">
      <selection activeCell="J24" sqref="J2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144</v>
      </c>
      <c r="E8" s="1"/>
      <c r="F8" s="94" t="s">
        <v>27</v>
      </c>
      <c r="G8" s="95">
        <v>7193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139</v>
      </c>
      <c r="D10" s="55"/>
      <c r="E10" s="55"/>
      <c r="F10" s="56" t="s">
        <v>28</v>
      </c>
      <c r="G10" s="57">
        <v>45736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135</v>
      </c>
      <c r="D11" s="60"/>
      <c r="E11" s="60"/>
      <c r="F11" s="60" t="s">
        <v>124</v>
      </c>
      <c r="G11" s="61"/>
      <c r="H11" s="62"/>
      <c r="I11" s="1"/>
    </row>
    <row r="12" spans="1:17" ht="16.2" thickBot="1" x14ac:dyDescent="0.35">
      <c r="A12" s="1"/>
      <c r="B12" s="63" t="s">
        <v>131</v>
      </c>
      <c r="C12" t="s">
        <v>140</v>
      </c>
      <c r="D12" s="43"/>
      <c r="E12" s="43"/>
      <c r="F12" s="43" t="s">
        <v>30</v>
      </c>
      <c r="G12" s="64">
        <v>7999</v>
      </c>
      <c r="H12" s="65"/>
      <c r="I12" s="1"/>
    </row>
    <row r="13" spans="1:17" ht="15.6" x14ac:dyDescent="0.3">
      <c r="A13" s="1"/>
      <c r="B13" s="63" t="s">
        <v>133</v>
      </c>
      <c r="C13" s="86" t="s">
        <v>141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8" t="s">
        <v>142</v>
      </c>
      <c r="D14" s="66"/>
      <c r="E14" s="60"/>
      <c r="F14" s="60" t="s">
        <v>29</v>
      </c>
      <c r="G14" s="60" t="s">
        <v>136</v>
      </c>
      <c r="H14" s="62"/>
      <c r="I14" s="1"/>
    </row>
    <row r="15" spans="1:17" ht="15.6" x14ac:dyDescent="0.3">
      <c r="A15" s="1"/>
      <c r="B15" s="63" t="s">
        <v>1</v>
      </c>
      <c r="C15" s="101" t="s">
        <v>143</v>
      </c>
      <c r="D15" s="43"/>
      <c r="E15" s="43"/>
      <c r="F15" s="67" t="s">
        <v>75</v>
      </c>
      <c r="G15" s="67" t="s">
        <v>138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132</v>
      </c>
      <c r="D16" s="69"/>
      <c r="E16" s="70"/>
      <c r="F16" s="114" t="s">
        <v>18</v>
      </c>
      <c r="G16" s="114"/>
      <c r="H16" s="115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6" t="s">
        <v>19</v>
      </c>
      <c r="C19" s="117"/>
      <c r="D19" s="117"/>
      <c r="E19" s="117"/>
      <c r="F19" s="117"/>
      <c r="G19" s="117"/>
      <c r="H19" s="118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9">
        <v>1</v>
      </c>
      <c r="C21" s="110" t="s">
        <v>145</v>
      </c>
      <c r="D21" s="113">
        <v>810</v>
      </c>
      <c r="E21" s="113">
        <v>530</v>
      </c>
      <c r="F21" s="110" t="s">
        <v>137</v>
      </c>
      <c r="G21" s="111">
        <v>58052</v>
      </c>
      <c r="H21" s="112">
        <f t="shared" ref="H21" si="0">G21*B21</f>
        <v>58052</v>
      </c>
      <c r="I21" s="1"/>
      <c r="K21" s="17">
        <v>3</v>
      </c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97"/>
      <c r="D22" s="106"/>
      <c r="E22" s="106"/>
      <c r="F22" s="97"/>
      <c r="G22" s="75"/>
      <c r="H22" s="99"/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58052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11029.880000000001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69081.88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10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1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9" t="s">
        <v>31</v>
      </c>
      <c r="C2" s="119"/>
      <c r="D2" s="119"/>
      <c r="E2" s="18"/>
      <c r="G2" s="119" t="s">
        <v>70</v>
      </c>
      <c r="H2" s="119"/>
      <c r="I2" s="119"/>
      <c r="P2" s="120" t="s">
        <v>58</v>
      </c>
      <c r="Q2" s="120"/>
      <c r="R2" s="120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0" t="s">
        <v>58</v>
      </c>
      <c r="M8" s="120"/>
      <c r="N8" s="120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abSelected="1" zoomScaleNormal="100" workbookViewId="0">
      <selection activeCell="E16" sqref="E16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1" t="s">
        <v>61</v>
      </c>
      <c r="L3" s="121"/>
      <c r="M3" s="121" t="s">
        <v>14</v>
      </c>
      <c r="N3" s="121"/>
    </row>
    <row r="4" spans="1:14" ht="15.75" customHeight="1" x14ac:dyDescent="0.3">
      <c r="A4" s="1"/>
      <c r="B4" s="1"/>
      <c r="C4" s="40" t="s">
        <v>27</v>
      </c>
      <c r="D4" s="14">
        <f>'4637'!G8</f>
        <v>7193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UVZ MOBILIARIO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2" t="s">
        <v>61</v>
      </c>
      <c r="B10" s="122"/>
      <c r="C10" s="122"/>
      <c r="D10" s="122"/>
      <c r="E10" s="122"/>
      <c r="F10" s="122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</v>
      </c>
      <c r="C14" s="25"/>
      <c r="D14" s="25">
        <f t="shared" ref="D14" si="1">J14+D$13</f>
        <v>890</v>
      </c>
      <c r="E14" s="35">
        <f>K14+E$13</f>
        <v>500</v>
      </c>
      <c r="F14" s="103" t="str">
        <f t="shared" ref="F14" si="2">C28</f>
        <v>CUB C/R R8</v>
      </c>
      <c r="G14" s="1"/>
      <c r="I14" s="3">
        <f t="shared" ref="I14" si="3">I22</f>
        <v>1</v>
      </c>
      <c r="J14" s="4">
        <f>D28</f>
        <v>810</v>
      </c>
      <c r="K14" s="4">
        <f>E28</f>
        <v>530</v>
      </c>
    </row>
    <row r="15" spans="1:14" ht="15.6" x14ac:dyDescent="0.3">
      <c r="A15" s="96"/>
      <c r="B15" s="25">
        <f t="shared" ref="B15" si="4">I15</f>
        <v>1</v>
      </c>
      <c r="C15" s="25"/>
      <c r="D15" s="25">
        <f t="shared" ref="D15" si="5">J15+D$13</f>
        <v>890</v>
      </c>
      <c r="E15" s="35">
        <f>K15</f>
        <v>38</v>
      </c>
      <c r="F15" s="103" t="s">
        <v>146</v>
      </c>
      <c r="G15" s="1"/>
      <c r="I15" s="3">
        <v>1</v>
      </c>
      <c r="J15" s="4">
        <v>810</v>
      </c>
      <c r="K15" s="4">
        <v>38</v>
      </c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2" t="s">
        <v>14</v>
      </c>
      <c r="B18" s="122"/>
      <c r="C18" s="122"/>
      <c r="D18" s="122"/>
      <c r="E18" s="122"/>
      <c r="F18" s="122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 t="s">
        <v>130</v>
      </c>
      <c r="B22" s="16">
        <f t="shared" ref="B22" si="6">I22</f>
        <v>1</v>
      </c>
      <c r="C22" s="16"/>
      <c r="D22" s="16">
        <f>J22+D$21</f>
        <v>850</v>
      </c>
      <c r="E22" s="16">
        <f>K22+E$21</f>
        <v>660</v>
      </c>
      <c r="F22" s="104" t="str">
        <f t="shared" ref="F22" si="7">C28</f>
        <v>CUB C/R R8</v>
      </c>
      <c r="G22" s="1"/>
      <c r="I22" s="3">
        <f t="shared" ref="I22" si="8">B28</f>
        <v>1</v>
      </c>
      <c r="J22" s="4">
        <f t="shared" ref="J22:K22" si="9">D28</f>
        <v>810</v>
      </c>
      <c r="K22" s="4">
        <f t="shared" si="9"/>
        <v>530</v>
      </c>
    </row>
    <row r="23" spans="1:11" ht="15.6" x14ac:dyDescent="0.3">
      <c r="A23" s="96"/>
      <c r="B23" s="6"/>
      <c r="C23" s="6"/>
      <c r="D23" s="6"/>
      <c r="E23" s="6"/>
      <c r="F23" s="6"/>
      <c r="G23" s="1"/>
      <c r="I23" s="90"/>
      <c r="J23" s="2"/>
      <c r="K23" s="2"/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8" t="s">
        <v>10</v>
      </c>
      <c r="C27" s="88" t="s">
        <v>110</v>
      </c>
      <c r="D27" s="88" t="s">
        <v>7</v>
      </c>
      <c r="E27" s="88" t="s">
        <v>8</v>
      </c>
      <c r="F27" s="88" t="s">
        <v>23</v>
      </c>
      <c r="G27" s="1"/>
    </row>
    <row r="28" spans="1:11" ht="15.6" x14ac:dyDescent="0.3">
      <c r="A28" s="96" t="s">
        <v>134</v>
      </c>
      <c r="B28" s="25">
        <f>'4637'!B21</f>
        <v>1</v>
      </c>
      <c r="C28" s="103" t="str">
        <f>'4637'!C21</f>
        <v>CUB C/R R8</v>
      </c>
      <c r="D28" s="25">
        <f>'4637'!D21</f>
        <v>810</v>
      </c>
      <c r="E28" s="25">
        <f>'4637'!E21</f>
        <v>530</v>
      </c>
      <c r="F28" s="25" t="str">
        <f>'4637'!F21</f>
        <v>GALAXIA GRAFITO 0491 MT</v>
      </c>
      <c r="G28" s="1"/>
    </row>
    <row r="29" spans="1:11" ht="15.6" x14ac:dyDescent="0.3">
      <c r="A29" s="52"/>
      <c r="B29" s="6"/>
      <c r="C29" s="107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27</v>
      </c>
      <c r="D39" s="14">
        <f>'4637'!G8</f>
        <v>7193</v>
      </c>
      <c r="E39" s="1"/>
      <c r="F39" s="1"/>
      <c r="G39" s="1"/>
    </row>
    <row r="40" spans="1:7" ht="17.25" customHeight="1" x14ac:dyDescent="0.3">
      <c r="A40" s="1"/>
      <c r="B40" s="1"/>
      <c r="C40" s="41" t="s">
        <v>67</v>
      </c>
      <c r="D40" s="42" t="str">
        <f>'4637'!C10</f>
        <v>UVZ MOBILIARIO SPA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'4637'!F11</f>
        <v>FECHA LIMITE :</v>
      </c>
      <c r="D42" s="13">
        <f>'4637'!G11</f>
        <v>0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2" t="s">
        <v>68</v>
      </c>
      <c r="B45" s="122"/>
      <c r="C45" s="122"/>
      <c r="D45" s="122"/>
      <c r="E45" s="122"/>
      <c r="F45" s="122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3" t="s">
        <v>69</v>
      </c>
      <c r="C47" s="124"/>
      <c r="D47" s="125"/>
      <c r="E47" s="125"/>
      <c r="F47" s="126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48" t="s">
        <v>8</v>
      </c>
      <c r="F48" s="49" t="s">
        <v>12</v>
      </c>
      <c r="G48" s="1"/>
    </row>
    <row r="49" spans="1:7" s="15" customFormat="1" ht="15" customHeight="1" x14ac:dyDescent="0.3">
      <c r="A49" s="96"/>
      <c r="B49" s="38">
        <f>'4637'!B21</f>
        <v>1</v>
      </c>
      <c r="C49" s="102" t="str">
        <f>'4637'!C21</f>
        <v>CUB C/R R8</v>
      </c>
      <c r="D49" s="39">
        <f>'4637'!D21</f>
        <v>810</v>
      </c>
      <c r="E49" s="39">
        <f>'4637'!E21</f>
        <v>530</v>
      </c>
      <c r="F49" s="38" t="str">
        <f>'4637'!F21</f>
        <v>GALAXIA GRAFITO 0491 MT</v>
      </c>
      <c r="G49" s="1"/>
    </row>
    <row r="50" spans="1:7" s="15" customFormat="1" ht="15" customHeight="1" x14ac:dyDescent="0.3">
      <c r="A50" s="96"/>
      <c r="B50" s="52"/>
      <c r="C50" s="105"/>
      <c r="D50" s="52"/>
      <c r="E50" s="52"/>
      <c r="F50" s="52"/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8:F18"/>
    <mergeCell ref="A10:F10"/>
    <mergeCell ref="A45:F45"/>
    <mergeCell ref="B47:F4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2025-02-26T17:44:51Z</cp:lastPrinted>
  <dcterms:created xsi:type="dcterms:W3CDTF">2013-03-19T12:54:14Z</dcterms:created>
  <dcterms:modified xsi:type="dcterms:W3CDTF">2025-03-25T14:36:01Z</dcterms:modified>
</cp:coreProperties>
</file>