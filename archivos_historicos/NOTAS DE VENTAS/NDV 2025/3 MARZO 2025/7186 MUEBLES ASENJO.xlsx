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5A08D896-5DFD-4265-8E6B-4270E0C6DFD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CUBIERTA!$A$2:$G$34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1" i="3" s="1"/>
  <c r="C27" i="3"/>
  <c r="F14" i="3" s="1"/>
  <c r="D27" i="3"/>
  <c r="J14" i="3" s="1"/>
  <c r="D14" i="3" s="1"/>
  <c r="E27" i="3"/>
  <c r="K21" i="3" s="1"/>
  <c r="E21" i="3" s="1"/>
  <c r="F27" i="3"/>
  <c r="B48" i="3"/>
  <c r="C48" i="3"/>
  <c r="D48" i="3"/>
  <c r="E48" i="3"/>
  <c r="F48" i="3"/>
  <c r="H21" i="4"/>
  <c r="J21" i="3" l="1"/>
  <c r="D21" i="3" s="1"/>
  <c r="K14" i="3"/>
  <c r="E14" i="3" s="1"/>
  <c r="B21" i="3"/>
  <c r="I14" i="3"/>
  <c r="B14" i="3" s="1"/>
  <c r="F21" i="3"/>
  <c r="H24" i="4"/>
  <c r="H25" i="4" l="1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<sst xmlns="http://schemas.openxmlformats.org/spreadsheetml/2006/main" count="247" uniqueCount="145">
  <si>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</si>
  <si>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</si>
  <si>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</si>
  <si>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</si>
  <si>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</si>
  <si>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</si>
  <si>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</si>
  <si>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</si>
  <si>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</si>
  <si>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</si>
  <si>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</si>
  <si>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</si>
  <si>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</si>
  <si>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</si>
  <si>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</si>
  <si>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</si>
  <si>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</si>
  <si>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</si>
  <si>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</si>
  <si>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</si>
  <si>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</si>
  <si>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</si>
  <si>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</si>
  <si>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</si>
  <si>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</si>
  <si>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</si>
  <si>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</si>
  <si>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</si>
  <si>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</si>
  <si>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</si>
  <si>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</si>
  <si>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</si>
  <si>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</si>
  <si>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</si>
  <si>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</si>
  <si>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</si>
  <si>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</si>
  <si>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</si>
  <si>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</si>
  <si>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</si>
  <si>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</si>
  <si>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</si>
  <si>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</si>
  <si>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</si>
  <si>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</si>
  <si>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</si>
  <si>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</si>
  <si>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</si>
  <si>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</si>
  <si>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</si>
  <si>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</si>
  <si>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</si>
  <si>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</si>
  <si>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</si>
  <si>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</si>
  <si>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</si>
  <si>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</si>
  <si>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</si>
  <si>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</si>
  <si>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</si>
  <si>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</si>
  <si>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</si>
  <si>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</si>
  <si>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</si>
  <si>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</si>
  <si>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</si>
  <si>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</si>
  <si>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</si>
  <si>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</si>
  <si>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</si>
  <si>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</si>
  <si>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</si>
  <si>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</si>
  <si>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</si>
  <si>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</si>
  <si>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</si>
  <si>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</si>
  <si>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</si>
  <si>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</si>
  <si>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</si>
  <si>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</si>
  <si>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</si>
  <si>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</si>
  <si>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</si>
  <si>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</si>
  <si>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</si>
  <si>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</si>
  <si>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</si>
  <si>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</si>
  <si>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</si>
  <si>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</si>
  <si>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</si>
  <si>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</si>
  <si>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</si>
  <si>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</si>
  <si>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</si>
  <si>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</si>
  <si>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</si>
  <si>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</si>
  <si>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</si>
  <si>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</si>
  <si>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</si>
  <si>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</si>
  <si>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</si>
  <si>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</si>
  <si>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</si>
  <si>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</si>
  <si>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</si>
  <si>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</si>
  <si>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</si>
  <si>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</si>
  <si>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</si>
  <si>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</si>
  <si>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</si>
  <si>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</si>
  <si>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</si>
  <si>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</si>
  <si>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</si>
  <si>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</si>
  <si>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</si>
  <si>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</si>
  <si>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</si>
  <si>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</si>
  <si>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</si>
  <si>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</si>
  <si>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</si>
  <si>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</si>
  <si>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</si>
  <si>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</si>
  <si>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</si>
  <si>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</si>
  <si>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</si>
  <si>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</si>
  <si>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</si>
  <si>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</si>
  <si>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</si>
  <si>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</si>
  <si>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</si>
  <si>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</si>
  <si>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</si>
  <si>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</si>
  <si>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</si>
  <si>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C/R R8</t>
  </si>
  <si>
    <t>SLATE 22099 SF</t>
  </si>
  <si>
    <t>N° 11334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</si>
</sst>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7186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45733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45734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22896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142</v>
      </c>
      <c r="D21" s="109">
        <v>2010</v>
      </c>
      <c r="E21" s="109">
        <v>600</v>
      </c>
      <c r="F21" s="106" t="s">
        <v>143</v>
      </c>
      <c r="G21" s="108">
        <v>87448</v>
      </c>
      <c r="H21" s="107">
        <f t="shared" ref="H21" si="0">G21*B21</f>
        <v>87448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87448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16615.12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104063.12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zoomScaleNormal="100" workbookViewId="0">
      <selection activeCell="A15" sqref="A15:XFD1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7186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45734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2090</v>
      </c>
      <c r="E14" s="35">
        <f>K14+E$13</f>
        <v>570</v>
      </c>
      <c r="F14" s="103" t="str">
        <f>C27</f>
        <v>CUB C/R R8</v>
      </c>
      <c r="G14" s="1"/>
      <c r="I14" s="3">
        <f>I21</f>
        <v>1</v>
      </c>
      <c r="J14" s="4">
        <f>D27</f>
        <v>2010</v>
      </c>
      <c r="K14" s="4">
        <f>E27</f>
        <v>600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14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2">I21</f>
        <v>1</v>
      </c>
      <c r="C21" s="16"/>
      <c r="D21" s="16">
        <f>J21+D$20</f>
        <v>2050</v>
      </c>
      <c r="E21" s="16">
        <f>K21+E$20</f>
        <v>730</v>
      </c>
      <c r="F21" s="104" t="str">
        <f>C27</f>
        <v>CUB C/R R8</v>
      </c>
      <c r="G21" s="1"/>
      <c r="I21" s="3">
        <f>B27</f>
        <v>1</v>
      </c>
      <c r="J21" s="4">
        <f t="shared" ref="J21:K21" si="3">D27</f>
        <v>2010</v>
      </c>
      <c r="K21" s="4">
        <f t="shared" si="3"/>
        <v>600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134</v>
      </c>
      <c r="B27" s="25">
        <f>'4637'!B21</f>
        <v>1</v>
      </c>
      <c r="C27" s="103" t="str">
        <f>'4637'!C21</f>
        <v>CUB C/R R8</v>
      </c>
      <c r="D27" s="25">
        <f>'4637'!D21</f>
        <v>2010</v>
      </c>
      <c r="E27" s="25">
        <f>'4637'!E21</f>
        <v>600</v>
      </c>
      <c r="F27" s="25" t="str">
        <f>'4637'!F21</f>
        <v>SLATE 22099 SF</v>
      </c>
      <c r="G27" s="1"/>
    </row>
    <row r="28" spans="1:11" ht="15.6" x14ac:dyDescent="0.3">
      <c r="A28" s="52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7186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45734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8" t="s">
        <v>68</v>
      </c>
      <c r="B44" s="118"/>
      <c r="C44" s="118"/>
      <c r="D44" s="118"/>
      <c r="E44" s="118"/>
      <c r="F44" s="118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9" t="s">
        <v>69</v>
      </c>
      <c r="C46" s="120"/>
      <c r="D46" s="121"/>
      <c r="E46" s="121"/>
      <c r="F46" s="122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'4637'!B21</f>
        <v>1</v>
      </c>
      <c r="C48" s="102" t="str">
        <f>'4637'!C21</f>
        <v>CUB C/R R8</v>
      </c>
      <c r="D48" s="39">
        <f>'4637'!D21</f>
        <v>2010</v>
      </c>
      <c r="E48" s="39">
        <f>'4637'!E21</f>
        <v>600</v>
      </c>
      <c r="F48" s="38" t="str">
        <f>'4637'!F21</f>
        <v>SLATE 22099 SF</v>
      </c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2025-03-17T12:10:57Z</dcterms:modified>
</cp:coreProperties>
</file>