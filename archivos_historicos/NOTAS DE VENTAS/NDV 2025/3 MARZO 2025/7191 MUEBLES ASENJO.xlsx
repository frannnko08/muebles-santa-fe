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5\"/>
    </mc:Choice>
  </mc:AlternateContent>
  <xr:revisionPtr revIDLastSave="0" documentId="13_ncr:1_{8DDDD0D2-36E5-4769-BEA7-3E3F9C9996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3" l="1"/>
  <c r="I23" i="3" s="1"/>
  <c r="B23" i="3" s="1"/>
  <c r="C30" i="3"/>
  <c r="F23" i="3" s="1"/>
  <c r="D30" i="3"/>
  <c r="J23" i="3" s="1"/>
  <c r="D23" i="3" s="1"/>
  <c r="E30" i="3"/>
  <c r="K23" i="3" s="1"/>
  <c r="E23" i="3" s="1"/>
  <c r="F30" i="3"/>
  <c r="B52" i="3"/>
  <c r="C52" i="3"/>
  <c r="D52" i="3"/>
  <c r="E52" i="3"/>
  <c r="F52" i="3"/>
  <c r="I15" i="3" l="1"/>
  <c r="B15" i="3" s="1"/>
  <c r="K15" i="3"/>
  <c r="E15" i="3" s="1"/>
  <c r="J15" i="3"/>
  <c r="D15" i="3" s="1"/>
  <c r="F15" i="3"/>
  <c r="H22" i="4" l="1"/>
  <c r="B29" i="3" l="1"/>
  <c r="I22" i="3" s="1"/>
  <c r="C29" i="3"/>
  <c r="F14" i="3" s="1"/>
  <c r="D29" i="3"/>
  <c r="J14" i="3" s="1"/>
  <c r="D14" i="3" s="1"/>
  <c r="E29" i="3"/>
  <c r="K22" i="3" s="1"/>
  <c r="E22" i="3" s="1"/>
  <c r="F29" i="3"/>
  <c r="B51" i="3"/>
  <c r="C51" i="3"/>
  <c r="D51" i="3"/>
  <c r="E51" i="3"/>
  <c r="F51" i="3"/>
  <c r="H21" i="4"/>
  <c r="J22" i="3" l="1"/>
  <c r="D22" i="3" s="1"/>
  <c r="K14" i="3"/>
  <c r="E14" i="3" s="1"/>
  <c r="B22" i="3"/>
  <c r="I14" i="3"/>
  <c r="B14" i="3" s="1"/>
  <c r="F22" i="3"/>
  <c r="H26" i="4"/>
  <c r="H27" i="4" l="1"/>
  <c r="H28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<sst xmlns="http://schemas.openxmlformats.org/spreadsheetml/2006/main" count="249" uniqueCount="145">
  <si>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</si>
  <si>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</si>
  <si>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</si>
  <si>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</si>
  <si>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</si>
  <si>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</si>
  <si>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</si>
  <si>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</si>
  <si>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</si>
  <si>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</si>
  <si>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</si>
  <si>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</si>
  <si>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</si>
  <si>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</si>
  <si>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</si>
  <si>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</si>
  <si>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</si>
  <si>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</si>
  <si>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</si>
  <si>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</si>
  <si>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</si>
  <si>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</si>
  <si>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</si>
  <si>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</si>
  <si>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</si>
  <si>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</si>
  <si>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</si>
  <si>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</si>
  <si>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</si>
  <si>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</si>
  <si>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</si>
  <si>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</si>
  <si>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</si>
  <si>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</si>
  <si>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</si>
  <si>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</si>
  <si>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</si>
  <si>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</si>
  <si>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</si>
  <si>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</si>
  <si>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</si>
  <si>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</si>
  <si>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</si>
  <si>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</si>
  <si>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</si>
  <si>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</si>
  <si>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</si>
  <si>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</si>
  <si>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</si>
  <si>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</si>
  <si>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</si>
  <si>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</si>
  <si>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</si>
  <si>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</si>
  <si>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</si>
  <si>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</si>
  <si>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</si>
  <si>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</si>
  <si>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</si>
  <si>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</si>
  <si>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</si>
  <si>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</si>
  <si>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</si>
  <si>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</si>
  <si>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</si>
  <si>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</si>
  <si>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</si>
  <si>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</si>
  <si>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</si>
  <si>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</si>
  <si>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</si>
  <si>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</si>
  <si>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</si>
  <si>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</si>
  <si>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</si>
  <si>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</si>
  <si>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</si>
  <si>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</si>
  <si>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</si>
  <si>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</si>
  <si>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</si>
  <si>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</si>
  <si>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</si>
  <si>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</si>
  <si>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</si>
  <si>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</si>
  <si>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</si>
  <si>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</si>
  <si>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</si>
  <si>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</si>
  <si>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</si>
  <si>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</si>
  <si>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</si>
  <si>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</si>
  <si>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</si>
  <si>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</si>
  <si>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</si>
  <si>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</si>
  <si>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</si>
  <si>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</si>
  <si>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</si>
  <si>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</si>
  <si>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</si>
  <si>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</si>
  <si>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</si>
  <si>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</si>
  <si>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</si>
  <si>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</si>
  <si>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</si>
  <si>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</si>
  <si>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</si>
  <si>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</si>
  <si>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</si>
  <si>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</si>
  <si>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</si>
  <si>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</si>
  <si>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</si>
  <si>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</si>
  <si>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</si>
  <si>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</si>
  <si>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</si>
  <si>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</si>
  <si>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</si>
  <si>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</si>
  <si>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</si>
  <si>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</si>
  <si>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</si>
  <si>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</si>
  <si>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</si>
  <si>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</si>
  <si>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</si>
  <si>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</si>
  <si>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</si>
  <si>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</si>
  <si>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</si>
  <si>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</si>
  <si>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</si>
  <si>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</si>
  <si>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</si>
  <si>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</si>
  <si>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</si>
  <si>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</si>
  <si>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N° 11363</t>
  </si>
  <si>
    <t>CUB C/R FRENTE 90° R8</t>
  </si>
  <si>
    <t>BLANCO MERINO 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</si>
</sst>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6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" fontId="15" fillId="0" borderId="2" xfId="0" applyNumberFormat="1" applyFont="1" applyBorder="1" applyAlignment="1">
      <alignment horizontal="right" vertical="center"/>
    </xf>
    <xf numFmtId="0" fontId="3" fillId="0" borderId="32" xfId="0" applyFont="1" applyBorder="1" applyAlignment="1">
      <alignment horizontal="center"/>
    </xf>
    <xf numFmtId="0" fontId="7" fillId="0" borderId="32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45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abSelected="1" topLeftCell="A5" workbookViewId="0">
      <selection activeCell="G13" sqref="G1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7191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45740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45744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22931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8</v>
      </c>
      <c r="C21" s="106" t="s">
        <v>143</v>
      </c>
      <c r="D21" s="123">
        <v>2010</v>
      </c>
      <c r="E21" s="123">
        <v>600</v>
      </c>
      <c r="F21" s="106" t="s">
        <v>144</v>
      </c>
      <c r="G21" s="108">
        <v>63918</v>
      </c>
      <c r="H21" s="107">
        <f t="shared" ref="H21" si="0">G21*B21</f>
        <v>511344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6</v>
      </c>
      <c r="C22" s="106" t="s">
        <v>36</v>
      </c>
      <c r="D22" s="123">
        <v>1800</v>
      </c>
      <c r="E22" s="123">
        <v>900</v>
      </c>
      <c r="F22" s="106" t="s">
        <v>144</v>
      </c>
      <c r="G22" s="108">
        <v>85720</v>
      </c>
      <c r="H22" s="107">
        <f t="shared" ref="H22" si="1">G22*B22</f>
        <v>514320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109"/>
      <c r="E23" s="109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1025664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194876.16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1220540.1599999999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8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zoomScaleNormal="100" workbookViewId="0">
      <selection activeCell="H27" sqref="H27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40" t="s">
        <v>27</v>
      </c>
      <c r="D4" s="14">
        <f>'4637'!G8</f>
        <v>7191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45744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8</v>
      </c>
      <c r="C14" s="25"/>
      <c r="D14" s="25">
        <f t="shared" ref="D14" si="1">J14+D$13</f>
        <v>2090</v>
      </c>
      <c r="E14" s="35">
        <f>K14+E$13</f>
        <v>570</v>
      </c>
      <c r="F14" s="103" t="str">
        <f>C29</f>
        <v>CUB C/R FRENTE 90° R8</v>
      </c>
      <c r="G14" s="1"/>
      <c r="I14" s="3">
        <f>I22</f>
        <v>8</v>
      </c>
      <c r="J14" s="4">
        <f>D29</f>
        <v>2010</v>
      </c>
      <c r="K14" s="4">
        <f>E29</f>
        <v>600</v>
      </c>
    </row>
    <row r="15" spans="1:14" ht="15.6" x14ac:dyDescent="0.3">
      <c r="A15" s="96"/>
      <c r="B15" s="25">
        <f t="shared" ref="B15" si="2">I15</f>
        <v>6</v>
      </c>
      <c r="C15" s="25"/>
      <c r="D15" s="25">
        <f t="shared" ref="D15" si="3">J15+D$13</f>
        <v>1880</v>
      </c>
      <c r="E15" s="35">
        <f>K15</f>
        <v>900</v>
      </c>
      <c r="F15" s="103" t="str">
        <f>C30</f>
        <v>CUB MESA 180° 2 LADOS</v>
      </c>
      <c r="G15" s="1"/>
      <c r="I15" s="3">
        <f>I23</f>
        <v>6</v>
      </c>
      <c r="J15" s="4">
        <f t="shared" ref="J15:K15" si="4">D30</f>
        <v>1800</v>
      </c>
      <c r="K15" s="4">
        <f t="shared" si="4"/>
        <v>900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8" t="s">
        <v>14</v>
      </c>
      <c r="B18" s="118"/>
      <c r="C18" s="118"/>
      <c r="D18" s="118"/>
      <c r="E18" s="118"/>
      <c r="F18" s="118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150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5">I22</f>
        <v>8</v>
      </c>
      <c r="C22" s="16"/>
      <c r="D22" s="16">
        <f>J22+D$21</f>
        <v>2050</v>
      </c>
      <c r="E22" s="16">
        <f>K22+E$21</f>
        <v>750</v>
      </c>
      <c r="F22" s="104" t="str">
        <f>C29</f>
        <v>CUB C/R FRENTE 90° R8</v>
      </c>
      <c r="G22" s="1"/>
      <c r="I22" s="3">
        <f>B29</f>
        <v>8</v>
      </c>
      <c r="J22" s="4">
        <f t="shared" ref="J22:K22" si="6">D29</f>
        <v>2010</v>
      </c>
      <c r="K22" s="4">
        <f t="shared" si="6"/>
        <v>600</v>
      </c>
    </row>
    <row r="23" spans="1:11" ht="15.6" x14ac:dyDescent="0.3">
      <c r="A23" s="96"/>
      <c r="B23" s="124">
        <f t="shared" ref="B23" si="7">I23</f>
        <v>6</v>
      </c>
      <c r="C23" s="124"/>
      <c r="D23" s="124">
        <f>J23+D$21</f>
        <v>1840</v>
      </c>
      <c r="E23" s="124">
        <f>K23+E$21</f>
        <v>1050</v>
      </c>
      <c r="F23" s="125" t="str">
        <f>C30</f>
        <v>CUB MESA 180° 2 LADOS</v>
      </c>
      <c r="G23" s="1"/>
      <c r="I23" s="3">
        <f>B30</f>
        <v>6</v>
      </c>
      <c r="J23" s="4">
        <f>D30</f>
        <v>1800</v>
      </c>
      <c r="K23" s="4">
        <f>E30</f>
        <v>900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8</v>
      </c>
      <c r="C29" s="103" t="str">
        <f>'4637'!C21</f>
        <v>CUB C/R FRENTE 90° R8</v>
      </c>
      <c r="D29" s="25">
        <f>'4637'!D21</f>
        <v>2010</v>
      </c>
      <c r="E29" s="25">
        <f>'4637'!E21</f>
        <v>600</v>
      </c>
      <c r="F29" s="25" t="str">
        <f>'4637'!F21</f>
        <v>BLANCO MERINO MATE</v>
      </c>
      <c r="G29" s="1"/>
    </row>
    <row r="30" spans="1:11" ht="15.6" x14ac:dyDescent="0.3">
      <c r="A30" s="96"/>
      <c r="B30" s="25">
        <f>'4637'!B22</f>
        <v>6</v>
      </c>
      <c r="C30" s="103" t="str">
        <f>'4637'!C22</f>
        <v>CUB MESA 180° 2 LADOS</v>
      </c>
      <c r="D30" s="25">
        <f>'4637'!D22</f>
        <v>1800</v>
      </c>
      <c r="E30" s="25">
        <f>'4637'!E22</f>
        <v>900</v>
      </c>
      <c r="F30" s="25" t="str">
        <f>'4637'!F22</f>
        <v>BLANCO MERINO MATE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7191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45744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8" t="s">
        <v>68</v>
      </c>
      <c r="B47" s="118"/>
      <c r="C47" s="118"/>
      <c r="D47" s="118"/>
      <c r="E47" s="118"/>
      <c r="F47" s="118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9" t="s">
        <v>69</v>
      </c>
      <c r="C49" s="120"/>
      <c r="D49" s="121"/>
      <c r="E49" s="121"/>
      <c r="F49" s="122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8</v>
      </c>
      <c r="C51" s="102" t="str">
        <f>'4637'!C21</f>
        <v>CUB C/R FRENTE 90° R8</v>
      </c>
      <c r="D51" s="39">
        <f>'4637'!D21</f>
        <v>2010</v>
      </c>
      <c r="E51" s="39">
        <f>'4637'!E21</f>
        <v>600</v>
      </c>
      <c r="F51" s="38" t="str">
        <f>'4637'!F21</f>
        <v>BLANCO MERINO MATE</v>
      </c>
      <c r="G51" s="1"/>
    </row>
    <row r="52" spans="1:7" s="15" customFormat="1" ht="15" customHeight="1" x14ac:dyDescent="0.3">
      <c r="A52" s="96"/>
      <c r="B52" s="38">
        <f>'4637'!B22</f>
        <v>6</v>
      </c>
      <c r="C52" s="102" t="str">
        <f>'4637'!C22</f>
        <v>CUB MESA 180° 2 LADOS</v>
      </c>
      <c r="D52" s="39">
        <f>'4637'!D22</f>
        <v>1800</v>
      </c>
      <c r="E52" s="39">
        <f>'4637'!E22</f>
        <v>900</v>
      </c>
      <c r="F52" s="38" t="str">
        <f>'4637'!F22</f>
        <v>BLANCO MERINO MATE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2025-03-05T21:10:06Z</cp:lastPrinted>
  <dcterms:created xsi:type="dcterms:W3CDTF">2013-03-19T12:54:14Z</dcterms:created>
  <dcterms:modified xsi:type="dcterms:W3CDTF">2025-03-24T17:24:25Z</dcterms:modified>
</cp:coreProperties>
</file>