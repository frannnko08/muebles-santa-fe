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EF469C96-1443-4377-9347-B823575D6E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F15" i="3"/>
  <c r="I15" i="3"/>
  <c r="B15" i="3" s="1"/>
  <c r="J15" i="3"/>
  <c r="D15" i="3" s="1"/>
  <c r="K15" i="3"/>
  <c r="F23" i="3"/>
  <c r="I23" i="3"/>
  <c r="B23" i="3" s="1"/>
  <c r="J23" i="3"/>
  <c r="D23" i="3" s="1"/>
  <c r="K23" i="3"/>
  <c r="E23" i="3" s="1"/>
  <c r="B30" i="3"/>
  <c r="C30" i="3"/>
  <c r="D30" i="3"/>
  <c r="E30" i="3"/>
  <c r="F30" i="3"/>
  <c r="B52" i="3"/>
  <c r="C52" i="3"/>
  <c r="D52" i="3"/>
  <c r="E52" i="3"/>
  <c r="F52" i="3"/>
  <c r="H22" i="4" l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B22" i="3"/>
  <c r="I14" i="3"/>
  <c r="B14" i="3" s="1"/>
  <c r="F22" i="3"/>
  <c r="H25" i="4"/>
  <c r="H26" i="4" l="1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<sst xmlns="http://schemas.openxmlformats.org/spreadsheetml/2006/main" count="249" uniqueCount="145">
  <si>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</si>
  <si>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</si>
  <si>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</si>
  <si>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</si>
  <si>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</si>
  <si>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</si>
  <si>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</si>
  <si>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</si>
  <si>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</si>
  <si>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</si>
  <si>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</si>
  <si>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</si>
  <si>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</si>
  <si>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</si>
  <si>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</si>
  <si>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</si>
  <si>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</si>
  <si>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</si>
  <si>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</si>
  <si>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</si>
  <si>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</si>
  <si>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</si>
  <si>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</si>
  <si>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</si>
  <si>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</si>
  <si>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</si>
  <si>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</si>
  <si>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</si>
  <si>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</si>
  <si>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</si>
  <si>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</si>
  <si>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</si>
  <si>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</si>
  <si>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</si>
  <si>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</si>
  <si>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</si>
  <si>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</si>
  <si>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</si>
  <si>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</si>
  <si>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</si>
  <si>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</si>
  <si>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</si>
  <si>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</si>
  <si>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</si>
  <si>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</si>
  <si>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</si>
  <si>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</si>
  <si>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</si>
  <si>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</si>
  <si>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</si>
  <si>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</si>
  <si>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</si>
  <si>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</si>
  <si>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</si>
  <si>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</si>
  <si>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</si>
  <si>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</si>
  <si>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</si>
  <si>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</si>
  <si>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</si>
  <si>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</si>
  <si>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</si>
  <si>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</si>
  <si>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</si>
  <si>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</si>
  <si>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</si>
  <si>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</si>
  <si>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</si>
  <si>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</si>
  <si>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</si>
  <si>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</si>
  <si>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</si>
  <si>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</si>
  <si>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</si>
  <si>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</si>
  <si>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</si>
  <si>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</si>
  <si>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</si>
  <si>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</si>
  <si>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</si>
  <si>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</si>
  <si>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</si>
  <si>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</si>
  <si>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</si>
  <si>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</si>
  <si>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</si>
  <si>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</si>
  <si>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</si>
  <si>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</si>
  <si>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</si>
  <si>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</si>
  <si>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</si>
  <si>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</si>
  <si>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</si>
  <si>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</si>
  <si>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</si>
  <si>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</si>
  <si>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</si>
  <si>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</si>
  <si>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</si>
  <si>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</si>
  <si>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</si>
  <si>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</si>
  <si>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</si>
  <si>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</si>
  <si>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</si>
  <si>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</si>
  <si>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</si>
  <si>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</si>
  <si>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</si>
  <si>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</si>
  <si>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</si>
  <si>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</si>
  <si>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</si>
  <si>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</si>
  <si>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</si>
  <si>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</si>
  <si>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</si>
  <si>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</si>
  <si>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</si>
  <si>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</si>
  <si>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</si>
  <si>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</si>
  <si>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</si>
  <si>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</si>
  <si>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</si>
  <si>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</si>
  <si>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</si>
  <si>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</si>
  <si>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</si>
  <si>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</si>
  <si>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</si>
  <si>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</si>
  <si>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</si>
  <si>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</si>
  <si>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</si>
  <si>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</si>
  <si>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</si>
  <si>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</si>
  <si>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</si>
  <si>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</si>
  <si>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</si>
  <si>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11322</t>
  </si>
  <si>
    <t>CUB C/R R8</t>
  </si>
  <si>
    <t>BLANCO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</si>
</sst>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5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7179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45721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45722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22871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5</v>
      </c>
      <c r="C21" s="106" t="s">
        <v>143</v>
      </c>
      <c r="D21" s="109">
        <v>2010</v>
      </c>
      <c r="E21" s="109">
        <v>600</v>
      </c>
      <c r="F21" s="106" t="s">
        <v>144</v>
      </c>
      <c r="G21" s="108">
        <v>72710</v>
      </c>
      <c r="H21" s="107">
        <f t="shared" ref="H21" si="0">G21*B21</f>
        <v>363550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143</v>
      </c>
      <c r="D22" s="109">
        <v>1210</v>
      </c>
      <c r="E22" s="109">
        <v>600</v>
      </c>
      <c r="F22" s="106" t="s">
        <v>144</v>
      </c>
      <c r="G22" s="108">
        <v>44570</v>
      </c>
      <c r="H22" s="107">
        <f t="shared" ref="H22" si="1">G22*B22</f>
        <v>44570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408120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77542.8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485662.8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activeCell="A2" sqref="A2:G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7179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5</v>
      </c>
      <c r="C14" s="25"/>
      <c r="D14" s="25">
        <f t="shared" ref="D14" si="1">J14+D$13</f>
        <v>2090</v>
      </c>
      <c r="E14" s="35">
        <f>K14+E$13</f>
        <v>570</v>
      </c>
      <c r="F14" s="103" t="str">
        <f>C29</f>
        <v>CUB C/R R8</v>
      </c>
      <c r="G14" s="1"/>
      <c r="I14" s="3">
        <f>I22</f>
        <v>5</v>
      </c>
      <c r="J14" s="4">
        <f>D29</f>
        <v>2010</v>
      </c>
      <c r="K14" s="4">
        <f>E29</f>
        <v>600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1290</v>
      </c>
      <c r="E15" s="35">
        <f>K15+E$13</f>
        <v>570</v>
      </c>
      <c r="F15" s="103" t="str">
        <f>C30</f>
        <v>CUB C/R R8</v>
      </c>
      <c r="G15" s="1"/>
      <c r="I15" s="3">
        <f>I23</f>
        <v>1</v>
      </c>
      <c r="J15" s="4">
        <f>D30</f>
        <v>1210</v>
      </c>
      <c r="K15" s="4">
        <f>E30</f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4">I22</f>
        <v>5</v>
      </c>
      <c r="C22" s="16"/>
      <c r="D22" s="16">
        <f>J22+D$21</f>
        <v>2050</v>
      </c>
      <c r="E22" s="16">
        <f>K22+E$21</f>
        <v>730</v>
      </c>
      <c r="F22" s="104" t="str">
        <f>C29</f>
        <v>CUB C/R R8</v>
      </c>
      <c r="G22" s="1"/>
      <c r="I22" s="3">
        <f>B29</f>
        <v>5</v>
      </c>
      <c r="J22" s="4">
        <f t="shared" ref="J22:K22" si="5">D29</f>
        <v>2010</v>
      </c>
      <c r="K22" s="4">
        <f t="shared" si="5"/>
        <v>600</v>
      </c>
    </row>
    <row r="23" spans="1:11" ht="15.6" x14ac:dyDescent="0.3">
      <c r="A23" s="96"/>
      <c r="B23" s="16">
        <f t="shared" ref="B23" si="6">I23</f>
        <v>1</v>
      </c>
      <c r="C23" s="16"/>
      <c r="D23" s="16">
        <f>J23+D$21</f>
        <v>1250</v>
      </c>
      <c r="E23" s="16">
        <f>K23+E$21</f>
        <v>730</v>
      </c>
      <c r="F23" s="104" t="str">
        <f>C30</f>
        <v>CUB C/R R8</v>
      </c>
      <c r="G23" s="1"/>
      <c r="I23" s="3">
        <f>B30</f>
        <v>1</v>
      </c>
      <c r="J23" s="4">
        <f t="shared" ref="J23" si="7">D30</f>
        <v>1210</v>
      </c>
      <c r="K23" s="4">
        <f t="shared" ref="K23" si="8">E30</f>
        <v>600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5</v>
      </c>
      <c r="C29" s="103" t="str">
        <f>'4637'!C21</f>
        <v>CUB C/R R8</v>
      </c>
      <c r="D29" s="25">
        <f>'4637'!D21</f>
        <v>2010</v>
      </c>
      <c r="E29" s="25">
        <f>'4637'!E21</f>
        <v>600</v>
      </c>
      <c r="F29" s="25" t="str">
        <f>'4637'!F21</f>
        <v>BLANCO OPACO MERINO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C/R R8</v>
      </c>
      <c r="D30" s="25">
        <f>'4637'!D22</f>
        <v>1210</v>
      </c>
      <c r="E30" s="25">
        <f>'4637'!E22</f>
        <v>600</v>
      </c>
      <c r="F30" s="25" t="str">
        <f>'4637'!F22</f>
        <v>BLANCO OPACO MERINO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7179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45722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8" t="s">
        <v>68</v>
      </c>
      <c r="B47" s="118"/>
      <c r="C47" s="118"/>
      <c r="D47" s="118"/>
      <c r="E47" s="118"/>
      <c r="F47" s="11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9" t="s">
        <v>69</v>
      </c>
      <c r="C49" s="120"/>
      <c r="D49" s="121"/>
      <c r="E49" s="121"/>
      <c r="F49" s="12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5</v>
      </c>
      <c r="C51" s="102" t="str">
        <f>'4637'!C21</f>
        <v>CUB C/R R8</v>
      </c>
      <c r="D51" s="39">
        <f>'4637'!D21</f>
        <v>2010</v>
      </c>
      <c r="E51" s="39">
        <f>'4637'!E21</f>
        <v>600</v>
      </c>
      <c r="F51" s="38" t="str">
        <f>'4637'!F21</f>
        <v>BLANCO OPACO MERINO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C/R R8</v>
      </c>
      <c r="D52" s="39">
        <f>'4637'!D22</f>
        <v>1210</v>
      </c>
      <c r="E52" s="39">
        <f>'4637'!E22</f>
        <v>600</v>
      </c>
      <c r="F52" s="38" t="str">
        <f>'4637'!F22</f>
        <v>BLANCO OPACO MERINO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2025-03-05T21:10:28Z</dcterms:modified>
</cp:coreProperties>
</file>