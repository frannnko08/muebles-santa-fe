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3 MARZO 2025\"/>
    </mc:Choice>
  </mc:AlternateContent>
  <xr:revisionPtr revIDLastSave="0" documentId="13_ncr:1_{F44743F1-BC66-42EC-9093-C9E14401029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3" l="1"/>
  <c r="E23" i="3"/>
  <c r="E22" i="3"/>
  <c r="D22" i="3"/>
  <c r="E15" i="3"/>
  <c r="E14" i="3"/>
  <c r="D15" i="3"/>
  <c r="D14" i="3"/>
  <c r="I14" i="3"/>
  <c r="I15" i="3"/>
  <c r="J15" i="3"/>
  <c r="K15" i="3"/>
  <c r="K14" i="3"/>
  <c r="J14" i="3"/>
  <c r="B30" i="3"/>
  <c r="I23" i="3" s="1"/>
  <c r="B23" i="3" s="1"/>
  <c r="C30" i="3"/>
  <c r="F23" i="3" s="1"/>
  <c r="D30" i="3"/>
  <c r="J23" i="3" s="1"/>
  <c r="E30" i="3"/>
  <c r="K23" i="3" s="1"/>
  <c r="F30" i="3"/>
  <c r="B52" i="3"/>
  <c r="C52" i="3"/>
  <c r="D52" i="3"/>
  <c r="E52" i="3"/>
  <c r="F52" i="3"/>
  <c r="B29" i="3" l="1"/>
  <c r="I22" i="3" s="1"/>
  <c r="C29" i="3"/>
  <c r="D29" i="3"/>
  <c r="E29" i="3"/>
  <c r="K22" i="3" s="1"/>
  <c r="F29" i="3"/>
  <c r="B51" i="3"/>
  <c r="C51" i="3"/>
  <c r="D51" i="3"/>
  <c r="E51" i="3"/>
  <c r="F51" i="3"/>
  <c r="J22" i="3" l="1"/>
  <c r="B22" i="3"/>
  <c r="F22" i="3"/>
  <c r="H27" i="4" l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<sst xmlns="http://schemas.openxmlformats.org/spreadsheetml/2006/main" count="243" uniqueCount="140">
  <si>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</si>
  <si>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</si>
  <si>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</si>
  <si>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</si>
  <si>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</si>
  <si>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</si>
  <si>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</si>
  <si>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</si>
  <si>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</si>
  <si>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</si>
  <si>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</si>
  <si>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</si>
  <si>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</si>
  <si>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</si>
  <si>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</si>
  <si>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</si>
  <si>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</si>
  <si>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</si>
  <si>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</si>
  <si>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</si>
  <si>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</si>
  <si>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</si>
  <si>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</si>
  <si>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</si>
  <si>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</si>
  <si>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</si>
  <si>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</si>
  <si>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</si>
  <si>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</si>
  <si>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</si>
  <si>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</si>
  <si>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</si>
  <si>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</si>
  <si>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</si>
  <si>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</si>
  <si>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</si>
  <si>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</si>
  <si>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</si>
  <si>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</si>
  <si>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</si>
  <si>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</si>
  <si>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</si>
  <si>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</si>
  <si>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</si>
  <si>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</si>
  <si>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</si>
  <si>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</si>
  <si>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</si>
  <si>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</si>
  <si>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</si>
  <si>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</si>
  <si>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</si>
  <si>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</si>
  <si>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</si>
  <si>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</si>
  <si>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</si>
  <si>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</si>
  <si>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</si>
  <si>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</si>
  <si>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</si>
  <si>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</si>
  <si>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</si>
  <si>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</si>
  <si>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</si>
  <si>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</si>
  <si>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</si>
  <si>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</si>
  <si>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</si>
  <si>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</si>
  <si>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</si>
  <si>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</si>
  <si>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</si>
  <si>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</si>
  <si>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</si>
  <si>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</si>
  <si>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</si>
  <si>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</si>
  <si>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</si>
  <si>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</si>
  <si>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</si>
  <si>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</si>
  <si>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</si>
  <si>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</si>
  <si>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</si>
  <si>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</si>
  <si>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</si>
  <si>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</si>
  <si>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</si>
  <si>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</si>
  <si>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</si>
  <si>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</si>
  <si>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</si>
  <si>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</si>
  <si>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</si>
  <si>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</si>
  <si>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</si>
  <si>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</si>
  <si>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</si>
  <si>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</si>
  <si>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</si>
  <si>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</si>
  <si>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</si>
  <si>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</si>
  <si>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</si>
  <si>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</si>
  <si>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</si>
  <si>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</si>
  <si>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</si>
  <si>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</si>
  <si>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</si>
  <si>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</si>
  <si>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</si>
  <si>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</si>
  <si>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</si>
  <si>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</si>
  <si>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</si>
  <si>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</si>
  <si>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</si>
  <si>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</si>
  <si>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</si>
  <si>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</si>
  <si>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</si>
  <si>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</si>
  <si>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</si>
  <si>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</si>
  <si>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</si>
  <si>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</si>
  <si>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</si>
  <si>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</si>
  <si>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</si>
  <si>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</si>
  <si>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</si>
  <si>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</si>
  <si>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CONTADO</t>
  </si>
  <si>
    <t>CUB C/R 90°</t>
  </si>
  <si>
    <t>ROJO BRILLANTE</t>
  </si>
  <si>
    <t>JUAN VERA</t>
  </si>
  <si>
    <t>569 6338 7511</t>
  </si>
  <si>
    <t>FRANCO DONOSO</t>
  </si>
  <si>
    <t xml:space="preserve">N°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</si>
</sst>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3" borderId="0" xfId="0" applyFont="1" applyFill="1"/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8" fillId="3" borderId="0" xfId="0" quotePrefix="1" applyFont="1" applyFill="1"/>
    <xf numFmtId="0" fontId="1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9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$ 80.000.-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1019175</xdr:colOff>
      <xdr:row>54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447675</xdr:colOff>
      <xdr:row>54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54</xdr:row>
      <xdr:rowOff>190500</xdr:rowOff>
    </xdr:from>
    <xdr:to>
      <xdr:col>2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54</xdr:row>
      <xdr:rowOff>190500</xdr:rowOff>
    </xdr:from>
    <xdr:to>
      <xdr:col>2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190500</xdr:rowOff>
    </xdr:from>
    <xdr:to>
      <xdr:col>3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190500</xdr:rowOff>
    </xdr:from>
    <xdr:to>
      <xdr:col>4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190500</xdr:rowOff>
    </xdr:from>
    <xdr:to>
      <xdr:col>5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190500</xdr:rowOff>
    </xdr:from>
    <xdr:to>
      <xdr:col>6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57</xdr:row>
      <xdr:rowOff>32385</xdr:rowOff>
    </xdr:from>
    <xdr:to>
      <xdr:col>6</xdr:col>
      <xdr:colOff>19050</xdr:colOff>
      <xdr:row>61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801763</xdr:colOff>
      <xdr:row>45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workbookViewId="0">
      <selection activeCell="D8" sqref="D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45.109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139</v>
      </c>
      <c r="E8" s="1"/>
      <c r="F8" s="93" t="s">
        <v>27</v>
      </c>
      <c r="G8" s="94">
        <v>7190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85" t="s">
        <v>136</v>
      </c>
      <c r="D10" s="54"/>
      <c r="E10" s="54"/>
      <c r="F10" s="55" t="s">
        <v>28</v>
      </c>
      <c r="G10" s="56">
        <v>45734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"/>
      <c r="D11" s="59"/>
      <c r="E11" s="59"/>
      <c r="F11" s="59" t="s">
        <v>124</v>
      </c>
      <c r="G11" s="60">
        <v>45741</v>
      </c>
      <c r="H11" s="61"/>
      <c r="I11" s="1"/>
    </row>
    <row r="12" spans="1:17" ht="15.6" x14ac:dyDescent="0.3">
      <c r="A12" s="1"/>
      <c r="B12" s="62" t="s">
        <v>130</v>
      </c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132</v>
      </c>
      <c r="C13" s="107"/>
      <c r="D13" s="42"/>
      <c r="E13" s="42"/>
      <c r="F13" s="42" t="s">
        <v>128</v>
      </c>
      <c r="G13" s="63" t="s">
        <v>138</v>
      </c>
      <c r="H13" s="64"/>
      <c r="I13" s="1"/>
    </row>
    <row r="14" spans="1:17" ht="15.6" x14ac:dyDescent="0.3">
      <c r="A14" s="1"/>
      <c r="B14" s="58" t="s">
        <v>17</v>
      </c>
      <c r="C14" s="110" t="s">
        <v>137</v>
      </c>
      <c r="D14" s="65"/>
      <c r="E14" s="59"/>
      <c r="F14" s="59" t="s">
        <v>29</v>
      </c>
      <c r="G14" s="59"/>
      <c r="H14" s="61"/>
      <c r="I14" s="1"/>
    </row>
    <row r="15" spans="1:17" ht="15.6" x14ac:dyDescent="0.3">
      <c r="A15" s="1"/>
      <c r="B15" s="62" t="s">
        <v>1</v>
      </c>
      <c r="C15" s="100"/>
      <c r="D15" s="42"/>
      <c r="E15" s="42"/>
      <c r="F15" s="66" t="s">
        <v>75</v>
      </c>
      <c r="G15" s="66" t="s">
        <v>133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131</v>
      </c>
      <c r="D16" s="68"/>
      <c r="E16" s="69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6.2" thickBot="1" x14ac:dyDescent="0.35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thickBot="1" x14ac:dyDescent="0.35">
      <c r="A21" s="1"/>
      <c r="B21" s="104">
        <v>1</v>
      </c>
      <c r="C21" s="104" t="s">
        <v>134</v>
      </c>
      <c r="D21" s="105">
        <v>2000</v>
      </c>
      <c r="E21" s="105">
        <v>500</v>
      </c>
      <c r="F21" s="104" t="s">
        <v>135</v>
      </c>
      <c r="G21" s="108"/>
      <c r="H21" s="109"/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4">
        <v>1</v>
      </c>
      <c r="C22" s="104" t="s">
        <v>134</v>
      </c>
      <c r="D22" s="105">
        <v>1000</v>
      </c>
      <c r="E22" s="105">
        <v>500</v>
      </c>
      <c r="F22" s="104" t="s">
        <v>135</v>
      </c>
      <c r="G22" s="108"/>
      <c r="H22" s="10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6"/>
      <c r="C23" s="96"/>
      <c r="D23" s="96"/>
      <c r="E23" s="96"/>
      <c r="F23" s="97"/>
      <c r="G23" s="98"/>
      <c r="H23" s="98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3"/>
      <c r="C24" s="73"/>
      <c r="D24" s="73"/>
      <c r="E24" s="73"/>
      <c r="F24" s="73"/>
      <c r="G24" s="74"/>
      <c r="H24" s="74"/>
      <c r="I24" s="1"/>
    </row>
    <row r="25" spans="1:16" ht="15.6" x14ac:dyDescent="0.3">
      <c r="A25" s="1"/>
      <c r="B25" s="1"/>
      <c r="C25" s="1"/>
      <c r="D25" s="1"/>
      <c r="E25" s="1"/>
      <c r="F25" s="1"/>
      <c r="G25" s="75" t="s">
        <v>5</v>
      </c>
      <c r="H25" s="76">
        <v>80000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7" t="s">
        <v>6</v>
      </c>
      <c r="H26" s="78"/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9" t="s">
        <v>4</v>
      </c>
      <c r="H27" s="80">
        <f>H25+H26</f>
        <v>80000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1"/>
      <c r="H28" s="99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1" t="s">
        <v>123</v>
      </c>
      <c r="C30" s="82"/>
      <c r="D30" s="83"/>
      <c r="E30" s="83"/>
      <c r="F30" s="73"/>
      <c r="G30" s="1"/>
      <c r="H30" s="1"/>
      <c r="I30" s="1"/>
    </row>
    <row r="31" spans="1:16" ht="15.6" x14ac:dyDescent="0.3">
      <c r="A31" s="1"/>
      <c r="B31" s="81" t="s">
        <v>122</v>
      </c>
      <c r="C31" s="82"/>
      <c r="D31" s="83"/>
      <c r="E31" s="83"/>
      <c r="F31" s="73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4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5"/>
  <sheetViews>
    <sheetView topLeftCell="B61" zoomScaleNormal="100" workbookViewId="0">
      <selection activeCell="G39" sqref="A39:G63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39" t="s">
        <v>27</v>
      </c>
      <c r="D4" s="14">
        <f>'4637'!G8</f>
        <v>7190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JUAN VERA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45741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6" t="s">
        <v>10</v>
      </c>
      <c r="C13" s="36" t="s">
        <v>11</v>
      </c>
      <c r="D13" s="32">
        <v>50</v>
      </c>
      <c r="E13" s="32">
        <v>-30</v>
      </c>
      <c r="F13" s="36" t="s">
        <v>110</v>
      </c>
      <c r="G13" s="1"/>
      <c r="J13" s="5" t="s">
        <v>7</v>
      </c>
      <c r="K13" s="5" t="s">
        <v>8</v>
      </c>
    </row>
    <row r="14" spans="1:14" ht="15.6" x14ac:dyDescent="0.3">
      <c r="A14" s="51"/>
      <c r="B14" s="125"/>
      <c r="C14" s="125"/>
      <c r="D14" s="126">
        <f>J14+$D$13</f>
        <v>2050</v>
      </c>
      <c r="E14" s="126">
        <f>K14+$E$13</f>
        <v>470</v>
      </c>
      <c r="F14" s="125"/>
      <c r="G14" s="1"/>
      <c r="I14" s="128">
        <f>I22</f>
        <v>1</v>
      </c>
      <c r="J14" s="128">
        <f>J22</f>
        <v>2000</v>
      </c>
      <c r="K14" s="128">
        <f>K22</f>
        <v>500</v>
      </c>
    </row>
    <row r="15" spans="1:14" ht="15.6" x14ac:dyDescent="0.3">
      <c r="A15" s="95"/>
      <c r="B15" s="126"/>
      <c r="C15" s="126"/>
      <c r="D15" s="126">
        <f>J15+$D$13</f>
        <v>1050</v>
      </c>
      <c r="E15" s="126">
        <f>K15+$E$13</f>
        <v>470</v>
      </c>
      <c r="F15" s="127"/>
      <c r="G15" s="1"/>
      <c r="I15" s="128">
        <f>I23</f>
        <v>1</v>
      </c>
      <c r="J15" s="128">
        <f>J23</f>
        <v>1000</v>
      </c>
      <c r="K15" s="128">
        <f>K23</f>
        <v>500</v>
      </c>
    </row>
    <row r="16" spans="1:14" ht="15.6" x14ac:dyDescent="0.3">
      <c r="A16" s="51"/>
      <c r="B16" s="6"/>
      <c r="C16" s="6"/>
      <c r="D16" s="6"/>
      <c r="E16" s="88"/>
      <c r="F16" s="6"/>
      <c r="G16" s="1"/>
      <c r="I16" s="129"/>
      <c r="J16" s="129"/>
      <c r="K16" s="129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0" t="s">
        <v>14</v>
      </c>
      <c r="B18" s="120"/>
      <c r="C18" s="120"/>
      <c r="D18" s="120"/>
      <c r="E18" s="120"/>
      <c r="F18" s="120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1" t="s">
        <v>7</v>
      </c>
      <c r="E20" s="51" t="s">
        <v>8</v>
      </c>
      <c r="F20" s="1"/>
      <c r="G20" s="1"/>
    </row>
    <row r="21" spans="1:11" ht="15.6" x14ac:dyDescent="0.3">
      <c r="A21" s="51" t="s">
        <v>9</v>
      </c>
      <c r="B21" s="35" t="s">
        <v>10</v>
      </c>
      <c r="C21" s="35" t="s">
        <v>11</v>
      </c>
      <c r="D21" s="21">
        <v>40</v>
      </c>
      <c r="E21" s="21">
        <v>130</v>
      </c>
      <c r="F21" s="35" t="s">
        <v>110</v>
      </c>
      <c r="G21" s="1"/>
      <c r="J21" s="5" t="s">
        <v>7</v>
      </c>
      <c r="K21" s="5" t="s">
        <v>8</v>
      </c>
    </row>
    <row r="22" spans="1:11" ht="15.6" x14ac:dyDescent="0.3">
      <c r="A22" s="95"/>
      <c r="B22" s="16">
        <f t="shared" ref="B22" si="0">I22</f>
        <v>1</v>
      </c>
      <c r="C22" s="16"/>
      <c r="D22" s="16">
        <f>J22+$D$21</f>
        <v>2040</v>
      </c>
      <c r="E22" s="16">
        <f>K22+$E$21</f>
        <v>630</v>
      </c>
      <c r="F22" s="103" t="str">
        <f>C29</f>
        <v>CUB C/R 90°</v>
      </c>
      <c r="G22" s="1"/>
      <c r="I22" s="3">
        <f>B29</f>
        <v>1</v>
      </c>
      <c r="J22" s="4">
        <f t="shared" ref="J22:K22" si="1">D29</f>
        <v>2000</v>
      </c>
      <c r="K22" s="4">
        <f t="shared" si="1"/>
        <v>500</v>
      </c>
    </row>
    <row r="23" spans="1:11" ht="15.6" x14ac:dyDescent="0.3">
      <c r="A23" s="95"/>
      <c r="B23" s="16">
        <f t="shared" ref="B23" si="2">I23</f>
        <v>1</v>
      </c>
      <c r="C23" s="16"/>
      <c r="D23" s="16">
        <f>J23+$D$21</f>
        <v>1040</v>
      </c>
      <c r="E23" s="16">
        <f>K23+$E$21</f>
        <v>630</v>
      </c>
      <c r="F23" s="103" t="str">
        <f>C30</f>
        <v>CUB C/R 90°</v>
      </c>
      <c r="G23" s="1"/>
      <c r="I23" s="3">
        <f>B30</f>
        <v>1</v>
      </c>
      <c r="J23" s="4">
        <f>D30</f>
        <v>1000</v>
      </c>
      <c r="K23" s="4">
        <f>E30</f>
        <v>500</v>
      </c>
    </row>
    <row r="24" spans="1:11" ht="15.6" x14ac:dyDescent="0.3">
      <c r="A24" s="95"/>
      <c r="B24" s="6"/>
      <c r="C24" s="6"/>
      <c r="D24" s="6"/>
      <c r="E24" s="6"/>
      <c r="F24" s="6"/>
      <c r="G24" s="1"/>
      <c r="I24" s="89"/>
      <c r="J24" s="2"/>
      <c r="K24" s="2"/>
    </row>
    <row r="25" spans="1:11" ht="16.2" thickBot="1" x14ac:dyDescent="0.35">
      <c r="A25" s="51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1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1" t="s">
        <v>9</v>
      </c>
      <c r="B28" s="87" t="s">
        <v>10</v>
      </c>
      <c r="C28" s="87" t="s">
        <v>110</v>
      </c>
      <c r="D28" s="87" t="s">
        <v>7</v>
      </c>
      <c r="E28" s="87" t="s">
        <v>8</v>
      </c>
      <c r="F28" s="87" t="s">
        <v>23</v>
      </c>
      <c r="G28" s="1"/>
    </row>
    <row r="29" spans="1:11" ht="15.6" x14ac:dyDescent="0.3">
      <c r="A29" s="95"/>
      <c r="B29" s="25">
        <f>'4637'!B21</f>
        <v>1</v>
      </c>
      <c r="C29" s="102" t="str">
        <f>'4637'!C21</f>
        <v>CUB C/R 90°</v>
      </c>
      <c r="D29" s="25">
        <f>'4637'!D21</f>
        <v>2000</v>
      </c>
      <c r="E29" s="25">
        <f>'4637'!E21</f>
        <v>500</v>
      </c>
      <c r="F29" s="102" t="str">
        <f>'4637'!F21</f>
        <v>ROJO BRILLANTE</v>
      </c>
      <c r="G29" s="1"/>
    </row>
    <row r="30" spans="1:11" ht="15.6" x14ac:dyDescent="0.3">
      <c r="A30" s="95"/>
      <c r="B30" s="25">
        <f>'4637'!B22</f>
        <v>1</v>
      </c>
      <c r="C30" s="102" t="str">
        <f>'4637'!C22</f>
        <v>CUB C/R 90°</v>
      </c>
      <c r="D30" s="25">
        <f>'4637'!D22</f>
        <v>1000</v>
      </c>
      <c r="E30" s="25">
        <f>'4637'!E22</f>
        <v>500</v>
      </c>
      <c r="F30" s="102" t="str">
        <f>'4637'!F22</f>
        <v>ROJO BRILLANTE</v>
      </c>
      <c r="G30" s="1"/>
    </row>
    <row r="31" spans="1:11" ht="15.6" x14ac:dyDescent="0.3">
      <c r="A31" s="51"/>
      <c r="B31" s="6"/>
      <c r="C31" s="106"/>
      <c r="D31" s="6"/>
      <c r="E31" s="6"/>
      <c r="F31" s="6"/>
      <c r="G31" s="1"/>
    </row>
    <row r="32" spans="1:11" ht="15.6" x14ac:dyDescent="0.3">
      <c r="A32" s="51"/>
      <c r="B32" s="6"/>
      <c r="C32" s="10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39" t="s">
        <v>27</v>
      </c>
      <c r="D41" s="14">
        <f>'4637'!G8</f>
        <v>7190</v>
      </c>
      <c r="E41" s="1"/>
      <c r="F41" s="1"/>
      <c r="G41" s="1"/>
    </row>
    <row r="42" spans="1:7" ht="17.25" customHeight="1" x14ac:dyDescent="0.3">
      <c r="A42" s="1"/>
      <c r="B42" s="1"/>
      <c r="C42" s="40" t="s">
        <v>67</v>
      </c>
      <c r="D42" s="41" t="str">
        <f>'4637'!C10</f>
        <v>JUAN VERA</v>
      </c>
      <c r="E42" s="42"/>
      <c r="F42" s="42"/>
      <c r="G42" s="1"/>
    </row>
    <row r="43" spans="1:7" ht="4.5" customHeight="1" x14ac:dyDescent="0.3">
      <c r="A43" s="1"/>
      <c r="B43" s="1"/>
      <c r="C43" s="43"/>
      <c r="D43" s="44"/>
      <c r="E43" s="1"/>
      <c r="F43" s="1"/>
      <c r="G43" s="1"/>
    </row>
    <row r="44" spans="1:7" ht="15.6" x14ac:dyDescent="0.3">
      <c r="A44" s="1"/>
      <c r="B44" s="1"/>
      <c r="C44" s="45" t="str">
        <f>'4637'!F11</f>
        <v>FECHA LIMITE :</v>
      </c>
      <c r="D44" s="13">
        <f>'4637'!G11</f>
        <v>45741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20" t="s">
        <v>68</v>
      </c>
      <c r="B47" s="120"/>
      <c r="C47" s="120"/>
      <c r="D47" s="120"/>
      <c r="E47" s="120"/>
      <c r="F47" s="120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21" t="s">
        <v>69</v>
      </c>
      <c r="C49" s="122"/>
      <c r="D49" s="123"/>
      <c r="E49" s="123"/>
      <c r="F49" s="124"/>
      <c r="G49" s="1"/>
    </row>
    <row r="50" spans="1:7" s="15" customFormat="1" ht="12.75" customHeight="1" x14ac:dyDescent="0.3">
      <c r="A50" s="1"/>
      <c r="B50" s="35" t="s">
        <v>10</v>
      </c>
      <c r="C50" s="46" t="s">
        <v>11</v>
      </c>
      <c r="D50" s="47" t="s">
        <v>7</v>
      </c>
      <c r="E50" s="47" t="s">
        <v>8</v>
      </c>
      <c r="F50" s="48" t="s">
        <v>12</v>
      </c>
      <c r="G50" s="1"/>
    </row>
    <row r="51" spans="1:7" s="15" customFormat="1" ht="15" customHeight="1" x14ac:dyDescent="0.3">
      <c r="A51" s="95"/>
      <c r="B51" s="37">
        <f>'4637'!B21</f>
        <v>1</v>
      </c>
      <c r="C51" s="101" t="str">
        <f>'4637'!C21</f>
        <v>CUB C/R 90°</v>
      </c>
      <c r="D51" s="38">
        <f>'4637'!D21</f>
        <v>2000</v>
      </c>
      <c r="E51" s="38">
        <f>'4637'!E21</f>
        <v>500</v>
      </c>
      <c r="F51" s="101" t="str">
        <f>'4637'!F21</f>
        <v>ROJO BRILLANTE</v>
      </c>
      <c r="G51" s="1"/>
    </row>
    <row r="52" spans="1:7" s="15" customFormat="1" ht="15" customHeight="1" x14ac:dyDescent="0.3">
      <c r="A52" s="95"/>
      <c r="B52" s="37">
        <f>'4637'!B22</f>
        <v>1</v>
      </c>
      <c r="C52" s="101" t="str">
        <f>'4637'!C22</f>
        <v>CUB C/R 90°</v>
      </c>
      <c r="D52" s="38">
        <f>'4637'!D22</f>
        <v>1000</v>
      </c>
      <c r="E52" s="38">
        <f>'4637'!E22</f>
        <v>500</v>
      </c>
      <c r="F52" s="101" t="str">
        <f>'4637'!F22</f>
        <v>ROJO BRILLANTE</v>
      </c>
      <c r="G52" s="1"/>
    </row>
    <row r="53" spans="1:7" s="15" customFormat="1" ht="15" customHeight="1" x14ac:dyDescent="0.3">
      <c r="A53" s="95"/>
      <c r="B53" s="51"/>
      <c r="C53" s="111"/>
      <c r="D53" s="51"/>
      <c r="E53" s="51"/>
      <c r="F53" s="51"/>
      <c r="G53" s="1"/>
    </row>
    <row r="54" spans="1:7" s="15" customFormat="1" ht="15" customHeight="1" x14ac:dyDescent="0.3">
      <c r="A54" s="49"/>
      <c r="B54" s="51"/>
      <c r="C54" s="51"/>
      <c r="D54" s="51"/>
      <c r="E54" s="51"/>
      <c r="F54" s="51"/>
      <c r="G54" s="1"/>
    </row>
    <row r="55" spans="1:7" ht="15.6" x14ac:dyDescent="0.3">
      <c r="A55" s="6"/>
      <c r="B55" s="6"/>
      <c r="C55" s="1"/>
      <c r="D55" s="6"/>
      <c r="E55" s="6"/>
      <c r="F55" s="43"/>
      <c r="G55" s="1"/>
    </row>
    <row r="56" spans="1:7" ht="15.6" x14ac:dyDescent="0.3">
      <c r="A56" s="6"/>
      <c r="B56" s="6"/>
      <c r="C56" s="1"/>
      <c r="D56" s="6"/>
      <c r="E56" s="6"/>
      <c r="F56" s="6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" customHeight="1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6"/>
      <c r="B62" s="50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x14ac:dyDescent="0.3">
      <c r="B64" s="20"/>
      <c r="C64" s="20"/>
      <c r="D64" s="20"/>
      <c r="E64" s="20"/>
      <c r="F64" s="20"/>
    </row>
    <row r="65" spans="2:6" x14ac:dyDescent="0.3">
      <c r="B65" s="20"/>
      <c r="C65" s="20"/>
      <c r="E65" s="20"/>
      <c r="F65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2025-03-19T17:31:30Z</cp:lastPrinted>
  <dcterms:created xsi:type="dcterms:W3CDTF">2013-03-19T12:54:14Z</dcterms:created>
  <dcterms:modified xsi:type="dcterms:W3CDTF">2025-03-19T17:34:19Z</dcterms:modified>
</cp:coreProperties>
</file>