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ACA00F76-9C0B-4166-98D0-D4492A73CD6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'4637'!$A$1:$H$57</definedName>
    <definedName name="_xlnm.Print_Area" localSheetId="2">CUBIERTA!$A$1:$G$66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3" l="1"/>
  <c r="I37" i="3" s="1"/>
  <c r="B37" i="3" s="1"/>
  <c r="C59" i="3"/>
  <c r="F37" i="3" s="1"/>
  <c r="D59" i="3"/>
  <c r="J37" i="3" s="1"/>
  <c r="D37" i="3" s="1"/>
  <c r="E59" i="3"/>
  <c r="K37" i="3" s="1"/>
  <c r="E37" i="3" s="1"/>
  <c r="F59" i="3"/>
  <c r="B44" i="3"/>
  <c r="I22" i="3" s="1"/>
  <c r="B22" i="3" s="1"/>
  <c r="C44" i="3"/>
  <c r="F22" i="3" s="1"/>
  <c r="D44" i="3"/>
  <c r="J22" i="3" s="1"/>
  <c r="D22" i="3" s="1"/>
  <c r="E44" i="3"/>
  <c r="K22" i="3" s="1"/>
  <c r="E22" i="3" s="1"/>
  <c r="F44" i="3"/>
  <c r="B45" i="3"/>
  <c r="I23" i="3" s="1"/>
  <c r="B23" i="3" s="1"/>
  <c r="C45" i="3"/>
  <c r="F23" i="3" s="1"/>
  <c r="D45" i="3"/>
  <c r="J23" i="3" s="1"/>
  <c r="D23" i="3" s="1"/>
  <c r="E45" i="3"/>
  <c r="K23" i="3" s="1"/>
  <c r="E23" i="3" s="1"/>
  <c r="F45" i="3"/>
  <c r="B46" i="3"/>
  <c r="I24" i="3" s="1"/>
  <c r="B24" i="3" s="1"/>
  <c r="C46" i="3"/>
  <c r="F24" i="3" s="1"/>
  <c r="D46" i="3"/>
  <c r="J24" i="3" s="1"/>
  <c r="D24" i="3" s="1"/>
  <c r="E46" i="3"/>
  <c r="K24" i="3" s="1"/>
  <c r="E24" i="3" s="1"/>
  <c r="F46" i="3"/>
  <c r="B47" i="3"/>
  <c r="I25" i="3" s="1"/>
  <c r="B25" i="3" s="1"/>
  <c r="C47" i="3"/>
  <c r="F25" i="3" s="1"/>
  <c r="D47" i="3"/>
  <c r="J25" i="3" s="1"/>
  <c r="D25" i="3" s="1"/>
  <c r="E47" i="3"/>
  <c r="K25" i="3" s="1"/>
  <c r="E25" i="3" s="1"/>
  <c r="F47" i="3"/>
  <c r="B48" i="3"/>
  <c r="I26" i="3" s="1"/>
  <c r="B26" i="3" s="1"/>
  <c r="C48" i="3"/>
  <c r="F26" i="3" s="1"/>
  <c r="D48" i="3"/>
  <c r="J26" i="3" s="1"/>
  <c r="D26" i="3" s="1"/>
  <c r="E48" i="3"/>
  <c r="K26" i="3" s="1"/>
  <c r="E26" i="3" s="1"/>
  <c r="F48" i="3"/>
  <c r="B49" i="3"/>
  <c r="I27" i="3" s="1"/>
  <c r="B27" i="3" s="1"/>
  <c r="C49" i="3"/>
  <c r="F27" i="3" s="1"/>
  <c r="D49" i="3"/>
  <c r="J27" i="3" s="1"/>
  <c r="D27" i="3" s="1"/>
  <c r="E49" i="3"/>
  <c r="K27" i="3" s="1"/>
  <c r="E27" i="3" s="1"/>
  <c r="F49" i="3"/>
  <c r="B50" i="3"/>
  <c r="I28" i="3" s="1"/>
  <c r="B28" i="3" s="1"/>
  <c r="C50" i="3"/>
  <c r="F28" i="3" s="1"/>
  <c r="D50" i="3"/>
  <c r="J28" i="3" s="1"/>
  <c r="D28" i="3" s="1"/>
  <c r="E50" i="3"/>
  <c r="K28" i="3" s="1"/>
  <c r="E28" i="3" s="1"/>
  <c r="F50" i="3"/>
  <c r="B51" i="3"/>
  <c r="I29" i="3" s="1"/>
  <c r="B29" i="3" s="1"/>
  <c r="C51" i="3"/>
  <c r="F29" i="3" s="1"/>
  <c r="D51" i="3"/>
  <c r="J29" i="3" s="1"/>
  <c r="D29" i="3" s="1"/>
  <c r="E51" i="3"/>
  <c r="K29" i="3" s="1"/>
  <c r="E29" i="3" s="1"/>
  <c r="F51" i="3"/>
  <c r="B52" i="3"/>
  <c r="I30" i="3" s="1"/>
  <c r="B30" i="3" s="1"/>
  <c r="C52" i="3"/>
  <c r="F30" i="3" s="1"/>
  <c r="D52" i="3"/>
  <c r="J30" i="3" s="1"/>
  <c r="D30" i="3" s="1"/>
  <c r="E52" i="3"/>
  <c r="K30" i="3" s="1"/>
  <c r="E30" i="3" s="1"/>
  <c r="F52" i="3"/>
  <c r="B53" i="3"/>
  <c r="I31" i="3" s="1"/>
  <c r="B31" i="3" s="1"/>
  <c r="C53" i="3"/>
  <c r="F31" i="3" s="1"/>
  <c r="D53" i="3"/>
  <c r="J31" i="3" s="1"/>
  <c r="D31" i="3" s="1"/>
  <c r="E53" i="3"/>
  <c r="K31" i="3" s="1"/>
  <c r="E31" i="3" s="1"/>
  <c r="F53" i="3"/>
  <c r="B54" i="3"/>
  <c r="I32" i="3" s="1"/>
  <c r="B32" i="3" s="1"/>
  <c r="C54" i="3"/>
  <c r="F32" i="3" s="1"/>
  <c r="D54" i="3"/>
  <c r="J32" i="3" s="1"/>
  <c r="D32" i="3" s="1"/>
  <c r="E54" i="3"/>
  <c r="K32" i="3" s="1"/>
  <c r="E32" i="3" s="1"/>
  <c r="F54" i="3"/>
  <c r="B55" i="3"/>
  <c r="I33" i="3" s="1"/>
  <c r="B33" i="3" s="1"/>
  <c r="C55" i="3"/>
  <c r="F33" i="3" s="1"/>
  <c r="D55" i="3"/>
  <c r="J33" i="3" s="1"/>
  <c r="D33" i="3" s="1"/>
  <c r="E55" i="3"/>
  <c r="K33" i="3" s="1"/>
  <c r="E33" i="3" s="1"/>
  <c r="F55" i="3"/>
  <c r="B56" i="3"/>
  <c r="I34" i="3" s="1"/>
  <c r="B34" i="3" s="1"/>
  <c r="C56" i="3"/>
  <c r="F34" i="3" s="1"/>
  <c r="D56" i="3"/>
  <c r="J34" i="3" s="1"/>
  <c r="D34" i="3" s="1"/>
  <c r="E56" i="3"/>
  <c r="K34" i="3" s="1"/>
  <c r="E34" i="3" s="1"/>
  <c r="F56" i="3"/>
  <c r="B57" i="3"/>
  <c r="I35" i="3" s="1"/>
  <c r="B35" i="3" s="1"/>
  <c r="C57" i="3"/>
  <c r="F35" i="3" s="1"/>
  <c r="D57" i="3"/>
  <c r="J35" i="3" s="1"/>
  <c r="D35" i="3" s="1"/>
  <c r="E57" i="3"/>
  <c r="K35" i="3" s="1"/>
  <c r="E35" i="3" s="1"/>
  <c r="F57" i="3"/>
  <c r="B58" i="3"/>
  <c r="I36" i="3" s="1"/>
  <c r="B36" i="3" s="1"/>
  <c r="C58" i="3"/>
  <c r="F36" i="3" s="1"/>
  <c r="D58" i="3"/>
  <c r="J36" i="3" s="1"/>
  <c r="D36" i="3" s="1"/>
  <c r="E58" i="3"/>
  <c r="K36" i="3" s="1"/>
  <c r="E36" i="3" s="1"/>
  <c r="F58" i="3"/>
  <c r="B81" i="3"/>
  <c r="C81" i="3"/>
  <c r="D81" i="3"/>
  <c r="E81" i="3"/>
  <c r="F81" i="3"/>
  <c r="B82" i="3"/>
  <c r="C82" i="3"/>
  <c r="D82" i="3"/>
  <c r="E82" i="3"/>
  <c r="F82" i="3"/>
  <c r="B83" i="3"/>
  <c r="C83" i="3"/>
  <c r="D83" i="3"/>
  <c r="E83" i="3"/>
  <c r="F83" i="3"/>
  <c r="B84" i="3"/>
  <c r="C84" i="3"/>
  <c r="D84" i="3"/>
  <c r="E84" i="3"/>
  <c r="F84" i="3"/>
  <c r="B85" i="3"/>
  <c r="C85" i="3"/>
  <c r="D85" i="3"/>
  <c r="E85" i="3"/>
  <c r="F85" i="3"/>
  <c r="B86" i="3"/>
  <c r="C86" i="3"/>
  <c r="D86" i="3"/>
  <c r="E86" i="3"/>
  <c r="F86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B90" i="3"/>
  <c r="C90" i="3"/>
  <c r="D90" i="3"/>
  <c r="E90" i="3"/>
  <c r="F90" i="3"/>
  <c r="B91" i="3"/>
  <c r="C91" i="3"/>
  <c r="D91" i="3"/>
  <c r="E91" i="3"/>
  <c r="F91" i="3"/>
  <c r="B92" i="3"/>
  <c r="C92" i="3"/>
  <c r="D92" i="3"/>
  <c r="E92" i="3"/>
  <c r="F92" i="3"/>
  <c r="B93" i="3"/>
  <c r="C93" i="3"/>
  <c r="D93" i="3"/>
  <c r="E93" i="3"/>
  <c r="F93" i="3"/>
  <c r="B94" i="3"/>
  <c r="C94" i="3"/>
  <c r="D94" i="3"/>
  <c r="E94" i="3"/>
  <c r="F94" i="3"/>
  <c r="B95" i="3"/>
  <c r="C95" i="3"/>
  <c r="D95" i="3"/>
  <c r="E95" i="3"/>
  <c r="F95" i="3"/>
  <c r="B96" i="3"/>
  <c r="C96" i="3"/>
  <c r="D96" i="3"/>
  <c r="E96" i="3"/>
  <c r="F96" i="3"/>
  <c r="B43" i="3" l="1"/>
  <c r="I21" i="3" s="1"/>
  <c r="C43" i="3"/>
  <c r="D43" i="3"/>
  <c r="E43" i="3"/>
  <c r="K21" i="3" s="1"/>
  <c r="E21" i="3" s="1"/>
  <c r="F43" i="3"/>
  <c r="B80" i="3"/>
  <c r="C80" i="3"/>
  <c r="D80" i="3"/>
  <c r="E80" i="3"/>
  <c r="F80" i="3"/>
  <c r="J21" i="3" l="1"/>
  <c r="D21" i="3" s="1"/>
  <c r="B21" i="3"/>
  <c r="F21" i="3"/>
  <c r="H52" i="4" l="1"/>
  <c r="H53" i="4" l="1"/>
  <c r="N5" i="3" l="1"/>
  <c r="M5" i="3" l="1"/>
  <c r="L5" i="3"/>
  <c r="K5" i="3"/>
  <c r="C73" i="3" l="1"/>
  <c r="C7" i="3"/>
  <c r="D71" i="3"/>
  <c r="D5" i="3"/>
  <c r="D73" i="3"/>
  <c r="D7" i="3"/>
  <c r="D70" i="3"/>
  <c r="D4" i="3"/>
</calcChain>
</file>

<file path=xl/sharedStrings.xml><?xml version="1.0" encoding="utf-8"?>
<sst xmlns="http://schemas.openxmlformats.org/spreadsheetml/2006/main" count="295" uniqueCount="143">
  <si>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</si>
  <si>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</si>
  <si>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</si>
  <si>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</si>
  <si>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</si>
  <si>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</si>
  <si>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</si>
  <si>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</si>
  <si>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</si>
  <si>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</si>
  <si>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</si>
  <si>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</si>
  <si>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</si>
  <si>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</si>
  <si>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</si>
  <si>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</si>
  <si>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</si>
  <si>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</si>
  <si>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</si>
  <si>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</si>
  <si>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</si>
  <si>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</si>
  <si>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</si>
  <si>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</si>
  <si>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</si>
  <si>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</si>
  <si>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</si>
  <si>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</si>
  <si>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</si>
  <si>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</si>
  <si>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</si>
  <si>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</si>
  <si>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</si>
  <si>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</si>
  <si>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</si>
  <si>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</si>
  <si>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</si>
  <si>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</si>
  <si>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</si>
  <si>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</si>
  <si>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</si>
  <si>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</si>
  <si>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</si>
  <si>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</si>
  <si>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</si>
  <si>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</si>
  <si>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</si>
  <si>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</si>
  <si>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</si>
  <si>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</si>
  <si>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</si>
  <si>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</si>
  <si>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</si>
  <si>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</si>
  <si>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</si>
  <si>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</si>
  <si>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</si>
  <si>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</si>
  <si>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</si>
  <si>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</si>
  <si>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</si>
  <si>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</si>
  <si>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</si>
  <si>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</si>
  <si>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</si>
  <si>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</si>
  <si>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</si>
  <si>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</si>
  <si>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</si>
  <si>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</si>
  <si>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</si>
  <si>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</si>
  <si>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</si>
  <si>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</si>
  <si>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</si>
  <si>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</si>
  <si>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</si>
  <si>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</si>
  <si>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</si>
  <si>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</si>
  <si>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</si>
  <si>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</si>
  <si>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</si>
  <si>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</si>
  <si>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</si>
  <si>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</si>
  <si>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</si>
  <si>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</si>
  <si>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</si>
  <si>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</si>
  <si>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</si>
  <si>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</si>
  <si>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</si>
  <si>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</si>
  <si>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</si>
  <si>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</si>
  <si>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</si>
  <si>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</si>
  <si>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</si>
  <si>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</si>
  <si>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</si>
  <si>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</si>
  <si>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</si>
  <si>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</si>
  <si>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</si>
  <si>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</si>
  <si>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</si>
  <si>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</si>
  <si>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</si>
  <si>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</si>
  <si>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</si>
  <si>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</si>
  <si>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</si>
  <si>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</si>
  <si>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</si>
  <si>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</si>
  <si>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</si>
  <si>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</si>
  <si>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</si>
  <si>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</si>
  <si>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</si>
  <si>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</si>
  <si>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</si>
  <si>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</si>
  <si>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</si>
  <si>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</si>
  <si>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</si>
  <si>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</si>
  <si>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</si>
  <si>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</si>
  <si>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</si>
  <si>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</si>
  <si>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</si>
  <si>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</si>
  <si>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CONTADO</t>
  </si>
  <si>
    <t>569 61132480</t>
  </si>
  <si>
    <t>CORTE LAMINA</t>
  </si>
  <si>
    <t>JOSE SOLORZANO</t>
  </si>
  <si>
    <t xml:space="preserve"> INK 21032 SF</t>
  </si>
  <si>
    <t xml:space="preserve">EMERALD 21013 SF CARNIVAL 21075 SF </t>
  </si>
  <si>
    <t>SUMMER 2305 MT</t>
  </si>
  <si>
    <t>N° 9575</t>
  </si>
  <si>
    <t>RUBY 2135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</si>
</sst>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8" fillId="3" borderId="0" xfId="0" quotePrefix="1" applyFont="1" applyFill="1"/>
    <xf numFmtId="0" fontId="1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50</xdr:row>
      <xdr:rowOff>9525</xdr:rowOff>
    </xdr:from>
    <xdr:to>
      <xdr:col>5</xdr:col>
      <xdr:colOff>1390650</xdr:colOff>
      <xdr:row>54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74</xdr:row>
      <xdr:rowOff>171450</xdr:rowOff>
    </xdr:from>
    <xdr:to>
      <xdr:col>5</xdr:col>
      <xdr:colOff>1685924</xdr:colOff>
      <xdr:row>76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72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70</xdr:row>
      <xdr:rowOff>38100</xdr:rowOff>
    </xdr:from>
    <xdr:to>
      <xdr:col>6</xdr:col>
      <xdr:colOff>0</xdr:colOff>
      <xdr:row>71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69</xdr:row>
      <xdr:rowOff>0</xdr:rowOff>
    </xdr:from>
    <xdr:to>
      <xdr:col>6</xdr:col>
      <xdr:colOff>0</xdr:colOff>
      <xdr:row>70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38100</xdr:colOff>
      <xdr:row>99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98</xdr:row>
      <xdr:rowOff>0</xdr:rowOff>
    </xdr:from>
    <xdr:to>
      <xdr:col>2</xdr:col>
      <xdr:colOff>1019175</xdr:colOff>
      <xdr:row>98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98</xdr:row>
      <xdr:rowOff>0</xdr:rowOff>
    </xdr:from>
    <xdr:to>
      <xdr:col>3</xdr:col>
      <xdr:colOff>352425</xdr:colOff>
      <xdr:row>99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98</xdr:row>
      <xdr:rowOff>0</xdr:rowOff>
    </xdr:from>
    <xdr:to>
      <xdr:col>4</xdr:col>
      <xdr:colOff>257175</xdr:colOff>
      <xdr:row>99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98</xdr:row>
      <xdr:rowOff>0</xdr:rowOff>
    </xdr:from>
    <xdr:to>
      <xdr:col>5</xdr:col>
      <xdr:colOff>447675</xdr:colOff>
      <xdr:row>98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98</xdr:row>
      <xdr:rowOff>0</xdr:rowOff>
    </xdr:from>
    <xdr:to>
      <xdr:col>6</xdr:col>
      <xdr:colOff>0</xdr:colOff>
      <xdr:row>98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98</xdr:row>
      <xdr:rowOff>190500</xdr:rowOff>
    </xdr:from>
    <xdr:to>
      <xdr:col>2</xdr:col>
      <xdr:colOff>304800</xdr:colOff>
      <xdr:row>100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98</xdr:row>
      <xdr:rowOff>190500</xdr:rowOff>
    </xdr:from>
    <xdr:to>
      <xdr:col>2</xdr:col>
      <xdr:colOff>1276350</xdr:colOff>
      <xdr:row>100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98</xdr:row>
      <xdr:rowOff>190500</xdr:rowOff>
    </xdr:from>
    <xdr:to>
      <xdr:col>3</xdr:col>
      <xdr:colOff>619125</xdr:colOff>
      <xdr:row>100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98</xdr:row>
      <xdr:rowOff>190500</xdr:rowOff>
    </xdr:from>
    <xdr:to>
      <xdr:col>4</xdr:col>
      <xdr:colOff>523875</xdr:colOff>
      <xdr:row>100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98</xdr:row>
      <xdr:rowOff>190500</xdr:rowOff>
    </xdr:from>
    <xdr:to>
      <xdr:col>5</xdr:col>
      <xdr:colOff>723900</xdr:colOff>
      <xdr:row>100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98</xdr:row>
      <xdr:rowOff>190500</xdr:rowOff>
    </xdr:from>
    <xdr:to>
      <xdr:col>6</xdr:col>
      <xdr:colOff>0</xdr:colOff>
      <xdr:row>100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61</xdr:row>
      <xdr:rowOff>15239</xdr:rowOff>
    </xdr:from>
    <xdr:to>
      <xdr:col>6</xdr:col>
      <xdr:colOff>68580</xdr:colOff>
      <xdr:row>65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OBSERVACIONES:SOLO CORTE DE LAMINAS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38</xdr:row>
      <xdr:rowOff>200025</xdr:rowOff>
    </xdr:from>
    <xdr:to>
      <xdr:col>6</xdr:col>
      <xdr:colOff>19049</xdr:colOff>
      <xdr:row>40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101</xdr:row>
      <xdr:rowOff>32385</xdr:rowOff>
    </xdr:from>
    <xdr:to>
      <xdr:col>6</xdr:col>
      <xdr:colOff>19050</xdr:colOff>
      <xdr:row>105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SOLO CORTE DE LAMINAS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68</xdr:row>
      <xdr:rowOff>41910</xdr:rowOff>
    </xdr:from>
    <xdr:to>
      <xdr:col>1</xdr:col>
      <xdr:colOff>801763</xdr:colOff>
      <xdr:row>74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0"/>
  <sheetViews>
    <sheetView workbookViewId="0">
      <selection activeCell="J28" sqref="J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45.109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141</v>
      </c>
      <c r="E8" s="1"/>
      <c r="F8" s="93" t="s">
        <v>27</v>
      </c>
      <c r="G8" s="94">
        <v>7187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137</v>
      </c>
      <c r="D10" s="54"/>
      <c r="E10" s="54"/>
      <c r="F10" s="55" t="s">
        <v>28</v>
      </c>
      <c r="G10" s="56">
        <v>45733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>
        <v>45734</v>
      </c>
      <c r="H11" s="61"/>
      <c r="I11" s="1"/>
    </row>
    <row r="12" spans="1:17" ht="15.6" x14ac:dyDescent="0.3">
      <c r="A12" s="1"/>
      <c r="B12" s="62" t="s">
        <v>131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133</v>
      </c>
      <c r="C13" s="107"/>
      <c r="D13" s="42"/>
      <c r="E13" s="42"/>
      <c r="F13" s="42" t="s">
        <v>128</v>
      </c>
      <c r="G13" s="63" t="s">
        <v>130</v>
      </c>
      <c r="H13" s="64"/>
      <c r="I13" s="1"/>
    </row>
    <row r="14" spans="1:17" ht="15.6" x14ac:dyDescent="0.3">
      <c r="A14" s="1"/>
      <c r="B14" s="58" t="s">
        <v>17</v>
      </c>
      <c r="C14" s="110" t="s">
        <v>135</v>
      </c>
      <c r="D14" s="65"/>
      <c r="E14" s="59"/>
      <c r="F14" s="59" t="s">
        <v>29</v>
      </c>
      <c r="G14" s="59"/>
      <c r="H14" s="61"/>
      <c r="I14" s="1"/>
    </row>
    <row r="15" spans="1:17" ht="15.6" x14ac:dyDescent="0.3">
      <c r="A15" s="1"/>
      <c r="B15" s="62" t="s">
        <v>1</v>
      </c>
      <c r="C15" s="100"/>
      <c r="D15" s="42"/>
      <c r="E15" s="42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132</v>
      </c>
      <c r="D16" s="68"/>
      <c r="E16" s="69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thickBot="1" x14ac:dyDescent="0.35">
      <c r="A21" s="1"/>
      <c r="B21" s="104">
        <v>4</v>
      </c>
      <c r="C21" s="104" t="s">
        <v>136</v>
      </c>
      <c r="D21" s="105">
        <v>560</v>
      </c>
      <c r="E21" s="105">
        <v>410</v>
      </c>
      <c r="F21" s="104" t="s">
        <v>139</v>
      </c>
      <c r="G21" s="108"/>
      <c r="H21" s="109"/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04">
        <v>4</v>
      </c>
      <c r="C22" s="104" t="s">
        <v>136</v>
      </c>
      <c r="D22" s="105">
        <v>560</v>
      </c>
      <c r="E22" s="105">
        <v>510</v>
      </c>
      <c r="F22" s="104" t="s">
        <v>139</v>
      </c>
      <c r="G22" s="108"/>
      <c r="H22" s="109"/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04">
        <v>4</v>
      </c>
      <c r="C23" s="104" t="s">
        <v>136</v>
      </c>
      <c r="D23" s="105">
        <v>560</v>
      </c>
      <c r="E23" s="105">
        <v>330</v>
      </c>
      <c r="F23" s="104" t="s">
        <v>139</v>
      </c>
      <c r="G23" s="108"/>
      <c r="H23" s="109"/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04">
        <v>4</v>
      </c>
      <c r="C24" s="104" t="s">
        <v>136</v>
      </c>
      <c r="D24" s="105">
        <v>550</v>
      </c>
      <c r="E24" s="105">
        <v>432</v>
      </c>
      <c r="F24" s="104" t="s">
        <v>139</v>
      </c>
      <c r="G24" s="108"/>
      <c r="H24" s="109"/>
      <c r="I24" s="1"/>
      <c r="K24" s="17"/>
      <c r="L24" s="26"/>
      <c r="M24" s="17"/>
      <c r="N24" s="17"/>
      <c r="O24" s="26"/>
      <c r="P24" s="33"/>
    </row>
    <row r="25" spans="1:16" ht="18" customHeight="1" thickBot="1" x14ac:dyDescent="0.35">
      <c r="A25" s="1"/>
      <c r="B25" s="104">
        <v>4</v>
      </c>
      <c r="C25" s="104" t="s">
        <v>136</v>
      </c>
      <c r="D25" s="105">
        <v>505</v>
      </c>
      <c r="E25" s="105">
        <v>38</v>
      </c>
      <c r="F25" s="104" t="s">
        <v>139</v>
      </c>
      <c r="G25" s="108"/>
      <c r="H25" s="109"/>
      <c r="I25" s="1"/>
      <c r="K25" s="17"/>
      <c r="L25" s="26"/>
      <c r="M25" s="17"/>
      <c r="N25" s="17"/>
      <c r="O25" s="26"/>
      <c r="P25" s="33"/>
    </row>
    <row r="26" spans="1:16" ht="18" customHeight="1" thickBot="1" x14ac:dyDescent="0.35">
      <c r="A26" s="1"/>
      <c r="B26" s="104">
        <v>4</v>
      </c>
      <c r="C26" s="104" t="s">
        <v>136</v>
      </c>
      <c r="D26" s="105">
        <v>402</v>
      </c>
      <c r="E26" s="105">
        <v>38</v>
      </c>
      <c r="F26" s="104" t="s">
        <v>139</v>
      </c>
      <c r="G26" s="108"/>
      <c r="H26" s="109"/>
      <c r="I26" s="1"/>
      <c r="K26" s="17"/>
      <c r="L26" s="26"/>
      <c r="M26" s="17"/>
      <c r="N26" s="17"/>
      <c r="O26" s="26"/>
      <c r="P26" s="33"/>
    </row>
    <row r="27" spans="1:16" ht="18" customHeight="1" thickBot="1" x14ac:dyDescent="0.35">
      <c r="A27" s="1"/>
      <c r="B27" s="104">
        <v>4</v>
      </c>
      <c r="C27" s="104" t="s">
        <v>136</v>
      </c>
      <c r="D27" s="105">
        <v>560</v>
      </c>
      <c r="E27" s="105">
        <v>410</v>
      </c>
      <c r="F27" s="104" t="s">
        <v>142</v>
      </c>
      <c r="G27" s="108"/>
      <c r="H27" s="109"/>
      <c r="I27" s="1"/>
      <c r="K27" s="17"/>
      <c r="L27" s="26"/>
      <c r="M27" s="17"/>
      <c r="N27" s="17"/>
      <c r="O27" s="26"/>
      <c r="P27" s="33"/>
    </row>
    <row r="28" spans="1:16" ht="18" customHeight="1" thickBot="1" x14ac:dyDescent="0.35">
      <c r="A28" s="1"/>
      <c r="B28" s="104">
        <v>4</v>
      </c>
      <c r="C28" s="104" t="s">
        <v>136</v>
      </c>
      <c r="D28" s="105">
        <v>560</v>
      </c>
      <c r="E28" s="105">
        <v>510</v>
      </c>
      <c r="F28" s="104" t="s">
        <v>142</v>
      </c>
      <c r="G28" s="108"/>
      <c r="H28" s="109"/>
      <c r="I28" s="1"/>
      <c r="K28" s="17"/>
      <c r="L28" s="26"/>
      <c r="M28" s="17"/>
      <c r="N28" s="17"/>
      <c r="O28" s="26"/>
      <c r="P28" s="33"/>
    </row>
    <row r="29" spans="1:16" ht="18" customHeight="1" thickBot="1" x14ac:dyDescent="0.35">
      <c r="A29" s="1"/>
      <c r="B29" s="104">
        <v>4</v>
      </c>
      <c r="C29" s="104" t="s">
        <v>136</v>
      </c>
      <c r="D29" s="105">
        <v>550</v>
      </c>
      <c r="E29" s="105">
        <v>330</v>
      </c>
      <c r="F29" s="104" t="s">
        <v>142</v>
      </c>
      <c r="G29" s="108"/>
      <c r="H29" s="109"/>
      <c r="I29" s="1"/>
      <c r="K29" s="17"/>
      <c r="L29" s="26"/>
      <c r="M29" s="17"/>
      <c r="N29" s="17"/>
      <c r="O29" s="26"/>
      <c r="P29" s="33"/>
    </row>
    <row r="30" spans="1:16" ht="18" customHeight="1" thickBot="1" x14ac:dyDescent="0.35">
      <c r="A30" s="1"/>
      <c r="B30" s="104">
        <v>4</v>
      </c>
      <c r="C30" s="104" t="s">
        <v>136</v>
      </c>
      <c r="D30" s="105">
        <v>550</v>
      </c>
      <c r="E30" s="105">
        <v>432</v>
      </c>
      <c r="F30" s="104" t="s">
        <v>142</v>
      </c>
      <c r="G30" s="108"/>
      <c r="H30" s="109"/>
      <c r="I30" s="1"/>
      <c r="K30" s="17"/>
      <c r="L30" s="26"/>
      <c r="M30" s="17"/>
      <c r="N30" s="17"/>
      <c r="O30" s="26"/>
      <c r="P30" s="33"/>
    </row>
    <row r="31" spans="1:16" ht="18" customHeight="1" thickBot="1" x14ac:dyDescent="0.35">
      <c r="A31" s="1"/>
      <c r="B31" s="104">
        <v>4</v>
      </c>
      <c r="C31" s="104" t="s">
        <v>136</v>
      </c>
      <c r="D31" s="105">
        <v>505</v>
      </c>
      <c r="E31" s="105">
        <v>38</v>
      </c>
      <c r="F31" s="104" t="s">
        <v>142</v>
      </c>
      <c r="G31" s="108"/>
      <c r="H31" s="109"/>
      <c r="I31" s="1"/>
      <c r="K31" s="17"/>
      <c r="L31" s="26"/>
      <c r="M31" s="17"/>
      <c r="N31" s="17"/>
      <c r="O31" s="26"/>
      <c r="P31" s="33"/>
    </row>
    <row r="32" spans="1:16" ht="18" customHeight="1" thickBot="1" x14ac:dyDescent="0.35">
      <c r="A32" s="1"/>
      <c r="B32" s="104">
        <v>4</v>
      </c>
      <c r="C32" s="104" t="s">
        <v>136</v>
      </c>
      <c r="D32" s="105">
        <v>402</v>
      </c>
      <c r="E32" s="105">
        <v>38</v>
      </c>
      <c r="F32" s="104" t="s">
        <v>142</v>
      </c>
      <c r="G32" s="108"/>
      <c r="H32" s="109"/>
      <c r="I32" s="1"/>
      <c r="K32" s="17"/>
      <c r="L32" s="26"/>
      <c r="M32" s="17"/>
      <c r="N32" s="17"/>
      <c r="O32" s="26"/>
      <c r="P32" s="33"/>
    </row>
    <row r="33" spans="1:16" ht="18" customHeight="1" thickBot="1" x14ac:dyDescent="0.35">
      <c r="A33" s="1"/>
      <c r="B33" s="104">
        <v>6</v>
      </c>
      <c r="C33" s="104" t="s">
        <v>136</v>
      </c>
      <c r="D33" s="105">
        <v>560</v>
      </c>
      <c r="E33" s="105">
        <v>410</v>
      </c>
      <c r="F33" s="104" t="s">
        <v>138</v>
      </c>
      <c r="G33" s="108"/>
      <c r="H33" s="109"/>
      <c r="I33" s="1"/>
      <c r="K33" s="17"/>
      <c r="L33" s="26"/>
      <c r="M33" s="17"/>
      <c r="N33" s="17"/>
      <c r="O33" s="26"/>
      <c r="P33" s="33"/>
    </row>
    <row r="34" spans="1:16" ht="18" customHeight="1" thickBot="1" x14ac:dyDescent="0.35">
      <c r="A34" s="1"/>
      <c r="B34" s="104">
        <v>6</v>
      </c>
      <c r="C34" s="104" t="s">
        <v>136</v>
      </c>
      <c r="D34" s="105">
        <v>560</v>
      </c>
      <c r="E34" s="105">
        <v>510</v>
      </c>
      <c r="F34" s="104" t="s">
        <v>138</v>
      </c>
      <c r="G34" s="108"/>
      <c r="H34" s="109"/>
      <c r="I34" s="1"/>
      <c r="K34" s="17"/>
      <c r="L34" s="26"/>
      <c r="M34" s="17"/>
      <c r="N34" s="17"/>
      <c r="O34" s="26"/>
      <c r="P34" s="33"/>
    </row>
    <row r="35" spans="1:16" ht="18" customHeight="1" thickBot="1" x14ac:dyDescent="0.35">
      <c r="A35" s="1"/>
      <c r="B35" s="104">
        <v>6</v>
      </c>
      <c r="C35" s="104" t="s">
        <v>136</v>
      </c>
      <c r="D35" s="105">
        <v>550</v>
      </c>
      <c r="E35" s="105">
        <v>330</v>
      </c>
      <c r="F35" s="104" t="s">
        <v>138</v>
      </c>
      <c r="G35" s="108"/>
      <c r="H35" s="109"/>
      <c r="I35" s="1"/>
      <c r="K35" s="17"/>
      <c r="L35" s="26"/>
      <c r="M35" s="17"/>
      <c r="N35" s="17"/>
      <c r="O35" s="26"/>
      <c r="P35" s="33"/>
    </row>
    <row r="36" spans="1:16" ht="18" customHeight="1" thickBot="1" x14ac:dyDescent="0.35">
      <c r="A36" s="1"/>
      <c r="B36" s="104">
        <v>6</v>
      </c>
      <c r="C36" s="104" t="s">
        <v>136</v>
      </c>
      <c r="D36" s="105">
        <v>550</v>
      </c>
      <c r="E36" s="105">
        <v>432</v>
      </c>
      <c r="F36" s="104" t="s">
        <v>138</v>
      </c>
      <c r="G36" s="108"/>
      <c r="H36" s="109"/>
      <c r="I36" s="1"/>
      <c r="K36" s="17"/>
      <c r="L36" s="26"/>
      <c r="M36" s="17"/>
      <c r="N36" s="17"/>
      <c r="O36" s="26"/>
      <c r="P36" s="33"/>
    </row>
    <row r="37" spans="1:16" ht="18" customHeight="1" thickBot="1" x14ac:dyDescent="0.35">
      <c r="A37" s="1"/>
      <c r="B37" s="104">
        <v>6</v>
      </c>
      <c r="C37" s="104" t="s">
        <v>136</v>
      </c>
      <c r="D37" s="105">
        <v>506</v>
      </c>
      <c r="E37" s="105">
        <v>38</v>
      </c>
      <c r="F37" s="104" t="s">
        <v>138</v>
      </c>
      <c r="G37" s="108"/>
      <c r="H37" s="109"/>
      <c r="I37" s="1"/>
      <c r="K37" s="17"/>
      <c r="L37" s="26"/>
      <c r="M37" s="17"/>
      <c r="N37" s="17"/>
      <c r="O37" s="26"/>
      <c r="P37" s="33"/>
    </row>
    <row r="38" spans="1:16" ht="18" customHeight="1" thickBot="1" x14ac:dyDescent="0.35">
      <c r="A38" s="1"/>
      <c r="B38" s="104">
        <v>6</v>
      </c>
      <c r="C38" s="104" t="s">
        <v>136</v>
      </c>
      <c r="D38" s="105">
        <v>402</v>
      </c>
      <c r="E38" s="105">
        <v>38</v>
      </c>
      <c r="F38" s="104" t="s">
        <v>138</v>
      </c>
      <c r="G38" s="108"/>
      <c r="H38" s="109"/>
      <c r="I38" s="1"/>
      <c r="K38" s="17"/>
      <c r="L38" s="26"/>
      <c r="M38" s="17"/>
      <c r="N38" s="17"/>
      <c r="O38" s="26"/>
      <c r="P38" s="33"/>
    </row>
    <row r="39" spans="1:16" ht="18" customHeight="1" thickBot="1" x14ac:dyDescent="0.35">
      <c r="A39" s="1"/>
      <c r="B39" s="104">
        <v>2</v>
      </c>
      <c r="C39" s="104" t="s">
        <v>136</v>
      </c>
      <c r="D39" s="105">
        <v>2460</v>
      </c>
      <c r="E39" s="105">
        <v>560</v>
      </c>
      <c r="F39" s="104" t="s">
        <v>140</v>
      </c>
      <c r="G39" s="108"/>
      <c r="H39" s="109"/>
      <c r="I39" s="1"/>
      <c r="K39" s="17"/>
      <c r="L39" s="26"/>
      <c r="M39" s="17"/>
      <c r="N39" s="17"/>
      <c r="O39" s="26"/>
      <c r="P39" s="33"/>
    </row>
    <row r="40" spans="1:16" ht="18" customHeight="1" thickBot="1" x14ac:dyDescent="0.35">
      <c r="A40" s="1"/>
      <c r="B40" s="104">
        <v>2</v>
      </c>
      <c r="C40" s="104" t="s">
        <v>136</v>
      </c>
      <c r="D40" s="105">
        <v>2460</v>
      </c>
      <c r="E40" s="105">
        <v>500</v>
      </c>
      <c r="F40" s="104" t="s">
        <v>140</v>
      </c>
      <c r="G40" s="108"/>
      <c r="H40" s="109"/>
      <c r="I40" s="1"/>
      <c r="K40" s="17"/>
      <c r="L40" s="26"/>
      <c r="M40" s="17"/>
      <c r="N40" s="17"/>
      <c r="O40" s="26"/>
      <c r="P40" s="33"/>
    </row>
    <row r="41" spans="1:16" ht="18" customHeight="1" thickBot="1" x14ac:dyDescent="0.35">
      <c r="A41" s="1"/>
      <c r="B41" s="104">
        <v>2</v>
      </c>
      <c r="C41" s="104" t="s">
        <v>136</v>
      </c>
      <c r="D41" s="105">
        <v>2460</v>
      </c>
      <c r="E41" s="105">
        <v>50</v>
      </c>
      <c r="F41" s="104" t="s">
        <v>140</v>
      </c>
      <c r="G41" s="108"/>
      <c r="H41" s="109"/>
      <c r="I41" s="1"/>
      <c r="K41" s="17"/>
      <c r="L41" s="26"/>
      <c r="M41" s="17"/>
      <c r="N41" s="17"/>
      <c r="O41" s="26"/>
      <c r="P41" s="33"/>
    </row>
    <row r="42" spans="1:16" ht="18" customHeight="1" thickBot="1" x14ac:dyDescent="0.35">
      <c r="A42" s="1"/>
      <c r="B42" s="104">
        <v>2</v>
      </c>
      <c r="C42" s="104" t="s">
        <v>136</v>
      </c>
      <c r="D42" s="105">
        <v>2460</v>
      </c>
      <c r="E42" s="105">
        <v>560</v>
      </c>
      <c r="F42" s="104" t="s">
        <v>140</v>
      </c>
      <c r="G42" s="108"/>
      <c r="H42" s="109"/>
      <c r="I42" s="1"/>
      <c r="K42" s="17"/>
      <c r="L42" s="26"/>
      <c r="M42" s="17"/>
      <c r="N42" s="17"/>
      <c r="O42" s="26"/>
      <c r="P42" s="33"/>
    </row>
    <row r="43" spans="1:16" ht="18" customHeight="1" thickBot="1" x14ac:dyDescent="0.35">
      <c r="A43" s="1"/>
      <c r="B43" s="104">
        <v>4</v>
      </c>
      <c r="C43" s="104" t="s">
        <v>136</v>
      </c>
      <c r="D43" s="105">
        <v>2460</v>
      </c>
      <c r="E43" s="105">
        <v>40</v>
      </c>
      <c r="F43" s="104" t="s">
        <v>140</v>
      </c>
      <c r="G43" s="108"/>
      <c r="H43" s="109"/>
      <c r="I43" s="1"/>
      <c r="K43" s="17"/>
      <c r="L43" s="26"/>
      <c r="M43" s="17"/>
      <c r="N43" s="17"/>
      <c r="O43" s="26"/>
      <c r="P43" s="33"/>
    </row>
    <row r="44" spans="1:16" ht="18" customHeight="1" thickBot="1" x14ac:dyDescent="0.35">
      <c r="A44" s="1"/>
      <c r="B44" s="104">
        <v>1</v>
      </c>
      <c r="C44" s="104" t="s">
        <v>136</v>
      </c>
      <c r="D44" s="105">
        <v>2460</v>
      </c>
      <c r="E44" s="105">
        <v>20</v>
      </c>
      <c r="F44" s="104" t="s">
        <v>140</v>
      </c>
      <c r="G44" s="108"/>
      <c r="H44" s="109"/>
      <c r="I44" s="1"/>
      <c r="K44" s="17"/>
      <c r="L44" s="26"/>
      <c r="M44" s="17"/>
      <c r="N44" s="17"/>
      <c r="O44" s="26"/>
      <c r="P44" s="33"/>
    </row>
    <row r="45" spans="1:16" ht="18" customHeight="1" thickBot="1" x14ac:dyDescent="0.35">
      <c r="A45" s="1"/>
      <c r="B45" s="104">
        <v>2</v>
      </c>
      <c r="C45" s="104" t="s">
        <v>136</v>
      </c>
      <c r="D45" s="105">
        <v>510</v>
      </c>
      <c r="E45" s="105">
        <v>770</v>
      </c>
      <c r="F45" s="104" t="s">
        <v>140</v>
      </c>
      <c r="G45" s="108"/>
      <c r="H45" s="109"/>
      <c r="I45" s="1"/>
      <c r="K45" s="17"/>
      <c r="L45" s="26"/>
      <c r="M45" s="17"/>
      <c r="N45" s="17"/>
      <c r="O45" s="26"/>
      <c r="P45" s="33"/>
    </row>
    <row r="46" spans="1:16" ht="18" customHeight="1" thickBot="1" x14ac:dyDescent="0.35">
      <c r="A46" s="1"/>
      <c r="B46" s="104">
        <v>2</v>
      </c>
      <c r="C46" s="104" t="s">
        <v>136</v>
      </c>
      <c r="D46" s="105">
        <v>510</v>
      </c>
      <c r="E46" s="105">
        <v>205</v>
      </c>
      <c r="F46" s="104" t="s">
        <v>140</v>
      </c>
      <c r="G46" s="108"/>
      <c r="H46" s="109"/>
      <c r="I46" s="1"/>
      <c r="K46" s="17"/>
      <c r="L46" s="26"/>
      <c r="M46" s="17"/>
      <c r="N46" s="17"/>
      <c r="O46" s="26"/>
      <c r="P46" s="33"/>
    </row>
    <row r="47" spans="1:16" ht="18" customHeight="1" thickBot="1" x14ac:dyDescent="0.35">
      <c r="A47" s="1"/>
      <c r="B47" s="104">
        <v>2</v>
      </c>
      <c r="C47" s="104" t="s">
        <v>136</v>
      </c>
      <c r="D47" s="105">
        <v>510</v>
      </c>
      <c r="E47" s="105">
        <v>400</v>
      </c>
      <c r="F47" s="104" t="s">
        <v>140</v>
      </c>
      <c r="G47" s="108"/>
      <c r="H47" s="109"/>
      <c r="I47" s="1"/>
      <c r="K47" s="17"/>
      <c r="L47" s="26"/>
      <c r="M47" s="17"/>
      <c r="N47" s="17"/>
      <c r="O47" s="26"/>
      <c r="P47" s="33"/>
    </row>
    <row r="48" spans="1:16" ht="18" customHeight="1" x14ac:dyDescent="0.3">
      <c r="A48" s="1"/>
      <c r="B48" s="104">
        <v>2</v>
      </c>
      <c r="C48" s="104" t="s">
        <v>136</v>
      </c>
      <c r="D48" s="105">
        <v>510</v>
      </c>
      <c r="E48" s="105">
        <v>575</v>
      </c>
      <c r="F48" s="104" t="s">
        <v>140</v>
      </c>
      <c r="G48" s="108"/>
      <c r="H48" s="109"/>
      <c r="I48" s="1"/>
      <c r="K48" s="17"/>
      <c r="L48" s="26"/>
      <c r="M48" s="17"/>
      <c r="N48" s="17"/>
      <c r="O48" s="26"/>
      <c r="P48" s="33"/>
    </row>
    <row r="49" spans="1:16" ht="18" customHeight="1" x14ac:dyDescent="0.3">
      <c r="A49" s="1"/>
      <c r="B49" s="96"/>
      <c r="C49" s="96"/>
      <c r="D49" s="96"/>
      <c r="E49" s="96"/>
      <c r="F49" s="97"/>
      <c r="G49" s="98"/>
      <c r="H49" s="98"/>
      <c r="I49" s="1"/>
      <c r="K49" s="17"/>
      <c r="L49" s="26"/>
      <c r="M49" s="17"/>
      <c r="N49" s="17"/>
      <c r="O49" s="26"/>
      <c r="P49" s="33"/>
    </row>
    <row r="50" spans="1:16" ht="8.25" customHeight="1" thickBot="1" x14ac:dyDescent="0.35">
      <c r="A50" s="1"/>
      <c r="B50" s="73"/>
      <c r="C50" s="73"/>
      <c r="D50" s="73"/>
      <c r="E50" s="73"/>
      <c r="F50" s="73"/>
      <c r="G50" s="74"/>
      <c r="H50" s="74"/>
      <c r="I50" s="1"/>
    </row>
    <row r="51" spans="1:16" ht="15.6" x14ac:dyDescent="0.3">
      <c r="A51" s="1"/>
      <c r="B51" s="1"/>
      <c r="C51" s="1"/>
      <c r="D51" s="1"/>
      <c r="E51" s="1"/>
      <c r="F51" s="1"/>
      <c r="G51" s="75" t="s">
        <v>5</v>
      </c>
      <c r="H51" s="76">
        <v>487134</v>
      </c>
      <c r="I51" s="1"/>
    </row>
    <row r="52" spans="1:16" ht="15.6" x14ac:dyDescent="0.3">
      <c r="A52" s="1"/>
      <c r="B52" s="1"/>
      <c r="C52" s="1"/>
      <c r="D52" s="1"/>
      <c r="E52" s="1"/>
      <c r="F52" s="1"/>
      <c r="G52" s="77" t="s">
        <v>6</v>
      </c>
      <c r="H52" s="78">
        <f>H51*19%</f>
        <v>92555.46</v>
      </c>
      <c r="I52" s="1"/>
    </row>
    <row r="53" spans="1:16" ht="16.2" thickBot="1" x14ac:dyDescent="0.35">
      <c r="A53" s="1"/>
      <c r="B53" s="1"/>
      <c r="C53" s="1"/>
      <c r="D53" s="1"/>
      <c r="E53" s="1"/>
      <c r="F53" s="1"/>
      <c r="G53" s="79" t="s">
        <v>4</v>
      </c>
      <c r="H53" s="80">
        <f>H51+H52</f>
        <v>579689.46</v>
      </c>
      <c r="I53" s="1"/>
    </row>
    <row r="54" spans="1:16" ht="15.6" x14ac:dyDescent="0.3">
      <c r="A54" s="1"/>
      <c r="B54" s="1"/>
      <c r="C54" s="1"/>
      <c r="D54" s="1"/>
      <c r="E54" s="1"/>
      <c r="F54" s="1"/>
      <c r="G54" s="51"/>
      <c r="H54" s="99"/>
      <c r="I54" s="1"/>
    </row>
    <row r="55" spans="1:16" ht="15.6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16" ht="15.6" x14ac:dyDescent="0.3">
      <c r="A56" s="1"/>
      <c r="B56" s="81" t="s">
        <v>123</v>
      </c>
      <c r="C56" s="82"/>
      <c r="D56" s="83"/>
      <c r="E56" s="83"/>
      <c r="F56" s="73"/>
      <c r="G56" s="1"/>
      <c r="H56" s="1"/>
      <c r="I56" s="1"/>
    </row>
    <row r="57" spans="1:16" ht="15.6" x14ac:dyDescent="0.3">
      <c r="A57" s="1"/>
      <c r="B57" s="81" t="s">
        <v>122</v>
      </c>
      <c r="C57" s="82"/>
      <c r="D57" s="83"/>
      <c r="E57" s="83"/>
      <c r="F57" s="73"/>
      <c r="G57" s="1"/>
      <c r="H57" s="1"/>
      <c r="I57" s="1"/>
    </row>
    <row r="58" spans="1:16" ht="15.6" x14ac:dyDescent="0.3">
      <c r="A58" s="1"/>
      <c r="B58" s="1" t="s">
        <v>25</v>
      </c>
      <c r="C58" s="1"/>
      <c r="D58" s="1"/>
      <c r="E58" s="84" t="s">
        <v>26</v>
      </c>
      <c r="F58" s="1"/>
      <c r="G58" s="1"/>
      <c r="H58" s="1"/>
      <c r="I58" s="1"/>
    </row>
    <row r="59" spans="1:16" ht="15.6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16" ht="15.6" x14ac:dyDescent="0.3">
      <c r="A60" s="1"/>
      <c r="B60" s="1"/>
      <c r="C60" s="1"/>
      <c r="D60" s="1"/>
      <c r="E60" s="1"/>
      <c r="F60" s="1"/>
      <c r="G60" s="1"/>
      <c r="H60" s="1"/>
      <c r="I60" s="1"/>
    </row>
  </sheetData>
  <sortState xmlns:xlrd2="http://schemas.microsoft.com/office/spreadsheetml/2017/richdata2" ref="B62">
    <sortCondition sortBy="fontColor" ref="B62" dxfId="9"/>
  </sortState>
  <mergeCells count="2">
    <mergeCell ref="F16:H16"/>
    <mergeCell ref="B19:H19"/>
  </mergeCells>
  <phoneticPr fontId="10" type="noConversion"/>
  <hyperlinks>
    <hyperlink ref="E5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9"/>
  <sheetViews>
    <sheetView tabSelected="1" topLeftCell="A44" zoomScaleNormal="100" workbookViewId="0">
      <selection sqref="A1:G6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39" t="s">
        <v>27</v>
      </c>
      <c r="D4" s="14">
        <f>'4637'!G8</f>
        <v>7187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JOSE SOLORZANO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45734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>
        <v>-30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5"/>
      <c r="B14" s="6"/>
      <c r="C14" s="6"/>
      <c r="D14" s="6"/>
      <c r="E14" s="88"/>
      <c r="F14" s="106"/>
      <c r="G14" s="1"/>
      <c r="I14" s="89"/>
      <c r="J14" s="2"/>
      <c r="K14" s="2"/>
    </row>
    <row r="15" spans="1:14" ht="15.6" x14ac:dyDescent="0.3">
      <c r="A15" s="51"/>
      <c r="B15" s="6"/>
      <c r="C15" s="6"/>
      <c r="D15" s="6"/>
      <c r="E15" s="88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0" t="s">
        <v>14</v>
      </c>
      <c r="B17" s="120"/>
      <c r="C17" s="120"/>
      <c r="D17" s="120"/>
      <c r="E17" s="120"/>
      <c r="F17" s="120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/>
      <c r="E20" s="21"/>
      <c r="F20" s="35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0">I21</f>
        <v>4</v>
      </c>
      <c r="C21" s="16"/>
      <c r="D21" s="16">
        <f>J21</f>
        <v>560</v>
      </c>
      <c r="E21" s="16">
        <f>K21</f>
        <v>410</v>
      </c>
      <c r="F21" s="103" t="str">
        <f t="shared" ref="F21:F37" si="1">C43</f>
        <v>CORTE LAMINA</v>
      </c>
      <c r="G21" s="1"/>
      <c r="I21" s="3">
        <f t="shared" ref="I21:I37" si="2">B43</f>
        <v>4</v>
      </c>
      <c r="J21" s="4">
        <f t="shared" ref="J21:K21" si="3">D43</f>
        <v>560</v>
      </c>
      <c r="K21" s="4">
        <f t="shared" si="3"/>
        <v>410</v>
      </c>
    </row>
    <row r="22" spans="1:11" ht="15.6" x14ac:dyDescent="0.3">
      <c r="A22" s="95"/>
      <c r="B22" s="16">
        <f t="shared" ref="B22:B37" si="4">I22</f>
        <v>4</v>
      </c>
      <c r="C22" s="16"/>
      <c r="D22" s="16">
        <f t="shared" ref="D22:D37" si="5">J22</f>
        <v>560</v>
      </c>
      <c r="E22" s="16">
        <f t="shared" ref="E22:E37" si="6">K22</f>
        <v>510</v>
      </c>
      <c r="F22" s="103" t="str">
        <f t="shared" si="1"/>
        <v>CORTE LAMINA</v>
      </c>
      <c r="G22" s="1"/>
      <c r="I22" s="3">
        <f t="shared" si="2"/>
        <v>4</v>
      </c>
      <c r="J22" s="4">
        <f t="shared" ref="J22:J37" si="7">D44</f>
        <v>560</v>
      </c>
      <c r="K22" s="4">
        <f t="shared" ref="K22:K37" si="8">E44</f>
        <v>510</v>
      </c>
    </row>
    <row r="23" spans="1:11" ht="15.6" x14ac:dyDescent="0.3">
      <c r="A23" s="95"/>
      <c r="B23" s="16">
        <f t="shared" si="4"/>
        <v>4</v>
      </c>
      <c r="C23" s="16"/>
      <c r="D23" s="16">
        <f t="shared" si="5"/>
        <v>560</v>
      </c>
      <c r="E23" s="16">
        <f t="shared" si="6"/>
        <v>330</v>
      </c>
      <c r="F23" s="103" t="str">
        <f t="shared" si="1"/>
        <v>CORTE LAMINA</v>
      </c>
      <c r="G23" s="1"/>
      <c r="I23" s="3">
        <f t="shared" si="2"/>
        <v>4</v>
      </c>
      <c r="J23" s="4">
        <f t="shared" si="7"/>
        <v>560</v>
      </c>
      <c r="K23" s="4">
        <f t="shared" si="8"/>
        <v>330</v>
      </c>
    </row>
    <row r="24" spans="1:11" ht="15.6" x14ac:dyDescent="0.3">
      <c r="A24" s="95"/>
      <c r="B24" s="16">
        <f t="shared" si="4"/>
        <v>4</v>
      </c>
      <c r="C24" s="16"/>
      <c r="D24" s="16">
        <f t="shared" si="5"/>
        <v>550</v>
      </c>
      <c r="E24" s="16">
        <f t="shared" si="6"/>
        <v>432</v>
      </c>
      <c r="F24" s="103" t="str">
        <f t="shared" si="1"/>
        <v>CORTE LAMINA</v>
      </c>
      <c r="G24" s="1"/>
      <c r="I24" s="3">
        <f t="shared" si="2"/>
        <v>4</v>
      </c>
      <c r="J24" s="4">
        <f t="shared" si="7"/>
        <v>550</v>
      </c>
      <c r="K24" s="4">
        <f t="shared" si="8"/>
        <v>432</v>
      </c>
    </row>
    <row r="25" spans="1:11" ht="15.6" x14ac:dyDescent="0.3">
      <c r="A25" s="95"/>
      <c r="B25" s="16">
        <f t="shared" si="4"/>
        <v>4</v>
      </c>
      <c r="C25" s="16"/>
      <c r="D25" s="16">
        <f t="shared" si="5"/>
        <v>505</v>
      </c>
      <c r="E25" s="16">
        <f t="shared" si="6"/>
        <v>38</v>
      </c>
      <c r="F25" s="103" t="str">
        <f t="shared" si="1"/>
        <v>CORTE LAMINA</v>
      </c>
      <c r="G25" s="1"/>
      <c r="I25" s="3">
        <f t="shared" si="2"/>
        <v>4</v>
      </c>
      <c r="J25" s="4">
        <f t="shared" si="7"/>
        <v>505</v>
      </c>
      <c r="K25" s="4">
        <f t="shared" si="8"/>
        <v>38</v>
      </c>
    </row>
    <row r="26" spans="1:11" ht="15.6" x14ac:dyDescent="0.3">
      <c r="A26" s="95"/>
      <c r="B26" s="16">
        <f t="shared" si="4"/>
        <v>4</v>
      </c>
      <c r="C26" s="16"/>
      <c r="D26" s="16">
        <f t="shared" si="5"/>
        <v>402</v>
      </c>
      <c r="E26" s="16">
        <f t="shared" si="6"/>
        <v>38</v>
      </c>
      <c r="F26" s="103" t="str">
        <f t="shared" si="1"/>
        <v>CORTE LAMINA</v>
      </c>
      <c r="G26" s="1"/>
      <c r="I26" s="3">
        <f t="shared" si="2"/>
        <v>4</v>
      </c>
      <c r="J26" s="4">
        <f t="shared" si="7"/>
        <v>402</v>
      </c>
      <c r="K26" s="4">
        <f t="shared" si="8"/>
        <v>38</v>
      </c>
    </row>
    <row r="27" spans="1:11" ht="15.6" x14ac:dyDescent="0.3">
      <c r="A27" s="95"/>
      <c r="B27" s="16">
        <f t="shared" si="4"/>
        <v>6</v>
      </c>
      <c r="C27" s="16"/>
      <c r="D27" s="16">
        <f t="shared" si="5"/>
        <v>560</v>
      </c>
      <c r="E27" s="16">
        <f t="shared" si="6"/>
        <v>410</v>
      </c>
      <c r="F27" s="103" t="str">
        <f t="shared" si="1"/>
        <v>CORTE LAMINA</v>
      </c>
      <c r="G27" s="1"/>
      <c r="I27" s="3">
        <f t="shared" si="2"/>
        <v>6</v>
      </c>
      <c r="J27" s="4">
        <f t="shared" si="7"/>
        <v>560</v>
      </c>
      <c r="K27" s="4">
        <f t="shared" si="8"/>
        <v>410</v>
      </c>
    </row>
    <row r="28" spans="1:11" ht="15.6" x14ac:dyDescent="0.3">
      <c r="A28" s="95"/>
      <c r="B28" s="16">
        <f t="shared" si="4"/>
        <v>6</v>
      </c>
      <c r="C28" s="16"/>
      <c r="D28" s="16">
        <f t="shared" si="5"/>
        <v>560</v>
      </c>
      <c r="E28" s="16">
        <f t="shared" si="6"/>
        <v>510</v>
      </c>
      <c r="F28" s="103" t="str">
        <f t="shared" si="1"/>
        <v>CORTE LAMINA</v>
      </c>
      <c r="G28" s="1"/>
      <c r="I28" s="3">
        <f t="shared" si="2"/>
        <v>6</v>
      </c>
      <c r="J28" s="4">
        <f t="shared" si="7"/>
        <v>560</v>
      </c>
      <c r="K28" s="4">
        <f t="shared" si="8"/>
        <v>510</v>
      </c>
    </row>
    <row r="29" spans="1:11" ht="15.6" x14ac:dyDescent="0.3">
      <c r="A29" s="95"/>
      <c r="B29" s="16">
        <f t="shared" si="4"/>
        <v>6</v>
      </c>
      <c r="C29" s="16"/>
      <c r="D29" s="16">
        <f t="shared" si="5"/>
        <v>550</v>
      </c>
      <c r="E29" s="16">
        <f t="shared" si="6"/>
        <v>330</v>
      </c>
      <c r="F29" s="103" t="str">
        <f t="shared" si="1"/>
        <v>CORTE LAMINA</v>
      </c>
      <c r="G29" s="1"/>
      <c r="I29" s="3">
        <f t="shared" si="2"/>
        <v>6</v>
      </c>
      <c r="J29" s="4">
        <f t="shared" si="7"/>
        <v>550</v>
      </c>
      <c r="K29" s="4">
        <f t="shared" si="8"/>
        <v>330</v>
      </c>
    </row>
    <row r="30" spans="1:11" ht="15.6" x14ac:dyDescent="0.3">
      <c r="A30" s="95"/>
      <c r="B30" s="16">
        <f t="shared" si="4"/>
        <v>6</v>
      </c>
      <c r="C30" s="16"/>
      <c r="D30" s="16">
        <f t="shared" si="5"/>
        <v>550</v>
      </c>
      <c r="E30" s="16">
        <f t="shared" si="6"/>
        <v>432</v>
      </c>
      <c r="F30" s="103" t="str">
        <f t="shared" si="1"/>
        <v>CORTE LAMINA</v>
      </c>
      <c r="G30" s="1"/>
      <c r="I30" s="3">
        <f t="shared" si="2"/>
        <v>6</v>
      </c>
      <c r="J30" s="4">
        <f t="shared" si="7"/>
        <v>550</v>
      </c>
      <c r="K30" s="4">
        <f t="shared" si="8"/>
        <v>432</v>
      </c>
    </row>
    <row r="31" spans="1:11" ht="15.6" x14ac:dyDescent="0.3">
      <c r="A31" s="95"/>
      <c r="B31" s="16">
        <f t="shared" si="4"/>
        <v>6</v>
      </c>
      <c r="C31" s="16"/>
      <c r="D31" s="16">
        <f t="shared" si="5"/>
        <v>506</v>
      </c>
      <c r="E31" s="16">
        <f t="shared" si="6"/>
        <v>38</v>
      </c>
      <c r="F31" s="103" t="str">
        <f t="shared" si="1"/>
        <v>CORTE LAMINA</v>
      </c>
      <c r="G31" s="1"/>
      <c r="I31" s="3">
        <f t="shared" si="2"/>
        <v>6</v>
      </c>
      <c r="J31" s="4">
        <f t="shared" si="7"/>
        <v>506</v>
      </c>
      <c r="K31" s="4">
        <f t="shared" si="8"/>
        <v>38</v>
      </c>
    </row>
    <row r="32" spans="1:11" ht="15.6" x14ac:dyDescent="0.3">
      <c r="A32" s="95"/>
      <c r="B32" s="16">
        <f t="shared" si="4"/>
        <v>6</v>
      </c>
      <c r="C32" s="16"/>
      <c r="D32" s="16">
        <f t="shared" si="5"/>
        <v>402</v>
      </c>
      <c r="E32" s="16">
        <f t="shared" si="6"/>
        <v>38</v>
      </c>
      <c r="F32" s="103" t="str">
        <f t="shared" si="1"/>
        <v>CORTE LAMINA</v>
      </c>
      <c r="G32" s="1"/>
      <c r="I32" s="3">
        <f t="shared" si="2"/>
        <v>6</v>
      </c>
      <c r="J32" s="4">
        <f t="shared" si="7"/>
        <v>402</v>
      </c>
      <c r="K32" s="4">
        <f t="shared" si="8"/>
        <v>38</v>
      </c>
    </row>
    <row r="33" spans="1:11" ht="15.6" x14ac:dyDescent="0.3">
      <c r="A33" s="95"/>
      <c r="B33" s="16">
        <f t="shared" si="4"/>
        <v>2</v>
      </c>
      <c r="C33" s="16"/>
      <c r="D33" s="16">
        <f t="shared" si="5"/>
        <v>2460</v>
      </c>
      <c r="E33" s="16">
        <f t="shared" si="6"/>
        <v>560</v>
      </c>
      <c r="F33" s="103" t="str">
        <f t="shared" si="1"/>
        <v>CORTE LAMINA</v>
      </c>
      <c r="G33" s="1"/>
      <c r="I33" s="3">
        <f t="shared" si="2"/>
        <v>2</v>
      </c>
      <c r="J33" s="4">
        <f t="shared" si="7"/>
        <v>2460</v>
      </c>
      <c r="K33" s="4">
        <f t="shared" si="8"/>
        <v>560</v>
      </c>
    </row>
    <row r="34" spans="1:11" ht="15.6" x14ac:dyDescent="0.3">
      <c r="A34" s="95"/>
      <c r="B34" s="16">
        <f t="shared" si="4"/>
        <v>2</v>
      </c>
      <c r="C34" s="16"/>
      <c r="D34" s="16">
        <f t="shared" si="5"/>
        <v>2460</v>
      </c>
      <c r="E34" s="16">
        <f t="shared" si="6"/>
        <v>500</v>
      </c>
      <c r="F34" s="103" t="str">
        <f t="shared" si="1"/>
        <v>CORTE LAMINA</v>
      </c>
      <c r="G34" s="1"/>
      <c r="I34" s="3">
        <f t="shared" si="2"/>
        <v>2</v>
      </c>
      <c r="J34" s="4">
        <f t="shared" si="7"/>
        <v>2460</v>
      </c>
      <c r="K34" s="4">
        <f t="shared" si="8"/>
        <v>500</v>
      </c>
    </row>
    <row r="35" spans="1:11" ht="15.6" x14ac:dyDescent="0.3">
      <c r="A35" s="95"/>
      <c r="B35" s="16">
        <f t="shared" si="4"/>
        <v>2</v>
      </c>
      <c r="C35" s="16"/>
      <c r="D35" s="16">
        <f t="shared" si="5"/>
        <v>2460</v>
      </c>
      <c r="E35" s="16">
        <f t="shared" si="6"/>
        <v>50</v>
      </c>
      <c r="F35" s="103" t="str">
        <f t="shared" si="1"/>
        <v>CORTE LAMINA</v>
      </c>
      <c r="G35" s="1"/>
      <c r="I35" s="3">
        <f t="shared" si="2"/>
        <v>2</v>
      </c>
      <c r="J35" s="4">
        <f t="shared" si="7"/>
        <v>2460</v>
      </c>
      <c r="K35" s="4">
        <f t="shared" si="8"/>
        <v>50</v>
      </c>
    </row>
    <row r="36" spans="1:11" ht="15.6" x14ac:dyDescent="0.3">
      <c r="A36" s="95"/>
      <c r="B36" s="16">
        <f t="shared" si="4"/>
        <v>2</v>
      </c>
      <c r="C36" s="16"/>
      <c r="D36" s="16">
        <f t="shared" si="5"/>
        <v>2460</v>
      </c>
      <c r="E36" s="16">
        <f t="shared" si="6"/>
        <v>560</v>
      </c>
      <c r="F36" s="103" t="str">
        <f t="shared" si="1"/>
        <v>CORTE LAMINA</v>
      </c>
      <c r="G36" s="1"/>
      <c r="I36" s="3">
        <f t="shared" si="2"/>
        <v>2</v>
      </c>
      <c r="J36" s="4">
        <f t="shared" si="7"/>
        <v>2460</v>
      </c>
      <c r="K36" s="4">
        <f t="shared" si="8"/>
        <v>560</v>
      </c>
    </row>
    <row r="37" spans="1:11" ht="15.6" x14ac:dyDescent="0.3">
      <c r="A37" s="95"/>
      <c r="B37" s="16">
        <f t="shared" si="4"/>
        <v>4</v>
      </c>
      <c r="C37" s="16"/>
      <c r="D37" s="16">
        <f t="shared" si="5"/>
        <v>2460</v>
      </c>
      <c r="E37" s="16">
        <f t="shared" si="6"/>
        <v>40</v>
      </c>
      <c r="F37" s="103" t="str">
        <f t="shared" si="1"/>
        <v>CORTE LAMINA</v>
      </c>
      <c r="G37" s="1"/>
      <c r="I37" s="3">
        <f t="shared" si="2"/>
        <v>4</v>
      </c>
      <c r="J37" s="4">
        <f t="shared" si="7"/>
        <v>2460</v>
      </c>
      <c r="K37" s="4">
        <f t="shared" si="8"/>
        <v>40</v>
      </c>
    </row>
    <row r="38" spans="1:11" ht="15.6" x14ac:dyDescent="0.3">
      <c r="A38" s="95"/>
      <c r="B38" s="6"/>
      <c r="C38" s="6"/>
      <c r="D38" s="6"/>
      <c r="E38" s="6"/>
      <c r="F38" s="6"/>
      <c r="G38" s="1"/>
      <c r="I38" s="89"/>
      <c r="J38" s="2"/>
      <c r="K38" s="2"/>
    </row>
    <row r="39" spans="1:11" ht="16.2" thickBot="1" x14ac:dyDescent="0.35">
      <c r="A39" s="51"/>
      <c r="B39" s="6"/>
      <c r="C39" s="6"/>
      <c r="D39" s="6"/>
      <c r="E39" s="6"/>
      <c r="F39" s="6"/>
      <c r="G39" s="1"/>
      <c r="I39" s="2"/>
      <c r="J39" s="2"/>
      <c r="K39" s="2"/>
    </row>
    <row r="40" spans="1:11" ht="16.2" thickBot="1" x14ac:dyDescent="0.35">
      <c r="A40" s="51"/>
      <c r="B40" s="22" t="s">
        <v>107</v>
      </c>
      <c r="C40" s="23"/>
      <c r="D40" s="23"/>
      <c r="E40" s="23"/>
      <c r="F40" s="24"/>
      <c r="G40" s="1"/>
      <c r="I40" s="2"/>
      <c r="J40" s="2"/>
      <c r="K40" s="2"/>
    </row>
    <row r="41" spans="1:11" ht="10.5" customHeight="1" x14ac:dyDescent="0.3">
      <c r="A41" s="1"/>
      <c r="B41" s="1"/>
      <c r="C41" s="1"/>
      <c r="D41" s="1"/>
      <c r="E41" s="1"/>
      <c r="F41" s="1"/>
      <c r="G41" s="1"/>
    </row>
    <row r="42" spans="1:11" ht="15.6" x14ac:dyDescent="0.3">
      <c r="A42" s="51" t="s">
        <v>9</v>
      </c>
      <c r="B42" s="87" t="s">
        <v>10</v>
      </c>
      <c r="C42" s="87" t="s">
        <v>110</v>
      </c>
      <c r="D42" s="87" t="s">
        <v>7</v>
      </c>
      <c r="E42" s="87" t="s">
        <v>8</v>
      </c>
      <c r="F42" s="87" t="s">
        <v>23</v>
      </c>
      <c r="G42" s="1"/>
    </row>
    <row r="43" spans="1:11" ht="15.6" x14ac:dyDescent="0.3">
      <c r="A43" s="95"/>
      <c r="B43" s="25">
        <f>'4637'!B21</f>
        <v>4</v>
      </c>
      <c r="C43" s="102" t="str">
        <f>'4637'!C21</f>
        <v>CORTE LAMINA</v>
      </c>
      <c r="D43" s="25">
        <f>'4637'!D21</f>
        <v>560</v>
      </c>
      <c r="E43" s="25">
        <f>'4637'!E21</f>
        <v>410</v>
      </c>
      <c r="F43" s="102" t="str">
        <f>'4637'!F21</f>
        <v xml:space="preserve">EMERALD 21013 SF CARNIVAL 21075 SF </v>
      </c>
      <c r="G43" s="1"/>
    </row>
    <row r="44" spans="1:11" ht="15.6" x14ac:dyDescent="0.3">
      <c r="A44" s="95"/>
      <c r="B44" s="25">
        <f>'4637'!B22</f>
        <v>4</v>
      </c>
      <c r="C44" s="102" t="str">
        <f>'4637'!C22</f>
        <v>CORTE LAMINA</v>
      </c>
      <c r="D44" s="25">
        <f>'4637'!D22</f>
        <v>560</v>
      </c>
      <c r="E44" s="25">
        <f>'4637'!E22</f>
        <v>510</v>
      </c>
      <c r="F44" s="102" t="str">
        <f>'4637'!F22</f>
        <v xml:space="preserve">EMERALD 21013 SF CARNIVAL 21075 SF </v>
      </c>
      <c r="G44" s="1"/>
    </row>
    <row r="45" spans="1:11" ht="15.6" x14ac:dyDescent="0.3">
      <c r="A45" s="95"/>
      <c r="B45" s="25">
        <f>'4637'!B23</f>
        <v>4</v>
      </c>
      <c r="C45" s="102" t="str">
        <f>'4637'!C23</f>
        <v>CORTE LAMINA</v>
      </c>
      <c r="D45" s="25">
        <f>'4637'!D23</f>
        <v>560</v>
      </c>
      <c r="E45" s="25">
        <f>'4637'!E23</f>
        <v>330</v>
      </c>
      <c r="F45" s="102" t="str">
        <f>'4637'!F23</f>
        <v xml:space="preserve">EMERALD 21013 SF CARNIVAL 21075 SF </v>
      </c>
      <c r="G45" s="1"/>
    </row>
    <row r="46" spans="1:11" ht="15.6" x14ac:dyDescent="0.3">
      <c r="A46" s="95"/>
      <c r="B46" s="25">
        <f>'4637'!B24</f>
        <v>4</v>
      </c>
      <c r="C46" s="102" t="str">
        <f>'4637'!C24</f>
        <v>CORTE LAMINA</v>
      </c>
      <c r="D46" s="25">
        <f>'4637'!D24</f>
        <v>550</v>
      </c>
      <c r="E46" s="25">
        <f>'4637'!E24</f>
        <v>432</v>
      </c>
      <c r="F46" s="102" t="str">
        <f>'4637'!F24</f>
        <v xml:space="preserve">EMERALD 21013 SF CARNIVAL 21075 SF </v>
      </c>
      <c r="G46" s="1"/>
    </row>
    <row r="47" spans="1:11" ht="15.6" x14ac:dyDescent="0.3">
      <c r="A47" s="95"/>
      <c r="B47" s="25">
        <f>'4637'!B25</f>
        <v>4</v>
      </c>
      <c r="C47" s="102" t="str">
        <f>'4637'!C25</f>
        <v>CORTE LAMINA</v>
      </c>
      <c r="D47" s="25">
        <f>'4637'!D25</f>
        <v>505</v>
      </c>
      <c r="E47" s="25">
        <f>'4637'!E25</f>
        <v>38</v>
      </c>
      <c r="F47" s="102" t="str">
        <f>'4637'!F25</f>
        <v xml:space="preserve">EMERALD 21013 SF CARNIVAL 21075 SF </v>
      </c>
      <c r="G47" s="1"/>
    </row>
    <row r="48" spans="1:11" ht="15.6" x14ac:dyDescent="0.3">
      <c r="A48" s="95"/>
      <c r="B48" s="25">
        <f>'4637'!B26</f>
        <v>4</v>
      </c>
      <c r="C48" s="102" t="str">
        <f>'4637'!C26</f>
        <v>CORTE LAMINA</v>
      </c>
      <c r="D48" s="25">
        <f>'4637'!D26</f>
        <v>402</v>
      </c>
      <c r="E48" s="25">
        <f>'4637'!E26</f>
        <v>38</v>
      </c>
      <c r="F48" s="102" t="str">
        <f>'4637'!F26</f>
        <v xml:space="preserve">EMERALD 21013 SF CARNIVAL 21075 SF </v>
      </c>
      <c r="G48" s="1"/>
    </row>
    <row r="49" spans="1:7" ht="15.6" x14ac:dyDescent="0.3">
      <c r="A49" s="95"/>
      <c r="B49" s="25">
        <f>'4637'!B33</f>
        <v>6</v>
      </c>
      <c r="C49" s="102" t="str">
        <f>'4637'!C33</f>
        <v>CORTE LAMINA</v>
      </c>
      <c r="D49" s="25">
        <f>'4637'!D33</f>
        <v>560</v>
      </c>
      <c r="E49" s="25">
        <f>'4637'!E33</f>
        <v>410</v>
      </c>
      <c r="F49" s="25" t="str">
        <f>'4637'!F33</f>
        <v xml:space="preserve"> INK 21032 SF</v>
      </c>
      <c r="G49" s="1"/>
    </row>
    <row r="50" spans="1:7" ht="15.6" x14ac:dyDescent="0.3">
      <c r="A50" s="95"/>
      <c r="B50" s="25">
        <f>'4637'!B34</f>
        <v>6</v>
      </c>
      <c r="C50" s="102" t="str">
        <f>'4637'!C34</f>
        <v>CORTE LAMINA</v>
      </c>
      <c r="D50" s="25">
        <f>'4637'!D34</f>
        <v>560</v>
      </c>
      <c r="E50" s="25">
        <f>'4637'!E34</f>
        <v>510</v>
      </c>
      <c r="F50" s="25" t="str">
        <f>'4637'!F34</f>
        <v xml:space="preserve"> INK 21032 SF</v>
      </c>
      <c r="G50" s="1"/>
    </row>
    <row r="51" spans="1:7" ht="15.6" x14ac:dyDescent="0.3">
      <c r="A51" s="95"/>
      <c r="B51" s="25">
        <f>'4637'!B35</f>
        <v>6</v>
      </c>
      <c r="C51" s="102" t="str">
        <f>'4637'!C35</f>
        <v>CORTE LAMINA</v>
      </c>
      <c r="D51" s="25">
        <f>'4637'!D35</f>
        <v>550</v>
      </c>
      <c r="E51" s="25">
        <f>'4637'!E35</f>
        <v>330</v>
      </c>
      <c r="F51" s="25" t="str">
        <f>'4637'!F35</f>
        <v xml:space="preserve"> INK 21032 SF</v>
      </c>
      <c r="G51" s="1"/>
    </row>
    <row r="52" spans="1:7" ht="15.6" x14ac:dyDescent="0.3">
      <c r="A52" s="95"/>
      <c r="B52" s="25">
        <f>'4637'!B36</f>
        <v>6</v>
      </c>
      <c r="C52" s="102" t="str">
        <f>'4637'!C36</f>
        <v>CORTE LAMINA</v>
      </c>
      <c r="D52" s="25">
        <f>'4637'!D36</f>
        <v>550</v>
      </c>
      <c r="E52" s="25">
        <f>'4637'!E36</f>
        <v>432</v>
      </c>
      <c r="F52" s="25" t="str">
        <f>'4637'!F36</f>
        <v xml:space="preserve"> INK 21032 SF</v>
      </c>
      <c r="G52" s="1"/>
    </row>
    <row r="53" spans="1:7" ht="15.6" x14ac:dyDescent="0.3">
      <c r="A53" s="95"/>
      <c r="B53" s="25">
        <f>'4637'!B37</f>
        <v>6</v>
      </c>
      <c r="C53" s="102" t="str">
        <f>'4637'!C37</f>
        <v>CORTE LAMINA</v>
      </c>
      <c r="D53" s="25">
        <f>'4637'!D37</f>
        <v>506</v>
      </c>
      <c r="E53" s="25">
        <f>'4637'!E37</f>
        <v>38</v>
      </c>
      <c r="F53" s="25" t="str">
        <f>'4637'!F37</f>
        <v xml:space="preserve"> INK 21032 SF</v>
      </c>
      <c r="G53" s="1"/>
    </row>
    <row r="54" spans="1:7" ht="15.6" x14ac:dyDescent="0.3">
      <c r="A54" s="95"/>
      <c r="B54" s="25">
        <f>'4637'!B38</f>
        <v>6</v>
      </c>
      <c r="C54" s="102" t="str">
        <f>'4637'!C38</f>
        <v>CORTE LAMINA</v>
      </c>
      <c r="D54" s="25">
        <f>'4637'!D38</f>
        <v>402</v>
      </c>
      <c r="E54" s="25">
        <f>'4637'!E38</f>
        <v>38</v>
      </c>
      <c r="F54" s="25" t="str">
        <f>'4637'!F38</f>
        <v xml:space="preserve"> INK 21032 SF</v>
      </c>
      <c r="G54" s="1"/>
    </row>
    <row r="55" spans="1:7" ht="15.6" x14ac:dyDescent="0.3">
      <c r="A55" s="95"/>
      <c r="B55" s="25">
        <f>'4637'!B39</f>
        <v>2</v>
      </c>
      <c r="C55" s="102" t="str">
        <f>'4637'!C39</f>
        <v>CORTE LAMINA</v>
      </c>
      <c r="D55" s="25">
        <f>'4637'!D39</f>
        <v>2460</v>
      </c>
      <c r="E55" s="25">
        <f>'4637'!E39</f>
        <v>560</v>
      </c>
      <c r="F55" s="25" t="str">
        <f>'4637'!F39</f>
        <v>SUMMER 2305 MT</v>
      </c>
      <c r="G55" s="1"/>
    </row>
    <row r="56" spans="1:7" ht="15.6" x14ac:dyDescent="0.3">
      <c r="A56" s="95"/>
      <c r="B56" s="25">
        <f>'4637'!B40</f>
        <v>2</v>
      </c>
      <c r="C56" s="102" t="str">
        <f>'4637'!C40</f>
        <v>CORTE LAMINA</v>
      </c>
      <c r="D56" s="25">
        <f>'4637'!D40</f>
        <v>2460</v>
      </c>
      <c r="E56" s="25">
        <f>'4637'!E40</f>
        <v>500</v>
      </c>
      <c r="F56" s="25" t="str">
        <f>'4637'!F40</f>
        <v>SUMMER 2305 MT</v>
      </c>
      <c r="G56" s="1"/>
    </row>
    <row r="57" spans="1:7" ht="15.6" x14ac:dyDescent="0.3">
      <c r="A57" s="95"/>
      <c r="B57" s="25">
        <f>'4637'!B41</f>
        <v>2</v>
      </c>
      <c r="C57" s="102" t="str">
        <f>'4637'!C41</f>
        <v>CORTE LAMINA</v>
      </c>
      <c r="D57" s="25">
        <f>'4637'!D41</f>
        <v>2460</v>
      </c>
      <c r="E57" s="25">
        <f>'4637'!E41</f>
        <v>50</v>
      </c>
      <c r="F57" s="25" t="str">
        <f>'4637'!F41</f>
        <v>SUMMER 2305 MT</v>
      </c>
      <c r="G57" s="1"/>
    </row>
    <row r="58" spans="1:7" ht="15.6" x14ac:dyDescent="0.3">
      <c r="A58" s="95"/>
      <c r="B58" s="25">
        <f>'4637'!B42</f>
        <v>2</v>
      </c>
      <c r="C58" s="102" t="str">
        <f>'4637'!C42</f>
        <v>CORTE LAMINA</v>
      </c>
      <c r="D58" s="25">
        <f>'4637'!D42</f>
        <v>2460</v>
      </c>
      <c r="E58" s="25">
        <f>'4637'!E42</f>
        <v>560</v>
      </c>
      <c r="F58" s="25" t="str">
        <f>'4637'!F42</f>
        <v>SUMMER 2305 MT</v>
      </c>
      <c r="G58" s="1"/>
    </row>
    <row r="59" spans="1:7" ht="15.6" x14ac:dyDescent="0.3">
      <c r="A59" s="95"/>
      <c r="B59" s="25">
        <f>'4637'!B43</f>
        <v>4</v>
      </c>
      <c r="C59" s="102" t="str">
        <f>'4637'!C43</f>
        <v>CORTE LAMINA</v>
      </c>
      <c r="D59" s="25">
        <f>'4637'!D43</f>
        <v>2460</v>
      </c>
      <c r="E59" s="25">
        <f>'4637'!E43</f>
        <v>40</v>
      </c>
      <c r="F59" s="25" t="str">
        <f>'4637'!F43</f>
        <v>SUMMER 2305 MT</v>
      </c>
      <c r="G59" s="1"/>
    </row>
    <row r="60" spans="1:7" ht="15.6" x14ac:dyDescent="0.3">
      <c r="A60" s="51"/>
      <c r="B60" s="6"/>
      <c r="C60" s="106"/>
      <c r="D60" s="6"/>
      <c r="E60" s="6"/>
      <c r="F60" s="6"/>
      <c r="G60" s="1"/>
    </row>
    <row r="61" spans="1:7" ht="15.6" x14ac:dyDescent="0.3">
      <c r="A61" s="51"/>
      <c r="B61" s="6"/>
      <c r="C61" s="106"/>
      <c r="D61" s="6"/>
      <c r="E61" s="6"/>
      <c r="F61" s="6"/>
      <c r="G61" s="1"/>
    </row>
    <row r="62" spans="1:7" ht="15.6" x14ac:dyDescent="0.3">
      <c r="A62" s="1"/>
      <c r="B62" s="6"/>
      <c r="C62" s="6"/>
      <c r="D62" s="6"/>
      <c r="E62" s="6"/>
      <c r="F62" s="6"/>
      <c r="G62" s="1"/>
    </row>
    <row r="63" spans="1:7" ht="15.6" x14ac:dyDescent="0.3">
      <c r="A63" s="1"/>
      <c r="B63" s="6"/>
      <c r="C63" s="6"/>
      <c r="D63" s="6"/>
      <c r="E63" s="6"/>
      <c r="F63" s="6"/>
      <c r="G63" s="1"/>
    </row>
    <row r="64" spans="1:7" ht="15.6" x14ac:dyDescent="0.3">
      <c r="A64" s="1"/>
      <c r="B64" s="6"/>
      <c r="C64" s="6"/>
      <c r="D64" s="6"/>
      <c r="E64" s="6"/>
      <c r="F64" s="6"/>
      <c r="G64" s="1"/>
    </row>
    <row r="65" spans="1:7" ht="15.6" x14ac:dyDescent="0.3">
      <c r="A65" s="1"/>
      <c r="B65" s="6"/>
      <c r="C65" s="6"/>
      <c r="D65" s="6"/>
      <c r="E65" s="6"/>
      <c r="F65" s="6"/>
      <c r="G65" s="1"/>
    </row>
    <row r="66" spans="1:7" ht="15.6" x14ac:dyDescent="0.3">
      <c r="A66" s="1"/>
      <c r="B66" s="6"/>
      <c r="C66" s="6"/>
      <c r="D66" s="6"/>
      <c r="E66" s="6"/>
      <c r="F66" s="6"/>
      <c r="G66" s="1"/>
    </row>
    <row r="67" spans="1:7" ht="15.6" x14ac:dyDescent="0.3">
      <c r="A67" s="1"/>
      <c r="B67" s="6"/>
      <c r="C67" s="6"/>
      <c r="D67" s="6"/>
      <c r="E67" s="6"/>
      <c r="F67" s="6"/>
      <c r="G67" s="1"/>
    </row>
    <row r="68" spans="1:7" ht="15.6" x14ac:dyDescent="0.3">
      <c r="A68" s="1"/>
      <c r="B68" s="6"/>
      <c r="C68" s="6"/>
      <c r="D68" s="6"/>
      <c r="E68" s="6"/>
      <c r="F68" s="6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39" t="s">
        <v>27</v>
      </c>
      <c r="D70" s="14">
        <f>'4637'!G8</f>
        <v>7187</v>
      </c>
      <c r="E70" s="1"/>
      <c r="F70" s="1"/>
      <c r="G70" s="1"/>
    </row>
    <row r="71" spans="1:7" ht="17.25" customHeight="1" x14ac:dyDescent="0.3">
      <c r="A71" s="1"/>
      <c r="B71" s="1"/>
      <c r="C71" s="40" t="s">
        <v>67</v>
      </c>
      <c r="D71" s="41" t="str">
        <f>'4637'!C10</f>
        <v>JOSE SOLORZANO</v>
      </c>
      <c r="E71" s="42"/>
      <c r="F71" s="42"/>
      <c r="G71" s="1"/>
    </row>
    <row r="72" spans="1:7" ht="4.5" customHeight="1" x14ac:dyDescent="0.3">
      <c r="A72" s="1"/>
      <c r="B72" s="1"/>
      <c r="C72" s="43"/>
      <c r="D72" s="44"/>
      <c r="E72" s="1"/>
      <c r="F72" s="1"/>
      <c r="G72" s="1"/>
    </row>
    <row r="73" spans="1:7" ht="15.6" x14ac:dyDescent="0.3">
      <c r="A73" s="1"/>
      <c r="B73" s="1"/>
      <c r="C73" s="45" t="str">
        <f>'4637'!F11</f>
        <v>FECHA LIMITE :</v>
      </c>
      <c r="D73" s="13">
        <f>'4637'!G11</f>
        <v>45734</v>
      </c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20" t="s">
        <v>68</v>
      </c>
      <c r="B76" s="120"/>
      <c r="C76" s="120"/>
      <c r="D76" s="120"/>
      <c r="E76" s="120"/>
      <c r="F76" s="120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75" customHeight="1" x14ac:dyDescent="0.3">
      <c r="A78" s="1"/>
      <c r="B78" s="121" t="s">
        <v>69</v>
      </c>
      <c r="C78" s="122"/>
      <c r="D78" s="123"/>
      <c r="E78" s="123"/>
      <c r="F78" s="124"/>
      <c r="G78" s="1"/>
    </row>
    <row r="79" spans="1:7" s="15" customFormat="1" ht="12.75" customHeight="1" x14ac:dyDescent="0.3">
      <c r="A79" s="1"/>
      <c r="B79" s="35" t="s">
        <v>10</v>
      </c>
      <c r="C79" s="46" t="s">
        <v>11</v>
      </c>
      <c r="D79" s="47" t="s">
        <v>7</v>
      </c>
      <c r="E79" s="47" t="s">
        <v>8</v>
      </c>
      <c r="F79" s="48" t="s">
        <v>12</v>
      </c>
      <c r="G79" s="1"/>
    </row>
    <row r="80" spans="1:7" s="15" customFormat="1" ht="15" customHeight="1" x14ac:dyDescent="0.3">
      <c r="A80" s="95"/>
      <c r="B80" s="37">
        <f>'4637'!B21</f>
        <v>4</v>
      </c>
      <c r="C80" s="101" t="str">
        <f>'4637'!C21</f>
        <v>CORTE LAMINA</v>
      </c>
      <c r="D80" s="38">
        <f>'4637'!D21</f>
        <v>560</v>
      </c>
      <c r="E80" s="38">
        <f>'4637'!E21</f>
        <v>410</v>
      </c>
      <c r="F80" s="101" t="str">
        <f>'4637'!F21</f>
        <v xml:space="preserve">EMERALD 21013 SF CARNIVAL 21075 SF </v>
      </c>
      <c r="G80" s="1"/>
    </row>
    <row r="81" spans="1:7" s="15" customFormat="1" ht="15" customHeight="1" x14ac:dyDescent="0.3">
      <c r="A81" s="95"/>
      <c r="B81" s="37">
        <f>'4637'!B22</f>
        <v>4</v>
      </c>
      <c r="C81" s="101" t="str">
        <f>'4637'!C22</f>
        <v>CORTE LAMINA</v>
      </c>
      <c r="D81" s="38">
        <f>'4637'!D22</f>
        <v>560</v>
      </c>
      <c r="E81" s="38">
        <f>'4637'!E22</f>
        <v>510</v>
      </c>
      <c r="F81" s="101" t="str">
        <f>'4637'!F22</f>
        <v xml:space="preserve">EMERALD 21013 SF CARNIVAL 21075 SF </v>
      </c>
      <c r="G81" s="1"/>
    </row>
    <row r="82" spans="1:7" s="15" customFormat="1" ht="15" customHeight="1" x14ac:dyDescent="0.3">
      <c r="A82" s="95"/>
      <c r="B82" s="37">
        <f>'4637'!B23</f>
        <v>4</v>
      </c>
      <c r="C82" s="101" t="str">
        <f>'4637'!C23</f>
        <v>CORTE LAMINA</v>
      </c>
      <c r="D82" s="38">
        <f>'4637'!D23</f>
        <v>560</v>
      </c>
      <c r="E82" s="38">
        <f>'4637'!E23</f>
        <v>330</v>
      </c>
      <c r="F82" s="101" t="str">
        <f>'4637'!F23</f>
        <v xml:space="preserve">EMERALD 21013 SF CARNIVAL 21075 SF </v>
      </c>
      <c r="G82" s="1"/>
    </row>
    <row r="83" spans="1:7" s="15" customFormat="1" ht="15" customHeight="1" x14ac:dyDescent="0.3">
      <c r="A83" s="95"/>
      <c r="B83" s="37">
        <f>'4637'!B24</f>
        <v>4</v>
      </c>
      <c r="C83" s="101" t="str">
        <f>'4637'!C24</f>
        <v>CORTE LAMINA</v>
      </c>
      <c r="D83" s="38">
        <f>'4637'!D24</f>
        <v>550</v>
      </c>
      <c r="E83" s="38">
        <f>'4637'!E24</f>
        <v>432</v>
      </c>
      <c r="F83" s="101" t="str">
        <f>'4637'!F24</f>
        <v xml:space="preserve">EMERALD 21013 SF CARNIVAL 21075 SF </v>
      </c>
      <c r="G83" s="1"/>
    </row>
    <row r="84" spans="1:7" s="15" customFormat="1" ht="15" customHeight="1" x14ac:dyDescent="0.3">
      <c r="A84" s="95"/>
      <c r="B84" s="37">
        <f>'4637'!B25</f>
        <v>4</v>
      </c>
      <c r="C84" s="101" t="str">
        <f>'4637'!C25</f>
        <v>CORTE LAMINA</v>
      </c>
      <c r="D84" s="38">
        <f>'4637'!D25</f>
        <v>505</v>
      </c>
      <c r="E84" s="38">
        <f>'4637'!E25</f>
        <v>38</v>
      </c>
      <c r="F84" s="101" t="str">
        <f>'4637'!F25</f>
        <v xml:space="preserve">EMERALD 21013 SF CARNIVAL 21075 SF </v>
      </c>
      <c r="G84" s="1"/>
    </row>
    <row r="85" spans="1:7" s="15" customFormat="1" ht="15" customHeight="1" x14ac:dyDescent="0.3">
      <c r="A85" s="95"/>
      <c r="B85" s="37">
        <f>'4637'!B26</f>
        <v>4</v>
      </c>
      <c r="C85" s="101" t="str">
        <f>'4637'!C26</f>
        <v>CORTE LAMINA</v>
      </c>
      <c r="D85" s="38">
        <f>'4637'!D26</f>
        <v>402</v>
      </c>
      <c r="E85" s="38">
        <f>'4637'!E26</f>
        <v>38</v>
      </c>
      <c r="F85" s="101" t="str">
        <f>'4637'!F26</f>
        <v xml:space="preserve">EMERALD 21013 SF CARNIVAL 21075 SF </v>
      </c>
      <c r="G85" s="1"/>
    </row>
    <row r="86" spans="1:7" s="15" customFormat="1" ht="15" customHeight="1" x14ac:dyDescent="0.3">
      <c r="A86" s="95"/>
      <c r="B86" s="37">
        <f>'4637'!B33</f>
        <v>6</v>
      </c>
      <c r="C86" s="101" t="str">
        <f>'4637'!C33</f>
        <v>CORTE LAMINA</v>
      </c>
      <c r="D86" s="38">
        <f>'4637'!D33</f>
        <v>560</v>
      </c>
      <c r="E86" s="38">
        <f>'4637'!E33</f>
        <v>410</v>
      </c>
      <c r="F86" s="37" t="str">
        <f>'4637'!F33</f>
        <v xml:space="preserve"> INK 21032 SF</v>
      </c>
      <c r="G86" s="1"/>
    </row>
    <row r="87" spans="1:7" s="15" customFormat="1" ht="15" customHeight="1" x14ac:dyDescent="0.3">
      <c r="A87" s="95"/>
      <c r="B87" s="37">
        <f>'4637'!B34</f>
        <v>6</v>
      </c>
      <c r="C87" s="101" t="str">
        <f>'4637'!C34</f>
        <v>CORTE LAMINA</v>
      </c>
      <c r="D87" s="38">
        <f>'4637'!D34</f>
        <v>560</v>
      </c>
      <c r="E87" s="38">
        <f>'4637'!E34</f>
        <v>510</v>
      </c>
      <c r="F87" s="37" t="str">
        <f>'4637'!F34</f>
        <v xml:space="preserve"> INK 21032 SF</v>
      </c>
      <c r="G87" s="1"/>
    </row>
    <row r="88" spans="1:7" s="15" customFormat="1" ht="15" customHeight="1" x14ac:dyDescent="0.3">
      <c r="A88" s="95"/>
      <c r="B88" s="37">
        <f>'4637'!B35</f>
        <v>6</v>
      </c>
      <c r="C88" s="101" t="str">
        <f>'4637'!C35</f>
        <v>CORTE LAMINA</v>
      </c>
      <c r="D88" s="38">
        <f>'4637'!D35</f>
        <v>550</v>
      </c>
      <c r="E88" s="38">
        <f>'4637'!E35</f>
        <v>330</v>
      </c>
      <c r="F88" s="37" t="str">
        <f>'4637'!F35</f>
        <v xml:space="preserve"> INK 21032 SF</v>
      </c>
      <c r="G88" s="1"/>
    </row>
    <row r="89" spans="1:7" s="15" customFormat="1" ht="15" customHeight="1" x14ac:dyDescent="0.3">
      <c r="A89" s="95"/>
      <c r="B89" s="37">
        <f>'4637'!B36</f>
        <v>6</v>
      </c>
      <c r="C89" s="101" t="str">
        <f>'4637'!C36</f>
        <v>CORTE LAMINA</v>
      </c>
      <c r="D89" s="38">
        <f>'4637'!D36</f>
        <v>550</v>
      </c>
      <c r="E89" s="38">
        <f>'4637'!E36</f>
        <v>432</v>
      </c>
      <c r="F89" s="37" t="str">
        <f>'4637'!F36</f>
        <v xml:space="preserve"> INK 21032 SF</v>
      </c>
      <c r="G89" s="1"/>
    </row>
    <row r="90" spans="1:7" s="15" customFormat="1" ht="15" customHeight="1" x14ac:dyDescent="0.3">
      <c r="A90" s="95"/>
      <c r="B90" s="37">
        <f>'4637'!B37</f>
        <v>6</v>
      </c>
      <c r="C90" s="101" t="str">
        <f>'4637'!C37</f>
        <v>CORTE LAMINA</v>
      </c>
      <c r="D90" s="38">
        <f>'4637'!D37</f>
        <v>506</v>
      </c>
      <c r="E90" s="38">
        <f>'4637'!E37</f>
        <v>38</v>
      </c>
      <c r="F90" s="37" t="str">
        <f>'4637'!F37</f>
        <v xml:space="preserve"> INK 21032 SF</v>
      </c>
      <c r="G90" s="1"/>
    </row>
    <row r="91" spans="1:7" s="15" customFormat="1" ht="15" customHeight="1" x14ac:dyDescent="0.3">
      <c r="A91" s="95"/>
      <c r="B91" s="37">
        <f>'4637'!B38</f>
        <v>6</v>
      </c>
      <c r="C91" s="101" t="str">
        <f>'4637'!C38</f>
        <v>CORTE LAMINA</v>
      </c>
      <c r="D91" s="38">
        <f>'4637'!D38</f>
        <v>402</v>
      </c>
      <c r="E91" s="38">
        <f>'4637'!E38</f>
        <v>38</v>
      </c>
      <c r="F91" s="37" t="str">
        <f>'4637'!F38</f>
        <v xml:space="preserve"> INK 21032 SF</v>
      </c>
      <c r="G91" s="1"/>
    </row>
    <row r="92" spans="1:7" s="15" customFormat="1" ht="15" customHeight="1" x14ac:dyDescent="0.3">
      <c r="A92" s="95"/>
      <c r="B92" s="37">
        <f>'4637'!B39</f>
        <v>2</v>
      </c>
      <c r="C92" s="101" t="str">
        <f>'4637'!C39</f>
        <v>CORTE LAMINA</v>
      </c>
      <c r="D92" s="38">
        <f>'4637'!D39</f>
        <v>2460</v>
      </c>
      <c r="E92" s="38">
        <f>'4637'!E39</f>
        <v>560</v>
      </c>
      <c r="F92" s="37" t="str">
        <f>'4637'!F39</f>
        <v>SUMMER 2305 MT</v>
      </c>
      <c r="G92" s="1"/>
    </row>
    <row r="93" spans="1:7" s="15" customFormat="1" ht="15" customHeight="1" x14ac:dyDescent="0.3">
      <c r="A93" s="95"/>
      <c r="B93" s="37">
        <f>'4637'!B40</f>
        <v>2</v>
      </c>
      <c r="C93" s="101" t="str">
        <f>'4637'!C40</f>
        <v>CORTE LAMINA</v>
      </c>
      <c r="D93" s="38">
        <f>'4637'!D40</f>
        <v>2460</v>
      </c>
      <c r="E93" s="38">
        <f>'4637'!E40</f>
        <v>500</v>
      </c>
      <c r="F93" s="37" t="str">
        <f>'4637'!F40</f>
        <v>SUMMER 2305 MT</v>
      </c>
      <c r="G93" s="1"/>
    </row>
    <row r="94" spans="1:7" s="15" customFormat="1" ht="15" customHeight="1" x14ac:dyDescent="0.3">
      <c r="A94" s="95"/>
      <c r="B94" s="37">
        <f>'4637'!B41</f>
        <v>2</v>
      </c>
      <c r="C94" s="101" t="str">
        <f>'4637'!C41</f>
        <v>CORTE LAMINA</v>
      </c>
      <c r="D94" s="38">
        <f>'4637'!D41</f>
        <v>2460</v>
      </c>
      <c r="E94" s="38">
        <f>'4637'!E41</f>
        <v>50</v>
      </c>
      <c r="F94" s="37" t="str">
        <f>'4637'!F41</f>
        <v>SUMMER 2305 MT</v>
      </c>
      <c r="G94" s="1"/>
    </row>
    <row r="95" spans="1:7" s="15" customFormat="1" ht="15" customHeight="1" x14ac:dyDescent="0.3">
      <c r="A95" s="95"/>
      <c r="B95" s="37">
        <f>'4637'!B42</f>
        <v>2</v>
      </c>
      <c r="C95" s="101" t="str">
        <f>'4637'!C42</f>
        <v>CORTE LAMINA</v>
      </c>
      <c r="D95" s="38">
        <f>'4637'!D42</f>
        <v>2460</v>
      </c>
      <c r="E95" s="38">
        <f>'4637'!E42</f>
        <v>560</v>
      </c>
      <c r="F95" s="37" t="str">
        <f>'4637'!F42</f>
        <v>SUMMER 2305 MT</v>
      </c>
      <c r="G95" s="1"/>
    </row>
    <row r="96" spans="1:7" s="15" customFormat="1" ht="15" customHeight="1" x14ac:dyDescent="0.3">
      <c r="A96" s="95"/>
      <c r="B96" s="37">
        <f>'4637'!B43</f>
        <v>4</v>
      </c>
      <c r="C96" s="101" t="str">
        <f>'4637'!C43</f>
        <v>CORTE LAMINA</v>
      </c>
      <c r="D96" s="38">
        <f>'4637'!D43</f>
        <v>2460</v>
      </c>
      <c r="E96" s="38">
        <f>'4637'!E43</f>
        <v>40</v>
      </c>
      <c r="F96" s="37" t="str">
        <f>'4637'!F43</f>
        <v>SUMMER 2305 MT</v>
      </c>
      <c r="G96" s="1"/>
    </row>
    <row r="97" spans="1:7" s="15" customFormat="1" ht="15" customHeight="1" x14ac:dyDescent="0.3">
      <c r="A97" s="95"/>
      <c r="B97" s="51"/>
      <c r="C97" s="111"/>
      <c r="D97" s="51"/>
      <c r="E97" s="51"/>
      <c r="F97" s="51"/>
      <c r="G97" s="1"/>
    </row>
    <row r="98" spans="1:7" s="15" customFormat="1" ht="15" customHeight="1" x14ac:dyDescent="0.3">
      <c r="A98" s="49"/>
      <c r="B98" s="51"/>
      <c r="C98" s="51"/>
      <c r="D98" s="51"/>
      <c r="E98" s="51"/>
      <c r="F98" s="51"/>
      <c r="G98" s="1"/>
    </row>
    <row r="99" spans="1:7" ht="15.6" x14ac:dyDescent="0.3">
      <c r="A99" s="6"/>
      <c r="B99" s="6"/>
      <c r="C99" s="1"/>
      <c r="D99" s="6"/>
      <c r="E99" s="6"/>
      <c r="F99" s="43"/>
      <c r="G99" s="1"/>
    </row>
    <row r="100" spans="1:7" ht="15.6" x14ac:dyDescent="0.3">
      <c r="A100" s="6"/>
      <c r="B100" s="6"/>
      <c r="C100" s="1"/>
      <c r="D100" s="6"/>
      <c r="E100" s="6"/>
      <c r="F100" s="6"/>
      <c r="G100" s="1"/>
    </row>
    <row r="101" spans="1:7" ht="15.6" x14ac:dyDescent="0.3">
      <c r="A101" s="1"/>
      <c r="B101" s="1"/>
      <c r="C101" s="1"/>
      <c r="D101" s="1"/>
      <c r="E101" s="1"/>
      <c r="F101" s="1"/>
      <c r="G101" s="1"/>
    </row>
    <row r="102" spans="1:7" ht="15.6" x14ac:dyDescent="0.3">
      <c r="A102" s="1"/>
      <c r="B102" s="1"/>
      <c r="C102" s="1"/>
      <c r="D102" s="1"/>
      <c r="E102" s="1"/>
      <c r="F102" s="1"/>
      <c r="G102" s="1"/>
    </row>
    <row r="103" spans="1:7" ht="15.6" x14ac:dyDescent="0.3">
      <c r="A103" s="1"/>
      <c r="B103" s="1"/>
      <c r="C103" s="1"/>
      <c r="D103" s="1"/>
      <c r="E103" s="1"/>
      <c r="F103" s="1"/>
      <c r="G103" s="1"/>
    </row>
    <row r="104" spans="1:7" ht="15" customHeight="1" x14ac:dyDescent="0.3">
      <c r="A104" s="1"/>
      <c r="B104" s="1"/>
      <c r="C104" s="1"/>
      <c r="D104" s="1"/>
      <c r="E104" s="1"/>
      <c r="F104" s="1"/>
      <c r="G104" s="1"/>
    </row>
    <row r="105" spans="1:7" ht="15.6" x14ac:dyDescent="0.3">
      <c r="A105" s="1"/>
      <c r="B105" s="1"/>
      <c r="C105" s="1"/>
      <c r="D105" s="1"/>
      <c r="E105" s="1"/>
      <c r="F105" s="1"/>
      <c r="G105" s="1"/>
    </row>
    <row r="106" spans="1:7" ht="15.6" x14ac:dyDescent="0.3">
      <c r="A106" s="6"/>
      <c r="B106" s="50"/>
      <c r="C106" s="1"/>
      <c r="D106" s="1"/>
      <c r="E106" s="1"/>
      <c r="F106" s="1"/>
      <c r="G106" s="1"/>
    </row>
    <row r="107" spans="1:7" ht="15.6" x14ac:dyDescent="0.3">
      <c r="A107" s="1"/>
      <c r="B107" s="1"/>
      <c r="C107" s="1"/>
      <c r="D107" s="1"/>
      <c r="E107" s="1"/>
      <c r="F107" s="1"/>
      <c r="G107" s="1"/>
    </row>
    <row r="108" spans="1:7" x14ac:dyDescent="0.3">
      <c r="B108" s="20"/>
      <c r="C108" s="20"/>
      <c r="D108" s="20"/>
      <c r="E108" s="20"/>
      <c r="F108" s="20"/>
    </row>
    <row r="109" spans="1:7" x14ac:dyDescent="0.3">
      <c r="B109" s="20"/>
      <c r="C109" s="20"/>
      <c r="E109" s="20"/>
      <c r="F109" s="20"/>
    </row>
  </sheetData>
  <mergeCells count="6">
    <mergeCell ref="M3:N3"/>
    <mergeCell ref="A17:F17"/>
    <mergeCell ref="A10:F10"/>
    <mergeCell ref="A76:F76"/>
    <mergeCell ref="B78:F7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2025-01-20T18:48:46Z</cp:lastPrinted>
  <dcterms:created xsi:type="dcterms:W3CDTF">2013-03-19T12:54:14Z</dcterms:created>
  <dcterms:modified xsi:type="dcterms:W3CDTF">2025-03-17T16:08:10Z</dcterms:modified>
</cp:coreProperties>
</file>