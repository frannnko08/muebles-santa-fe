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19F23985-76D7-44C7-A335-A01D402D9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C30" i="3"/>
  <c r="D30" i="3"/>
  <c r="E30" i="3"/>
  <c r="F30" i="3"/>
  <c r="B52" i="3"/>
  <c r="C52" i="3"/>
  <c r="D52" i="3"/>
  <c r="E52" i="3"/>
  <c r="F52" i="3"/>
  <c r="H22" i="4" l="1"/>
  <c r="I23" i="3"/>
  <c r="B23" i="3" s="1"/>
  <c r="F15" i="3"/>
  <c r="J15" i="3"/>
  <c r="D15" i="3" s="1"/>
  <c r="K15" i="3"/>
  <c r="E15" i="3" s="1"/>
  <c r="F23" i="3" l="1"/>
  <c r="I15" i="3"/>
  <c r="B15" i="3" s="1"/>
  <c r="K23" i="3"/>
  <c r="E23" i="3" s="1"/>
  <c r="J23" i="3"/>
  <c r="D23" i="3" s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<sst xmlns="http://schemas.openxmlformats.org/spreadsheetml/2006/main" count="249" uniqueCount="145">
  <si>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</si>
  <si>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</si>
  <si>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</si>
  <si>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</si>
  <si>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</si>
  <si>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</si>
  <si>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</si>
  <si>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</si>
  <si>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</si>
  <si>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</si>
  <si>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</si>
  <si>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</si>
  <si>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</si>
  <si>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</si>
  <si>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</si>
  <si>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</si>
  <si>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</si>
  <si>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</si>
  <si>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</si>
  <si>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</si>
  <si>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</si>
  <si>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</si>
  <si>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</si>
  <si>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</si>
  <si>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</si>
  <si>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</si>
  <si>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</si>
  <si>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</si>
  <si>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</si>
  <si>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</si>
  <si>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</si>
  <si>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</si>
  <si>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</si>
  <si>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</si>
  <si>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</si>
  <si>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</si>
  <si>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</si>
  <si>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</si>
  <si>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</si>
  <si>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</si>
  <si>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</si>
  <si>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</si>
  <si>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</si>
  <si>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</si>
  <si>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</si>
  <si>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</si>
  <si>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</si>
  <si>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</si>
  <si>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</si>
  <si>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</si>
  <si>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</si>
  <si>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</si>
  <si>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</si>
  <si>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</si>
  <si>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</si>
  <si>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</si>
  <si>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</si>
  <si>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</si>
  <si>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</si>
  <si>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</si>
  <si>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</si>
  <si>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</si>
  <si>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</si>
  <si>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</si>
  <si>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</si>
  <si>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</si>
  <si>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</si>
  <si>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</si>
  <si>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</si>
  <si>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</si>
  <si>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</si>
  <si>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</si>
  <si>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</si>
  <si>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</si>
  <si>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</si>
  <si>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</si>
  <si>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</si>
  <si>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</si>
  <si>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</si>
  <si>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</si>
  <si>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</si>
  <si>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</si>
  <si>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</si>
  <si>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</si>
  <si>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</si>
  <si>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</si>
  <si>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</si>
  <si>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</si>
  <si>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</si>
  <si>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</si>
  <si>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</si>
  <si>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</si>
  <si>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</si>
  <si>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</si>
  <si>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</si>
  <si>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</si>
  <si>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</si>
  <si>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</si>
  <si>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</si>
  <si>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</si>
  <si>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</si>
  <si>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</si>
  <si>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</si>
  <si>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</si>
  <si>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</si>
  <si>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</si>
  <si>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</si>
  <si>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</si>
  <si>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</si>
  <si>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</si>
  <si>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</si>
  <si>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</si>
  <si>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</si>
  <si>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</si>
  <si>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</si>
  <si>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</si>
  <si>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</si>
  <si>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</si>
  <si>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</si>
  <si>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</si>
  <si>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</si>
  <si>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</si>
  <si>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</si>
  <si>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</si>
  <si>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</si>
  <si>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</si>
  <si>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</si>
  <si>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</si>
  <si>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</si>
  <si>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</si>
  <si>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</si>
  <si>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</si>
  <si>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</si>
  <si>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</si>
  <si>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</si>
  <si>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</si>
  <si>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</si>
  <si>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</si>
  <si>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</si>
  <si>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</si>
  <si>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</si>
  <si>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</si>
  <si>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C/R R8</t>
  </si>
  <si>
    <t>BLANCO OPACO MERINO</t>
  </si>
  <si>
    <t>N° 11329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</si>
</sst>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7184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45729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22882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1150</v>
      </c>
      <c r="E21" s="109">
        <v>600</v>
      </c>
      <c r="F21" s="106" t="s">
        <v>143</v>
      </c>
      <c r="G21" s="108">
        <v>58249</v>
      </c>
      <c r="H21" s="107">
        <f t="shared" ref="H21" si="0">G21*B21</f>
        <v>58249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142</v>
      </c>
      <c r="D22" s="109">
        <v>2000</v>
      </c>
      <c r="E22" s="109">
        <v>600</v>
      </c>
      <c r="F22" s="106" t="s">
        <v>143</v>
      </c>
      <c r="G22" s="108">
        <v>74330</v>
      </c>
      <c r="H22" s="107">
        <f t="shared" ref="H22" si="1">G22*B22</f>
        <v>74330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132579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25190.010000000002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157769.01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21" zoomScaleNormal="100" workbookViewId="0">
      <selection activeCell="H33" sqref="H3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1230</v>
      </c>
      <c r="E14" s="35">
        <f>K14+E$13</f>
        <v>570</v>
      </c>
      <c r="F14" s="103" t="str">
        <f>C29</f>
        <v>CUB C/R R8</v>
      </c>
      <c r="G14" s="1"/>
      <c r="I14" s="3">
        <f>I22</f>
        <v>1</v>
      </c>
      <c r="J14" s="4">
        <f>D29</f>
        <v>1150</v>
      </c>
      <c r="K14" s="4">
        <f>E29</f>
        <v>600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2080</v>
      </c>
      <c r="E15" s="35">
        <f>K15+E$13</f>
        <v>570</v>
      </c>
      <c r="F15" s="103" t="str">
        <f>C30</f>
        <v>CUB C/R R8</v>
      </c>
      <c r="G15" s="1"/>
      <c r="I15" s="3">
        <f>I23</f>
        <v>1</v>
      </c>
      <c r="J15" s="4">
        <f>D30</f>
        <v>2000</v>
      </c>
      <c r="K15" s="4">
        <f>E30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1190</v>
      </c>
      <c r="E22" s="16">
        <f>K22+E$21</f>
        <v>730</v>
      </c>
      <c r="F22" s="104" t="str">
        <f>C29</f>
        <v>CUB C/R R8</v>
      </c>
      <c r="G22" s="1"/>
      <c r="I22" s="3">
        <f>B29</f>
        <v>1</v>
      </c>
      <c r="J22" s="4">
        <f t="shared" ref="J22:K22" si="5">D29</f>
        <v>1150</v>
      </c>
      <c r="K22" s="4">
        <f t="shared" si="5"/>
        <v>600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2040</v>
      </c>
      <c r="E23" s="16">
        <f>K23+E$21</f>
        <v>730</v>
      </c>
      <c r="F23" s="104" t="str">
        <f>C30</f>
        <v>CUB C/R R8</v>
      </c>
      <c r="G23" s="1"/>
      <c r="I23" s="3">
        <f>B30</f>
        <v>1</v>
      </c>
      <c r="J23" s="4">
        <f t="shared" ref="J23" si="7">D30</f>
        <v>2000</v>
      </c>
      <c r="K23" s="4">
        <f t="shared" ref="K23" si="8">E30</f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R8</v>
      </c>
      <c r="D29" s="25">
        <f>'4637'!D21</f>
        <v>1150</v>
      </c>
      <c r="E29" s="25">
        <f>'4637'!E21</f>
        <v>600</v>
      </c>
      <c r="F29" s="25" t="str">
        <f>'4637'!F21</f>
        <v>BLANCO OPACO MERINO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R8</v>
      </c>
      <c r="D30" s="25">
        <f>'4637'!D22</f>
        <v>2000</v>
      </c>
      <c r="E30" s="25">
        <f>'4637'!E22</f>
        <v>600</v>
      </c>
      <c r="F30" s="25" t="str">
        <f>'4637'!F22</f>
        <v>BLANCO OPACO MERINO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7184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45729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1150</v>
      </c>
      <c r="E51" s="39">
        <f>'4637'!E21</f>
        <v>600</v>
      </c>
      <c r="F51" s="38" t="str">
        <f>'4637'!F21</f>
        <v>BLANCO OPACO MERINO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R8</v>
      </c>
      <c r="D52" s="39">
        <f>'4637'!D22</f>
        <v>2000</v>
      </c>
      <c r="E52" s="39">
        <f>'4637'!E22</f>
        <v>600</v>
      </c>
      <c r="F52" s="38" t="str">
        <f>'4637'!F22</f>
        <v>BLANCO OPACO MERINO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2025-03-11T20:17:42Z</dcterms:modified>
</cp:coreProperties>
</file>