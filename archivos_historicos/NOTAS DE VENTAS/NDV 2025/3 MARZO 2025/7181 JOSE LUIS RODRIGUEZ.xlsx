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3252A4F8-9940-45C2-B9D7-6DAE1A8058F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CUBIERTA!$A$42:$G$67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F16" i="3"/>
  <c r="I16" i="3"/>
  <c r="B16" i="3" s="1"/>
  <c r="J16" i="3"/>
  <c r="D16" i="3" s="1"/>
  <c r="K16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6" i="3"/>
  <c r="C56" i="3"/>
  <c r="D56" i="3"/>
  <c r="E56" i="3"/>
  <c r="F56" i="3"/>
  <c r="H23" i="4"/>
  <c r="B32" i="3"/>
  <c r="I24" i="3" s="1"/>
  <c r="B24" i="3" s="1"/>
  <c r="C32" i="3"/>
  <c r="F15" i="3" s="1"/>
  <c r="D32" i="3"/>
  <c r="J15" i="3" s="1"/>
  <c r="D15" i="3" s="1"/>
  <c r="E32" i="3"/>
  <c r="K15" i="3" s="1"/>
  <c r="E15" i="3" s="1"/>
  <c r="F32" i="3"/>
  <c r="B55" i="3"/>
  <c r="C55" i="3"/>
  <c r="D55" i="3"/>
  <c r="E55" i="3"/>
  <c r="F55" i="3"/>
  <c r="F24" i="3" l="1"/>
  <c r="I15" i="3"/>
  <c r="B15" i="3" s="1"/>
  <c r="K24" i="3"/>
  <c r="E24" i="3" s="1"/>
  <c r="J24" i="3"/>
  <c r="D24" i="3" s="1"/>
  <c r="H22" i="4"/>
  <c r="B31" i="3"/>
  <c r="I23" i="3" s="1"/>
  <c r="C31" i="3"/>
  <c r="F14" i="3" s="1"/>
  <c r="D31" i="3"/>
  <c r="J14" i="3" s="1"/>
  <c r="D14" i="3" s="1"/>
  <c r="E31" i="3"/>
  <c r="K23" i="3" s="1"/>
  <c r="E23" i="3" s="1"/>
  <c r="F31" i="3"/>
  <c r="B54" i="3"/>
  <c r="C54" i="3"/>
  <c r="D54" i="3"/>
  <c r="E54" i="3"/>
  <c r="F54" i="3"/>
  <c r="H21" i="4"/>
  <c r="J23" i="3" l="1"/>
  <c r="D23" i="3" s="1"/>
  <c r="K14" i="3"/>
  <c r="E14" i="3" s="1"/>
  <c r="B23" i="3"/>
  <c r="I14" i="3"/>
  <c r="B14" i="3" s="1"/>
  <c r="F23" i="3"/>
  <c r="H26" i="4"/>
  <c r="H27" i="4" l="1"/>
  <c r="H28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<sst xmlns="http://schemas.openxmlformats.org/spreadsheetml/2006/main" count="247" uniqueCount="141">
  <si>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</si>
  <si>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</si>
  <si>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</si>
  <si>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</si>
  <si>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</si>
  <si>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</si>
  <si>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</si>
  <si>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</si>
  <si>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</si>
  <si>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</si>
  <si>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</si>
  <si>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</si>
  <si>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</si>
  <si>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</si>
  <si>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</si>
  <si>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</si>
  <si>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</si>
  <si>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</si>
  <si>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</si>
  <si>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</si>
  <si>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</si>
  <si>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</si>
  <si>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</si>
  <si>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</si>
  <si>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</si>
  <si>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</si>
  <si>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</si>
  <si>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</si>
  <si>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</si>
  <si>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</si>
  <si>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</si>
  <si>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</si>
  <si>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</si>
  <si>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</si>
  <si>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</si>
  <si>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</si>
  <si>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</si>
  <si>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</si>
  <si>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</si>
  <si>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</si>
  <si>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</si>
  <si>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</si>
  <si>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</si>
  <si>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</si>
  <si>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</si>
  <si>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</si>
  <si>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</si>
  <si>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</si>
  <si>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</si>
  <si>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</si>
  <si>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</si>
  <si>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</si>
  <si>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</si>
  <si>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</si>
  <si>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</si>
  <si>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</si>
  <si>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</si>
  <si>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</si>
  <si>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</si>
  <si>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</si>
  <si>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</si>
  <si>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</si>
  <si>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</si>
  <si>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</si>
  <si>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</si>
  <si>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</si>
  <si>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</si>
  <si>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</si>
  <si>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</si>
  <si>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</si>
  <si>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</si>
  <si>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</si>
  <si>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</si>
  <si>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</si>
  <si>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</si>
  <si>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</si>
  <si>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</si>
  <si>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</si>
  <si>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</si>
  <si>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</si>
  <si>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</si>
  <si>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</si>
  <si>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</si>
  <si>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</si>
  <si>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</si>
  <si>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</si>
  <si>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</si>
  <si>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</si>
  <si>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</si>
  <si>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</si>
  <si>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</si>
  <si>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</si>
  <si>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</si>
  <si>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</si>
  <si>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</si>
  <si>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</si>
  <si>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</si>
  <si>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</si>
  <si>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</si>
  <si>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</si>
  <si>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</si>
  <si>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</si>
  <si>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</si>
  <si>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</si>
  <si>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</si>
  <si>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</si>
  <si>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</si>
  <si>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</si>
  <si>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</si>
  <si>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</si>
  <si>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</si>
  <si>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</si>
  <si>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</si>
  <si>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</si>
  <si>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</si>
  <si>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</si>
  <si>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</si>
  <si>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</si>
  <si>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</si>
  <si>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</si>
  <si>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</si>
  <si>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</si>
  <si>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</si>
  <si>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</si>
  <si>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</si>
  <si>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</si>
  <si>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</si>
  <si>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</si>
  <si>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</si>
  <si>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</si>
  <si>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</si>
  <si>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</si>
  <si>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</si>
  <si>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</si>
  <si>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</si>
  <si>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</si>
  <si>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N° 11324</t>
  </si>
  <si>
    <t>JOSE LUIS RODRIGUEZ</t>
  </si>
  <si>
    <t>CONTADO</t>
  </si>
  <si>
    <t>GRANITINO NEGRO 3014 BR</t>
  </si>
  <si>
    <t>CUB C/R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</si>
</sst>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r>
            <a:rPr lang="es-CL" sz="900" b="1" i="1" baseline="0"/>
            <a:t> POR TRANSFERENCIA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7" workbookViewId="0">
      <selection activeCell="K19" sqref="K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7181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45721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45722</v>
      </c>
      <c r="H11" s="62"/>
      <c r="I11" s="1"/>
    </row>
    <row r="12" spans="1:17" ht="16.2" thickBot="1" x14ac:dyDescent="0.35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56962302329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140</v>
      </c>
      <c r="D21" s="109">
        <v>1590</v>
      </c>
      <c r="E21" s="109">
        <v>600</v>
      </c>
      <c r="F21" s="106" t="s">
        <v>139</v>
      </c>
      <c r="G21" s="108">
        <v>76142</v>
      </c>
      <c r="H21" s="107">
        <f t="shared" ref="H21" si="0">G21*B21</f>
        <v>76142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140</v>
      </c>
      <c r="D22" s="109">
        <v>1730</v>
      </c>
      <c r="E22" s="109">
        <v>600</v>
      </c>
      <c r="F22" s="106" t="s">
        <v>139</v>
      </c>
      <c r="G22" s="108">
        <v>82273</v>
      </c>
      <c r="H22" s="107">
        <f t="shared" ref="H22:H23" si="1">G22*B22</f>
        <v>82273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6" t="s">
        <v>36</v>
      </c>
      <c r="D23" s="109">
        <v>2060</v>
      </c>
      <c r="E23" s="109">
        <v>600</v>
      </c>
      <c r="F23" s="106" t="s">
        <v>139</v>
      </c>
      <c r="G23" s="108">
        <v>96726</v>
      </c>
      <c r="H23" s="107">
        <f t="shared" si="1"/>
        <v>96726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255141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48476.79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303617.78999999998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topLeftCell="A31" zoomScaleNormal="100" workbookViewId="0">
      <selection activeCell="K37" sqref="K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JOSE LUIS RODRIGUEZ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1670</v>
      </c>
      <c r="E14" s="35">
        <f>K14+E$13</f>
        <v>570</v>
      </c>
      <c r="F14" s="103" t="str">
        <f>C31</f>
        <v>CUB C/R 180°</v>
      </c>
      <c r="G14" s="1"/>
      <c r="I14" s="3">
        <f>I23</f>
        <v>1</v>
      </c>
      <c r="J14" s="4">
        <f>D31</f>
        <v>1590</v>
      </c>
      <c r="K14" s="4">
        <f>E31</f>
        <v>600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1810</v>
      </c>
      <c r="E15" s="35">
        <f>K15+E$13</f>
        <v>570</v>
      </c>
      <c r="F15" s="103" t="str">
        <f>C32</f>
        <v>CUB C/R 180°</v>
      </c>
      <c r="G15" s="1"/>
      <c r="I15" s="3">
        <f>I24</f>
        <v>1</v>
      </c>
      <c r="J15" s="4">
        <f>D32</f>
        <v>1730</v>
      </c>
      <c r="K15" s="4">
        <f>E32</f>
        <v>600</v>
      </c>
    </row>
    <row r="16" spans="1:14" ht="15.6" x14ac:dyDescent="0.3">
      <c r="A16" s="96"/>
      <c r="B16" s="25">
        <f t="shared" ref="B16" si="4">I16</f>
        <v>1</v>
      </c>
      <c r="C16" s="25"/>
      <c r="D16" s="25">
        <f t="shared" ref="D16" si="5">J16+D$13</f>
        <v>2140</v>
      </c>
      <c r="E16" s="35">
        <f>K16</f>
        <v>600</v>
      </c>
      <c r="F16" s="103" t="str">
        <f>C33</f>
        <v>CUB MESA 180° 2 LADOS</v>
      </c>
      <c r="G16" s="1"/>
      <c r="I16" s="3">
        <f>I25</f>
        <v>1</v>
      </c>
      <c r="J16" s="4">
        <f>D33</f>
        <v>2060</v>
      </c>
      <c r="K16" s="4">
        <f>E33</f>
        <v>600</v>
      </c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8" t="s">
        <v>14</v>
      </c>
      <c r="B19" s="118"/>
      <c r="C19" s="118"/>
      <c r="D19" s="118"/>
      <c r="E19" s="118"/>
      <c r="F19" s="11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6">I23</f>
        <v>1</v>
      </c>
      <c r="C23" s="16"/>
      <c r="D23" s="16">
        <f>J23+D$22</f>
        <v>1630</v>
      </c>
      <c r="E23" s="16">
        <f>K23+E$22</f>
        <v>750</v>
      </c>
      <c r="F23" s="104" t="str">
        <f>C31</f>
        <v>CUB C/R 180°</v>
      </c>
      <c r="G23" s="1"/>
      <c r="I23" s="3">
        <f>B31</f>
        <v>1</v>
      </c>
      <c r="J23" s="4">
        <f t="shared" ref="J23:K23" si="7">D31</f>
        <v>1590</v>
      </c>
      <c r="K23" s="4">
        <f t="shared" si="7"/>
        <v>600</v>
      </c>
    </row>
    <row r="24" spans="1:11" ht="15.6" x14ac:dyDescent="0.3">
      <c r="A24" s="96"/>
      <c r="B24" s="16">
        <f t="shared" ref="B24" si="8">I24</f>
        <v>1</v>
      </c>
      <c r="C24" s="16"/>
      <c r="D24" s="16">
        <f>J24+D$22</f>
        <v>1770</v>
      </c>
      <c r="E24" s="16">
        <f>K24+E$22</f>
        <v>750</v>
      </c>
      <c r="F24" s="104" t="str">
        <f>C32</f>
        <v>CUB C/R 180°</v>
      </c>
      <c r="G24" s="1"/>
      <c r="I24" s="3">
        <f>B32</f>
        <v>1</v>
      </c>
      <c r="J24" s="4">
        <f t="shared" ref="J24" si="9">D32</f>
        <v>1730</v>
      </c>
      <c r="K24" s="4">
        <f t="shared" ref="K24" si="10">E32</f>
        <v>600</v>
      </c>
    </row>
    <row r="25" spans="1:11" ht="15.6" x14ac:dyDescent="0.3">
      <c r="A25" s="96"/>
      <c r="B25" s="16">
        <f t="shared" ref="B25" si="11">I25</f>
        <v>1</v>
      </c>
      <c r="C25" s="16"/>
      <c r="D25" s="16">
        <f>J25+D$22</f>
        <v>2100</v>
      </c>
      <c r="E25" s="16">
        <f>K25+E$22</f>
        <v>750</v>
      </c>
      <c r="F25" s="104" t="str">
        <f>C33</f>
        <v>CUB MESA 180° 2 LADOS</v>
      </c>
      <c r="G25" s="1"/>
      <c r="I25" s="3">
        <f>B33</f>
        <v>1</v>
      </c>
      <c r="J25" s="4">
        <f t="shared" ref="J25" si="12">D33</f>
        <v>2060</v>
      </c>
      <c r="K25" s="4">
        <f t="shared" ref="K25" si="13">E33</f>
        <v>600</v>
      </c>
    </row>
    <row r="26" spans="1:11" ht="15.6" x14ac:dyDescent="0.3">
      <c r="A26" s="96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s="96" t="s">
        <v>134</v>
      </c>
      <c r="B31" s="25">
        <f>'4637'!B21</f>
        <v>1</v>
      </c>
      <c r="C31" s="103" t="str">
        <f>'4637'!C21</f>
        <v>CUB C/R 180°</v>
      </c>
      <c r="D31" s="25">
        <f>'4637'!D21</f>
        <v>1590</v>
      </c>
      <c r="E31" s="25">
        <f>'4637'!E21</f>
        <v>600</v>
      </c>
      <c r="F31" s="25" t="str">
        <f>'4637'!F21</f>
        <v>GRANITINO NEGRO 3014 BR</v>
      </c>
      <c r="G31" s="1"/>
    </row>
    <row r="32" spans="1:11" ht="15.6" x14ac:dyDescent="0.3">
      <c r="A32" s="96"/>
      <c r="B32" s="25">
        <f>'4637'!B22</f>
        <v>1</v>
      </c>
      <c r="C32" s="103" t="str">
        <f>'4637'!C22</f>
        <v>CUB C/R 180°</v>
      </c>
      <c r="D32" s="25">
        <f>'4637'!D22</f>
        <v>1730</v>
      </c>
      <c r="E32" s="25">
        <f>'4637'!E22</f>
        <v>600</v>
      </c>
      <c r="F32" s="25" t="str">
        <f>'4637'!F22</f>
        <v>GRANITINO NEGRO 3014 BR</v>
      </c>
      <c r="G32" s="1"/>
    </row>
    <row r="33" spans="1:7" ht="15.6" x14ac:dyDescent="0.3">
      <c r="A33" s="96"/>
      <c r="B33" s="25">
        <f>'4637'!B23</f>
        <v>1</v>
      </c>
      <c r="C33" s="103" t="str">
        <f>'4637'!C23</f>
        <v>CUB MESA 180° 2 LADOS</v>
      </c>
      <c r="D33" s="25">
        <f>'4637'!D23</f>
        <v>2060</v>
      </c>
      <c r="E33" s="25">
        <f>'4637'!E23</f>
        <v>600</v>
      </c>
      <c r="F33" s="25" t="str">
        <f>'4637'!F23</f>
        <v>GRANITINO NEGRO 3014 BR</v>
      </c>
      <c r="G33" s="1"/>
    </row>
    <row r="34" spans="1:7" ht="15.6" x14ac:dyDescent="0.3">
      <c r="A34" s="52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7181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JOSE LUIS RODRIGUEZ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45722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8" t="s">
        <v>68</v>
      </c>
      <c r="B50" s="118"/>
      <c r="C50" s="118"/>
      <c r="D50" s="118"/>
      <c r="E50" s="118"/>
      <c r="F50" s="118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19" t="s">
        <v>69</v>
      </c>
      <c r="C52" s="120"/>
      <c r="D52" s="121"/>
      <c r="E52" s="121"/>
      <c r="F52" s="122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6"/>
      <c r="B54" s="38">
        <f>'4637'!B21</f>
        <v>1</v>
      </c>
      <c r="C54" s="102" t="str">
        <f>'4637'!C21</f>
        <v>CUB C/R 180°</v>
      </c>
      <c r="D54" s="39">
        <f>'4637'!D21</f>
        <v>1590</v>
      </c>
      <c r="E54" s="39">
        <f>'4637'!E21</f>
        <v>600</v>
      </c>
      <c r="F54" s="38" t="str">
        <f>'4637'!F21</f>
        <v>GRANITINO NEGRO 3014 BR</v>
      </c>
      <c r="G54" s="1"/>
    </row>
    <row r="55" spans="1:7" s="15" customFormat="1" ht="15" customHeight="1" x14ac:dyDescent="0.3">
      <c r="A55" s="96"/>
      <c r="B55" s="38">
        <f>'4637'!B22</f>
        <v>1</v>
      </c>
      <c r="C55" s="102" t="str">
        <f>'4637'!C22</f>
        <v>CUB C/R 180°</v>
      </c>
      <c r="D55" s="39">
        <f>'4637'!D22</f>
        <v>1730</v>
      </c>
      <c r="E55" s="39">
        <f>'4637'!E22</f>
        <v>600</v>
      </c>
      <c r="F55" s="38" t="str">
        <f>'4637'!F22</f>
        <v>GRANITINO NEGRO 3014 BR</v>
      </c>
      <c r="G55" s="1"/>
    </row>
    <row r="56" spans="1:7" s="15" customFormat="1" ht="15" customHeight="1" x14ac:dyDescent="0.3">
      <c r="A56" s="96"/>
      <c r="B56" s="38">
        <f>'4637'!B23</f>
        <v>1</v>
      </c>
      <c r="C56" s="102" t="str">
        <f>'4637'!C23</f>
        <v>CUB MESA 180° 2 LADOS</v>
      </c>
      <c r="D56" s="39">
        <f>'4637'!D23</f>
        <v>2060</v>
      </c>
      <c r="E56" s="39">
        <f>'4637'!E23</f>
        <v>600</v>
      </c>
      <c r="F56" s="38" t="str">
        <f>'4637'!F23</f>
        <v>GRANITINO NEGRO 3014 BR</v>
      </c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2025-03-06T21:18:04Z</cp:lastPrinted>
  <dcterms:created xsi:type="dcterms:W3CDTF">2013-03-19T12:54:14Z</dcterms:created>
  <dcterms:modified xsi:type="dcterms:W3CDTF">2025-03-06T21:19:06Z</dcterms:modified>
</cp:coreProperties>
</file>