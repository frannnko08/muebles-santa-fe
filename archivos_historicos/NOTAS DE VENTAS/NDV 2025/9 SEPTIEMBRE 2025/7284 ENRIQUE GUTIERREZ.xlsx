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9 SEPTIEMBRE 2025\"/>
    </mc:Choice>
  </mc:AlternateContent>
  <xr:revisionPtr revIDLastSave="0" documentId="13_ncr:1_{36A9DA9D-4E02-4639-953A-09CEE5F268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CUBIERTA!$A$45:$F$89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J15" i="3"/>
  <c r="K15" i="3"/>
  <c r="I16" i="3"/>
  <c r="B16" i="3" s="1"/>
  <c r="J16" i="3"/>
  <c r="K16" i="3"/>
  <c r="I17" i="3"/>
  <c r="B17" i="3" s="1"/>
  <c r="J17" i="3"/>
  <c r="D17" i="3" s="1"/>
  <c r="K17" i="3"/>
  <c r="B15" i="3"/>
  <c r="D15" i="3"/>
  <c r="E15" i="3"/>
  <c r="D16" i="3"/>
  <c r="E16" i="3"/>
  <c r="E17" i="3"/>
  <c r="F17" i="3"/>
  <c r="J25" i="3"/>
  <c r="K25" i="3"/>
  <c r="I27" i="3"/>
  <c r="B27" i="3" s="1"/>
  <c r="J27" i="3"/>
  <c r="D27" i="3" s="1"/>
  <c r="D25" i="3"/>
  <c r="E25" i="3"/>
  <c r="F26" i="3"/>
  <c r="B34" i="3"/>
  <c r="I25" i="3" s="1"/>
  <c r="B25" i="3" s="1"/>
  <c r="C34" i="3"/>
  <c r="F25" i="3" s="1"/>
  <c r="D34" i="3"/>
  <c r="E34" i="3"/>
  <c r="F34" i="3"/>
  <c r="B35" i="3"/>
  <c r="I26" i="3" s="1"/>
  <c r="B26" i="3" s="1"/>
  <c r="C35" i="3"/>
  <c r="F16" i="3" s="1"/>
  <c r="D35" i="3"/>
  <c r="J26" i="3" s="1"/>
  <c r="D26" i="3" s="1"/>
  <c r="E35" i="3"/>
  <c r="K26" i="3" s="1"/>
  <c r="E26" i="3" s="1"/>
  <c r="F35" i="3"/>
  <c r="B36" i="3"/>
  <c r="C36" i="3"/>
  <c r="F27" i="3" s="1"/>
  <c r="D36" i="3"/>
  <c r="E36" i="3"/>
  <c r="K27" i="3" s="1"/>
  <c r="F36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H23" i="4"/>
  <c r="H24" i="4"/>
  <c r="H22" i="4"/>
  <c r="H21" i="4"/>
  <c r="F15" i="3" l="1"/>
  <c r="B33" i="3"/>
  <c r="I24" i="3" s="1"/>
  <c r="I14" i="3" s="1"/>
  <c r="C33" i="3"/>
  <c r="F14" i="3" s="1"/>
  <c r="D33" i="3"/>
  <c r="J24" i="3" s="1"/>
  <c r="E33" i="3"/>
  <c r="K24" i="3" s="1"/>
  <c r="E24" i="3" s="1"/>
  <c r="F33" i="3"/>
  <c r="B57" i="3"/>
  <c r="C57" i="3"/>
  <c r="D57" i="3"/>
  <c r="E57" i="3"/>
  <c r="F57" i="3"/>
  <c r="H27" i="4"/>
  <c r="D24" i="3" l="1"/>
  <c r="J14" i="3"/>
  <c r="D14" i="3" s="1"/>
  <c r="K14" i="3"/>
  <c r="E14" i="3" s="1"/>
  <c r="B24" i="3"/>
  <c r="B14" i="3"/>
  <c r="F24" i="3"/>
  <c r="H28" i="4" l="1"/>
  <c r="H29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<sst xmlns="http://schemas.openxmlformats.org/spreadsheetml/2006/main" count="249" uniqueCount="141">
  <si>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</si>
  <si>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</si>
  <si>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</si>
  <si>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</si>
  <si>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</si>
  <si>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</si>
  <si>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</si>
  <si>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</si>
  <si>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</si>
  <si>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</si>
  <si>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</si>
  <si>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</si>
  <si>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</si>
  <si>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</si>
  <si>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</si>
  <si>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</si>
  <si>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</si>
  <si>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</si>
  <si>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</si>
  <si>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</si>
  <si>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</si>
  <si>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</si>
  <si>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</si>
  <si>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</si>
  <si>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</si>
  <si>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</si>
  <si>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</si>
  <si>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</si>
  <si>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</si>
  <si>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</si>
  <si>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</si>
  <si>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</si>
  <si>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</si>
  <si>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</si>
  <si>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</si>
  <si>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</si>
  <si>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</si>
  <si>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</si>
  <si>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</si>
  <si>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</si>
  <si>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</si>
  <si>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</si>
  <si>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</si>
  <si>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</si>
  <si>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</si>
  <si>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</si>
  <si>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</si>
  <si>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</si>
  <si>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</si>
  <si>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</si>
  <si>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</si>
  <si>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</si>
  <si>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</si>
  <si>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</si>
  <si>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</si>
  <si>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</si>
  <si>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</si>
  <si>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</si>
  <si>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</si>
  <si>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</si>
  <si>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</si>
  <si>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</si>
  <si>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</si>
  <si>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</si>
  <si>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</si>
  <si>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</si>
  <si>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</si>
  <si>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</si>
  <si>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</si>
  <si>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</si>
  <si>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</si>
  <si>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</si>
  <si>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</si>
  <si>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</si>
  <si>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</si>
  <si>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</si>
  <si>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</si>
  <si>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</si>
  <si>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</si>
  <si>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</si>
  <si>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</si>
  <si>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</si>
  <si>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</si>
  <si>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</si>
  <si>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</si>
  <si>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</si>
  <si>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</si>
  <si>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</si>
  <si>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</si>
  <si>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</si>
  <si>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</si>
  <si>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</si>
  <si>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</si>
  <si>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</si>
  <si>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</si>
  <si>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</si>
  <si>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</si>
  <si>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</si>
  <si>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</si>
  <si>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</si>
  <si>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</si>
  <si>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</si>
  <si>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</si>
  <si>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</si>
  <si>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</si>
  <si>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</si>
  <si>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</si>
  <si>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</si>
  <si>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</si>
  <si>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</si>
  <si>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</si>
  <si>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</si>
  <si>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</si>
  <si>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</si>
  <si>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</si>
  <si>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</si>
  <si>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</si>
  <si>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</si>
  <si>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</si>
  <si>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</si>
  <si>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</si>
  <si>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</si>
  <si>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</si>
  <si>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</si>
  <si>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</si>
  <si>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</si>
  <si>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</si>
  <si>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</si>
  <si>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</si>
  <si>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</si>
  <si>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</si>
  <si>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</si>
  <si>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</si>
  <si>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</si>
  <si>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</si>
  <si>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ENRIQUE GUTIERREZ</t>
  </si>
  <si>
    <t>GRAFITO 2174 MT</t>
  </si>
  <si>
    <t>CUB MESA 3L E/R</t>
  </si>
  <si>
    <t>CUB S/R FTE E/R</t>
  </si>
  <si>
    <t>N° 11634</t>
  </si>
  <si>
    <t>+569 78658972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</si>
</sst>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0" fillId="3" borderId="4" xfId="0" applyFill="1" applyBorder="1"/>
    <xf numFmtId="0" fontId="18" fillId="0" borderId="0" xfId="0" applyFont="1"/>
    <xf numFmtId="0" fontId="19" fillId="0" borderId="0" xfId="0" quotePrefix="1" applyFont="1"/>
    <xf numFmtId="0" fontId="3" fillId="4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66" fontId="3" fillId="0" borderId="36" xfId="1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 CUBIERTAS SE ENTREGAN SOBRE MEDIDAS EN EL LARGO.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 E/R 3 LADOS VAN CON REGRUESO EN 2 LADOS AL LARGO Y 1 AL ANCHO.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64</xdr:row>
      <xdr:rowOff>32385</xdr:rowOff>
    </xdr:from>
    <xdr:to>
      <xdr:col>6</xdr:col>
      <xdr:colOff>19050</xdr:colOff>
      <xdr:row>68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 CUBIERTAS SE ENTREGAN SOBRE MEDIDAS EN EL LARGO.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 E/R 3 LADOS VAN CON REGRUESO EN 2 LADOS AL LARGO Y 1 AL ANCHO.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801763</xdr:colOff>
      <xdr:row>51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6" workbookViewId="0">
      <selection activeCell="E23" sqref="E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139</v>
      </c>
      <c r="E8" s="1"/>
      <c r="F8" s="92" t="s">
        <v>27</v>
      </c>
      <c r="G8" s="93">
        <v>7284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107" t="s">
        <v>135</v>
      </c>
      <c r="D10" s="55"/>
      <c r="E10" s="55"/>
      <c r="F10" s="56" t="s">
        <v>28</v>
      </c>
      <c r="G10" s="57">
        <v>45910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8"/>
      <c r="D11" s="60"/>
      <c r="E11" s="60"/>
      <c r="F11" s="60" t="s">
        <v>124</v>
      </c>
      <c r="G11" s="61">
        <v>45917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140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9"/>
      <c r="D15" s="43"/>
      <c r="E15" s="43"/>
      <c r="F15" s="67" t="s">
        <v>75</v>
      </c>
      <c r="G15" s="67"/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4">
        <v>1</v>
      </c>
      <c r="C21" s="141" t="s">
        <v>138</v>
      </c>
      <c r="D21" s="126">
        <v>1690</v>
      </c>
      <c r="E21" s="126">
        <v>600</v>
      </c>
      <c r="F21" s="125" t="s">
        <v>136</v>
      </c>
      <c r="G21" s="127">
        <v>70325</v>
      </c>
      <c r="H21" s="128">
        <f t="shared" ref="H21" si="0">G21*B21</f>
        <v>70325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9">
        <v>1</v>
      </c>
      <c r="C22" s="103" t="s">
        <v>138</v>
      </c>
      <c r="D22" s="106">
        <v>2230</v>
      </c>
      <c r="E22" s="106">
        <v>500</v>
      </c>
      <c r="F22" s="103" t="s">
        <v>136</v>
      </c>
      <c r="G22" s="104">
        <v>77608</v>
      </c>
      <c r="H22" s="130">
        <f>G22*B22</f>
        <v>77608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36">
        <v>1</v>
      </c>
      <c r="C23" s="142" t="s">
        <v>138</v>
      </c>
      <c r="D23" s="138">
        <v>1500</v>
      </c>
      <c r="E23" s="138">
        <v>500</v>
      </c>
      <c r="F23" s="137" t="s">
        <v>136</v>
      </c>
      <c r="G23" s="139">
        <v>52429</v>
      </c>
      <c r="H23" s="140">
        <f>G23*B23</f>
        <v>52429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31">
        <v>1</v>
      </c>
      <c r="C24" s="132" t="s">
        <v>137</v>
      </c>
      <c r="D24" s="133">
        <v>1600</v>
      </c>
      <c r="E24" s="133">
        <v>600</v>
      </c>
      <c r="F24" s="132" t="s">
        <v>136</v>
      </c>
      <c r="G24" s="134">
        <v>65405</v>
      </c>
      <c r="H24" s="135">
        <f>G24*B24</f>
        <v>65405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5"/>
      <c r="C25" s="95"/>
      <c r="D25" s="95"/>
      <c r="E25" s="95"/>
      <c r="F25" s="96"/>
      <c r="G25" s="97"/>
      <c r="H25" s="97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265767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50495.73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316262.73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8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3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9" sqref="D9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tabSelected="1" topLeftCell="A31" zoomScaleNormal="100" workbookViewId="0">
      <selection activeCell="G2" sqref="A2:G4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7284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ENRIQUE GUTIERREZ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45917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134</v>
      </c>
      <c r="B14" s="25">
        <f t="shared" ref="B14" si="0">I14</f>
        <v>1</v>
      </c>
      <c r="C14" s="25"/>
      <c r="D14" s="25">
        <f>J14+D$13</f>
        <v>1740</v>
      </c>
      <c r="E14" s="35">
        <f>K14+E$13</f>
        <v>600</v>
      </c>
      <c r="F14" s="101" t="str">
        <f>C33</f>
        <v>CUB S/R FTE E/R</v>
      </c>
      <c r="G14" s="1"/>
      <c r="I14" s="3">
        <f>I24</f>
        <v>1</v>
      </c>
      <c r="J14" s="4">
        <f>J24</f>
        <v>1690</v>
      </c>
      <c r="K14" s="4">
        <f>E33</f>
        <v>600</v>
      </c>
    </row>
    <row r="15" spans="1:14" ht="15.6" x14ac:dyDescent="0.3">
      <c r="A15" s="94"/>
      <c r="B15" s="25">
        <f t="shared" ref="B15:B17" si="1">I15</f>
        <v>1</v>
      </c>
      <c r="C15" s="25"/>
      <c r="D15" s="25">
        <f t="shared" ref="D15:D17" si="2">J15+D$13</f>
        <v>2280</v>
      </c>
      <c r="E15" s="35">
        <f t="shared" ref="E15:E17" si="3">K15+E$13</f>
        <v>500</v>
      </c>
      <c r="F15" s="101" t="str">
        <f t="shared" ref="F15:F17" si="4">C34</f>
        <v>CUB S/R FTE E/R</v>
      </c>
      <c r="G15" s="1"/>
      <c r="I15" s="3">
        <f t="shared" ref="I15:J15" si="5">I25</f>
        <v>1</v>
      </c>
      <c r="J15" s="4">
        <f t="shared" si="5"/>
        <v>2230</v>
      </c>
      <c r="K15" s="4">
        <f t="shared" ref="K15:K17" si="6">E34</f>
        <v>500</v>
      </c>
    </row>
    <row r="16" spans="1:14" ht="15.6" x14ac:dyDescent="0.3">
      <c r="A16" s="94"/>
      <c r="B16" s="25">
        <f t="shared" si="1"/>
        <v>1</v>
      </c>
      <c r="C16" s="25"/>
      <c r="D16" s="25">
        <f t="shared" si="2"/>
        <v>1550</v>
      </c>
      <c r="E16" s="35">
        <f t="shared" si="3"/>
        <v>500</v>
      </c>
      <c r="F16" s="101" t="str">
        <f t="shared" si="4"/>
        <v>CUB S/R FTE E/R</v>
      </c>
      <c r="G16" s="1"/>
      <c r="I16" s="3">
        <f t="shared" ref="I16:J16" si="7">I26</f>
        <v>1</v>
      </c>
      <c r="J16" s="4">
        <f t="shared" si="7"/>
        <v>1500</v>
      </c>
      <c r="K16" s="4">
        <f t="shared" si="6"/>
        <v>500</v>
      </c>
    </row>
    <row r="17" spans="1:11" ht="15.6" x14ac:dyDescent="0.3">
      <c r="A17" s="94"/>
      <c r="B17" s="25">
        <f t="shared" si="1"/>
        <v>1</v>
      </c>
      <c r="C17" s="25"/>
      <c r="D17" s="25">
        <f t="shared" si="2"/>
        <v>1650</v>
      </c>
      <c r="E17" s="35">
        <f t="shared" si="3"/>
        <v>600</v>
      </c>
      <c r="F17" s="101" t="str">
        <f t="shared" si="4"/>
        <v>CUB MESA 3L E/R</v>
      </c>
      <c r="G17" s="1"/>
      <c r="I17" s="3">
        <f t="shared" ref="I17:J17" si="8">I27</f>
        <v>1</v>
      </c>
      <c r="J17" s="4">
        <f t="shared" si="8"/>
        <v>1600</v>
      </c>
      <c r="K17" s="4">
        <f t="shared" si="6"/>
        <v>600</v>
      </c>
    </row>
    <row r="18" spans="1:11" ht="15.6" x14ac:dyDescent="0.3">
      <c r="A18" s="52"/>
      <c r="B18" s="6"/>
      <c r="C18" s="6"/>
      <c r="D18" s="6"/>
      <c r="E18" s="110"/>
      <c r="F18" s="6"/>
      <c r="G18" s="1"/>
      <c r="I18" s="88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4"/>
      <c r="B24" s="16">
        <f t="shared" ref="B24" si="9">I24</f>
        <v>1</v>
      </c>
      <c r="C24" s="16"/>
      <c r="D24" s="16">
        <f>J24+D$23</f>
        <v>1730</v>
      </c>
      <c r="E24" s="16">
        <f>K24+E$23</f>
        <v>620</v>
      </c>
      <c r="F24" s="102" t="str">
        <f>C33</f>
        <v>CUB S/R FTE E/R</v>
      </c>
      <c r="G24" s="1"/>
      <c r="I24" s="3">
        <f>B33</f>
        <v>1</v>
      </c>
      <c r="J24" s="4">
        <f>D33</f>
        <v>1690</v>
      </c>
      <c r="K24" s="4">
        <f t="shared" ref="K24" si="10">E33</f>
        <v>600</v>
      </c>
    </row>
    <row r="25" spans="1:11" ht="15.6" x14ac:dyDescent="0.3">
      <c r="A25" s="94"/>
      <c r="B25" s="16">
        <f t="shared" ref="B25:B27" si="11">I25</f>
        <v>1</v>
      </c>
      <c r="C25" s="16"/>
      <c r="D25" s="16">
        <f t="shared" ref="D25:D27" si="12">J25+D$23</f>
        <v>2270</v>
      </c>
      <c r="E25" s="16">
        <f t="shared" ref="E25:E27" si="13">K25+E$23</f>
        <v>520</v>
      </c>
      <c r="F25" s="102" t="str">
        <f t="shared" ref="F25:F27" si="14">C34</f>
        <v>CUB S/R FTE E/R</v>
      </c>
      <c r="G25" s="1"/>
      <c r="I25" s="3">
        <f t="shared" ref="I25:I27" si="15">B34</f>
        <v>1</v>
      </c>
      <c r="J25" s="4">
        <f t="shared" ref="J25:J27" si="16">D34</f>
        <v>2230</v>
      </c>
      <c r="K25" s="4">
        <f t="shared" ref="K25:K27" si="17">E34</f>
        <v>500</v>
      </c>
    </row>
    <row r="26" spans="1:11" ht="15.6" x14ac:dyDescent="0.3">
      <c r="A26" s="94"/>
      <c r="B26" s="16">
        <f t="shared" si="11"/>
        <v>1</v>
      </c>
      <c r="C26" s="16"/>
      <c r="D26" s="16">
        <f t="shared" si="12"/>
        <v>1540</v>
      </c>
      <c r="E26" s="16">
        <f t="shared" si="13"/>
        <v>520</v>
      </c>
      <c r="F26" s="102" t="str">
        <f t="shared" si="14"/>
        <v>CUB S/R FTE E/R</v>
      </c>
      <c r="G26" s="1"/>
      <c r="I26" s="3">
        <f t="shared" si="15"/>
        <v>1</v>
      </c>
      <c r="J26" s="4">
        <f t="shared" si="16"/>
        <v>1500</v>
      </c>
      <c r="K26" s="4">
        <f t="shared" si="17"/>
        <v>500</v>
      </c>
    </row>
    <row r="27" spans="1:11" ht="15.6" x14ac:dyDescent="0.3">
      <c r="A27" s="94"/>
      <c r="B27" s="16">
        <f t="shared" si="11"/>
        <v>1</v>
      </c>
      <c r="C27" s="16"/>
      <c r="D27" s="16">
        <f t="shared" si="12"/>
        <v>1640</v>
      </c>
      <c r="E27" s="16">
        <v>640</v>
      </c>
      <c r="F27" s="102" t="str">
        <f t="shared" si="14"/>
        <v>CUB MESA 3L E/R</v>
      </c>
      <c r="G27" s="1"/>
      <c r="I27" s="3">
        <f t="shared" si="15"/>
        <v>1</v>
      </c>
      <c r="J27" s="4">
        <f t="shared" si="16"/>
        <v>1600</v>
      </c>
      <c r="K27" s="4">
        <f t="shared" si="17"/>
        <v>600</v>
      </c>
    </row>
    <row r="28" spans="1:11" ht="15.6" x14ac:dyDescent="0.3">
      <c r="A28" s="94"/>
      <c r="B28" s="6"/>
      <c r="C28" s="6"/>
      <c r="D28" s="6"/>
      <c r="E28" s="6"/>
      <c r="F28" s="6"/>
      <c r="G28" s="1"/>
      <c r="I28" s="88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7" t="s">
        <v>10</v>
      </c>
      <c r="C32" s="87" t="s">
        <v>110</v>
      </c>
      <c r="D32" s="87" t="s">
        <v>7</v>
      </c>
      <c r="E32" s="87" t="s">
        <v>8</v>
      </c>
      <c r="F32" s="87" t="s">
        <v>23</v>
      </c>
      <c r="G32" s="1"/>
    </row>
    <row r="33" spans="1:7" ht="15.6" x14ac:dyDescent="0.3">
      <c r="A33" s="94" t="s">
        <v>134</v>
      </c>
      <c r="B33" s="25">
        <f>'4637'!B21</f>
        <v>1</v>
      </c>
      <c r="C33" s="101" t="str">
        <f>'4637'!C21</f>
        <v>CUB S/R FTE E/R</v>
      </c>
      <c r="D33" s="25">
        <f>'4637'!D21</f>
        <v>1690</v>
      </c>
      <c r="E33" s="25">
        <f>'4637'!E21</f>
        <v>600</v>
      </c>
      <c r="F33" s="25" t="str">
        <f>'4637'!F21</f>
        <v>GRAFITO 2174 MT</v>
      </c>
      <c r="G33" s="1"/>
    </row>
    <row r="34" spans="1:7" ht="15.6" x14ac:dyDescent="0.3">
      <c r="A34" s="94"/>
      <c r="B34" s="25">
        <f>'4637'!B22</f>
        <v>1</v>
      </c>
      <c r="C34" s="101" t="str">
        <f>'4637'!C22</f>
        <v>CUB S/R FTE E/R</v>
      </c>
      <c r="D34" s="25">
        <f>'4637'!D22</f>
        <v>2230</v>
      </c>
      <c r="E34" s="25">
        <f>'4637'!E22</f>
        <v>500</v>
      </c>
      <c r="F34" s="25" t="str">
        <f>'4637'!F22</f>
        <v>GRAFITO 2174 MT</v>
      </c>
      <c r="G34" s="1"/>
    </row>
    <row r="35" spans="1:7" ht="15.6" x14ac:dyDescent="0.3">
      <c r="A35" s="94"/>
      <c r="B35" s="25">
        <f>'4637'!B23</f>
        <v>1</v>
      </c>
      <c r="C35" s="101" t="str">
        <f>'4637'!C23</f>
        <v>CUB S/R FTE E/R</v>
      </c>
      <c r="D35" s="25">
        <f>'4637'!D23</f>
        <v>1500</v>
      </c>
      <c r="E35" s="25">
        <f>'4637'!E23</f>
        <v>500</v>
      </c>
      <c r="F35" s="25" t="str">
        <f>'4637'!F23</f>
        <v>GRAFITO 2174 MT</v>
      </c>
      <c r="G35" s="1"/>
    </row>
    <row r="36" spans="1:7" ht="15.6" x14ac:dyDescent="0.3">
      <c r="A36" s="94"/>
      <c r="B36" s="25">
        <f>'4637'!B24</f>
        <v>1</v>
      </c>
      <c r="C36" s="101" t="str">
        <f>'4637'!C24</f>
        <v>CUB MESA 3L E/R</v>
      </c>
      <c r="D36" s="25">
        <f>'4637'!D24</f>
        <v>1600</v>
      </c>
      <c r="E36" s="25">
        <f>'4637'!E24</f>
        <v>600</v>
      </c>
      <c r="F36" s="25" t="str">
        <f>'4637'!F24</f>
        <v>GRAFITO 2174 MT</v>
      </c>
      <c r="G36" s="1"/>
    </row>
    <row r="37" spans="1:7" ht="15.6" x14ac:dyDescent="0.3">
      <c r="A37" s="94"/>
      <c r="B37" s="6"/>
      <c r="C37" s="105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7284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ENRIQUE GUTIERREZ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45917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9" t="s">
        <v>68</v>
      </c>
      <c r="B53" s="119"/>
      <c r="C53" s="119"/>
      <c r="D53" s="119"/>
      <c r="E53" s="119"/>
      <c r="F53" s="119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0" t="s">
        <v>69</v>
      </c>
      <c r="C55" s="121"/>
      <c r="D55" s="122"/>
      <c r="E55" s="122"/>
      <c r="F55" s="123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4" t="s">
        <v>134</v>
      </c>
      <c r="B57" s="38">
        <f>'4637'!B21</f>
        <v>1</v>
      </c>
      <c r="C57" s="100" t="str">
        <f>'4637'!C21</f>
        <v>CUB S/R FTE E/R</v>
      </c>
      <c r="D57" s="39">
        <f>'4637'!D21</f>
        <v>1690</v>
      </c>
      <c r="E57" s="39">
        <f>'4637'!E21</f>
        <v>600</v>
      </c>
      <c r="F57" s="38" t="str">
        <f>'4637'!F21</f>
        <v>GRAFITO 2174 MT</v>
      </c>
      <c r="G57" s="1"/>
    </row>
    <row r="58" spans="1:7" s="15" customFormat="1" ht="15" customHeight="1" x14ac:dyDescent="0.3">
      <c r="A58" s="94"/>
      <c r="B58" s="38">
        <f>'4637'!B22</f>
        <v>1</v>
      </c>
      <c r="C58" s="100" t="str">
        <f>'4637'!C22</f>
        <v>CUB S/R FTE E/R</v>
      </c>
      <c r="D58" s="39">
        <f>'4637'!D22</f>
        <v>2230</v>
      </c>
      <c r="E58" s="39">
        <f>'4637'!E22</f>
        <v>500</v>
      </c>
      <c r="F58" s="38" t="str">
        <f>'4637'!F22</f>
        <v>GRAFITO 2174 MT</v>
      </c>
      <c r="G58" s="1"/>
    </row>
    <row r="59" spans="1:7" s="15" customFormat="1" ht="15" customHeight="1" x14ac:dyDescent="0.3">
      <c r="A59" s="94"/>
      <c r="B59" s="38">
        <f>'4637'!B23</f>
        <v>1</v>
      </c>
      <c r="C59" s="100" t="str">
        <f>'4637'!C23</f>
        <v>CUB S/R FTE E/R</v>
      </c>
      <c r="D59" s="39">
        <f>'4637'!D23</f>
        <v>1500</v>
      </c>
      <c r="E59" s="39">
        <f>'4637'!E23</f>
        <v>500</v>
      </c>
      <c r="F59" s="38" t="str">
        <f>'4637'!F23</f>
        <v>GRAFITO 2174 MT</v>
      </c>
      <c r="G59" s="1"/>
    </row>
    <row r="60" spans="1:7" s="15" customFormat="1" ht="15" customHeight="1" x14ac:dyDescent="0.3">
      <c r="A60" s="94"/>
      <c r="B60" s="38">
        <f>'4637'!B24</f>
        <v>1</v>
      </c>
      <c r="C60" s="100" t="str">
        <f>'4637'!C24</f>
        <v>CUB MESA 3L E/R</v>
      </c>
      <c r="D60" s="39">
        <f>'4637'!D24</f>
        <v>1600</v>
      </c>
      <c r="E60" s="39">
        <f>'4637'!E24</f>
        <v>600</v>
      </c>
      <c r="F60" s="38" t="str">
        <f>'4637'!F24</f>
        <v>GRAFITO 2174 MT</v>
      </c>
      <c r="G60" s="1"/>
    </row>
    <row r="61" spans="1:7" s="15" customFormat="1" ht="15" customHeight="1" x14ac:dyDescent="0.3">
      <c r="A61" s="50"/>
      <c r="B61" s="52"/>
      <c r="C61" s="52"/>
      <c r="D61" s="52"/>
      <c r="E61" s="52"/>
      <c r="F61" s="52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1"/>
      <c r="C69" s="1"/>
      <c r="D69" s="1"/>
      <c r="E69" s="1"/>
      <c r="F69" s="1"/>
      <c r="G69" s="1"/>
    </row>
    <row r="70" spans="1:7" ht="15.6" x14ac:dyDescent="0.3">
      <c r="A70" s="1"/>
      <c r="B70" s="1"/>
      <c r="C70" s="6"/>
      <c r="D70" s="6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2025-09-11T13:05:23Z</cp:lastPrinted>
  <dcterms:created xsi:type="dcterms:W3CDTF">2013-03-19T12:54:14Z</dcterms:created>
  <dcterms:modified xsi:type="dcterms:W3CDTF">2025-09-11T13:05:41Z</dcterms:modified>
</cp:coreProperties>
</file>