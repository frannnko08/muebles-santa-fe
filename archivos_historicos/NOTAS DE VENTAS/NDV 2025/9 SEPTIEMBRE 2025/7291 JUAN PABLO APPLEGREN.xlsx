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54471ED4-A05A-4F48-BD88-FEA029D67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H22" i="4"/>
  <c r="H21" i="4" l="1"/>
  <c r="H25" i="4" s="1"/>
  <c r="H26" i="4" s="1"/>
  <c r="B28" i="3" l="1"/>
  <c r="I22" i="3" s="1"/>
  <c r="I14" i="3" s="1"/>
  <c r="C28" i="3"/>
  <c r="F14" i="3" s="1"/>
  <c r="D28" i="3"/>
  <c r="J22" i="3" s="1"/>
  <c r="E28" i="3"/>
  <c r="K22" i="3" s="1"/>
  <c r="E22" i="3" s="1"/>
  <c r="F28" i="3"/>
  <c r="B49" i="3"/>
  <c r="C49" i="3"/>
  <c r="D49" i="3"/>
  <c r="E49" i="3"/>
  <c r="F49" i="3"/>
  <c r="D22" i="3" l="1"/>
  <c r="J14" i="3"/>
  <c r="D14" i="3" s="1"/>
  <c r="K14" i="3"/>
  <c r="E14" i="3" s="1"/>
  <c r="B22" i="3"/>
  <c r="B14" i="3"/>
  <c r="F22" i="3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<sst xmlns="http://schemas.openxmlformats.org/spreadsheetml/2006/main" count="244" uniqueCount="141">
  <si>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</si>
  <si>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</si>
  <si>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</si>
  <si>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</si>
  <si>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</si>
  <si>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</si>
  <si>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</si>
  <si>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</si>
  <si>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</si>
  <si>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</si>
  <si>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</si>
  <si>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</si>
  <si>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</si>
  <si>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</si>
  <si>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</si>
  <si>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</si>
  <si>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</si>
  <si>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</si>
  <si>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</si>
  <si>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</si>
  <si>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</si>
  <si>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</si>
  <si>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</si>
  <si>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</si>
  <si>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</si>
  <si>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</si>
  <si>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</si>
  <si>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</si>
  <si>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</si>
  <si>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</si>
  <si>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</si>
  <si>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</si>
  <si>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</si>
  <si>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</si>
  <si>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</si>
  <si>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</si>
  <si>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</si>
  <si>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</si>
  <si>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</si>
  <si>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</si>
  <si>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</si>
  <si>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</si>
  <si>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</si>
  <si>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</si>
  <si>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</si>
  <si>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</si>
  <si>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</si>
  <si>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</si>
  <si>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</si>
  <si>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</si>
  <si>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</si>
  <si>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</si>
  <si>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</si>
  <si>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</si>
  <si>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</si>
  <si>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</si>
  <si>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</si>
  <si>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</si>
  <si>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</si>
  <si>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</si>
  <si>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</si>
  <si>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</si>
  <si>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</si>
  <si>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</si>
  <si>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</si>
  <si>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</si>
  <si>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</si>
  <si>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</si>
  <si>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</si>
  <si>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</si>
  <si>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</si>
  <si>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</si>
  <si>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</si>
  <si>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</si>
  <si>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</si>
  <si>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</si>
  <si>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</si>
  <si>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</si>
  <si>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</si>
  <si>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</si>
  <si>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</si>
  <si>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</si>
  <si>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</si>
  <si>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</si>
  <si>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</si>
  <si>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</si>
  <si>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</si>
  <si>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</si>
  <si>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</si>
  <si>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</si>
  <si>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</si>
  <si>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</si>
  <si>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</si>
  <si>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</si>
  <si>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</si>
  <si>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</si>
  <si>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</si>
  <si>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</si>
  <si>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</si>
  <si>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</si>
  <si>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</si>
  <si>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</si>
  <si>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</si>
  <si>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</si>
  <si>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</si>
  <si>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</si>
  <si>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</si>
  <si>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</si>
  <si>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</si>
  <si>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</si>
  <si>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</si>
  <si>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</si>
  <si>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</si>
  <si>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</si>
  <si>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</si>
  <si>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</si>
  <si>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</si>
  <si>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</si>
  <si>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</si>
  <si>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</si>
  <si>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</si>
  <si>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</si>
  <si>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</si>
  <si>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</si>
  <si>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</si>
  <si>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</si>
  <si>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</si>
  <si>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</si>
  <si>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</si>
  <si>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</si>
  <si>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</si>
  <si>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</si>
  <si>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</si>
  <si>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</si>
  <si>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</si>
  <si>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</si>
  <si>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JUAN PABLO APPLEGREN</t>
  </si>
  <si>
    <t>+56 9 8812 4251</t>
  </si>
  <si>
    <t>CUB CON RESPALDO R6</t>
  </si>
  <si>
    <t>FASHION GREY MT</t>
  </si>
  <si>
    <t>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</si>
</sst>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0" borderId="0" xfId="0" quotePrefix="1" applyFont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$ 91.514.-</a:t>
          </a:r>
          <a:r>
            <a:rPr lang="es-CL" sz="900" b="1" i="1" baseline="0"/>
            <a:t> </a:t>
          </a:r>
          <a:r>
            <a:rPr lang="es-CL" sz="900" b="1" i="1"/>
            <a:t> DÍA 26/09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6</xdr:col>
      <xdr:colOff>0</xdr:colOff>
      <xdr:row>6</xdr:row>
      <xdr:rowOff>182880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47850" y="1076325"/>
          <a:ext cx="6823710" cy="1885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3440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9</xdr:row>
      <xdr:rowOff>175260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019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6</xdr:col>
      <xdr:colOff>0</xdr:colOff>
      <xdr:row>45</xdr:row>
      <xdr:rowOff>7620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8210550"/>
          <a:ext cx="8509635" cy="2324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5</xdr:col>
      <xdr:colOff>2377440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608319"/>
          <a:ext cx="825627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3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>
        <v>11664</v>
      </c>
      <c r="E8" s="1"/>
      <c r="F8" s="94" t="s">
        <v>27</v>
      </c>
      <c r="G8" s="95">
        <v>7291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45926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45935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29" t="s">
        <v>137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7" t="s">
        <v>138</v>
      </c>
      <c r="D21" s="108">
        <v>1860</v>
      </c>
      <c r="E21" s="108">
        <v>550</v>
      </c>
      <c r="F21" s="107" t="s">
        <v>139</v>
      </c>
      <c r="G21" s="109">
        <v>83028</v>
      </c>
      <c r="H21" s="110">
        <f t="shared" ref="H21" si="0">G21*B21</f>
        <v>83028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11">
        <v>1</v>
      </c>
      <c r="C22" s="112" t="s">
        <v>140</v>
      </c>
      <c r="D22" s="113"/>
      <c r="E22" s="113"/>
      <c r="F22" s="112"/>
      <c r="G22" s="114">
        <v>100000</v>
      </c>
      <c r="H22" s="115">
        <f>G22</f>
        <v>100000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SUM(H21:H22)</f>
        <v>183028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H25*0.19</f>
        <v>34775.32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SUM(H25:H26)</f>
        <v>217803.32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35" zoomScaleNormal="100" workbookViewId="0">
      <selection activeCell="G3" sqref="A3:G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7291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PABLO APPLEGREN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45935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135</v>
      </c>
      <c r="B14" s="25">
        <f t="shared" ref="B14" si="0">I14</f>
        <v>1</v>
      </c>
      <c r="C14" s="25"/>
      <c r="D14" s="25">
        <f>J14+D13</f>
        <v>1910</v>
      </c>
      <c r="E14" s="35">
        <f>K14+E$13</f>
        <v>520</v>
      </c>
      <c r="F14" s="103" t="str">
        <f>C28</f>
        <v>CUB CON RESPALDO R6</v>
      </c>
      <c r="G14" s="1"/>
      <c r="I14" s="3">
        <f>I22</f>
        <v>1</v>
      </c>
      <c r="J14" s="4">
        <f>J22</f>
        <v>1860</v>
      </c>
      <c r="K14" s="4">
        <f>E28</f>
        <v>550</v>
      </c>
    </row>
    <row r="15" spans="1:14" ht="15.6" x14ac:dyDescent="0.3">
      <c r="A15" s="96"/>
      <c r="B15" s="6"/>
      <c r="C15" s="6"/>
      <c r="D15" s="6"/>
      <c r="E15" s="89"/>
      <c r="F15" s="105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1">I22</f>
        <v>1</v>
      </c>
      <c r="C22" s="16"/>
      <c r="D22" s="16">
        <f>J22+D21</f>
        <v>1900</v>
      </c>
      <c r="E22" s="16">
        <f>K22+E$21</f>
        <v>680</v>
      </c>
      <c r="F22" s="104" t="str">
        <f>C28</f>
        <v>CUB CON RESPALDO R6</v>
      </c>
      <c r="G22" s="1"/>
      <c r="I22" s="3">
        <f>B28</f>
        <v>1</v>
      </c>
      <c r="J22" s="4">
        <f>D28</f>
        <v>1860</v>
      </c>
      <c r="K22" s="4">
        <f t="shared" ref="K22" si="2">E28</f>
        <v>550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135</v>
      </c>
      <c r="B28" s="25">
        <f>'4637'!B21</f>
        <v>1</v>
      </c>
      <c r="C28" s="103" t="str">
        <f>'4637'!C21</f>
        <v>CUB CON RESPALDO R6</v>
      </c>
      <c r="D28" s="25">
        <f>'4637'!D21</f>
        <v>1860</v>
      </c>
      <c r="E28" s="25">
        <f>'4637'!E21</f>
        <v>550</v>
      </c>
      <c r="F28" s="25" t="str">
        <f>'4637'!F21</f>
        <v>FASHION GREY MT</v>
      </c>
      <c r="G28" s="1"/>
    </row>
    <row r="29" spans="1:11" ht="15.6" x14ac:dyDescent="0.3">
      <c r="A29" s="96"/>
      <c r="B29" s="6"/>
      <c r="C29" s="105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7291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JUAN PABLO APPLEGREN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45935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135</v>
      </c>
      <c r="B49" s="38">
        <f>'4637'!B21</f>
        <v>1</v>
      </c>
      <c r="C49" s="102" t="str">
        <f>'4637'!C21</f>
        <v>CUB CON RESPALDO R6</v>
      </c>
      <c r="D49" s="39">
        <f>'4637'!D21</f>
        <v>1860</v>
      </c>
      <c r="E49" s="39">
        <f>'4637'!E21</f>
        <v>550</v>
      </c>
      <c r="F49" s="38" t="str">
        <f>'4637'!F21</f>
        <v>FASHION GREY MT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2025-09-26T18:55:49Z</cp:lastPrinted>
  <dcterms:created xsi:type="dcterms:W3CDTF">2013-03-19T12:54:14Z</dcterms:created>
  <dcterms:modified xsi:type="dcterms:W3CDTF">2025-09-26T18:59:08Z</dcterms:modified>
</cp:coreProperties>
</file>