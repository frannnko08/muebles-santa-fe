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6DAB8D3A-2228-4C7F-9468-458B16281B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CUBIERTA!$A$44:$F$70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F15" i="3"/>
  <c r="I15" i="3"/>
  <c r="B15" i="3" s="1"/>
  <c r="J15" i="3"/>
  <c r="K15" i="3"/>
  <c r="E15" i="3" s="1"/>
  <c r="F16" i="3"/>
  <c r="I16" i="3"/>
  <c r="B16" i="3" s="1"/>
  <c r="J16" i="3"/>
  <c r="K16" i="3"/>
  <c r="E16" i="3" s="1"/>
  <c r="B34" i="3"/>
  <c r="I26" i="3" s="1"/>
  <c r="B26" i="3" s="1"/>
  <c r="C34" i="3"/>
  <c r="F26" i="3" s="1"/>
  <c r="D34" i="3"/>
  <c r="J26" i="3" s="1"/>
  <c r="D26" i="3" s="1"/>
  <c r="E34" i="3"/>
  <c r="K26" i="3" s="1"/>
  <c r="E26" i="3" s="1"/>
  <c r="F34" i="3"/>
  <c r="B35" i="3"/>
  <c r="I27" i="3" s="1"/>
  <c r="B27" i="3" s="1"/>
  <c r="C35" i="3"/>
  <c r="F27" i="3" s="1"/>
  <c r="D35" i="3"/>
  <c r="J27" i="3" s="1"/>
  <c r="E35" i="3"/>
  <c r="K27" i="3" s="1"/>
  <c r="E27" i="3" s="1"/>
  <c r="F35" i="3"/>
  <c r="B57" i="3"/>
  <c r="C57" i="3"/>
  <c r="D57" i="3"/>
  <c r="E57" i="3"/>
  <c r="F57" i="3"/>
  <c r="B58" i="3"/>
  <c r="C58" i="3"/>
  <c r="D58" i="3"/>
  <c r="E58" i="3"/>
  <c r="F58" i="3"/>
  <c r="H23" i="4"/>
  <c r="H22" i="4"/>
  <c r="H21" i="4"/>
  <c r="B33" i="3" l="1"/>
  <c r="C33" i="3"/>
  <c r="F14" i="3" s="1"/>
  <c r="D33" i="3"/>
  <c r="E33" i="3"/>
  <c r="K25" i="3" s="1"/>
  <c r="E25" i="3" s="1"/>
  <c r="F33" i="3"/>
  <c r="B56" i="3"/>
  <c r="C56" i="3"/>
  <c r="D56" i="3"/>
  <c r="E56" i="3"/>
  <c r="F56" i="3"/>
  <c r="H26" i="4"/>
  <c r="K14" i="3" l="1"/>
  <c r="E14" i="3" s="1"/>
  <c r="B25" i="3"/>
  <c r="B14" i="3"/>
  <c r="F25" i="3"/>
  <c r="H27" i="4" l="1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<sst xmlns="http://schemas.openxmlformats.org/spreadsheetml/2006/main" count="253" uniqueCount="145">
  <si>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</si>
  <si>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</si>
  <si>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</si>
  <si>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</si>
  <si>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</si>
  <si>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</si>
  <si>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</si>
  <si>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</si>
  <si>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</si>
  <si>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</si>
  <si>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</si>
  <si>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</si>
  <si>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</si>
  <si>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</si>
  <si>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</si>
  <si>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</si>
  <si>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</si>
  <si>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</si>
  <si>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</si>
  <si>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</si>
  <si>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</si>
  <si>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</si>
  <si>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</si>
  <si>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</si>
  <si>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</si>
  <si>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</si>
  <si>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</si>
  <si>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</si>
  <si>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</si>
  <si>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</si>
  <si>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</si>
  <si>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</si>
  <si>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</si>
  <si>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</si>
  <si>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</si>
  <si>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</si>
  <si>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</si>
  <si>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</si>
  <si>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</si>
  <si>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</si>
  <si>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</si>
  <si>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</si>
  <si>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</si>
  <si>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</si>
  <si>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</si>
  <si>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</si>
  <si>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</si>
  <si>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</si>
  <si>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</si>
  <si>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</si>
  <si>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</si>
  <si>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</si>
  <si>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</si>
  <si>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</si>
  <si>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</si>
  <si>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</si>
  <si>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</si>
  <si>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</si>
  <si>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</si>
  <si>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</si>
  <si>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</si>
  <si>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</si>
  <si>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</si>
  <si>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</si>
  <si>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</si>
  <si>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</si>
  <si>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</si>
  <si>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</si>
  <si>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</si>
  <si>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</si>
  <si>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</si>
  <si>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</si>
  <si>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</si>
  <si>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</si>
  <si>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</si>
  <si>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</si>
  <si>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</si>
  <si>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</si>
  <si>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</si>
  <si>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</si>
  <si>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</si>
  <si>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</si>
  <si>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</si>
  <si>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</si>
  <si>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</si>
  <si>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</si>
  <si>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</si>
  <si>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</si>
  <si>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</si>
  <si>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</si>
  <si>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</si>
  <si>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</si>
  <si>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</si>
  <si>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</si>
  <si>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</si>
  <si>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</si>
  <si>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</si>
  <si>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</si>
  <si>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</si>
  <si>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</si>
  <si>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</si>
  <si>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</si>
  <si>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</si>
  <si>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</si>
  <si>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</si>
  <si>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</si>
  <si>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</si>
  <si>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</si>
  <si>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</si>
  <si>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</si>
  <si>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</si>
  <si>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</si>
  <si>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</si>
  <si>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</si>
  <si>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</si>
  <si>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</si>
  <si>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</si>
  <si>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</si>
  <si>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</si>
  <si>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</si>
  <si>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</si>
  <si>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</si>
  <si>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</si>
  <si>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</si>
  <si>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</si>
  <si>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</si>
  <si>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</si>
  <si>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</si>
  <si>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</si>
  <si>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</si>
  <si>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</si>
  <si>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</si>
  <si>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</si>
  <si>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</si>
  <si>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</si>
  <si>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</si>
  <si>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</si>
  <si>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</si>
  <si>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</si>
  <si>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</si>
  <si>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C/R 90° R8</t>
  </si>
  <si>
    <t>N° 11640</t>
  </si>
  <si>
    <t>MDF18MM</t>
  </si>
  <si>
    <t>SON 12 DE 1200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</si>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</sst>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B21" sqref="B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7280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45903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45908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23308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12</v>
      </c>
      <c r="C21" s="106" t="s">
        <v>140</v>
      </c>
      <c r="D21" s="109">
        <v>1200</v>
      </c>
      <c r="E21" s="109">
        <v>600</v>
      </c>
      <c r="F21" s="106" t="s">
        <v>144</v>
      </c>
      <c r="G21" s="107">
        <v>28501</v>
      </c>
      <c r="H21" s="107">
        <f t="shared" ref="H21:H23" si="0">G21*B21</f>
        <v>342012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140</v>
      </c>
      <c r="D22" s="109">
        <v>800</v>
      </c>
      <c r="E22" s="109">
        <v>500</v>
      </c>
      <c r="F22" s="106" t="s">
        <v>144</v>
      </c>
      <c r="G22" s="107">
        <v>16151</v>
      </c>
      <c r="H22" s="107">
        <f t="shared" si="0"/>
        <v>16151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6" t="s">
        <v>140</v>
      </c>
      <c r="D23" s="109">
        <v>3000</v>
      </c>
      <c r="E23" s="109">
        <v>700</v>
      </c>
      <c r="F23" s="106" t="s">
        <v>144</v>
      </c>
      <c r="G23" s="107">
        <v>81134</v>
      </c>
      <c r="H23" s="107">
        <f t="shared" si="0"/>
        <v>81134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439297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83466.430000000008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522763.43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topLeftCell="A32" zoomScaleNormal="100" workbookViewId="0">
      <selection activeCell="J38" sqref="J3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7280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45908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142</v>
      </c>
      <c r="B14" s="25">
        <f t="shared" ref="B14" si="0">I14</f>
        <v>4</v>
      </c>
      <c r="C14" s="25" t="s">
        <v>143</v>
      </c>
      <c r="D14" s="25">
        <v>3660</v>
      </c>
      <c r="E14" s="35">
        <f>K14+E$13</f>
        <v>570</v>
      </c>
      <c r="F14" s="103" t="str">
        <f>C33</f>
        <v>CUB C/R 90° R8</v>
      </c>
      <c r="G14" s="1"/>
      <c r="I14" s="3">
        <v>4</v>
      </c>
      <c r="J14" s="4">
        <v>3000</v>
      </c>
      <c r="K14" s="4">
        <f>E33</f>
        <v>600</v>
      </c>
    </row>
    <row r="15" spans="1:14" ht="15.6" x14ac:dyDescent="0.3">
      <c r="A15" s="96"/>
      <c r="B15" s="25">
        <f t="shared" ref="B15:B16" si="1">I15</f>
        <v>1</v>
      </c>
      <c r="C15" s="25"/>
      <c r="D15" s="25">
        <f>J15+D13</f>
        <v>880</v>
      </c>
      <c r="E15" s="35">
        <f t="shared" ref="E15:E16" si="2">K15+E$13</f>
        <v>470</v>
      </c>
      <c r="F15" s="103" t="str">
        <f t="shared" ref="F15:F16" si="3">C34</f>
        <v>CUB C/R 90° R8</v>
      </c>
      <c r="G15" s="1"/>
      <c r="I15" s="3">
        <f t="shared" ref="I15:I16" si="4">I26</f>
        <v>1</v>
      </c>
      <c r="J15" s="4">
        <f t="shared" ref="J15:K15" si="5">D34</f>
        <v>800</v>
      </c>
      <c r="K15" s="4">
        <f t="shared" si="5"/>
        <v>500</v>
      </c>
    </row>
    <row r="16" spans="1:14" ht="15.6" x14ac:dyDescent="0.3">
      <c r="A16" s="96"/>
      <c r="B16" s="25">
        <f t="shared" si="1"/>
        <v>1</v>
      </c>
      <c r="C16" s="25"/>
      <c r="D16" s="25">
        <v>3100</v>
      </c>
      <c r="E16" s="35">
        <f t="shared" si="2"/>
        <v>670</v>
      </c>
      <c r="F16" s="103" t="str">
        <f t="shared" si="3"/>
        <v>CUB C/R 90° R8</v>
      </c>
      <c r="G16" s="1"/>
      <c r="I16" s="3">
        <f t="shared" si="4"/>
        <v>1</v>
      </c>
      <c r="J16" s="4">
        <f t="shared" ref="J16:K16" si="6">D35</f>
        <v>3000</v>
      </c>
      <c r="K16" s="4">
        <f t="shared" si="6"/>
        <v>700</v>
      </c>
    </row>
    <row r="17" spans="1:11" ht="15.6" x14ac:dyDescent="0.3">
      <c r="A17" s="96"/>
      <c r="B17" s="6"/>
      <c r="C17" s="6"/>
      <c r="D17" s="6"/>
      <c r="E17" s="89"/>
      <c r="F17" s="108"/>
      <c r="G17" s="1"/>
      <c r="I17" s="90"/>
      <c r="J17" s="2"/>
      <c r="K17" s="2"/>
    </row>
    <row r="18" spans="1:11" ht="15.6" x14ac:dyDescent="0.3">
      <c r="A18" s="96"/>
      <c r="B18" s="6"/>
      <c r="C18" s="6"/>
      <c r="D18" s="6"/>
      <c r="E18" s="89"/>
      <c r="F18" s="108"/>
      <c r="G18" s="1"/>
      <c r="I18" s="90"/>
      <c r="J18" s="2"/>
      <c r="K18" s="2"/>
    </row>
    <row r="19" spans="1:11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8" t="s">
        <v>14</v>
      </c>
      <c r="B21" s="118"/>
      <c r="C21" s="118"/>
      <c r="D21" s="118"/>
      <c r="E21" s="118"/>
      <c r="F21" s="118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50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6"/>
      <c r="B25" s="16">
        <f t="shared" ref="B25" si="7">I25</f>
        <v>4</v>
      </c>
      <c r="C25" s="16" t="s">
        <v>143</v>
      </c>
      <c r="D25" s="16">
        <v>3650</v>
      </c>
      <c r="E25" s="16">
        <f>K25+E$24</f>
        <v>730</v>
      </c>
      <c r="F25" s="104" t="str">
        <f>C33</f>
        <v>CUB C/R 90° R8</v>
      </c>
      <c r="G25" s="1"/>
      <c r="I25" s="3">
        <v>4</v>
      </c>
      <c r="J25" s="4">
        <v>3600</v>
      </c>
      <c r="K25" s="4">
        <f t="shared" ref="K25" si="8">E33</f>
        <v>600</v>
      </c>
    </row>
    <row r="26" spans="1:11" ht="15.6" x14ac:dyDescent="0.3">
      <c r="A26" s="96"/>
      <c r="B26" s="16">
        <f t="shared" ref="B26:B27" si="9">I26</f>
        <v>1</v>
      </c>
      <c r="C26" s="16"/>
      <c r="D26" s="16">
        <f>J26+D$24</f>
        <v>850</v>
      </c>
      <c r="E26" s="16">
        <f t="shared" ref="E26:E27" si="10">K26+E$24</f>
        <v>630</v>
      </c>
      <c r="F26" s="104" t="str">
        <f t="shared" ref="F26:F27" si="11">C34</f>
        <v>CUB C/R 90° R8</v>
      </c>
      <c r="G26" s="1"/>
      <c r="I26" s="3">
        <f t="shared" ref="I26:I27" si="12">B34</f>
        <v>1</v>
      </c>
      <c r="J26" s="4">
        <f t="shared" ref="J26:J27" si="13">D34</f>
        <v>800</v>
      </c>
      <c r="K26" s="4">
        <f t="shared" ref="K26:K27" si="14">E34</f>
        <v>500</v>
      </c>
    </row>
    <row r="27" spans="1:11" ht="15.6" x14ac:dyDescent="0.3">
      <c r="A27" s="96"/>
      <c r="B27" s="16">
        <f t="shared" si="9"/>
        <v>1</v>
      </c>
      <c r="C27" s="16"/>
      <c r="D27" s="16">
        <v>3080</v>
      </c>
      <c r="E27" s="16">
        <f t="shared" si="10"/>
        <v>830</v>
      </c>
      <c r="F27" s="104" t="str">
        <f t="shared" si="11"/>
        <v>CUB C/R 90° R8</v>
      </c>
      <c r="G27" s="1"/>
      <c r="I27" s="3">
        <f t="shared" si="12"/>
        <v>1</v>
      </c>
      <c r="J27" s="4">
        <f t="shared" si="13"/>
        <v>3000</v>
      </c>
      <c r="K27" s="4">
        <f t="shared" si="14"/>
        <v>700</v>
      </c>
    </row>
    <row r="28" spans="1:11" ht="15.6" x14ac:dyDescent="0.3">
      <c r="A28" s="96"/>
      <c r="B28" s="6"/>
      <c r="C28" s="6"/>
      <c r="D28" s="6"/>
      <c r="E28" s="6"/>
      <c r="F28" s="6"/>
      <c r="G28" s="1"/>
      <c r="I28" s="90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8" t="s">
        <v>10</v>
      </c>
      <c r="C32" s="88" t="s">
        <v>110</v>
      </c>
      <c r="D32" s="88" t="s">
        <v>7</v>
      </c>
      <c r="E32" s="88" t="s">
        <v>8</v>
      </c>
      <c r="F32" s="88" t="s">
        <v>23</v>
      </c>
      <c r="G32" s="1"/>
    </row>
    <row r="33" spans="1:7" ht="15.6" x14ac:dyDescent="0.3">
      <c r="A33" s="96" t="s">
        <v>142</v>
      </c>
      <c r="B33" s="25">
        <f>'4637'!B21</f>
        <v>12</v>
      </c>
      <c r="C33" s="103" t="str">
        <f>'4637'!C21</f>
        <v>CUB C/R 90° R8</v>
      </c>
      <c r="D33" s="25">
        <f>'4637'!D21</f>
        <v>1200</v>
      </c>
      <c r="E33" s="25">
        <f>'4637'!E21</f>
        <v>600</v>
      </c>
      <c r="F33" s="25" t="str">
        <f>'4637'!F21</f>
        <v>BLANCO MERINO 22191 SF</v>
      </c>
      <c r="G33" s="1"/>
    </row>
    <row r="34" spans="1:7" ht="15.6" x14ac:dyDescent="0.3">
      <c r="A34" s="96"/>
      <c r="B34" s="25">
        <f>'4637'!B22</f>
        <v>1</v>
      </c>
      <c r="C34" s="103" t="str">
        <f>'4637'!C22</f>
        <v>CUB C/R 90° R8</v>
      </c>
      <c r="D34" s="25">
        <f>'4637'!D22</f>
        <v>800</v>
      </c>
      <c r="E34" s="25">
        <f>'4637'!E22</f>
        <v>500</v>
      </c>
      <c r="F34" s="25" t="str">
        <f>'4637'!F22</f>
        <v>BLANCO MERINO 22191 SF</v>
      </c>
      <c r="G34" s="1"/>
    </row>
    <row r="35" spans="1:7" ht="15.6" x14ac:dyDescent="0.3">
      <c r="A35" s="96"/>
      <c r="B35" s="25">
        <f>'4637'!B23</f>
        <v>1</v>
      </c>
      <c r="C35" s="103" t="str">
        <f>'4637'!C23</f>
        <v>CUB C/R 90° R8</v>
      </c>
      <c r="D35" s="25">
        <f>'4637'!D23</f>
        <v>3000</v>
      </c>
      <c r="E35" s="25">
        <f>'4637'!E23</f>
        <v>700</v>
      </c>
      <c r="F35" s="25" t="str">
        <f>'4637'!F23</f>
        <v>BLANCO MERINO 22191 SF</v>
      </c>
      <c r="G35" s="1"/>
    </row>
    <row r="36" spans="1:7" ht="15.6" x14ac:dyDescent="0.3">
      <c r="A36" s="96"/>
      <c r="B36" s="6"/>
      <c r="C36" s="108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7280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MUEBLES ASENJO LTDA.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45908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18" t="s">
        <v>68</v>
      </c>
      <c r="B52" s="118"/>
      <c r="C52" s="118"/>
      <c r="D52" s="118"/>
      <c r="E52" s="118"/>
      <c r="F52" s="118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19" t="s">
        <v>69</v>
      </c>
      <c r="C54" s="120"/>
      <c r="D54" s="121"/>
      <c r="E54" s="121"/>
      <c r="F54" s="122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6" t="s">
        <v>142</v>
      </c>
      <c r="B56" s="38">
        <f>'4637'!B21</f>
        <v>12</v>
      </c>
      <c r="C56" s="102" t="str">
        <f>'4637'!C21</f>
        <v>CUB C/R 90° R8</v>
      </c>
      <c r="D56" s="39">
        <f>'4637'!D21</f>
        <v>1200</v>
      </c>
      <c r="E56" s="39">
        <f>'4637'!E21</f>
        <v>600</v>
      </c>
      <c r="F56" s="38" t="str">
        <f>'4637'!F21</f>
        <v>BLANCO MERINO 22191 SF</v>
      </c>
      <c r="G56" s="1"/>
    </row>
    <row r="57" spans="1:7" s="15" customFormat="1" ht="15" customHeight="1" x14ac:dyDescent="0.3">
      <c r="A57" s="96"/>
      <c r="B57" s="38">
        <f>'4637'!B22</f>
        <v>1</v>
      </c>
      <c r="C57" s="102" t="str">
        <f>'4637'!C22</f>
        <v>CUB C/R 90° R8</v>
      </c>
      <c r="D57" s="39">
        <f>'4637'!D22</f>
        <v>800</v>
      </c>
      <c r="E57" s="39">
        <f>'4637'!E22</f>
        <v>500</v>
      </c>
      <c r="F57" s="38" t="str">
        <f>'4637'!F22</f>
        <v>BLANCO MERINO 22191 SF</v>
      </c>
      <c r="G57" s="1"/>
    </row>
    <row r="58" spans="1:7" s="15" customFormat="1" ht="15" customHeight="1" x14ac:dyDescent="0.3">
      <c r="A58" s="96"/>
      <c r="B58" s="38">
        <f>'4637'!B23</f>
        <v>1</v>
      </c>
      <c r="C58" s="102" t="str">
        <f>'4637'!C23</f>
        <v>CUB C/R 90° R8</v>
      </c>
      <c r="D58" s="39">
        <f>'4637'!D23</f>
        <v>3000</v>
      </c>
      <c r="E58" s="39">
        <f>'4637'!E23</f>
        <v>700</v>
      </c>
      <c r="F58" s="38" t="str">
        <f>'4637'!F23</f>
        <v>BLANCO MERINO 22191 SF</v>
      </c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21:F21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2025-09-04T14:40:52Z</cp:lastPrinted>
  <dcterms:created xsi:type="dcterms:W3CDTF">2013-03-19T12:54:14Z</dcterms:created>
  <dcterms:modified xsi:type="dcterms:W3CDTF">2025-09-04T14:41:17Z</dcterms:modified>
</cp:coreProperties>
</file>