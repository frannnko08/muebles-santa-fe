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9 SEPTIEMBRE 2025\"/>
    </mc:Choice>
  </mc:AlternateContent>
  <xr:revisionPtr revIDLastSave="0" documentId="13_ncr:1_{E9D54013-EAB1-4D1B-9AAB-BFBBCA989F3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'4637'!$A$1:$H$37</definedName>
    <definedName name="_xlnm.Print_Area" localSheetId="2">CUBIERTA!$A$1:$F$57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E15" i="3"/>
  <c r="F15" i="3"/>
  <c r="B16" i="3"/>
  <c r="D16" i="3"/>
  <c r="E16" i="3"/>
  <c r="F16" i="3"/>
  <c r="B17" i="3"/>
  <c r="D17" i="3"/>
  <c r="E17" i="3"/>
  <c r="F17" i="3"/>
  <c r="B18" i="3"/>
  <c r="D18" i="3"/>
  <c r="E18" i="3"/>
  <c r="F18" i="3"/>
  <c r="B19" i="3"/>
  <c r="D19" i="3"/>
  <c r="E19" i="3"/>
  <c r="F19" i="3"/>
  <c r="B20" i="3"/>
  <c r="D20" i="3"/>
  <c r="E20" i="3"/>
  <c r="F20" i="3"/>
  <c r="B21" i="3"/>
  <c r="D21" i="3"/>
  <c r="E21" i="3"/>
  <c r="F21" i="3"/>
  <c r="D14" i="3"/>
  <c r="J15" i="3"/>
  <c r="K15" i="3"/>
  <c r="J16" i="3"/>
  <c r="K16" i="3"/>
  <c r="J17" i="3"/>
  <c r="K17" i="3"/>
  <c r="J18" i="3"/>
  <c r="K18" i="3"/>
  <c r="J19" i="3"/>
  <c r="K19" i="3"/>
  <c r="J20" i="3"/>
  <c r="K20" i="3"/>
  <c r="J21" i="3"/>
  <c r="K21" i="3"/>
  <c r="J14" i="3"/>
  <c r="I15" i="3"/>
  <c r="I16" i="3"/>
  <c r="I17" i="3"/>
  <c r="I18" i="3"/>
  <c r="I19" i="3"/>
  <c r="I20" i="3"/>
  <c r="I21" i="3"/>
  <c r="I14" i="3"/>
  <c r="B45" i="3"/>
  <c r="I32" i="3" s="1"/>
  <c r="B32" i="3" s="1"/>
  <c r="C45" i="3"/>
  <c r="F32" i="3" s="1"/>
  <c r="D45" i="3"/>
  <c r="J32" i="3" s="1"/>
  <c r="D32" i="3" s="1"/>
  <c r="E45" i="3"/>
  <c r="K32" i="3" s="1"/>
  <c r="E32" i="3" s="1"/>
  <c r="F45" i="3"/>
  <c r="B46" i="3"/>
  <c r="I33" i="3" s="1"/>
  <c r="B33" i="3" s="1"/>
  <c r="C46" i="3"/>
  <c r="F33" i="3" s="1"/>
  <c r="D46" i="3"/>
  <c r="J33" i="3" s="1"/>
  <c r="D33" i="3" s="1"/>
  <c r="E46" i="3"/>
  <c r="K33" i="3" s="1"/>
  <c r="E33" i="3" s="1"/>
  <c r="F46" i="3"/>
  <c r="B47" i="3"/>
  <c r="I34" i="3" s="1"/>
  <c r="B34" i="3" s="1"/>
  <c r="C47" i="3"/>
  <c r="F34" i="3" s="1"/>
  <c r="D47" i="3"/>
  <c r="J34" i="3" s="1"/>
  <c r="D34" i="3" s="1"/>
  <c r="E47" i="3"/>
  <c r="K34" i="3" s="1"/>
  <c r="E34" i="3" s="1"/>
  <c r="F47" i="3"/>
  <c r="B48" i="3"/>
  <c r="I35" i="3" s="1"/>
  <c r="B35" i="3" s="1"/>
  <c r="C48" i="3"/>
  <c r="F35" i="3" s="1"/>
  <c r="D48" i="3"/>
  <c r="J35" i="3" s="1"/>
  <c r="D35" i="3" s="1"/>
  <c r="E48" i="3"/>
  <c r="K35" i="3" s="1"/>
  <c r="E35" i="3" s="1"/>
  <c r="F48" i="3"/>
  <c r="B49" i="3"/>
  <c r="I36" i="3" s="1"/>
  <c r="B36" i="3" s="1"/>
  <c r="C49" i="3"/>
  <c r="F36" i="3" s="1"/>
  <c r="D49" i="3"/>
  <c r="J36" i="3" s="1"/>
  <c r="D36" i="3" s="1"/>
  <c r="E49" i="3"/>
  <c r="K36" i="3" s="1"/>
  <c r="E36" i="3" s="1"/>
  <c r="F49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H28" i="4"/>
  <c r="H27" i="4"/>
  <c r="H26" i="4"/>
  <c r="H25" i="4"/>
  <c r="H24" i="4"/>
  <c r="H23" i="4"/>
  <c r="H22" i="4"/>
  <c r="H21" i="4"/>
  <c r="B43" i="3"/>
  <c r="I30" i="3" s="1"/>
  <c r="B30" i="3" s="1"/>
  <c r="C43" i="3"/>
  <c r="F30" i="3" s="1"/>
  <c r="D43" i="3"/>
  <c r="J30" i="3" s="1"/>
  <c r="D30" i="3" s="1"/>
  <c r="E43" i="3"/>
  <c r="K30" i="3" s="1"/>
  <c r="E30" i="3" s="1"/>
  <c r="F43" i="3"/>
  <c r="B44" i="3"/>
  <c r="I31" i="3" s="1"/>
  <c r="B31" i="3" s="1"/>
  <c r="C44" i="3"/>
  <c r="F31" i="3" s="1"/>
  <c r="D44" i="3"/>
  <c r="J31" i="3" s="1"/>
  <c r="D31" i="3" s="1"/>
  <c r="E44" i="3"/>
  <c r="K31" i="3" s="1"/>
  <c r="E31" i="3" s="1"/>
  <c r="F44" i="3"/>
  <c r="B71" i="3"/>
  <c r="C71" i="3"/>
  <c r="D71" i="3"/>
  <c r="E71" i="3"/>
  <c r="F71" i="3"/>
  <c r="B72" i="3"/>
  <c r="C72" i="3"/>
  <c r="D72" i="3"/>
  <c r="E72" i="3"/>
  <c r="F72" i="3"/>
  <c r="B42" i="3" l="1"/>
  <c r="I29" i="3" s="1"/>
  <c r="C42" i="3"/>
  <c r="F14" i="3" s="1"/>
  <c r="D42" i="3"/>
  <c r="J29" i="3" s="1"/>
  <c r="D29" i="3" s="1"/>
  <c r="E42" i="3"/>
  <c r="K29" i="3" s="1"/>
  <c r="E29" i="3" s="1"/>
  <c r="F42" i="3"/>
  <c r="B70" i="3"/>
  <c r="C70" i="3"/>
  <c r="D70" i="3"/>
  <c r="E70" i="3"/>
  <c r="F70" i="3"/>
  <c r="H31" i="4"/>
  <c r="K14" i="3" l="1"/>
  <c r="E14" i="3" s="1"/>
  <c r="B29" i="3"/>
  <c r="B14" i="3"/>
  <c r="F29" i="3"/>
  <c r="H32" i="4" l="1"/>
  <c r="H33" i="4" l="1"/>
  <c r="N5" i="3" l="1"/>
  <c r="M5" i="3" l="1"/>
  <c r="L5" i="3"/>
  <c r="K5" i="3"/>
  <c r="C63" i="3" l="1"/>
  <c r="C7" i="3"/>
  <c r="D61" i="3"/>
  <c r="D5" i="3"/>
  <c r="D63" i="3"/>
  <c r="D7" i="3"/>
  <c r="D60" i="3"/>
  <c r="D4" i="3"/>
</calcChain>
</file>

<file path=xl/sharedStrings.xml><?xml version="1.0" encoding="utf-8"?>
<sst xmlns="http://schemas.openxmlformats.org/spreadsheetml/2006/main" count="259" uniqueCount="142">
  <si>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</si>
  <si>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</si>
  <si>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</si>
  <si>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</si>
  <si>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</si>
  <si>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</si>
  <si>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</si>
  <si>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</si>
  <si>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</si>
  <si>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</si>
  <si>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</si>
  <si>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</si>
  <si>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</si>
  <si>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</si>
  <si>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</si>
  <si>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</si>
  <si>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</si>
  <si>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</si>
  <si>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</si>
  <si>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</si>
  <si>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</si>
  <si>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</si>
  <si>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</si>
  <si>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</si>
  <si>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</si>
  <si>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</si>
  <si>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</si>
  <si>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</si>
  <si>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</si>
  <si>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</si>
  <si>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</si>
  <si>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</si>
  <si>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</si>
  <si>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</si>
  <si>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</si>
  <si>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</si>
  <si>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</si>
  <si>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</si>
  <si>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</si>
  <si>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</si>
  <si>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</si>
  <si>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</si>
  <si>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</si>
  <si>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</si>
  <si>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</si>
  <si>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</si>
  <si>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</si>
  <si>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</si>
  <si>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</si>
  <si>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</si>
  <si>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</si>
  <si>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</si>
  <si>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</si>
  <si>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</si>
  <si>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</si>
  <si>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</si>
  <si>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</si>
  <si>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</si>
  <si>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</si>
  <si>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</si>
  <si>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</si>
  <si>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</si>
  <si>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</si>
  <si>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</si>
  <si>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</si>
  <si>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</si>
  <si>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</si>
  <si>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</si>
  <si>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</si>
  <si>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</si>
  <si>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</si>
  <si>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</si>
  <si>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</si>
  <si>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</si>
  <si>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</si>
  <si>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</si>
  <si>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</si>
  <si>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</si>
  <si>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</si>
  <si>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</si>
  <si>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</si>
  <si>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</si>
  <si>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</si>
  <si>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</si>
  <si>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</si>
  <si>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</si>
  <si>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</si>
  <si>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</si>
  <si>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</si>
  <si>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</si>
  <si>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</si>
  <si>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</si>
  <si>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</si>
  <si>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</si>
  <si>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</si>
  <si>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</si>
  <si>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</si>
  <si>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</si>
  <si>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</si>
  <si>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</si>
  <si>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</si>
  <si>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</si>
  <si>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</si>
  <si>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</si>
  <si>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</si>
  <si>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</si>
  <si>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</si>
  <si>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</si>
  <si>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</si>
  <si>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</si>
  <si>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</si>
  <si>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</si>
  <si>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</si>
  <si>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</si>
  <si>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</si>
  <si>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</si>
  <si>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</si>
  <si>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</si>
  <si>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</si>
  <si>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</si>
  <si>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</si>
  <si>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</si>
  <si>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</si>
  <si>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</si>
  <si>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</si>
  <si>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</si>
  <si>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</si>
  <si>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</si>
  <si>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</si>
  <si>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</si>
  <si>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</si>
  <si>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</si>
  <si>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</si>
  <si>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MUEBLES</t>
  </si>
  <si>
    <t>NO</t>
  </si>
  <si>
    <t>CUB C/R 90° R8</t>
  </si>
  <si>
    <t>MDF18MM</t>
  </si>
  <si>
    <t>N° 11638</t>
  </si>
  <si>
    <t xml:space="preserve">SERVICIOS REMAX </t>
  </si>
  <si>
    <t>DIEGO MENA</t>
  </si>
  <si>
    <t>CONTADO</t>
  </si>
  <si>
    <t>VAINILLA 2109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</si>
</sst>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1" fontId="4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41" fontId="0" fillId="0" borderId="2" xfId="3" applyFont="1" applyBorder="1" applyAlignment="1">
      <alignment horizontal="center" vertical="center"/>
    </xf>
    <xf numFmtId="41" fontId="0" fillId="0" borderId="30" xfId="3" applyFont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1" fillId="8" borderId="33" xfId="0" applyFont="1" applyFill="1" applyBorder="1" applyAlignment="1">
      <alignment horizontal="center" vertical="center"/>
    </xf>
    <xf numFmtId="0" fontId="15" fillId="0" borderId="29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1" fontId="15" fillId="0" borderId="30" xfId="0" applyNumberFormat="1" applyFont="1" applyFill="1" applyBorder="1" applyAlignment="1">
      <alignment horizontal="center" vertical="center"/>
    </xf>
    <xf numFmtId="1" fontId="15" fillId="0" borderId="2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illares [0]" xfId="3" builtinId="6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30</xdr:row>
      <xdr:rowOff>9525</xdr:rowOff>
    </xdr:from>
    <xdr:to>
      <xdr:col>5</xdr:col>
      <xdr:colOff>1390650</xdr:colOff>
      <xdr:row>34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23</xdr:row>
      <xdr:rowOff>76200</xdr:rowOff>
    </xdr:from>
    <xdr:to>
      <xdr:col>5</xdr:col>
      <xdr:colOff>1676399</xdr:colOff>
      <xdr:row>25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64</xdr:row>
      <xdr:rowOff>171450</xdr:rowOff>
    </xdr:from>
    <xdr:to>
      <xdr:col>5</xdr:col>
      <xdr:colOff>1685924</xdr:colOff>
      <xdr:row>66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62</xdr:row>
      <xdr:rowOff>0</xdr:rowOff>
    </xdr:from>
    <xdr:to>
      <xdr:col>6</xdr:col>
      <xdr:colOff>0</xdr:colOff>
      <xdr:row>63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60</xdr:row>
      <xdr:rowOff>38100</xdr:rowOff>
    </xdr:from>
    <xdr:to>
      <xdr:col>6</xdr:col>
      <xdr:colOff>0</xdr:colOff>
      <xdr:row>61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59</xdr:row>
      <xdr:rowOff>0</xdr:rowOff>
    </xdr:from>
    <xdr:to>
      <xdr:col>6</xdr:col>
      <xdr:colOff>0</xdr:colOff>
      <xdr:row>60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79</xdr:row>
      <xdr:rowOff>0</xdr:rowOff>
    </xdr:from>
    <xdr:to>
      <xdr:col>2</xdr:col>
      <xdr:colOff>38100</xdr:colOff>
      <xdr:row>80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79</xdr:row>
      <xdr:rowOff>0</xdr:rowOff>
    </xdr:from>
    <xdr:to>
      <xdr:col>2</xdr:col>
      <xdr:colOff>1019175</xdr:colOff>
      <xdr:row>79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79</xdr:row>
      <xdr:rowOff>0</xdr:rowOff>
    </xdr:from>
    <xdr:to>
      <xdr:col>3</xdr:col>
      <xdr:colOff>352425</xdr:colOff>
      <xdr:row>80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79</xdr:row>
      <xdr:rowOff>0</xdr:rowOff>
    </xdr:from>
    <xdr:to>
      <xdr:col>4</xdr:col>
      <xdr:colOff>257175</xdr:colOff>
      <xdr:row>80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79</xdr:row>
      <xdr:rowOff>0</xdr:rowOff>
    </xdr:from>
    <xdr:to>
      <xdr:col>5</xdr:col>
      <xdr:colOff>447675</xdr:colOff>
      <xdr:row>79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79</xdr:row>
      <xdr:rowOff>0</xdr:rowOff>
    </xdr:from>
    <xdr:to>
      <xdr:col>6</xdr:col>
      <xdr:colOff>0</xdr:colOff>
      <xdr:row>79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79</xdr:row>
      <xdr:rowOff>190500</xdr:rowOff>
    </xdr:from>
    <xdr:to>
      <xdr:col>2</xdr:col>
      <xdr:colOff>304800</xdr:colOff>
      <xdr:row>81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79</xdr:row>
      <xdr:rowOff>190500</xdr:rowOff>
    </xdr:from>
    <xdr:to>
      <xdr:col>2</xdr:col>
      <xdr:colOff>1276350</xdr:colOff>
      <xdr:row>81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79</xdr:row>
      <xdr:rowOff>190500</xdr:rowOff>
    </xdr:from>
    <xdr:to>
      <xdr:col>3</xdr:col>
      <xdr:colOff>619125</xdr:colOff>
      <xdr:row>81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79</xdr:row>
      <xdr:rowOff>190500</xdr:rowOff>
    </xdr:from>
    <xdr:to>
      <xdr:col>4</xdr:col>
      <xdr:colOff>523875</xdr:colOff>
      <xdr:row>81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79</xdr:row>
      <xdr:rowOff>190500</xdr:rowOff>
    </xdr:from>
    <xdr:to>
      <xdr:col>5</xdr:col>
      <xdr:colOff>723900</xdr:colOff>
      <xdr:row>81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79</xdr:row>
      <xdr:rowOff>190500</xdr:rowOff>
    </xdr:from>
    <xdr:to>
      <xdr:col>6</xdr:col>
      <xdr:colOff>0</xdr:colOff>
      <xdr:row>81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51</xdr:row>
      <xdr:rowOff>15239</xdr:rowOff>
    </xdr:from>
    <xdr:to>
      <xdr:col>6</xdr:col>
      <xdr:colOff>68580</xdr:colOff>
      <xdr:row>55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37</xdr:row>
      <xdr:rowOff>200025</xdr:rowOff>
    </xdr:from>
    <xdr:to>
      <xdr:col>6</xdr:col>
      <xdr:colOff>19049</xdr:colOff>
      <xdr:row>39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82</xdr:row>
      <xdr:rowOff>32385</xdr:rowOff>
    </xdr:from>
    <xdr:to>
      <xdr:col>6</xdr:col>
      <xdr:colOff>19050</xdr:colOff>
      <xdr:row>86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58</xdr:row>
      <xdr:rowOff>41910</xdr:rowOff>
    </xdr:from>
    <xdr:to>
      <xdr:col>1</xdr:col>
      <xdr:colOff>801763</xdr:colOff>
      <xdr:row>64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0"/>
  <sheetViews>
    <sheetView topLeftCell="A16" workbookViewId="0">
      <selection activeCell="I23" sqref="I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137</v>
      </c>
      <c r="E8" s="1"/>
      <c r="F8" s="91" t="s">
        <v>27</v>
      </c>
      <c r="G8" s="92">
        <v>7281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3" t="s">
        <v>138</v>
      </c>
      <c r="D10" s="55"/>
      <c r="E10" s="55"/>
      <c r="F10" s="56" t="s">
        <v>28</v>
      </c>
      <c r="G10" s="57">
        <v>45904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/>
      <c r="D11" s="60"/>
      <c r="E11" s="60"/>
      <c r="F11" s="60" t="s">
        <v>124</v>
      </c>
      <c r="G11" s="61">
        <v>45910</v>
      </c>
      <c r="H11" s="62"/>
      <c r="I11" s="1"/>
    </row>
    <row r="12" spans="1:17" ht="16.2" thickBot="1" x14ac:dyDescent="0.35">
      <c r="A12" s="1"/>
      <c r="B12" s="63" t="s">
        <v>130</v>
      </c>
      <c r="C12" t="s">
        <v>133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132</v>
      </c>
      <c r="C13" s="83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99">
        <v>56948545320</v>
      </c>
      <c r="D14" s="66"/>
      <c r="E14" s="60"/>
      <c r="F14" s="60" t="s">
        <v>29</v>
      </c>
      <c r="G14" s="60" t="s">
        <v>134</v>
      </c>
      <c r="H14" s="62"/>
      <c r="I14" s="1"/>
    </row>
    <row r="15" spans="1:17" ht="15.6" x14ac:dyDescent="0.3">
      <c r="A15" s="1"/>
      <c r="B15" s="63" t="s">
        <v>1</v>
      </c>
      <c r="C15" s="95"/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131</v>
      </c>
      <c r="D16" s="69"/>
      <c r="E16" s="70"/>
      <c r="F16" s="102" t="s">
        <v>18</v>
      </c>
      <c r="G16" s="102"/>
      <c r="H16" s="10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4" t="s">
        <v>19</v>
      </c>
      <c r="C19" s="105"/>
      <c r="D19" s="105"/>
      <c r="E19" s="105"/>
      <c r="F19" s="105"/>
      <c r="G19" s="105"/>
      <c r="H19" s="106"/>
      <c r="I19" s="1"/>
    </row>
    <row r="20" spans="1:16" ht="16.2" thickBot="1" x14ac:dyDescent="0.35">
      <c r="A20" s="1"/>
      <c r="B20" s="121" t="s">
        <v>20</v>
      </c>
      <c r="C20" s="122" t="s">
        <v>21</v>
      </c>
      <c r="D20" s="122" t="s">
        <v>22</v>
      </c>
      <c r="E20" s="122" t="s">
        <v>8</v>
      </c>
      <c r="F20" s="123" t="s">
        <v>23</v>
      </c>
      <c r="G20" s="121" t="s">
        <v>24</v>
      </c>
      <c r="H20" s="123" t="s">
        <v>4</v>
      </c>
      <c r="I20" s="1"/>
    </row>
    <row r="21" spans="1:16" ht="18" customHeight="1" x14ac:dyDescent="0.3">
      <c r="A21" s="1"/>
      <c r="B21" s="124">
        <v>1</v>
      </c>
      <c r="C21" s="125" t="s">
        <v>135</v>
      </c>
      <c r="D21" s="130">
        <v>1700</v>
      </c>
      <c r="E21" s="130">
        <v>670</v>
      </c>
      <c r="F21" s="117" t="s">
        <v>141</v>
      </c>
      <c r="G21" s="120">
        <v>96092</v>
      </c>
      <c r="H21" s="118">
        <f>G21*B21</f>
        <v>96092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6">
        <v>1</v>
      </c>
      <c r="C22" s="125" t="s">
        <v>135</v>
      </c>
      <c r="D22" s="131">
        <v>3600</v>
      </c>
      <c r="E22" s="131">
        <v>670</v>
      </c>
      <c r="F22" s="117" t="s">
        <v>141</v>
      </c>
      <c r="G22" s="119">
        <v>198663</v>
      </c>
      <c r="H22" s="100">
        <f t="shared" ref="H22:H28" si="0">G22*B22</f>
        <v>198663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7">
        <v>1</v>
      </c>
      <c r="C23" s="127" t="s">
        <v>135</v>
      </c>
      <c r="D23" s="131">
        <v>1500</v>
      </c>
      <c r="E23" s="131">
        <v>700</v>
      </c>
      <c r="F23" s="117" t="s">
        <v>141</v>
      </c>
      <c r="G23" s="119">
        <v>89115</v>
      </c>
      <c r="H23" s="100">
        <f t="shared" si="0"/>
        <v>89115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27">
        <v>1</v>
      </c>
      <c r="C24" s="127" t="s">
        <v>135</v>
      </c>
      <c r="D24" s="131">
        <v>1500</v>
      </c>
      <c r="E24" s="131">
        <v>700</v>
      </c>
      <c r="F24" s="117" t="s">
        <v>141</v>
      </c>
      <c r="G24" s="119">
        <v>89115</v>
      </c>
      <c r="H24" s="100">
        <f t="shared" si="0"/>
        <v>89115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27">
        <v>2</v>
      </c>
      <c r="C25" s="127" t="s">
        <v>135</v>
      </c>
      <c r="D25" s="131">
        <v>1900</v>
      </c>
      <c r="E25" s="131">
        <v>700</v>
      </c>
      <c r="F25" s="117" t="s">
        <v>141</v>
      </c>
      <c r="G25" s="119">
        <v>111675</v>
      </c>
      <c r="H25" s="100">
        <f t="shared" si="0"/>
        <v>223350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27">
        <v>2</v>
      </c>
      <c r="C26" s="127" t="s">
        <v>135</v>
      </c>
      <c r="D26" s="131">
        <v>1900</v>
      </c>
      <c r="E26" s="131">
        <v>600</v>
      </c>
      <c r="F26" s="117" t="s">
        <v>141</v>
      </c>
      <c r="G26" s="119">
        <v>95722</v>
      </c>
      <c r="H26" s="100">
        <f t="shared" si="0"/>
        <v>191444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27">
        <v>1</v>
      </c>
      <c r="C27" s="127" t="s">
        <v>135</v>
      </c>
      <c r="D27" s="131">
        <v>3200</v>
      </c>
      <c r="E27" s="131">
        <v>600</v>
      </c>
      <c r="F27" s="117" t="s">
        <v>141</v>
      </c>
      <c r="G27" s="119">
        <v>158569</v>
      </c>
      <c r="H27" s="100">
        <f t="shared" si="0"/>
        <v>158569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27">
        <v>2</v>
      </c>
      <c r="C28" s="127" t="s">
        <v>135</v>
      </c>
      <c r="D28" s="131">
        <v>1950</v>
      </c>
      <c r="E28" s="131">
        <v>700</v>
      </c>
      <c r="F28" s="117" t="s">
        <v>141</v>
      </c>
      <c r="G28" s="119">
        <v>114495</v>
      </c>
      <c r="H28" s="100">
        <f t="shared" si="0"/>
        <v>228990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15"/>
      <c r="C29" s="115"/>
      <c r="D29" s="116"/>
      <c r="E29" s="116"/>
      <c r="F29" s="115"/>
      <c r="G29" s="72"/>
      <c r="H29" s="72"/>
      <c r="I29" s="1"/>
      <c r="K29" s="17"/>
      <c r="L29" s="26"/>
      <c r="M29" s="17"/>
      <c r="N29" s="17"/>
      <c r="O29" s="26"/>
      <c r="P29" s="33"/>
    </row>
    <row r="30" spans="1:16" ht="8.25" customHeight="1" thickBot="1" x14ac:dyDescent="0.35">
      <c r="A30" s="1"/>
      <c r="B30" s="71"/>
      <c r="C30" s="71"/>
      <c r="D30" s="71"/>
      <c r="E30" s="71"/>
      <c r="F30" s="71"/>
      <c r="G30" s="72"/>
      <c r="H30" s="72"/>
      <c r="I30" s="1"/>
    </row>
    <row r="31" spans="1:16" ht="15.6" x14ac:dyDescent="0.3">
      <c r="A31" s="1"/>
      <c r="B31" s="1"/>
      <c r="C31" s="1"/>
      <c r="D31" s="1"/>
      <c r="E31" s="1"/>
      <c r="F31" s="1"/>
      <c r="G31" s="73" t="s">
        <v>5</v>
      </c>
      <c r="H31" s="74">
        <f>SUM(H21:H30)</f>
        <v>1275338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75" t="s">
        <v>6</v>
      </c>
      <c r="H32" s="76">
        <f>H31*19%</f>
        <v>242314.22</v>
      </c>
      <c r="I32" s="1"/>
    </row>
    <row r="33" spans="1:9" ht="16.2" thickBot="1" x14ac:dyDescent="0.35">
      <c r="A33" s="1"/>
      <c r="B33" s="1"/>
      <c r="C33" s="1"/>
      <c r="D33" s="1"/>
      <c r="E33" s="1"/>
      <c r="F33" s="1"/>
      <c r="G33" s="77" t="s">
        <v>4</v>
      </c>
      <c r="H33" s="78">
        <f>H31+H32</f>
        <v>1517652.22</v>
      </c>
      <c r="I33" s="1"/>
    </row>
    <row r="34" spans="1:9" ht="15.6" x14ac:dyDescent="0.3">
      <c r="A34" s="1"/>
      <c r="B34" s="1"/>
      <c r="C34" s="1"/>
      <c r="D34" s="1"/>
      <c r="E34" s="1"/>
      <c r="F34" s="1"/>
      <c r="G34" s="52"/>
      <c r="H34" s="94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79" t="s">
        <v>123</v>
      </c>
      <c r="C36" s="80"/>
      <c r="D36" s="81"/>
      <c r="E36" s="81"/>
      <c r="F36" s="71"/>
      <c r="G36" s="1"/>
      <c r="H36" s="1"/>
      <c r="I36" s="1"/>
    </row>
    <row r="37" spans="1:9" ht="15.6" x14ac:dyDescent="0.3">
      <c r="A37" s="1"/>
      <c r="B37" s="79" t="s">
        <v>122</v>
      </c>
      <c r="C37" s="80"/>
      <c r="D37" s="81"/>
      <c r="E37" s="81"/>
      <c r="F37" s="71"/>
      <c r="G37" s="1"/>
      <c r="H37" s="1"/>
      <c r="I37" s="1"/>
    </row>
    <row r="38" spans="1:9" ht="15.6" x14ac:dyDescent="0.3">
      <c r="A38" s="1"/>
      <c r="B38" s="1" t="s">
        <v>25</v>
      </c>
      <c r="C38" s="1"/>
      <c r="D38" s="1"/>
      <c r="E38" s="82" t="s">
        <v>26</v>
      </c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</sheetData>
  <sortState xmlns:xlrd2="http://schemas.microsoft.com/office/spreadsheetml/2017/richdata2" ref="B42">
    <sortCondition sortBy="fontColor" ref="B42" dxfId="5"/>
  </sortState>
  <mergeCells count="2">
    <mergeCell ref="F16:H16"/>
    <mergeCell ref="B19:H19"/>
  </mergeCells>
  <phoneticPr fontId="10" type="noConversion"/>
  <hyperlinks>
    <hyperlink ref="E3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07" t="s">
        <v>31</v>
      </c>
      <c r="C2" s="107"/>
      <c r="D2" s="107"/>
      <c r="E2" s="18"/>
      <c r="G2" s="107" t="s">
        <v>70</v>
      </c>
      <c r="H2" s="107"/>
      <c r="I2" s="107"/>
      <c r="P2" s="108" t="s">
        <v>58</v>
      </c>
      <c r="Q2" s="108"/>
      <c r="R2" s="10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08" t="s">
        <v>58</v>
      </c>
      <c r="M8" s="108"/>
      <c r="N8" s="10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0"/>
  <sheetViews>
    <sheetView tabSelected="1" zoomScaleNormal="100" workbookViewId="0">
      <selection activeCell="D16" sqref="D1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09" t="s">
        <v>61</v>
      </c>
      <c r="L3" s="109"/>
      <c r="M3" s="109" t="s">
        <v>14</v>
      </c>
      <c r="N3" s="109"/>
    </row>
    <row r="4" spans="1:14" ht="15.75" customHeight="1" x14ac:dyDescent="0.3">
      <c r="A4" s="1"/>
      <c r="B4" s="1"/>
      <c r="C4" s="40" t="s">
        <v>27</v>
      </c>
      <c r="D4" s="14">
        <f>'4637'!G8</f>
        <v>7281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 xml:space="preserve">SERVICIOS REMAX 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4" t="str">
        <f>'4637'!F11</f>
        <v>FECHA LIMITE :</v>
      </c>
      <c r="D7" s="13">
        <f>'4637'!G11</f>
        <v>45910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0" t="s">
        <v>61</v>
      </c>
      <c r="B10" s="110"/>
      <c r="C10" s="110"/>
      <c r="D10" s="110"/>
      <c r="E10" s="110"/>
      <c r="F10" s="11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136</v>
      </c>
      <c r="B14" s="25">
        <f t="shared" ref="B14" si="0">I14</f>
        <v>1</v>
      </c>
      <c r="C14" s="25"/>
      <c r="D14" s="25">
        <f>J14+D$13</f>
        <v>1780</v>
      </c>
      <c r="E14" s="35">
        <f>K14+E$13</f>
        <v>640</v>
      </c>
      <c r="F14" s="97" t="str">
        <f>C42</f>
        <v>CUB C/R 90° R8</v>
      </c>
      <c r="G14" s="1"/>
      <c r="I14" s="3">
        <f>I29</f>
        <v>1</v>
      </c>
      <c r="J14" s="4">
        <f>J29</f>
        <v>1700</v>
      </c>
      <c r="K14" s="4">
        <f>E42</f>
        <v>670</v>
      </c>
    </row>
    <row r="15" spans="1:14" ht="15.6" x14ac:dyDescent="0.3">
      <c r="A15" s="93"/>
      <c r="B15" s="25">
        <f t="shared" ref="B15:B21" si="1">I15</f>
        <v>1</v>
      </c>
      <c r="C15" s="25"/>
      <c r="D15" s="25">
        <v>3660</v>
      </c>
      <c r="E15" s="35">
        <f t="shared" ref="E15:E21" si="2">K15+E$13</f>
        <v>640</v>
      </c>
      <c r="F15" s="97" t="str">
        <f t="shared" ref="F15:F21" si="3">C43</f>
        <v>CUB C/R 90° R8</v>
      </c>
      <c r="G15" s="1"/>
      <c r="I15" s="3">
        <f t="shared" ref="I15:J22" si="4">I30</f>
        <v>1</v>
      </c>
      <c r="J15" s="4">
        <f t="shared" si="4"/>
        <v>3600</v>
      </c>
      <c r="K15" s="4">
        <f t="shared" ref="K15:K21" si="5">E43</f>
        <v>670</v>
      </c>
    </row>
    <row r="16" spans="1:14" ht="15.6" x14ac:dyDescent="0.3">
      <c r="A16" s="93"/>
      <c r="B16" s="25">
        <f t="shared" si="1"/>
        <v>1</v>
      </c>
      <c r="C16" s="25"/>
      <c r="D16" s="25">
        <f t="shared" ref="D15:D21" si="6">J16+D$13</f>
        <v>1580</v>
      </c>
      <c r="E16" s="35">
        <f t="shared" si="2"/>
        <v>670</v>
      </c>
      <c r="F16" s="97" t="str">
        <f t="shared" si="3"/>
        <v>CUB C/R 90° R8</v>
      </c>
      <c r="G16" s="1"/>
      <c r="I16" s="3">
        <f t="shared" si="4"/>
        <v>1</v>
      </c>
      <c r="J16" s="4">
        <f t="shared" si="4"/>
        <v>1500</v>
      </c>
      <c r="K16" s="4">
        <f t="shared" si="5"/>
        <v>700</v>
      </c>
    </row>
    <row r="17" spans="1:11" ht="15.6" x14ac:dyDescent="0.3">
      <c r="A17" s="93"/>
      <c r="B17" s="25">
        <f t="shared" si="1"/>
        <v>1</v>
      </c>
      <c r="C17" s="25"/>
      <c r="D17" s="25">
        <f t="shared" si="6"/>
        <v>1580</v>
      </c>
      <c r="E17" s="35">
        <f t="shared" si="2"/>
        <v>670</v>
      </c>
      <c r="F17" s="97" t="str">
        <f t="shared" si="3"/>
        <v>CUB C/R 90° R8</v>
      </c>
      <c r="G17" s="1"/>
      <c r="I17" s="3">
        <f t="shared" si="4"/>
        <v>1</v>
      </c>
      <c r="J17" s="4">
        <f t="shared" si="4"/>
        <v>1500</v>
      </c>
      <c r="K17" s="4">
        <f t="shared" si="5"/>
        <v>700</v>
      </c>
    </row>
    <row r="18" spans="1:11" ht="15.6" x14ac:dyDescent="0.3">
      <c r="A18" s="93"/>
      <c r="B18" s="25">
        <f t="shared" si="1"/>
        <v>2</v>
      </c>
      <c r="C18" s="25"/>
      <c r="D18" s="25">
        <f t="shared" si="6"/>
        <v>1980</v>
      </c>
      <c r="E18" s="35">
        <f t="shared" si="2"/>
        <v>670</v>
      </c>
      <c r="F18" s="97" t="str">
        <f t="shared" si="3"/>
        <v>CUB C/R 90° R8</v>
      </c>
      <c r="G18" s="1"/>
      <c r="I18" s="3">
        <f t="shared" si="4"/>
        <v>2</v>
      </c>
      <c r="J18" s="4">
        <f t="shared" si="4"/>
        <v>1900</v>
      </c>
      <c r="K18" s="4">
        <f t="shared" si="5"/>
        <v>700</v>
      </c>
    </row>
    <row r="19" spans="1:11" ht="15.6" x14ac:dyDescent="0.3">
      <c r="A19" s="93"/>
      <c r="B19" s="25">
        <f t="shared" si="1"/>
        <v>2</v>
      </c>
      <c r="C19" s="25"/>
      <c r="D19" s="25">
        <f t="shared" si="6"/>
        <v>1980</v>
      </c>
      <c r="E19" s="35">
        <f t="shared" si="2"/>
        <v>570</v>
      </c>
      <c r="F19" s="97" t="str">
        <f t="shared" si="3"/>
        <v>CUB C/R 90° R8</v>
      </c>
      <c r="G19" s="1"/>
      <c r="I19" s="3">
        <f t="shared" si="4"/>
        <v>2</v>
      </c>
      <c r="J19" s="4">
        <f t="shared" si="4"/>
        <v>1900</v>
      </c>
      <c r="K19" s="4">
        <f t="shared" si="5"/>
        <v>600</v>
      </c>
    </row>
    <row r="20" spans="1:11" ht="15.6" x14ac:dyDescent="0.3">
      <c r="A20" s="93"/>
      <c r="B20" s="25">
        <f t="shared" si="1"/>
        <v>1</v>
      </c>
      <c r="C20" s="25"/>
      <c r="D20" s="25">
        <f t="shared" si="6"/>
        <v>3280</v>
      </c>
      <c r="E20" s="35">
        <f t="shared" si="2"/>
        <v>570</v>
      </c>
      <c r="F20" s="97" t="str">
        <f t="shared" si="3"/>
        <v>CUB C/R 90° R8</v>
      </c>
      <c r="G20" s="1"/>
      <c r="I20" s="3">
        <f t="shared" si="4"/>
        <v>1</v>
      </c>
      <c r="J20" s="4">
        <f t="shared" si="4"/>
        <v>3200</v>
      </c>
      <c r="K20" s="4">
        <f t="shared" si="5"/>
        <v>600</v>
      </c>
    </row>
    <row r="21" spans="1:11" ht="15.6" x14ac:dyDescent="0.3">
      <c r="A21" s="93"/>
      <c r="B21" s="25">
        <f t="shared" si="1"/>
        <v>2</v>
      </c>
      <c r="C21" s="25"/>
      <c r="D21" s="25">
        <f t="shared" si="6"/>
        <v>2030</v>
      </c>
      <c r="E21" s="35">
        <f t="shared" si="2"/>
        <v>670</v>
      </c>
      <c r="F21" s="97" t="str">
        <f t="shared" si="3"/>
        <v>CUB C/R 90° R8</v>
      </c>
      <c r="G21" s="1"/>
      <c r="I21" s="3">
        <f t="shared" si="4"/>
        <v>2</v>
      </c>
      <c r="J21" s="4">
        <f t="shared" si="4"/>
        <v>1950</v>
      </c>
      <c r="K21" s="4">
        <f t="shared" si="5"/>
        <v>700</v>
      </c>
    </row>
    <row r="22" spans="1:11" ht="15.6" x14ac:dyDescent="0.3">
      <c r="A22" s="93"/>
      <c r="B22" s="6"/>
      <c r="C22" s="6"/>
      <c r="D22" s="6"/>
      <c r="E22" s="86"/>
      <c r="F22" s="101"/>
      <c r="G22" s="1"/>
      <c r="I22" s="3"/>
      <c r="J22" s="2"/>
      <c r="K22" s="2"/>
    </row>
    <row r="23" spans="1:11" ht="15.6" x14ac:dyDescent="0.3">
      <c r="A23" s="52"/>
      <c r="B23" s="6"/>
      <c r="C23" s="6"/>
      <c r="D23" s="6"/>
      <c r="E23" s="86"/>
      <c r="F23" s="6"/>
      <c r="G23" s="1"/>
      <c r="I23" s="87"/>
      <c r="J23" s="2"/>
      <c r="K23" s="2"/>
    </row>
    <row r="24" spans="1:11" ht="6.75" customHeight="1" x14ac:dyDescent="0.3">
      <c r="A24" s="1"/>
      <c r="B24" s="1"/>
      <c r="C24" s="1"/>
      <c r="D24" s="1"/>
      <c r="E24" s="1"/>
      <c r="F24" s="1"/>
      <c r="G24" s="1"/>
    </row>
    <row r="25" spans="1:11" ht="15.6" x14ac:dyDescent="0.3">
      <c r="A25" s="110" t="s">
        <v>14</v>
      </c>
      <c r="B25" s="110"/>
      <c r="C25" s="110"/>
      <c r="D25" s="110"/>
      <c r="E25" s="110"/>
      <c r="F25" s="110"/>
      <c r="G25" s="1"/>
    </row>
    <row r="26" spans="1:11" ht="10.5" customHeight="1" x14ac:dyDescent="0.3">
      <c r="A26" s="1"/>
      <c r="B26" s="1"/>
      <c r="C26" s="12"/>
      <c r="D26" s="1"/>
      <c r="E26" s="1"/>
      <c r="F26" s="1"/>
      <c r="G26" s="1"/>
    </row>
    <row r="27" spans="1:11" ht="15.6" x14ac:dyDescent="0.3">
      <c r="A27" s="1"/>
      <c r="B27" s="1"/>
      <c r="C27" s="1"/>
      <c r="D27" s="52" t="s">
        <v>7</v>
      </c>
      <c r="E27" s="52" t="s">
        <v>8</v>
      </c>
      <c r="F27" s="1"/>
      <c r="G27" s="1"/>
    </row>
    <row r="28" spans="1:11" ht="15.6" x14ac:dyDescent="0.3">
      <c r="A28" s="52" t="s">
        <v>9</v>
      </c>
      <c r="B28" s="36" t="s">
        <v>10</v>
      </c>
      <c r="C28" s="36" t="s">
        <v>11</v>
      </c>
      <c r="D28" s="21">
        <v>40</v>
      </c>
      <c r="E28" s="21">
        <v>130</v>
      </c>
      <c r="F28" s="36" t="s">
        <v>110</v>
      </c>
      <c r="G28" s="1"/>
      <c r="J28" s="5" t="s">
        <v>7</v>
      </c>
      <c r="K28" s="5" t="s">
        <v>8</v>
      </c>
    </row>
    <row r="29" spans="1:11" ht="15.6" x14ac:dyDescent="0.3">
      <c r="A29" s="93"/>
      <c r="B29" s="16">
        <f t="shared" ref="B29" si="7">I29</f>
        <v>1</v>
      </c>
      <c r="C29" s="16"/>
      <c r="D29" s="16">
        <f>J29+D$28</f>
        <v>1740</v>
      </c>
      <c r="E29" s="16">
        <f>K29+E$28</f>
        <v>800</v>
      </c>
      <c r="F29" s="98" t="str">
        <f>C42</f>
        <v>CUB C/R 90° R8</v>
      </c>
      <c r="G29" s="1"/>
      <c r="I29" s="3">
        <f>B42</f>
        <v>1</v>
      </c>
      <c r="J29" s="4">
        <f>D42</f>
        <v>1700</v>
      </c>
      <c r="K29" s="4">
        <f t="shared" ref="K29" si="8">E42</f>
        <v>670</v>
      </c>
    </row>
    <row r="30" spans="1:11" ht="15.6" x14ac:dyDescent="0.3">
      <c r="A30" s="93"/>
      <c r="B30" s="16">
        <f t="shared" ref="B30:B36" si="9">I30</f>
        <v>1</v>
      </c>
      <c r="C30" s="16"/>
      <c r="D30" s="16">
        <f t="shared" ref="D30:D36" si="10">J30+D$28</f>
        <v>3640</v>
      </c>
      <c r="E30" s="16">
        <f t="shared" ref="E30:E36" si="11">K30+E$28</f>
        <v>800</v>
      </c>
      <c r="F30" s="98" t="str">
        <f t="shared" ref="F30:F36" si="12">C43</f>
        <v>CUB C/R 90° R8</v>
      </c>
      <c r="G30" s="1"/>
      <c r="I30" s="3">
        <f>B43</f>
        <v>1</v>
      </c>
      <c r="J30" s="4">
        <f>D43</f>
        <v>3600</v>
      </c>
      <c r="K30" s="4">
        <f>E43</f>
        <v>670</v>
      </c>
    </row>
    <row r="31" spans="1:11" ht="15.6" x14ac:dyDescent="0.3">
      <c r="A31" s="93"/>
      <c r="B31" s="16">
        <f t="shared" si="9"/>
        <v>1</v>
      </c>
      <c r="C31" s="16"/>
      <c r="D31" s="16">
        <f t="shared" si="10"/>
        <v>1540</v>
      </c>
      <c r="E31" s="16">
        <f t="shared" si="11"/>
        <v>830</v>
      </c>
      <c r="F31" s="98" t="str">
        <f t="shared" si="12"/>
        <v>CUB C/R 90° R8</v>
      </c>
      <c r="G31" s="1"/>
      <c r="I31" s="3">
        <f>B44</f>
        <v>1</v>
      </c>
      <c r="J31" s="4">
        <f>D44</f>
        <v>1500</v>
      </c>
      <c r="K31" s="4">
        <f>E44</f>
        <v>700</v>
      </c>
    </row>
    <row r="32" spans="1:11" ht="15.6" x14ac:dyDescent="0.3">
      <c r="A32" s="93"/>
      <c r="B32" s="16">
        <f t="shared" si="9"/>
        <v>1</v>
      </c>
      <c r="C32" s="16"/>
      <c r="D32" s="16">
        <f t="shared" si="10"/>
        <v>1540</v>
      </c>
      <c r="E32" s="16">
        <f t="shared" si="11"/>
        <v>830</v>
      </c>
      <c r="F32" s="98" t="str">
        <f t="shared" si="12"/>
        <v>CUB C/R 90° R8</v>
      </c>
      <c r="G32" s="1"/>
      <c r="I32" s="3">
        <f>B45</f>
        <v>1</v>
      </c>
      <c r="J32" s="4">
        <f>D45</f>
        <v>1500</v>
      </c>
      <c r="K32" s="4">
        <f>E45</f>
        <v>700</v>
      </c>
    </row>
    <row r="33" spans="1:11" ht="15.6" x14ac:dyDescent="0.3">
      <c r="A33" s="93"/>
      <c r="B33" s="16">
        <f t="shared" si="9"/>
        <v>2</v>
      </c>
      <c r="C33" s="16"/>
      <c r="D33" s="16">
        <f t="shared" si="10"/>
        <v>1940</v>
      </c>
      <c r="E33" s="16">
        <f t="shared" si="11"/>
        <v>830</v>
      </c>
      <c r="F33" s="98" t="str">
        <f t="shared" si="12"/>
        <v>CUB C/R 90° R8</v>
      </c>
      <c r="G33" s="1"/>
      <c r="I33" s="3">
        <f>B46</f>
        <v>2</v>
      </c>
      <c r="J33" s="4">
        <f>D46</f>
        <v>1900</v>
      </c>
      <c r="K33" s="4">
        <f>E46</f>
        <v>700</v>
      </c>
    </row>
    <row r="34" spans="1:11" ht="15.6" x14ac:dyDescent="0.3">
      <c r="A34" s="93"/>
      <c r="B34" s="16">
        <f t="shared" si="9"/>
        <v>2</v>
      </c>
      <c r="C34" s="16"/>
      <c r="D34" s="16">
        <f t="shared" si="10"/>
        <v>1940</v>
      </c>
      <c r="E34" s="16">
        <f t="shared" si="11"/>
        <v>730</v>
      </c>
      <c r="F34" s="98" t="str">
        <f t="shared" si="12"/>
        <v>CUB C/R 90° R8</v>
      </c>
      <c r="G34" s="1"/>
      <c r="I34" s="3">
        <f>B47</f>
        <v>2</v>
      </c>
      <c r="J34" s="4">
        <f>D47</f>
        <v>1900</v>
      </c>
      <c r="K34" s="4">
        <f>E47</f>
        <v>600</v>
      </c>
    </row>
    <row r="35" spans="1:11" ht="15.6" x14ac:dyDescent="0.3">
      <c r="A35" s="93"/>
      <c r="B35" s="16">
        <f t="shared" si="9"/>
        <v>1</v>
      </c>
      <c r="C35" s="16"/>
      <c r="D35" s="16">
        <f t="shared" si="10"/>
        <v>3240</v>
      </c>
      <c r="E35" s="16">
        <f t="shared" si="11"/>
        <v>730</v>
      </c>
      <c r="F35" s="98" t="str">
        <f t="shared" si="12"/>
        <v>CUB C/R 90° R8</v>
      </c>
      <c r="G35" s="1"/>
      <c r="I35" s="3">
        <f>B48</f>
        <v>1</v>
      </c>
      <c r="J35" s="4">
        <f>D48</f>
        <v>3200</v>
      </c>
      <c r="K35" s="4">
        <f>E48</f>
        <v>600</v>
      </c>
    </row>
    <row r="36" spans="1:11" ht="15.6" x14ac:dyDescent="0.3">
      <c r="A36" s="93"/>
      <c r="B36" s="16">
        <f t="shared" si="9"/>
        <v>2</v>
      </c>
      <c r="C36" s="16"/>
      <c r="D36" s="16">
        <f t="shared" si="10"/>
        <v>1990</v>
      </c>
      <c r="E36" s="16">
        <f t="shared" si="11"/>
        <v>830</v>
      </c>
      <c r="F36" s="98" t="str">
        <f t="shared" si="12"/>
        <v>CUB C/R 90° R8</v>
      </c>
      <c r="G36" s="1"/>
      <c r="I36" s="3">
        <f>B49</f>
        <v>2</v>
      </c>
      <c r="J36" s="4">
        <f>D49</f>
        <v>1950</v>
      </c>
      <c r="K36" s="4">
        <f>E49</f>
        <v>700</v>
      </c>
    </row>
    <row r="37" spans="1:11" ht="15.6" x14ac:dyDescent="0.3">
      <c r="A37" s="93"/>
      <c r="B37" s="132"/>
      <c r="C37" s="132"/>
      <c r="D37" s="132"/>
      <c r="E37" s="132"/>
      <c r="F37" s="133"/>
      <c r="G37" s="1"/>
      <c r="I37" s="3"/>
      <c r="J37" s="4"/>
      <c r="K37" s="4"/>
    </row>
    <row r="38" spans="1:11" ht="16.2" thickBot="1" x14ac:dyDescent="0.35">
      <c r="A38" s="52"/>
      <c r="B38" s="6"/>
      <c r="C38" s="6"/>
      <c r="D38" s="6"/>
      <c r="E38" s="6"/>
      <c r="F38" s="6"/>
      <c r="G38" s="1"/>
      <c r="I38" s="2"/>
      <c r="J38" s="2"/>
      <c r="K38" s="2"/>
    </row>
    <row r="39" spans="1:11" ht="16.2" thickBot="1" x14ac:dyDescent="0.35">
      <c r="A39" s="52"/>
      <c r="B39" s="22" t="s">
        <v>107</v>
      </c>
      <c r="C39" s="23"/>
      <c r="D39" s="23"/>
      <c r="E39" s="23"/>
      <c r="F39" s="24"/>
      <c r="G39" s="1"/>
      <c r="I39" s="2"/>
      <c r="J39" s="2"/>
      <c r="K39" s="2"/>
    </row>
    <row r="40" spans="1:11" ht="10.5" customHeight="1" x14ac:dyDescent="0.3">
      <c r="A40" s="1"/>
      <c r="B40" s="1"/>
      <c r="C40" s="1"/>
      <c r="D40" s="1"/>
      <c r="E40" s="1"/>
      <c r="F40" s="1"/>
      <c r="G40" s="1"/>
    </row>
    <row r="41" spans="1:11" ht="15.6" x14ac:dyDescent="0.3">
      <c r="A41" s="52" t="s">
        <v>9</v>
      </c>
      <c r="B41" s="85" t="s">
        <v>10</v>
      </c>
      <c r="C41" s="85" t="s">
        <v>110</v>
      </c>
      <c r="D41" s="85" t="s">
        <v>7</v>
      </c>
      <c r="E41" s="85" t="s">
        <v>8</v>
      </c>
      <c r="F41" s="85" t="s">
        <v>23</v>
      </c>
      <c r="G41" s="1"/>
    </row>
    <row r="42" spans="1:11" ht="15.6" x14ac:dyDescent="0.3">
      <c r="A42" s="93" t="s">
        <v>136</v>
      </c>
      <c r="B42" s="25">
        <f>'4637'!B21</f>
        <v>1</v>
      </c>
      <c r="C42" s="97" t="str">
        <f>'4637'!C21</f>
        <v>CUB C/R 90° R8</v>
      </c>
      <c r="D42" s="25">
        <f>'4637'!D21</f>
        <v>1700</v>
      </c>
      <c r="E42" s="25">
        <f>'4637'!E21</f>
        <v>670</v>
      </c>
      <c r="F42" s="25" t="str">
        <f>'4637'!F21</f>
        <v>VAINILLA 2109 BR</v>
      </c>
      <c r="G42" s="1"/>
    </row>
    <row r="43" spans="1:11" ht="15.6" x14ac:dyDescent="0.3">
      <c r="A43" s="93"/>
      <c r="B43" s="25">
        <f>'4637'!B22</f>
        <v>1</v>
      </c>
      <c r="C43" s="97" t="str">
        <f>'4637'!C22</f>
        <v>CUB C/R 90° R8</v>
      </c>
      <c r="D43" s="25">
        <f>'4637'!D22</f>
        <v>3600</v>
      </c>
      <c r="E43" s="25">
        <f>'4637'!E22</f>
        <v>670</v>
      </c>
      <c r="F43" s="25" t="str">
        <f>'4637'!F22</f>
        <v>VAINILLA 2109 BR</v>
      </c>
      <c r="G43" s="1"/>
    </row>
    <row r="44" spans="1:11" ht="15.6" x14ac:dyDescent="0.3">
      <c r="A44" s="93"/>
      <c r="B44" s="25">
        <f>'4637'!B23</f>
        <v>1</v>
      </c>
      <c r="C44" s="97" t="str">
        <f>'4637'!C23</f>
        <v>CUB C/R 90° R8</v>
      </c>
      <c r="D44" s="25">
        <f>'4637'!D23</f>
        <v>1500</v>
      </c>
      <c r="E44" s="25">
        <f>'4637'!E23</f>
        <v>700</v>
      </c>
      <c r="F44" s="25" t="str">
        <f>'4637'!F23</f>
        <v>VAINILLA 2109 BR</v>
      </c>
      <c r="G44" s="1"/>
    </row>
    <row r="45" spans="1:11" ht="15.6" x14ac:dyDescent="0.3">
      <c r="A45" s="93"/>
      <c r="B45" s="25">
        <f>'4637'!B24</f>
        <v>1</v>
      </c>
      <c r="C45" s="97" t="str">
        <f>'4637'!C24</f>
        <v>CUB C/R 90° R8</v>
      </c>
      <c r="D45" s="25">
        <f>'4637'!D24</f>
        <v>1500</v>
      </c>
      <c r="E45" s="25">
        <f>'4637'!E24</f>
        <v>700</v>
      </c>
      <c r="F45" s="25" t="str">
        <f>'4637'!F24</f>
        <v>VAINILLA 2109 BR</v>
      </c>
      <c r="G45" s="1"/>
    </row>
    <row r="46" spans="1:11" ht="15.6" x14ac:dyDescent="0.3">
      <c r="A46" s="93"/>
      <c r="B46" s="25">
        <f>'4637'!B25</f>
        <v>2</v>
      </c>
      <c r="C46" s="97" t="str">
        <f>'4637'!C25</f>
        <v>CUB C/R 90° R8</v>
      </c>
      <c r="D46" s="25">
        <f>'4637'!D25</f>
        <v>1900</v>
      </c>
      <c r="E46" s="25">
        <f>'4637'!E25</f>
        <v>700</v>
      </c>
      <c r="F46" s="25" t="str">
        <f>'4637'!F25</f>
        <v>VAINILLA 2109 BR</v>
      </c>
      <c r="G46" s="1"/>
    </row>
    <row r="47" spans="1:11" ht="15.6" x14ac:dyDescent="0.3">
      <c r="A47" s="93"/>
      <c r="B47" s="25">
        <f>'4637'!B26</f>
        <v>2</v>
      </c>
      <c r="C47" s="97" t="str">
        <f>'4637'!C26</f>
        <v>CUB C/R 90° R8</v>
      </c>
      <c r="D47" s="25">
        <f>'4637'!D26</f>
        <v>1900</v>
      </c>
      <c r="E47" s="25">
        <f>'4637'!E26</f>
        <v>600</v>
      </c>
      <c r="F47" s="25" t="str">
        <f>'4637'!F26</f>
        <v>VAINILLA 2109 BR</v>
      </c>
      <c r="G47" s="1"/>
    </row>
    <row r="48" spans="1:11" ht="15.6" x14ac:dyDescent="0.3">
      <c r="A48" s="93"/>
      <c r="B48" s="25">
        <f>'4637'!B27</f>
        <v>1</v>
      </c>
      <c r="C48" s="97" t="str">
        <f>'4637'!C27</f>
        <v>CUB C/R 90° R8</v>
      </c>
      <c r="D48" s="25">
        <f>'4637'!D27</f>
        <v>3200</v>
      </c>
      <c r="E48" s="25">
        <f>'4637'!E27</f>
        <v>600</v>
      </c>
      <c r="F48" s="25" t="str">
        <f>'4637'!F27</f>
        <v>VAINILLA 2109 BR</v>
      </c>
      <c r="G48" s="1"/>
    </row>
    <row r="49" spans="1:7" ht="15.6" x14ac:dyDescent="0.3">
      <c r="A49" s="93"/>
      <c r="B49" s="25">
        <f>'4637'!B28</f>
        <v>2</v>
      </c>
      <c r="C49" s="97" t="str">
        <f>'4637'!C28</f>
        <v>CUB C/R 90° R8</v>
      </c>
      <c r="D49" s="25">
        <f>'4637'!D28</f>
        <v>1950</v>
      </c>
      <c r="E49" s="25">
        <f>'4637'!E28</f>
        <v>700</v>
      </c>
      <c r="F49" s="25" t="str">
        <f>'4637'!F28</f>
        <v>VAINILLA 2109 BR</v>
      </c>
      <c r="G49" s="1"/>
    </row>
    <row r="50" spans="1:7" ht="15.6" x14ac:dyDescent="0.3">
      <c r="A50" s="93"/>
      <c r="B50" s="132"/>
      <c r="C50" s="133"/>
      <c r="D50" s="132"/>
      <c r="E50" s="132"/>
      <c r="F50" s="132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40" t="s">
        <v>27</v>
      </c>
      <c r="D60" s="14">
        <f>'4637'!G8</f>
        <v>7281</v>
      </c>
      <c r="E60" s="1"/>
      <c r="F60" s="1"/>
      <c r="G60" s="1"/>
    </row>
    <row r="61" spans="1:7" ht="17.25" customHeight="1" x14ac:dyDescent="0.3">
      <c r="A61" s="1"/>
      <c r="B61" s="1"/>
      <c r="C61" s="41" t="s">
        <v>67</v>
      </c>
      <c r="D61" s="42" t="str">
        <f>'4637'!C10</f>
        <v xml:space="preserve">SERVICIOS REMAX </v>
      </c>
      <c r="E61" s="43"/>
      <c r="F61" s="43"/>
      <c r="G61" s="1"/>
    </row>
    <row r="62" spans="1:7" ht="4.5" customHeight="1" x14ac:dyDescent="0.3">
      <c r="A62" s="1"/>
      <c r="B62" s="1"/>
      <c r="C62" s="44"/>
      <c r="D62" s="45"/>
      <c r="E62" s="1"/>
      <c r="F62" s="1"/>
      <c r="G62" s="1"/>
    </row>
    <row r="63" spans="1:7" ht="15.6" x14ac:dyDescent="0.3">
      <c r="A63" s="1"/>
      <c r="B63" s="1"/>
      <c r="C63" s="46" t="str">
        <f>'4637'!F11</f>
        <v>FECHA LIMITE :</v>
      </c>
      <c r="D63" s="13">
        <f>'4637'!G11</f>
        <v>45910</v>
      </c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10" t="s">
        <v>68</v>
      </c>
      <c r="B66" s="110"/>
      <c r="C66" s="110"/>
      <c r="D66" s="110"/>
      <c r="E66" s="110"/>
      <c r="F66" s="110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75" customHeight="1" x14ac:dyDescent="0.3">
      <c r="A68" s="1"/>
      <c r="B68" s="111" t="s">
        <v>69</v>
      </c>
      <c r="C68" s="112"/>
      <c r="D68" s="113"/>
      <c r="E68" s="113"/>
      <c r="F68" s="114"/>
      <c r="G68" s="1"/>
    </row>
    <row r="69" spans="1:7" s="15" customFormat="1" ht="12.75" customHeight="1" x14ac:dyDescent="0.3">
      <c r="A69" s="1"/>
      <c r="B69" s="36" t="s">
        <v>10</v>
      </c>
      <c r="C69" s="47" t="s">
        <v>11</v>
      </c>
      <c r="D69" s="48" t="s">
        <v>7</v>
      </c>
      <c r="E69" s="48" t="s">
        <v>8</v>
      </c>
      <c r="F69" s="49" t="s">
        <v>12</v>
      </c>
      <c r="G69" s="1"/>
    </row>
    <row r="70" spans="1:7" s="15" customFormat="1" ht="15" customHeight="1" x14ac:dyDescent="0.3">
      <c r="A70" s="93" t="s">
        <v>136</v>
      </c>
      <c r="B70" s="38">
        <f>'4637'!B21</f>
        <v>1</v>
      </c>
      <c r="C70" s="96" t="str">
        <f>'4637'!C21</f>
        <v>CUB C/R 90° R8</v>
      </c>
      <c r="D70" s="39">
        <f>'4637'!D21</f>
        <v>1700</v>
      </c>
      <c r="E70" s="39">
        <f>'4637'!E21</f>
        <v>670</v>
      </c>
      <c r="F70" s="38" t="str">
        <f>'4637'!F21</f>
        <v>VAINILLA 2109 BR</v>
      </c>
      <c r="G70" s="1"/>
    </row>
    <row r="71" spans="1:7" s="15" customFormat="1" ht="15" customHeight="1" x14ac:dyDescent="0.3">
      <c r="A71" s="93"/>
      <c r="B71" s="38">
        <f>'4637'!B22</f>
        <v>1</v>
      </c>
      <c r="C71" s="96" t="str">
        <f>'4637'!C22</f>
        <v>CUB C/R 90° R8</v>
      </c>
      <c r="D71" s="39">
        <f>'4637'!D22</f>
        <v>3600</v>
      </c>
      <c r="E71" s="39">
        <f>'4637'!E22</f>
        <v>670</v>
      </c>
      <c r="F71" s="38" t="str">
        <f>'4637'!F22</f>
        <v>VAINILLA 2109 BR</v>
      </c>
      <c r="G71" s="1"/>
    </row>
    <row r="72" spans="1:7" s="15" customFormat="1" ht="15" customHeight="1" x14ac:dyDescent="0.3">
      <c r="A72" s="93"/>
      <c r="B72" s="38">
        <f>'4637'!B23</f>
        <v>1</v>
      </c>
      <c r="C72" s="96" t="str">
        <f>'4637'!C23</f>
        <v>CUB C/R 90° R8</v>
      </c>
      <c r="D72" s="39">
        <f>'4637'!D23</f>
        <v>1500</v>
      </c>
      <c r="E72" s="39">
        <f>'4637'!E23</f>
        <v>700</v>
      </c>
      <c r="F72" s="38" t="str">
        <f>'4637'!F23</f>
        <v>VAINILLA 2109 BR</v>
      </c>
      <c r="G72" s="1"/>
    </row>
    <row r="73" spans="1:7" s="15" customFormat="1" ht="15" customHeight="1" x14ac:dyDescent="0.3">
      <c r="A73" s="93"/>
      <c r="B73" s="38">
        <f>'4637'!B24</f>
        <v>1</v>
      </c>
      <c r="C73" s="96" t="str">
        <f>'4637'!C24</f>
        <v>CUB C/R 90° R8</v>
      </c>
      <c r="D73" s="39">
        <f>'4637'!D24</f>
        <v>1500</v>
      </c>
      <c r="E73" s="39">
        <f>'4637'!E24</f>
        <v>700</v>
      </c>
      <c r="F73" s="38" t="str">
        <f>'4637'!F24</f>
        <v>VAINILLA 2109 BR</v>
      </c>
      <c r="G73" s="1"/>
    </row>
    <row r="74" spans="1:7" s="15" customFormat="1" ht="15" customHeight="1" x14ac:dyDescent="0.3">
      <c r="A74" s="93"/>
      <c r="B74" s="38">
        <f>'4637'!B25</f>
        <v>2</v>
      </c>
      <c r="C74" s="96" t="str">
        <f>'4637'!C25</f>
        <v>CUB C/R 90° R8</v>
      </c>
      <c r="D74" s="39">
        <f>'4637'!D25</f>
        <v>1900</v>
      </c>
      <c r="E74" s="39">
        <f>'4637'!E25</f>
        <v>700</v>
      </c>
      <c r="F74" s="38" t="str">
        <f>'4637'!F25</f>
        <v>VAINILLA 2109 BR</v>
      </c>
      <c r="G74" s="1"/>
    </row>
    <row r="75" spans="1:7" s="15" customFormat="1" ht="15" customHeight="1" x14ac:dyDescent="0.3">
      <c r="A75" s="93"/>
      <c r="B75" s="38">
        <f>'4637'!B26</f>
        <v>2</v>
      </c>
      <c r="C75" s="96" t="str">
        <f>'4637'!C26</f>
        <v>CUB C/R 90° R8</v>
      </c>
      <c r="D75" s="39">
        <f>'4637'!D26</f>
        <v>1900</v>
      </c>
      <c r="E75" s="39">
        <f>'4637'!E26</f>
        <v>600</v>
      </c>
      <c r="F75" s="38" t="str">
        <f>'4637'!F26</f>
        <v>VAINILLA 2109 BR</v>
      </c>
      <c r="G75" s="1"/>
    </row>
    <row r="76" spans="1:7" s="15" customFormat="1" ht="15" customHeight="1" x14ac:dyDescent="0.3">
      <c r="A76" s="93"/>
      <c r="B76" s="38">
        <f>'4637'!B27</f>
        <v>1</v>
      </c>
      <c r="C76" s="96" t="str">
        <f>'4637'!C27</f>
        <v>CUB C/R 90° R8</v>
      </c>
      <c r="D76" s="39">
        <f>'4637'!D27</f>
        <v>3200</v>
      </c>
      <c r="E76" s="39">
        <f>'4637'!E27</f>
        <v>600</v>
      </c>
      <c r="F76" s="38" t="str">
        <f>'4637'!F27</f>
        <v>VAINILLA 2109 BR</v>
      </c>
      <c r="G76" s="1"/>
    </row>
    <row r="77" spans="1:7" s="15" customFormat="1" ht="15" customHeight="1" x14ac:dyDescent="0.3">
      <c r="A77" s="93"/>
      <c r="B77" s="38">
        <f>'4637'!B28</f>
        <v>2</v>
      </c>
      <c r="C77" s="96" t="str">
        <f>'4637'!C28</f>
        <v>CUB C/R 90° R8</v>
      </c>
      <c r="D77" s="39">
        <f>'4637'!D28</f>
        <v>1950</v>
      </c>
      <c r="E77" s="39">
        <f>'4637'!E28</f>
        <v>700</v>
      </c>
      <c r="F77" s="38" t="str">
        <f>'4637'!F28</f>
        <v>VAINILLA 2109 BR</v>
      </c>
      <c r="G77" s="1"/>
    </row>
    <row r="78" spans="1:7" s="15" customFormat="1" ht="15" customHeight="1" x14ac:dyDescent="0.3">
      <c r="A78" s="93"/>
      <c r="B78" s="128"/>
      <c r="C78" s="129"/>
      <c r="D78" s="128"/>
      <c r="E78" s="128"/>
      <c r="F78" s="128"/>
      <c r="G78" s="1"/>
    </row>
    <row r="79" spans="1:7" s="15" customFormat="1" ht="15" customHeight="1" x14ac:dyDescent="0.3">
      <c r="A79" s="50"/>
      <c r="B79" s="52"/>
      <c r="C79" s="52"/>
      <c r="D79" s="52"/>
      <c r="E79" s="52"/>
      <c r="F79" s="52"/>
      <c r="G79" s="1"/>
    </row>
    <row r="80" spans="1:7" ht="15.6" x14ac:dyDescent="0.3">
      <c r="A80" s="6"/>
      <c r="B80" s="6"/>
      <c r="C80" s="1"/>
      <c r="D80" s="6"/>
      <c r="E80" s="6"/>
      <c r="F80" s="44"/>
      <c r="G80" s="1"/>
    </row>
    <row r="81" spans="1:7" ht="15.6" x14ac:dyDescent="0.3">
      <c r="A81" s="6"/>
      <c r="B81" s="6"/>
      <c r="C81" s="1"/>
      <c r="D81" s="6"/>
      <c r="E81" s="6"/>
      <c r="F81" s="6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" customHeight="1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6"/>
      <c r="B87" s="51"/>
      <c r="C87" s="1"/>
      <c r="D87" s="1"/>
      <c r="E87" s="1"/>
      <c r="F87" s="1"/>
      <c r="G87" s="1"/>
    </row>
    <row r="88" spans="1:7" ht="15.6" x14ac:dyDescent="0.3">
      <c r="A88" s="1"/>
      <c r="B88" s="1"/>
      <c r="C88" s="1"/>
      <c r="D88" s="1"/>
      <c r="E88" s="1"/>
      <c r="F88" s="1"/>
      <c r="G88" s="1"/>
    </row>
    <row r="89" spans="1:7" x14ac:dyDescent="0.3">
      <c r="B89" s="20"/>
      <c r="C89" s="20"/>
      <c r="D89" s="20"/>
      <c r="E89" s="20"/>
      <c r="F89" s="20"/>
    </row>
    <row r="90" spans="1:7" x14ac:dyDescent="0.3">
      <c r="B90" s="20"/>
      <c r="C90" s="20"/>
      <c r="E90" s="20"/>
      <c r="F90" s="20"/>
    </row>
  </sheetData>
  <mergeCells count="6">
    <mergeCell ref="M3:N3"/>
    <mergeCell ref="A25:F25"/>
    <mergeCell ref="A10:F10"/>
    <mergeCell ref="A66:F66"/>
    <mergeCell ref="B68:F6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2025-08-18T18:57:14Z</cp:lastPrinted>
  <dcterms:created xsi:type="dcterms:W3CDTF">2013-03-19T12:54:14Z</dcterms:created>
  <dcterms:modified xsi:type="dcterms:W3CDTF">2025-09-04T13:17:50Z</dcterms:modified>
</cp:coreProperties>
</file>