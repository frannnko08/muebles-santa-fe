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9 SEPTIEMBRE 2025\"/>
    </mc:Choice>
  </mc:AlternateContent>
  <xr:revisionPtr revIDLastSave="0" documentId="13_ncr:1_{DDF58402-F3DA-4B16-89AB-17D2CA78CE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CUBIERTA!$A$38:$F$62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4" l="1"/>
  <c r="E15" i="3"/>
  <c r="B15" i="3"/>
  <c r="D15" i="3"/>
  <c r="H21" i="4"/>
  <c r="B29" i="3"/>
  <c r="I23" i="3" s="1"/>
  <c r="C29" i="3"/>
  <c r="F14" i="3" s="1"/>
  <c r="D29" i="3"/>
  <c r="J14" i="3" s="1"/>
  <c r="D14" i="3" s="1"/>
  <c r="E29" i="3"/>
  <c r="K23" i="3" s="1"/>
  <c r="E23" i="3" s="1"/>
  <c r="F29" i="3"/>
  <c r="B50" i="3"/>
  <c r="C50" i="3"/>
  <c r="D50" i="3"/>
  <c r="E50" i="3"/>
  <c r="F50" i="3"/>
  <c r="J23" i="3" l="1"/>
  <c r="D23" i="3" s="1"/>
  <c r="K14" i="3"/>
  <c r="E14" i="3" s="1"/>
  <c r="B23" i="3"/>
  <c r="I14" i="3"/>
  <c r="B14" i="3" s="1"/>
  <c r="F23" i="3"/>
  <c r="H24" i="4"/>
  <c r="H25" i="4" l="1"/>
  <c r="H26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<sst xmlns="http://schemas.openxmlformats.org/spreadsheetml/2006/main" count="247" uniqueCount="145">
  <si>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</si>
  <si>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</si>
  <si>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</si>
  <si>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</si>
  <si>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</si>
  <si>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</si>
  <si>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</si>
  <si>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</si>
  <si>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</si>
  <si>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</si>
  <si>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</si>
  <si>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</si>
  <si>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</si>
  <si>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</si>
  <si>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</si>
  <si>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</si>
  <si>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</si>
  <si>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</si>
  <si>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</si>
  <si>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</si>
  <si>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</si>
  <si>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</si>
  <si>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</si>
  <si>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</si>
  <si>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</si>
  <si>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</si>
  <si>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</si>
  <si>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</si>
  <si>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</si>
  <si>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</si>
  <si>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</si>
  <si>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</si>
  <si>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</si>
  <si>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</si>
  <si>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</si>
  <si>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</si>
  <si>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</si>
  <si>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</si>
  <si>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</si>
  <si>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</si>
  <si>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</si>
  <si>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</si>
  <si>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</si>
  <si>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</si>
  <si>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</si>
  <si>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</si>
  <si>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</si>
  <si>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</si>
  <si>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</si>
  <si>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</si>
  <si>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</si>
  <si>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</si>
  <si>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</si>
  <si>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</si>
  <si>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</si>
  <si>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</si>
  <si>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</si>
  <si>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</si>
  <si>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</si>
  <si>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</si>
  <si>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</si>
  <si>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</si>
  <si>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</si>
  <si>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</si>
  <si>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</si>
  <si>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</si>
  <si>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</si>
  <si>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</si>
  <si>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</si>
  <si>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</si>
  <si>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</si>
  <si>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</si>
  <si>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</si>
  <si>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</si>
  <si>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</si>
  <si>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</si>
  <si>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</si>
  <si>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</si>
  <si>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</si>
  <si>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</si>
  <si>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</si>
  <si>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</si>
  <si>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</si>
  <si>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</si>
  <si>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</si>
  <si>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</si>
  <si>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</si>
  <si>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</si>
  <si>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</si>
  <si>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</si>
  <si>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</si>
  <si>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</si>
  <si>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</si>
  <si>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</si>
  <si>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</si>
  <si>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</si>
  <si>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</si>
  <si>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</si>
  <si>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</si>
  <si>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</si>
  <si>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</si>
  <si>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</si>
  <si>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</si>
  <si>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</si>
  <si>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</si>
  <si>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</si>
  <si>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</si>
  <si>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</si>
  <si>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</si>
  <si>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</si>
  <si>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</si>
  <si>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</si>
  <si>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</si>
  <si>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</si>
  <si>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</si>
  <si>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</si>
  <si>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</si>
  <si>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</si>
  <si>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</si>
  <si>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</si>
  <si>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</si>
  <si>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</si>
  <si>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</si>
  <si>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</si>
  <si>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</si>
  <si>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</si>
  <si>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</si>
  <si>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</si>
  <si>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</si>
  <si>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</si>
  <si>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</si>
  <si>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</si>
  <si>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</si>
  <si>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CONTACTO:</t>
  </si>
  <si>
    <t>MDF18MM</t>
  </si>
  <si>
    <t>CONTADO</t>
  </si>
  <si>
    <t>PUERTO MONTT</t>
  </si>
  <si>
    <t>MARISA MUEBLES SPA</t>
  </si>
  <si>
    <t>77.873.294-7</t>
  </si>
  <si>
    <t>EDUARDO CABRERA</t>
  </si>
  <si>
    <t>569 7664 0746</t>
  </si>
  <si>
    <t>BLANCO 2114 F6 MT</t>
  </si>
  <si>
    <t>N° 11260</t>
  </si>
  <si>
    <t>FALDON</t>
  </si>
  <si>
    <t>CUB MESA 2 LADOS R12 F/5CMS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</si>
</sst>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3" borderId="0" xfId="0" applyFont="1" applyFill="1"/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8" fillId="3" borderId="0" xfId="0" quotePrefix="1" applyFont="1" applyFill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UN LADO A LA MEDIDA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UN LADO A LA MEDIDA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11" workbookViewId="0">
      <selection activeCell="J27" sqref="J2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7286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137</v>
      </c>
      <c r="D10" s="55"/>
      <c r="E10" s="55"/>
      <c r="F10" s="56" t="s">
        <v>28</v>
      </c>
      <c r="G10" s="57">
        <v>45916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138</v>
      </c>
      <c r="D11" s="60"/>
      <c r="E11" s="60"/>
      <c r="F11" s="60" t="s">
        <v>124</v>
      </c>
      <c r="G11" s="61">
        <v>45933</v>
      </c>
      <c r="H11" s="62"/>
      <c r="I11" s="1"/>
    </row>
    <row r="12" spans="1:17" ht="15.6" x14ac:dyDescent="0.3">
      <c r="A12" s="1"/>
      <c r="B12" s="63" t="s">
        <v>132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s="108" t="s">
        <v>139</v>
      </c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11" t="s">
        <v>140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136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200</v>
      </c>
      <c r="C21" s="105" t="s">
        <v>144</v>
      </c>
      <c r="D21" s="106">
        <v>1500</v>
      </c>
      <c r="E21" s="106">
        <v>350</v>
      </c>
      <c r="F21" s="105" t="s">
        <v>141</v>
      </c>
      <c r="G21" s="109">
        <v>24136</v>
      </c>
      <c r="H21" s="110">
        <f t="shared" ref="H21" si="0">G21*B21</f>
        <v>4827200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8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4827200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917168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5744368</v>
      </c>
      <c r="I26" s="1"/>
      <c r="J26" s="33">
        <f>H26/2</f>
        <v>2872184</v>
      </c>
    </row>
    <row r="27" spans="1:16" ht="15.6" x14ac:dyDescent="0.3">
      <c r="A27" s="1"/>
      <c r="B27" s="1"/>
      <c r="C27" s="1"/>
      <c r="D27" s="1"/>
      <c r="E27" s="1"/>
      <c r="F27" s="1"/>
      <c r="G27" s="52"/>
      <c r="H27" s="100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opLeftCell="A26" zoomScaleNormal="100" workbookViewId="0">
      <selection activeCell="A38" sqref="A38:F6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7286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MARISA MUEBLES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45933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200</v>
      </c>
      <c r="C14" s="25"/>
      <c r="D14" s="25">
        <f t="shared" ref="D14" si="1">J14+D$13</f>
        <v>1580</v>
      </c>
      <c r="E14" s="35">
        <f>K14+E13</f>
        <v>350</v>
      </c>
      <c r="F14" s="103" t="str">
        <f>C29</f>
        <v>CUB MESA 2 LADOS R12 F/5CMS</v>
      </c>
      <c r="G14" s="1"/>
      <c r="I14" s="3">
        <f>I23</f>
        <v>200</v>
      </c>
      <c r="J14" s="4">
        <f>D29</f>
        <v>1500</v>
      </c>
      <c r="K14" s="4">
        <f>E29</f>
        <v>350</v>
      </c>
    </row>
    <row r="15" spans="1:14" ht="15.6" x14ac:dyDescent="0.3">
      <c r="A15" s="96"/>
      <c r="B15" s="25">
        <f t="shared" ref="B15" si="2">I15</f>
        <v>400</v>
      </c>
      <c r="C15" s="25"/>
      <c r="D15" s="25">
        <f t="shared" ref="D15" si="3">J15+D$13</f>
        <v>1430</v>
      </c>
      <c r="E15" s="35">
        <f>K15</f>
        <v>32</v>
      </c>
      <c r="F15" s="103" t="s">
        <v>143</v>
      </c>
      <c r="G15" s="1"/>
      <c r="I15" s="3">
        <v>400</v>
      </c>
      <c r="J15" s="4">
        <v>1350</v>
      </c>
      <c r="K15" s="4">
        <v>32</v>
      </c>
    </row>
    <row r="16" spans="1:14" ht="15.6" x14ac:dyDescent="0.3">
      <c r="A16" s="96"/>
      <c r="B16" s="6"/>
      <c r="C16" s="6"/>
      <c r="D16" s="6"/>
      <c r="E16" s="89"/>
      <c r="F16" s="107"/>
      <c r="G16" s="1"/>
      <c r="I16" s="90"/>
      <c r="J16" s="2"/>
      <c r="K16" s="2"/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0" t="s">
        <v>14</v>
      </c>
      <c r="B19" s="120"/>
      <c r="C19" s="120"/>
      <c r="D19" s="120"/>
      <c r="E19" s="120"/>
      <c r="F19" s="120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150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6" t="s">
        <v>130</v>
      </c>
      <c r="B23" s="16">
        <f t="shared" ref="B23" si="4">I23</f>
        <v>200</v>
      </c>
      <c r="C23" s="16"/>
      <c r="D23" s="16">
        <f>J23+D$22</f>
        <v>1540</v>
      </c>
      <c r="E23" s="16">
        <f>K23+E22</f>
        <v>500</v>
      </c>
      <c r="F23" s="104" t="str">
        <f>C29</f>
        <v>CUB MESA 2 LADOS R12 F/5CMS</v>
      </c>
      <c r="G23" s="1"/>
      <c r="I23" s="3">
        <f>B29</f>
        <v>200</v>
      </c>
      <c r="J23" s="4">
        <f t="shared" ref="J23:K23" si="5">D29</f>
        <v>1500</v>
      </c>
      <c r="K23" s="4">
        <f t="shared" si="5"/>
        <v>350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134</v>
      </c>
      <c r="B29" s="25">
        <f>'4637'!B21</f>
        <v>200</v>
      </c>
      <c r="C29" s="103" t="str">
        <f>'4637'!C21</f>
        <v>CUB MESA 2 LADOS R12 F/5CMS</v>
      </c>
      <c r="D29" s="25">
        <f>'4637'!D21</f>
        <v>1500</v>
      </c>
      <c r="E29" s="25">
        <f>'4637'!E21</f>
        <v>350</v>
      </c>
      <c r="F29" s="25" t="str">
        <f>'4637'!F21</f>
        <v>BLANCO 2114 F6 MT</v>
      </c>
      <c r="G29" s="1"/>
    </row>
    <row r="30" spans="1:11" ht="15.6" x14ac:dyDescent="0.3">
      <c r="A30" s="52"/>
      <c r="B30" s="6"/>
      <c r="C30" s="107"/>
      <c r="D30" s="6"/>
      <c r="E30" s="6"/>
      <c r="F30" s="6"/>
      <c r="G30" s="1"/>
    </row>
    <row r="31" spans="1:11" ht="15.6" x14ac:dyDescent="0.3">
      <c r="A31" s="52"/>
      <c r="B31" s="6"/>
      <c r="C31" s="107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7286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MARISA MUEBLES SPA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45933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0" t="s">
        <v>68</v>
      </c>
      <c r="B46" s="120"/>
      <c r="C46" s="120"/>
      <c r="D46" s="120"/>
      <c r="E46" s="120"/>
      <c r="F46" s="120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1" t="s">
        <v>69</v>
      </c>
      <c r="C48" s="122"/>
      <c r="D48" s="123"/>
      <c r="E48" s="123"/>
      <c r="F48" s="124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6"/>
      <c r="B50" s="38">
        <f>'4637'!B21</f>
        <v>200</v>
      </c>
      <c r="C50" s="102" t="str">
        <f>'4637'!C21</f>
        <v>CUB MESA 2 LADOS R12 F/5CMS</v>
      </c>
      <c r="D50" s="39">
        <f>'4637'!D21</f>
        <v>1500</v>
      </c>
      <c r="E50" s="39">
        <f>'4637'!E21</f>
        <v>350</v>
      </c>
      <c r="F50" s="38" t="str">
        <f>'4637'!F21</f>
        <v>BLANCO 2114 F6 MT</v>
      </c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9:F19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2025-09-30T13:24:20Z</cp:lastPrinted>
  <dcterms:created xsi:type="dcterms:W3CDTF">2013-03-19T12:54:14Z</dcterms:created>
  <dcterms:modified xsi:type="dcterms:W3CDTF">2025-09-30T13:26:15Z</dcterms:modified>
</cp:coreProperties>
</file>