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9 SEPTIEMBRE 2025\"/>
    </mc:Choice>
  </mc:AlternateContent>
  <xr:revisionPtr revIDLastSave="0" documentId="13_ncr:1_{AAEDBA68-C0F2-4B61-8153-808232E0FC3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B51" i="3"/>
  <c r="C51" i="3"/>
  <c r="D51" i="3"/>
  <c r="E51" i="3"/>
  <c r="F51" i="3"/>
  <c r="I23" i="3"/>
  <c r="J23" i="3"/>
  <c r="K23" i="3"/>
  <c r="I15" i="3"/>
  <c r="J15" i="3"/>
  <c r="D15" i="3" s="1"/>
  <c r="K15" i="3"/>
  <c r="F15" i="3"/>
  <c r="B23" i="3"/>
  <c r="F23" i="3"/>
  <c r="B30" i="3"/>
  <c r="C30" i="3"/>
  <c r="D30" i="3"/>
  <c r="E30" i="3"/>
  <c r="F30" i="3"/>
  <c r="H21" i="4"/>
  <c r="C50" i="3"/>
  <c r="F50" i="3"/>
  <c r="E50" i="3"/>
  <c r="D50" i="3"/>
  <c r="B50" i="3"/>
  <c r="B29" i="3"/>
  <c r="I22" i="3" s="1"/>
  <c r="B22" i="3" s="1"/>
  <c r="C29" i="3"/>
  <c r="F22" i="3" s="1"/>
  <c r="F14" i="3" s="1"/>
  <c r="D29" i="3"/>
  <c r="J22" i="3" s="1"/>
  <c r="E29" i="3"/>
  <c r="K22" i="3" s="1"/>
  <c r="K14" i="3" s="1"/>
  <c r="F29" i="3"/>
  <c r="H20" i="4"/>
  <c r="E22" i="3" l="1"/>
  <c r="E23" i="3" s="1"/>
  <c r="I14" i="3"/>
  <c r="J14" i="3"/>
  <c r="D14" i="3" s="1"/>
  <c r="H24" i="4" l="1"/>
  <c r="N5" i="3" l="1"/>
  <c r="M5" i="3"/>
  <c r="L5" i="3"/>
  <c r="K5" i="3"/>
  <c r="H25" i="4"/>
  <c r="H26" i="4" s="1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<sst xmlns="http://schemas.openxmlformats.org/spreadsheetml/2006/main" count="248" uniqueCount="142">
  <si>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</si>
  <si>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</si>
  <si>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</si>
  <si>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</si>
  <si>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</si>
  <si>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</si>
  <si>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</si>
  <si>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</si>
  <si>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</si>
  <si>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</si>
  <si>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</si>
  <si>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</si>
  <si>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</si>
  <si>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</si>
  <si>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</si>
  <si>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</si>
  <si>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</si>
  <si>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</si>
  <si>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</si>
  <si>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</si>
  <si>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</si>
  <si>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</si>
  <si>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</si>
  <si>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</si>
  <si>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</si>
  <si>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</si>
  <si>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</si>
  <si>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</si>
  <si>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</si>
  <si>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</si>
  <si>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</si>
  <si>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</si>
  <si>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</si>
  <si>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</si>
  <si>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</si>
  <si>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</si>
  <si>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</si>
  <si>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</si>
  <si>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</si>
  <si>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</si>
  <si>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</si>
  <si>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</si>
  <si>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</si>
  <si>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</si>
  <si>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</si>
  <si>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</si>
  <si>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</si>
  <si>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</si>
  <si>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</si>
  <si>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</si>
  <si>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</si>
  <si>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</si>
  <si>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</si>
  <si>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</si>
  <si>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</si>
  <si>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</si>
  <si>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</si>
  <si>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</si>
  <si>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</si>
  <si>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</si>
  <si>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</si>
  <si>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</si>
  <si>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</si>
  <si>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</si>
  <si>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</si>
  <si>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</si>
  <si>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</si>
  <si>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</si>
  <si>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</si>
  <si>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</si>
  <si>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</si>
  <si>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</si>
  <si>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</si>
  <si>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</si>
  <si>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</si>
  <si>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</si>
  <si>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</si>
  <si>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</si>
  <si>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</si>
  <si>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</si>
  <si>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</si>
  <si>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</si>
  <si>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</si>
  <si>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</si>
  <si>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</si>
  <si>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</si>
  <si>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</si>
  <si>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</si>
  <si>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</si>
  <si>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</si>
  <si>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</si>
  <si>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</si>
  <si>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</si>
  <si>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</si>
  <si>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</si>
  <si>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</si>
  <si>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</si>
  <si>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</si>
  <si>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</si>
  <si>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</si>
  <si>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</si>
  <si>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</si>
  <si>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</si>
  <si>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</si>
  <si>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</si>
  <si>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</si>
  <si>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</si>
  <si>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</si>
  <si>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</si>
  <si>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</si>
  <si>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</si>
  <si>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</si>
  <si>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</si>
  <si>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</si>
  <si>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</si>
  <si>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</si>
  <si>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</si>
  <si>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</si>
  <si>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</si>
  <si>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</si>
  <si>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</si>
  <si>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</si>
  <si>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</si>
  <si>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</si>
  <si>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</si>
  <si>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</si>
  <si>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</si>
  <si>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</si>
  <si>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</si>
  <si>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</si>
  <si>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</si>
  <si>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</si>
  <si>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</si>
  <si>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</si>
  <si>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</si>
  <si>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</si>
  <si>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MELAMIL 18MM</t>
  </si>
  <si>
    <t>VER DESARROLLO</t>
  </si>
  <si>
    <t>+56967691970</t>
  </si>
  <si>
    <t>MDF18MM</t>
  </si>
  <si>
    <t>DIEGO LOBOS</t>
  </si>
  <si>
    <t>BLANCO 22191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</si>
</sst>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0" fillId="0" borderId="0" xfId="2" quotePrefix="1" applyFont="1" applyFill="1" applyBorder="1"/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32" fillId="0" borderId="11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166" fontId="3" fillId="0" borderId="28" xfId="1" applyNumberFormat="1" applyFont="1" applyFill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166" fontId="3" fillId="0" borderId="3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PUERTAS SE ENTREGAN CORTADAS A LA MEDIDA Y ENCHAPADAS 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180975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180975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180975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180975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180975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180975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SE ENTREGAN CORTADAS A LA MEDIDA Y ENCHAPADAS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54</xdr:row>
      <xdr:rowOff>175260</xdr:rowOff>
    </xdr:from>
    <xdr:to>
      <xdr:col>5</xdr:col>
      <xdr:colOff>1737360</xdr:colOff>
      <xdr:row>58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</a:t>
          </a:r>
          <a:r>
            <a:rPr lang="es-CL" sz="1050" b="1" i="1" baseline="0"/>
            <a:t>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SE ENTREGAN CORTADAS A LA MEDIDA Y ENCHAPADAS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37</xdr:row>
      <xdr:rowOff>99060</xdr:rowOff>
    </xdr:from>
    <xdr:to>
      <xdr:col>1</xdr:col>
      <xdr:colOff>929398</xdr:colOff>
      <xdr:row>44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opLeftCell="A2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7278</v>
      </c>
    </row>
    <row r="9" spans="2:16" ht="15" thickBot="1" x14ac:dyDescent="0.35"/>
    <row r="10" spans="2:16" ht="16.2" thickBot="1" x14ac:dyDescent="0.35">
      <c r="B10" s="14" t="s">
        <v>7</v>
      </c>
      <c r="C10" s="110" t="s">
        <v>140</v>
      </c>
      <c r="D10" s="15"/>
      <c r="E10" s="15"/>
      <c r="F10" s="16" t="s">
        <v>31</v>
      </c>
      <c r="G10" s="17">
        <v>45902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9"/>
      <c r="D11" s="20"/>
      <c r="E11" s="20"/>
      <c r="F11" s="20" t="s">
        <v>131</v>
      </c>
      <c r="G11" s="104">
        <v>45905</v>
      </c>
      <c r="H11" s="21"/>
    </row>
    <row r="12" spans="2:16" x14ac:dyDescent="0.3">
      <c r="B12" s="92" t="s">
        <v>115</v>
      </c>
      <c r="C12" s="119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 t="s">
        <v>138</v>
      </c>
      <c r="D13" s="25"/>
      <c r="E13" s="20"/>
      <c r="F13" s="20" t="s">
        <v>32</v>
      </c>
      <c r="G13" s="20"/>
      <c r="H13" s="21"/>
    </row>
    <row r="14" spans="2:16" x14ac:dyDescent="0.3">
      <c r="B14" s="92" t="s">
        <v>1</v>
      </c>
      <c r="C14" s="111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1" t="s">
        <v>21</v>
      </c>
      <c r="G15" s="121"/>
      <c r="H15" s="122"/>
    </row>
    <row r="17" spans="2:15" ht="15" thickBot="1" x14ac:dyDescent="0.35"/>
    <row r="18" spans="2:15" ht="15" thickBot="1" x14ac:dyDescent="0.35">
      <c r="B18" s="144" t="s">
        <v>22</v>
      </c>
      <c r="C18" s="123"/>
      <c r="D18" s="123"/>
      <c r="E18" s="123"/>
      <c r="F18" s="123"/>
      <c r="G18" s="123"/>
      <c r="H18" s="124"/>
    </row>
    <row r="19" spans="2:15" ht="15" thickBot="1" x14ac:dyDescent="0.35">
      <c r="B19" s="145" t="s">
        <v>23</v>
      </c>
      <c r="C19" s="146" t="s">
        <v>24</v>
      </c>
      <c r="D19" s="146" t="s">
        <v>25</v>
      </c>
      <c r="E19" s="146" t="s">
        <v>9</v>
      </c>
      <c r="F19" s="147" t="s">
        <v>26</v>
      </c>
      <c r="G19" s="146" t="s">
        <v>27</v>
      </c>
      <c r="H19" s="148" t="s">
        <v>4</v>
      </c>
    </row>
    <row r="20" spans="2:15" ht="15.6" x14ac:dyDescent="0.3">
      <c r="B20" s="134">
        <v>1</v>
      </c>
      <c r="C20" s="135" t="s">
        <v>68</v>
      </c>
      <c r="D20" s="136">
        <v>740</v>
      </c>
      <c r="E20" s="136">
        <v>440</v>
      </c>
      <c r="F20" s="137" t="s">
        <v>141</v>
      </c>
      <c r="G20" s="138">
        <v>26772</v>
      </c>
      <c r="H20" s="149">
        <f t="shared" ref="H20" si="0">G20*B20</f>
        <v>26772</v>
      </c>
      <c r="J20" s="61"/>
      <c r="K20" s="89"/>
      <c r="L20" s="61"/>
      <c r="M20" s="61"/>
      <c r="N20" s="89"/>
      <c r="O20" s="100"/>
    </row>
    <row r="21" spans="2:15" ht="16.2" thickBot="1" x14ac:dyDescent="0.35">
      <c r="B21" s="139">
        <v>1</v>
      </c>
      <c r="C21" s="140" t="s">
        <v>68</v>
      </c>
      <c r="D21" s="141">
        <v>740</v>
      </c>
      <c r="E21" s="141">
        <v>400</v>
      </c>
      <c r="F21" s="142" t="s">
        <v>141</v>
      </c>
      <c r="G21" s="143">
        <v>22686</v>
      </c>
      <c r="H21" s="150">
        <f>G21*B21</f>
        <v>22686</v>
      </c>
      <c r="J21" s="61"/>
      <c r="K21" s="89"/>
      <c r="L21" s="61"/>
      <c r="M21" s="61"/>
      <c r="N21" s="89"/>
      <c r="O21" s="100"/>
    </row>
    <row r="22" spans="2:15" x14ac:dyDescent="0.3">
      <c r="B22" s="101"/>
      <c r="C22" s="101"/>
      <c r="D22" s="105"/>
      <c r="E22" s="105"/>
      <c r="F22" s="106"/>
      <c r="G22" s="102"/>
      <c r="H22" s="103"/>
      <c r="J22" s="61"/>
      <c r="K22" s="89"/>
      <c r="L22" s="61"/>
      <c r="M22" s="61"/>
      <c r="N22" s="89"/>
      <c r="O22" s="100"/>
    </row>
    <row r="23" spans="2:15" ht="8.25" customHeight="1" thickBot="1" x14ac:dyDescent="0.35">
      <c r="B23" s="61"/>
      <c r="C23" s="61"/>
      <c r="D23" s="61"/>
      <c r="E23" s="61"/>
      <c r="F23" s="61"/>
      <c r="G23" s="62"/>
      <c r="H23" s="63"/>
    </row>
    <row r="24" spans="2:15" ht="18" thickBot="1" x14ac:dyDescent="0.4">
      <c r="G24" s="30" t="s">
        <v>5</v>
      </c>
      <c r="H24" s="43">
        <f>SUM(H20:H23)</f>
        <v>49458</v>
      </c>
    </row>
    <row r="25" spans="2:15" ht="18" thickBot="1" x14ac:dyDescent="0.4">
      <c r="G25" s="40" t="s">
        <v>6</v>
      </c>
      <c r="H25" s="43">
        <f>H24*19%</f>
        <v>9397.02</v>
      </c>
    </row>
    <row r="26" spans="2:15" ht="18" thickBot="1" x14ac:dyDescent="0.4">
      <c r="G26" s="31" t="s">
        <v>4</v>
      </c>
      <c r="H26" s="43">
        <f>SUM(H24+H25)</f>
        <v>58855.020000000004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1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9" workbookViewId="0">
      <selection activeCell="F35" sqref="F35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34</v>
      </c>
      <c r="C2" s="125"/>
      <c r="D2" s="125"/>
      <c r="E2" s="64"/>
      <c r="G2" s="125" t="s">
        <v>73</v>
      </c>
      <c r="H2" s="125"/>
      <c r="I2" s="125"/>
      <c r="P2" s="126" t="s">
        <v>61</v>
      </c>
      <c r="Q2" s="126"/>
      <c r="R2" s="126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26" t="s">
        <v>61</v>
      </c>
      <c r="M8" s="126"/>
      <c r="N8" s="126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3"/>
  <sheetViews>
    <sheetView tabSelected="1" topLeftCell="A35" zoomScaleNormal="100" workbookViewId="0">
      <selection activeCell="F60" sqref="A38:F60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7" t="s">
        <v>64</v>
      </c>
      <c r="L3" s="127"/>
      <c r="M3" s="127" t="s">
        <v>16</v>
      </c>
      <c r="N3" s="127"/>
    </row>
    <row r="4" spans="1:14" ht="15.75" customHeight="1" x14ac:dyDescent="0.3">
      <c r="C4" s="55" t="s">
        <v>30</v>
      </c>
      <c r="D4" s="54">
        <f>'4637'!G8</f>
        <v>7278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DIEGO LOBOS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8" t="str">
        <f>'4637'!F11</f>
        <v>FECHA LIMITE :</v>
      </c>
      <c r="D7" s="53">
        <f>'4637'!G11</f>
        <v>45905</v>
      </c>
      <c r="E7" s="1"/>
      <c r="F7" s="1"/>
    </row>
    <row r="8" spans="1:14" x14ac:dyDescent="0.3">
      <c r="C8" s="107" t="s">
        <v>132</v>
      </c>
    </row>
    <row r="10" spans="1:14" ht="15" customHeight="1" x14ac:dyDescent="0.3">
      <c r="A10" s="128" t="s">
        <v>64</v>
      </c>
      <c r="B10" s="128"/>
      <c r="C10" s="128"/>
      <c r="D10" s="128"/>
      <c r="E10" s="128"/>
      <c r="F10" s="128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50</v>
      </c>
      <c r="E13" s="98">
        <v>-2</v>
      </c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139</v>
      </c>
      <c r="B14" s="59">
        <v>2</v>
      </c>
      <c r="C14" s="59"/>
      <c r="D14" s="59">
        <f t="shared" ref="D14" si="0">J14+D$13</f>
        <v>790</v>
      </c>
      <c r="E14" s="46">
        <f>K14+$E$13</f>
        <v>438</v>
      </c>
      <c r="F14" s="58" t="str">
        <f>F22</f>
        <v>PR12</v>
      </c>
      <c r="I14" s="4">
        <f>I22</f>
        <v>1</v>
      </c>
      <c r="J14" s="5">
        <f>D29</f>
        <v>740</v>
      </c>
      <c r="K14" s="5">
        <f>K22</f>
        <v>440</v>
      </c>
    </row>
    <row r="15" spans="1:14" ht="15.6" x14ac:dyDescent="0.3">
      <c r="A15" s="50"/>
      <c r="B15" s="59">
        <v>3</v>
      </c>
      <c r="C15" s="59"/>
      <c r="D15" s="59">
        <f t="shared" ref="D15" si="1">J15+D$13</f>
        <v>790</v>
      </c>
      <c r="E15" s="46">
        <f>K15+$E$13</f>
        <v>398</v>
      </c>
      <c r="F15" s="58" t="str">
        <f>F23</f>
        <v>PR12</v>
      </c>
      <c r="I15" s="4">
        <f>I23</f>
        <v>1</v>
      </c>
      <c r="J15" s="5">
        <f>D30</f>
        <v>740</v>
      </c>
      <c r="K15" s="5">
        <f>K23</f>
        <v>400</v>
      </c>
    </row>
    <row r="16" spans="1:14" ht="15.6" x14ac:dyDescent="0.3">
      <c r="A16" s="50"/>
      <c r="B16" s="7"/>
      <c r="C16" s="7"/>
      <c r="D16" s="7"/>
      <c r="E16" s="7"/>
      <c r="F16" s="49"/>
      <c r="I16" s="97"/>
      <c r="J16" s="3"/>
      <c r="K16" s="3"/>
    </row>
    <row r="17" spans="1:11" ht="6.75" customHeight="1" x14ac:dyDescent="0.3"/>
    <row r="18" spans="1:11" ht="15.6" x14ac:dyDescent="0.3">
      <c r="A18" s="128" t="s">
        <v>16</v>
      </c>
      <c r="B18" s="128"/>
      <c r="C18" s="128"/>
      <c r="D18" s="128"/>
      <c r="E18" s="128"/>
      <c r="F18" s="128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8" t="s">
        <v>11</v>
      </c>
      <c r="C21" s="78" t="s">
        <v>12</v>
      </c>
      <c r="D21" s="69">
        <v>40</v>
      </c>
      <c r="E21" s="69">
        <v>90</v>
      </c>
      <c r="F21" s="78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 t="s">
        <v>137</v>
      </c>
      <c r="D22" s="59">
        <v>3080</v>
      </c>
      <c r="E22" s="59">
        <f>K22+E21</f>
        <v>530</v>
      </c>
      <c r="F22" s="58" t="str">
        <f>C29</f>
        <v>PR12</v>
      </c>
      <c r="G22" s="1"/>
      <c r="I22" s="4">
        <f>B29</f>
        <v>1</v>
      </c>
      <c r="J22" s="5">
        <f t="shared" ref="J22:K22" si="3">D29</f>
        <v>740</v>
      </c>
      <c r="K22" s="5">
        <f t="shared" si="3"/>
        <v>440</v>
      </c>
    </row>
    <row r="23" spans="1:11" ht="15.6" x14ac:dyDescent="0.3">
      <c r="A23" s="50"/>
      <c r="B23" s="59">
        <f t="shared" ref="B23" si="4">I23</f>
        <v>1</v>
      </c>
      <c r="C23" s="59" t="s">
        <v>137</v>
      </c>
      <c r="D23" s="59">
        <v>3081</v>
      </c>
      <c r="E23" s="59">
        <f>K23+E22</f>
        <v>930</v>
      </c>
      <c r="F23" s="58" t="str">
        <f>C30</f>
        <v>PR12</v>
      </c>
      <c r="G23" s="1"/>
      <c r="I23" s="4">
        <f>B30</f>
        <v>1</v>
      </c>
      <c r="J23" s="5">
        <f t="shared" ref="J23" si="5">D30</f>
        <v>740</v>
      </c>
      <c r="K23" s="5">
        <f t="shared" ref="K23" si="6">E30</f>
        <v>400</v>
      </c>
    </row>
    <row r="24" spans="1:11" ht="6.75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7" t="s">
        <v>11</v>
      </c>
      <c r="C28" s="77" t="s">
        <v>113</v>
      </c>
      <c r="D28" s="77" t="s">
        <v>8</v>
      </c>
      <c r="E28" s="77" t="s">
        <v>9</v>
      </c>
      <c r="F28" s="77" t="s">
        <v>26</v>
      </c>
    </row>
    <row r="29" spans="1:11" ht="15.6" x14ac:dyDescent="0.3">
      <c r="A29" s="50"/>
      <c r="B29" s="74">
        <f>'4637'!B20</f>
        <v>1</v>
      </c>
      <c r="C29" s="75" t="str">
        <f>'4637'!C20</f>
        <v>PR12</v>
      </c>
      <c r="D29" s="74">
        <f>'4637'!D20</f>
        <v>740</v>
      </c>
      <c r="E29" s="74">
        <f>'4637'!E20</f>
        <v>440</v>
      </c>
      <c r="F29" s="76" t="str">
        <f>'4637'!F20</f>
        <v>BLANCO 22191 MT</v>
      </c>
    </row>
    <row r="30" spans="1:11" ht="15.6" x14ac:dyDescent="0.3">
      <c r="A30" s="50"/>
      <c r="B30" s="74">
        <f>'4637'!B21</f>
        <v>1</v>
      </c>
      <c r="C30" s="75" t="str">
        <f>'4637'!C21</f>
        <v>PR12</v>
      </c>
      <c r="D30" s="74">
        <f>'4637'!D21</f>
        <v>740</v>
      </c>
      <c r="E30" s="74">
        <f>'4637'!E21</f>
        <v>400</v>
      </c>
      <c r="F30" s="76" t="str">
        <f>'4637'!F21</f>
        <v>BLANCO 22191 MT</v>
      </c>
    </row>
    <row r="31" spans="1:11" ht="15.6" x14ac:dyDescent="0.3">
      <c r="A31" s="50"/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G39" s="1"/>
    </row>
    <row r="40" spans="1:7" ht="15.6" x14ac:dyDescent="0.3">
      <c r="C40" s="55" t="s">
        <v>30</v>
      </c>
      <c r="D40" s="54">
        <f>'4637'!G8</f>
        <v>7278</v>
      </c>
      <c r="G40" s="1"/>
    </row>
    <row r="41" spans="1:7" ht="17.25" customHeight="1" x14ac:dyDescent="0.3">
      <c r="C41" s="68" t="s">
        <v>70</v>
      </c>
      <c r="D41" s="67" t="str">
        <f>'4637'!C10</f>
        <v>DIEGO LOBOS</v>
      </c>
      <c r="E41" s="22"/>
      <c r="F41" s="22"/>
      <c r="G41" s="1"/>
    </row>
    <row r="42" spans="1:7" ht="4.5" customHeight="1" x14ac:dyDescent="0.3">
      <c r="C42" s="56"/>
      <c r="D42" s="52"/>
      <c r="G42" s="1"/>
    </row>
    <row r="43" spans="1:7" ht="15.6" x14ac:dyDescent="0.3">
      <c r="C43" s="57" t="str">
        <f>'4637'!F11</f>
        <v>FECHA LIMITE :</v>
      </c>
      <c r="D43" s="53">
        <f>'4637'!G11</f>
        <v>45905</v>
      </c>
      <c r="E43" s="1"/>
      <c r="F43" s="1"/>
    </row>
    <row r="46" spans="1:7" x14ac:dyDescent="0.3">
      <c r="A46" s="129" t="s">
        <v>71</v>
      </c>
      <c r="B46" s="129"/>
      <c r="C46" s="129"/>
      <c r="D46" s="129"/>
      <c r="E46" s="129"/>
      <c r="F46" s="129"/>
    </row>
    <row r="48" spans="1:7" ht="9.75" customHeight="1" x14ac:dyDescent="0.3">
      <c r="B48" s="130" t="s">
        <v>72</v>
      </c>
      <c r="C48" s="131"/>
      <c r="D48" s="132"/>
      <c r="E48" s="132"/>
      <c r="F48" s="133"/>
    </row>
    <row r="49" spans="1:7" s="13" customFormat="1" ht="11.25" customHeight="1" x14ac:dyDescent="0.25">
      <c r="B49" s="112" t="s">
        <v>11</v>
      </c>
      <c r="C49" s="113" t="s">
        <v>12</v>
      </c>
      <c r="D49" s="114" t="s">
        <v>8</v>
      </c>
      <c r="E49" s="114" t="s">
        <v>9</v>
      </c>
      <c r="F49" s="115" t="s">
        <v>13</v>
      </c>
    </row>
    <row r="50" spans="1:7" s="13" customFormat="1" ht="15" customHeight="1" x14ac:dyDescent="0.3">
      <c r="A50" s="99" t="s">
        <v>136</v>
      </c>
      <c r="B50" s="116">
        <f>'4637'!B20</f>
        <v>1</v>
      </c>
      <c r="C50" s="118" t="str">
        <f>'4637'!C20</f>
        <v>PR12</v>
      </c>
      <c r="D50" s="116">
        <f>'4637'!D20</f>
        <v>740</v>
      </c>
      <c r="E50" s="116">
        <f>'4637'!E20</f>
        <v>440</v>
      </c>
      <c r="F50" s="117" t="str">
        <f>'4637'!F20</f>
        <v>BLANCO 22191 MT</v>
      </c>
    </row>
    <row r="51" spans="1:7" s="13" customFormat="1" ht="15" customHeight="1" x14ac:dyDescent="0.3">
      <c r="A51" s="99"/>
      <c r="B51" s="116">
        <f>'4637'!B21</f>
        <v>1</v>
      </c>
      <c r="C51" s="118" t="str">
        <f>'4637'!C21</f>
        <v>PR12</v>
      </c>
      <c r="D51" s="116">
        <f>'4637'!D21</f>
        <v>740</v>
      </c>
      <c r="E51" s="116">
        <f>'4637'!E21</f>
        <v>400</v>
      </c>
      <c r="F51" s="117" t="str">
        <f>'4637'!F21</f>
        <v>BLANCO 22191 MT</v>
      </c>
    </row>
    <row r="52" spans="1:7" ht="15.6" x14ac:dyDescent="0.3">
      <c r="A52" s="60"/>
      <c r="B52" s="3"/>
      <c r="C52" s="41"/>
      <c r="D52" s="7"/>
      <c r="E52" s="7"/>
      <c r="F52" s="49"/>
    </row>
    <row r="53" spans="1:7" ht="15.6" x14ac:dyDescent="0.3">
      <c r="A53" s="60"/>
      <c r="B53" s="3"/>
      <c r="C53" s="41"/>
      <c r="D53" s="7"/>
      <c r="E53" s="7"/>
      <c r="F53" s="56"/>
    </row>
    <row r="54" spans="1:7" ht="15.6" x14ac:dyDescent="0.3">
      <c r="A54" s="60"/>
      <c r="B54" s="3"/>
      <c r="C54" s="41"/>
      <c r="D54" s="7"/>
      <c r="E54" s="7"/>
      <c r="F54" s="49"/>
    </row>
    <row r="55" spans="1:7" ht="15" thickBot="1" x14ac:dyDescent="0.35"/>
    <row r="56" spans="1:7" x14ac:dyDescent="0.3">
      <c r="B56" s="79" t="s">
        <v>15</v>
      </c>
      <c r="C56" s="80"/>
      <c r="D56" s="81"/>
      <c r="E56" s="81"/>
      <c r="F56" s="82"/>
    </row>
    <row r="57" spans="1:7" x14ac:dyDescent="0.3">
      <c r="B57" s="83"/>
      <c r="C57" s="84" t="s">
        <v>117</v>
      </c>
      <c r="D57" s="9"/>
      <c r="E57" s="9"/>
      <c r="F57" s="85"/>
    </row>
    <row r="58" spans="1:7" ht="15" customHeight="1" x14ac:dyDescent="0.35">
      <c r="B58" s="84" t="s">
        <v>124</v>
      </c>
      <c r="C58" s="70"/>
      <c r="D58" s="10"/>
      <c r="E58" s="10"/>
      <c r="F58" s="86"/>
    </row>
    <row r="59" spans="1:7" ht="18.600000000000001" thickBot="1" x14ac:dyDescent="0.4">
      <c r="B59" s="96" t="s">
        <v>123</v>
      </c>
      <c r="C59" s="87"/>
      <c r="D59" s="87"/>
      <c r="E59" s="87"/>
      <c r="F59" s="88"/>
    </row>
    <row r="60" spans="1:7" ht="18" x14ac:dyDescent="0.35">
      <c r="A60" s="2"/>
      <c r="B60" s="8"/>
      <c r="G60" s="1"/>
    </row>
    <row r="61" spans="1:7" x14ac:dyDescent="0.3">
      <c r="B61" s="66"/>
      <c r="C61" s="66"/>
      <c r="D61" s="66"/>
      <c r="E61" s="66"/>
      <c r="F61" s="66"/>
    </row>
    <row r="62" spans="1:7" x14ac:dyDescent="0.3">
      <c r="B62" s="66"/>
      <c r="C62" s="66"/>
      <c r="D62" s="66"/>
      <c r="E62" s="66"/>
      <c r="F62" s="66"/>
    </row>
    <row r="63" spans="1:7" x14ac:dyDescent="0.3">
      <c r="B63" s="66"/>
      <c r="C63" s="66"/>
      <c r="E63" s="66"/>
      <c r="F63" s="66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2025-09-02T15:31:26Z</cp:lastPrinted>
  <dcterms:created xsi:type="dcterms:W3CDTF">2013-03-19T12:54:14Z</dcterms:created>
  <dcterms:modified xsi:type="dcterms:W3CDTF">2025-09-02T15:32:24Z</dcterms:modified>
</cp:coreProperties>
</file>