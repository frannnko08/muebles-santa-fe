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5B1ADFB1-4390-4DEA-9B05-2909245A0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CUBIERTA!$A$43:$F$67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E25" i="3"/>
  <c r="E26" i="3"/>
  <c r="E24" i="3"/>
  <c r="D15" i="3"/>
  <c r="D16" i="3"/>
  <c r="D14" i="3"/>
  <c r="F15" i="3"/>
  <c r="I15" i="3"/>
  <c r="B15" i="3" s="1"/>
  <c r="J15" i="3"/>
  <c r="K15" i="3"/>
  <c r="E15" i="3" s="1"/>
  <c r="F16" i="3"/>
  <c r="I16" i="3"/>
  <c r="B16" i="3" s="1"/>
  <c r="J16" i="3"/>
  <c r="K16" i="3"/>
  <c r="E16" i="3" s="1"/>
  <c r="B34" i="3"/>
  <c r="I25" i="3" s="1"/>
  <c r="B25" i="3" s="1"/>
  <c r="C34" i="3"/>
  <c r="F25" i="3" s="1"/>
  <c r="D34" i="3"/>
  <c r="J25" i="3" s="1"/>
  <c r="E34" i="3"/>
  <c r="K25" i="3" s="1"/>
  <c r="F34" i="3"/>
  <c r="B35" i="3"/>
  <c r="I26" i="3" s="1"/>
  <c r="B26" i="3" s="1"/>
  <c r="C35" i="3"/>
  <c r="F26" i="3" s="1"/>
  <c r="D35" i="3"/>
  <c r="J26" i="3" s="1"/>
  <c r="E35" i="3"/>
  <c r="K26" i="3" s="1"/>
  <c r="F35" i="3"/>
  <c r="B56" i="3"/>
  <c r="B57" i="3"/>
  <c r="C57" i="3"/>
  <c r="D57" i="3"/>
  <c r="E57" i="3"/>
  <c r="F57" i="3"/>
  <c r="B58" i="3"/>
  <c r="C58" i="3"/>
  <c r="D58" i="3"/>
  <c r="E58" i="3"/>
  <c r="F58" i="3"/>
  <c r="H21" i="4"/>
  <c r="H22" i="4"/>
  <c r="C56" i="3"/>
  <c r="F56" i="3"/>
  <c r="E56" i="3"/>
  <c r="D56" i="3"/>
  <c r="B33" i="3"/>
  <c r="I24" i="3" s="1"/>
  <c r="B24" i="3" s="1"/>
  <c r="C33" i="3"/>
  <c r="F24" i="3" s="1"/>
  <c r="F14" i="3" s="1"/>
  <c r="D33" i="3"/>
  <c r="J24" i="3" s="1"/>
  <c r="D24" i="3" s="1"/>
  <c r="E33" i="3"/>
  <c r="K24" i="3" s="1"/>
  <c r="K14" i="3" s="1"/>
  <c r="E14" i="3" s="1"/>
  <c r="F33" i="3"/>
  <c r="H20" i="4"/>
  <c r="I14" i="3" l="1"/>
  <c r="B14" i="3" s="1"/>
  <c r="J14" i="3"/>
  <c r="H25" i="4" l="1"/>
  <c r="N5" i="3" l="1"/>
  <c r="M5" i="3"/>
  <c r="L5" i="3"/>
  <c r="K5" i="3"/>
  <c r="H26" i="4"/>
  <c r="H27" i="4" s="1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<sst xmlns="http://schemas.openxmlformats.org/spreadsheetml/2006/main" count="250" uniqueCount="145">
  <si>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</si>
  <si>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</si>
  <si>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</si>
  <si>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</si>
  <si>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</si>
  <si>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</si>
  <si>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</si>
  <si>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</si>
  <si>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</si>
  <si>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</si>
  <si>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</si>
  <si>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</si>
  <si>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</si>
  <si>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</si>
  <si>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</si>
  <si>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</si>
  <si>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</si>
  <si>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</si>
  <si>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</si>
  <si>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</si>
  <si>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</si>
  <si>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</si>
  <si>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</si>
  <si>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</si>
  <si>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</si>
  <si>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</si>
  <si>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</si>
  <si>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</si>
  <si>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</si>
  <si>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</si>
  <si>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</si>
  <si>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</si>
  <si>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</si>
  <si>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</si>
  <si>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</si>
  <si>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</si>
  <si>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</si>
  <si>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</si>
  <si>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</si>
  <si>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</si>
  <si>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</si>
  <si>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</si>
  <si>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</si>
  <si>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</si>
  <si>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</si>
  <si>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</si>
  <si>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</si>
  <si>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</si>
  <si>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</si>
  <si>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</si>
  <si>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</si>
  <si>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</si>
  <si>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</si>
  <si>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</si>
  <si>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</si>
  <si>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</si>
  <si>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</si>
  <si>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</si>
  <si>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</si>
  <si>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</si>
  <si>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</si>
  <si>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</si>
  <si>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</si>
  <si>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</si>
  <si>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</si>
  <si>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</si>
  <si>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</si>
  <si>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</si>
  <si>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</si>
  <si>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</si>
  <si>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</si>
  <si>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</si>
  <si>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</si>
  <si>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</si>
  <si>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</si>
  <si>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</si>
  <si>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</si>
  <si>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</si>
  <si>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</si>
  <si>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</si>
  <si>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</si>
  <si>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</si>
  <si>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</si>
  <si>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</si>
  <si>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</si>
  <si>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</si>
  <si>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</si>
  <si>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</si>
  <si>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</si>
  <si>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</si>
  <si>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</si>
  <si>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</si>
  <si>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</si>
  <si>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</si>
  <si>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</si>
  <si>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</si>
  <si>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</si>
  <si>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</si>
  <si>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</si>
  <si>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</si>
  <si>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</si>
  <si>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</si>
  <si>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</si>
  <si>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</si>
  <si>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</si>
  <si>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</si>
  <si>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</si>
  <si>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</si>
  <si>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</si>
  <si>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</si>
  <si>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</si>
  <si>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</si>
  <si>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</si>
  <si>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</si>
  <si>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</si>
  <si>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</si>
  <si>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</si>
  <si>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</si>
  <si>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</si>
  <si>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</si>
  <si>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</si>
  <si>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</si>
  <si>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</si>
  <si>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</si>
  <si>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</si>
  <si>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</si>
  <si>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</si>
  <si>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</si>
  <si>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</si>
  <si>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</si>
  <si>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</si>
  <si>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</si>
  <si>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</si>
  <si>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</si>
  <si>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</si>
  <si>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</si>
  <si>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</si>
  <si>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DESARROLLO Y OPTIMIZACION DE SISTEMAS PRODUCTIVOS S.A.</t>
  </si>
  <si>
    <t>76.011.319-0</t>
  </si>
  <si>
    <t>+5698922 3600</t>
  </si>
  <si>
    <t>DAWN WUDA ELM  10453 SF</t>
  </si>
  <si>
    <t>CUB S/R F/E</t>
  </si>
  <si>
    <t>CUB F/E 2 LADOS 1L + 1C IZQ</t>
  </si>
  <si>
    <t>CUB F/E 2 LADOS 1L + 1C DER</t>
  </si>
  <si>
    <t>MICHEL ONETO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</si>
</sst>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3" fillId="0" borderId="0" xfId="0" applyFont="1" applyAlignment="1">
      <alignment vertical="center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34" fillId="3" borderId="4" xfId="0" applyFont="1" applyFill="1" applyBorder="1"/>
    <xf numFmtId="0" fontId="35" fillId="0" borderId="32" xfId="2" quotePrefix="1" applyFont="1" applyFill="1" applyBorder="1"/>
    <xf numFmtId="0" fontId="31" fillId="0" borderId="2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1" fontId="31" fillId="0" borderId="34" xfId="0" applyNumberFormat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66" fontId="3" fillId="0" borderId="35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" fontId="31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 11633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23</xdr:row>
      <xdr:rowOff>91440</xdr:rowOff>
    </xdr:from>
    <xdr:to>
      <xdr:col>5</xdr:col>
      <xdr:colOff>1337310</xdr:colOff>
      <xdr:row>26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ABONO $ 250.000.-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180975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180975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180975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180975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180975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180975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37</xdr:row>
      <xdr:rowOff>192404</xdr:rowOff>
    </xdr:from>
    <xdr:to>
      <xdr:col>6</xdr:col>
      <xdr:colOff>32385</xdr:colOff>
      <xdr:row>41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SE ENTREGAN CORTADAS A LA MEDIDA Y ENCHAPADAS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61</xdr:row>
      <xdr:rowOff>175260</xdr:rowOff>
    </xdr:from>
    <xdr:to>
      <xdr:col>5</xdr:col>
      <xdr:colOff>1737360</xdr:colOff>
      <xdr:row>65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</a:t>
          </a:r>
          <a:r>
            <a:rPr lang="es-CL" sz="1050" b="1" i="1" baseline="0"/>
            <a:t>  LA CUBIERTA EL 180°DE 2300 CORTAR EN 3 PIEZAS DE 740 X 700,  ENCHAPAR TODOS SUS CANTOS CON LA MISMA LAMINA</a:t>
          </a:r>
        </a:p>
        <a:p>
          <a:pPr algn="l"/>
          <a:r>
            <a:rPr lang="es-CL" sz="1050" b="1" i="1" u="sng" baseline="0"/>
            <a:t>LAS CUBIERTA 2 LADOS DESPUNTAR LAS ESQUINAS Y ENCHAPAR</a:t>
          </a:r>
        </a:p>
      </xdr:txBody>
    </xdr:sp>
    <xdr:clientData/>
  </xdr:twoCellAnchor>
  <xdr:twoCellAnchor editAs="oneCell">
    <xdr:from>
      <xdr:col>0</xdr:col>
      <xdr:colOff>274320</xdr:colOff>
      <xdr:row>43</xdr:row>
      <xdr:rowOff>99060</xdr:rowOff>
    </xdr:from>
    <xdr:to>
      <xdr:col>1</xdr:col>
      <xdr:colOff>929398</xdr:colOff>
      <xdr:row>50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1"/>
  <sheetViews>
    <sheetView tabSelected="1" topLeftCell="A7" workbookViewId="0">
      <selection activeCell="I19" sqref="I1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2.3320312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7279</v>
      </c>
    </row>
    <row r="9" spans="2:16" ht="15" thickBot="1" x14ac:dyDescent="0.35"/>
    <row r="10" spans="2:16" ht="16.2" thickBot="1" x14ac:dyDescent="0.35">
      <c r="B10" s="14" t="s">
        <v>7</v>
      </c>
      <c r="C10" s="122" t="s">
        <v>137</v>
      </c>
      <c r="D10" s="15"/>
      <c r="E10" s="15"/>
      <c r="F10" s="16" t="s">
        <v>31</v>
      </c>
      <c r="G10" s="17">
        <v>45904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9" t="s">
        <v>138</v>
      </c>
      <c r="D11" s="20"/>
      <c r="E11" s="20"/>
      <c r="F11" s="20" t="s">
        <v>131</v>
      </c>
      <c r="G11" s="104">
        <v>45911</v>
      </c>
      <c r="H11" s="21"/>
    </row>
    <row r="12" spans="2:16" x14ac:dyDescent="0.3">
      <c r="B12" s="92" t="s">
        <v>115</v>
      </c>
      <c r="C12" s="117" t="s">
        <v>144</v>
      </c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3" t="s">
        <v>139</v>
      </c>
      <c r="D13" s="25"/>
      <c r="E13" s="20"/>
      <c r="F13" s="20" t="s">
        <v>32</v>
      </c>
      <c r="G13" s="20"/>
      <c r="H13" s="21"/>
    </row>
    <row r="14" spans="2:16" x14ac:dyDescent="0.3">
      <c r="B14" s="92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36" t="s">
        <v>21</v>
      </c>
      <c r="G15" s="136"/>
      <c r="H15" s="137"/>
    </row>
    <row r="17" spans="2:15" ht="15" thickBot="1" x14ac:dyDescent="0.35"/>
    <row r="18" spans="2:15" ht="15" thickBot="1" x14ac:dyDescent="0.35">
      <c r="B18" s="138" t="s">
        <v>22</v>
      </c>
      <c r="C18" s="139"/>
      <c r="D18" s="139"/>
      <c r="E18" s="139"/>
      <c r="F18" s="139"/>
      <c r="G18" s="139"/>
      <c r="H18" s="140"/>
    </row>
    <row r="19" spans="2:15" ht="15" thickBot="1" x14ac:dyDescent="0.35">
      <c r="B19" s="118" t="s">
        <v>23</v>
      </c>
      <c r="C19" s="119" t="s">
        <v>24</v>
      </c>
      <c r="D19" s="119" t="s">
        <v>25</v>
      </c>
      <c r="E19" s="119" t="s">
        <v>9</v>
      </c>
      <c r="F19" s="120" t="s">
        <v>26</v>
      </c>
      <c r="G19" s="119" t="s">
        <v>27</v>
      </c>
      <c r="H19" s="121" t="s">
        <v>4</v>
      </c>
    </row>
    <row r="20" spans="2:15" ht="15.6" x14ac:dyDescent="0.3">
      <c r="B20" s="125">
        <v>1</v>
      </c>
      <c r="C20" s="126" t="s">
        <v>141</v>
      </c>
      <c r="D20" s="127">
        <v>2300</v>
      </c>
      <c r="E20" s="127">
        <v>700</v>
      </c>
      <c r="F20" s="128" t="s">
        <v>140</v>
      </c>
      <c r="G20" s="129">
        <v>135435</v>
      </c>
      <c r="H20" s="130">
        <f t="shared" ref="H20:H22" si="0">G20*B20</f>
        <v>135435</v>
      </c>
      <c r="J20" s="61"/>
      <c r="K20" s="89"/>
      <c r="L20" s="61"/>
      <c r="M20" s="61"/>
      <c r="N20" s="89"/>
      <c r="O20" s="100"/>
    </row>
    <row r="21" spans="2:15" ht="15.6" x14ac:dyDescent="0.3">
      <c r="B21" s="124">
        <v>3</v>
      </c>
      <c r="C21" s="131" t="s">
        <v>142</v>
      </c>
      <c r="D21" s="132">
        <v>740</v>
      </c>
      <c r="E21" s="132">
        <v>700</v>
      </c>
      <c r="F21" s="124" t="s">
        <v>140</v>
      </c>
      <c r="G21" s="133">
        <v>47739</v>
      </c>
      <c r="H21" s="134">
        <f t="shared" si="0"/>
        <v>143217</v>
      </c>
      <c r="J21" s="61"/>
      <c r="K21" s="89"/>
      <c r="L21" s="61"/>
      <c r="M21" s="61"/>
      <c r="N21" s="89"/>
      <c r="O21" s="100"/>
    </row>
    <row r="22" spans="2:15" ht="15.6" x14ac:dyDescent="0.3">
      <c r="B22" s="124">
        <v>3</v>
      </c>
      <c r="C22" s="131" t="s">
        <v>143</v>
      </c>
      <c r="D22" s="132">
        <v>740</v>
      </c>
      <c r="E22" s="132">
        <v>700</v>
      </c>
      <c r="F22" s="124" t="s">
        <v>140</v>
      </c>
      <c r="G22" s="133">
        <v>47739</v>
      </c>
      <c r="H22" s="134">
        <f t="shared" si="0"/>
        <v>143217</v>
      </c>
      <c r="J22" s="61"/>
      <c r="K22" s="89"/>
      <c r="L22" s="61"/>
      <c r="M22" s="61"/>
      <c r="N22" s="89"/>
      <c r="O22" s="100"/>
    </row>
    <row r="23" spans="2:15" x14ac:dyDescent="0.3">
      <c r="B23" s="101"/>
      <c r="C23" s="101"/>
      <c r="D23" s="105"/>
      <c r="E23" s="105"/>
      <c r="F23" s="106"/>
      <c r="G23" s="102"/>
      <c r="H23" s="103"/>
      <c r="J23" s="61"/>
      <c r="K23" s="89"/>
      <c r="L23" s="61"/>
      <c r="M23" s="61"/>
      <c r="N23" s="89"/>
      <c r="O23" s="100"/>
    </row>
    <row r="24" spans="2:15" ht="8.25" customHeight="1" thickBot="1" x14ac:dyDescent="0.35">
      <c r="B24" s="61"/>
      <c r="C24" s="61"/>
      <c r="D24" s="61"/>
      <c r="E24" s="61"/>
      <c r="F24" s="61"/>
      <c r="G24" s="62"/>
      <c r="H24" s="63"/>
    </row>
    <row r="25" spans="2:15" ht="18" thickBot="1" x14ac:dyDescent="0.4">
      <c r="G25" s="30" t="s">
        <v>5</v>
      </c>
      <c r="H25" s="43">
        <f>SUM(H20:H24)</f>
        <v>421869</v>
      </c>
    </row>
    <row r="26" spans="2:15" ht="18" thickBot="1" x14ac:dyDescent="0.4">
      <c r="G26" s="40" t="s">
        <v>6</v>
      </c>
      <c r="H26" s="43">
        <f>H25*19%</f>
        <v>80155.11</v>
      </c>
    </row>
    <row r="27" spans="2:15" ht="18" thickBot="1" x14ac:dyDescent="0.4">
      <c r="G27" s="31" t="s">
        <v>4</v>
      </c>
      <c r="H27" s="43">
        <f>SUM(H25+H26)</f>
        <v>502024.11</v>
      </c>
    </row>
    <row r="29" spans="2:15" x14ac:dyDescent="0.3">
      <c r="B29" s="38" t="s">
        <v>130</v>
      </c>
      <c r="C29" s="32"/>
      <c r="D29" s="33"/>
      <c r="E29" s="33"/>
      <c r="F29" s="34"/>
    </row>
    <row r="30" spans="2:15" x14ac:dyDescent="0.3">
      <c r="B30" s="38" t="s">
        <v>129</v>
      </c>
      <c r="C30" s="39"/>
      <c r="D30" s="33"/>
      <c r="E30" s="33"/>
      <c r="F30" s="34"/>
    </row>
    <row r="31" spans="2:15" x14ac:dyDescent="0.3">
      <c r="B31" s="41" t="s">
        <v>28</v>
      </c>
      <c r="E31" s="42" t="s">
        <v>29</v>
      </c>
    </row>
  </sheetData>
  <sortState xmlns:xlrd2="http://schemas.microsoft.com/office/spreadsheetml/2017/richdata2" ref="B50">
    <sortCondition sortBy="fontColor" ref="B50" dxfId="0"/>
  </sortState>
  <mergeCells count="2">
    <mergeCell ref="F15:H15"/>
    <mergeCell ref="B18:H18"/>
  </mergeCells>
  <phoneticPr fontId="2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9" workbookViewId="0">
      <selection activeCell="F35" sqref="F35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1" t="s">
        <v>34</v>
      </c>
      <c r="C2" s="141"/>
      <c r="D2" s="141"/>
      <c r="E2" s="64"/>
      <c r="G2" s="141" t="s">
        <v>73</v>
      </c>
      <c r="H2" s="141"/>
      <c r="I2" s="141"/>
      <c r="P2" s="142" t="s">
        <v>61</v>
      </c>
      <c r="Q2" s="142"/>
      <c r="R2" s="142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3">
        <v>50</v>
      </c>
      <c r="H4" s="93">
        <v>100</v>
      </c>
      <c r="I4" s="94" t="s">
        <v>118</v>
      </c>
      <c r="J4" s="95" t="s">
        <v>112</v>
      </c>
      <c r="K4" s="95"/>
      <c r="L4" s="95"/>
      <c r="M4" s="95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3">
        <v>50</v>
      </c>
      <c r="H5" s="93"/>
      <c r="I5" s="94" t="s">
        <v>120</v>
      </c>
      <c r="J5" s="95" t="s">
        <v>122</v>
      </c>
      <c r="K5" s="95"/>
      <c r="L5" s="95"/>
      <c r="M5" s="95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2" t="s">
        <v>61</v>
      </c>
      <c r="M8" s="142"/>
      <c r="N8" s="142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5" t="s">
        <v>114</v>
      </c>
      <c r="K20" s="95"/>
      <c r="L20" s="95"/>
      <c r="M20" s="95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3"/>
      <c r="H22" s="93"/>
      <c r="I22" s="94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90">
        <v>40</v>
      </c>
      <c r="C36" s="90">
        <v>90</v>
      </c>
      <c r="D36" s="91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90">
        <v>40</v>
      </c>
      <c r="C37" s="90">
        <v>90</v>
      </c>
      <c r="D37" s="91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70"/>
  <sheetViews>
    <sheetView topLeftCell="A31" zoomScaleNormal="100" workbookViewId="0">
      <selection activeCell="I43" sqref="I43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43" t="s">
        <v>64</v>
      </c>
      <c r="L3" s="143"/>
      <c r="M3" s="143" t="s">
        <v>16</v>
      </c>
      <c r="N3" s="143"/>
    </row>
    <row r="4" spans="1:14" ht="15.75" customHeight="1" x14ac:dyDescent="0.3">
      <c r="C4" s="55" t="s">
        <v>30</v>
      </c>
      <c r="D4" s="54">
        <f>'4637'!G8</f>
        <v>7279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DESARROLLO Y OPTIMIZACION DE SISTEMAS PRODUCTIVOS S.A.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8" t="str">
        <f>'4637'!F11</f>
        <v>FECHA LIMITE :</v>
      </c>
      <c r="D7" s="53">
        <f>'4637'!G11</f>
        <v>45911</v>
      </c>
      <c r="E7" s="1"/>
      <c r="F7" s="1"/>
    </row>
    <row r="8" spans="1:14" x14ac:dyDescent="0.3">
      <c r="C8" s="107" t="s">
        <v>132</v>
      </c>
    </row>
    <row r="10" spans="1:14" ht="15" customHeight="1" x14ac:dyDescent="0.3">
      <c r="A10" s="144" t="s">
        <v>64</v>
      </c>
      <c r="B10" s="144"/>
      <c r="C10" s="144"/>
      <c r="D10" s="144"/>
      <c r="E10" s="144"/>
      <c r="F10" s="144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8" t="s">
        <v>11</v>
      </c>
      <c r="C13" s="78" t="s">
        <v>12</v>
      </c>
      <c r="D13" s="98">
        <v>80</v>
      </c>
      <c r="E13" s="98"/>
      <c r="F13" s="78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>J14+D$13</f>
        <v>2380</v>
      </c>
      <c r="E14" s="46">
        <f>K14+$E$13</f>
        <v>700</v>
      </c>
      <c r="F14" s="58" t="str">
        <f>F24</f>
        <v>CUB S/R F/E</v>
      </c>
      <c r="I14" s="4">
        <f>I24</f>
        <v>1</v>
      </c>
      <c r="J14" s="5">
        <f>D33</f>
        <v>2300</v>
      </c>
      <c r="K14" s="5">
        <f>K24</f>
        <v>700</v>
      </c>
    </row>
    <row r="15" spans="1:14" ht="15.6" x14ac:dyDescent="0.3">
      <c r="A15" s="50"/>
      <c r="B15" s="59">
        <f t="shared" ref="B15:B16" si="0">I15</f>
        <v>3</v>
      </c>
      <c r="C15" s="59"/>
      <c r="D15" s="59">
        <f t="shared" ref="D15:D16" si="1">J15+D$13</f>
        <v>820</v>
      </c>
      <c r="E15" s="46">
        <f t="shared" ref="E15:E16" si="2">K15+$E$13</f>
        <v>700</v>
      </c>
      <c r="F15" s="58" t="str">
        <f t="shared" ref="F15:F16" si="3">F25</f>
        <v>CUB F/E 2 LADOS 1L + 1C IZQ</v>
      </c>
      <c r="I15" s="4">
        <f t="shared" ref="I15:I16" si="4">I25</f>
        <v>3</v>
      </c>
      <c r="J15" s="5">
        <f t="shared" ref="J15:J16" si="5">D34</f>
        <v>740</v>
      </c>
      <c r="K15" s="5">
        <f t="shared" ref="K15:K16" si="6">K25</f>
        <v>700</v>
      </c>
    </row>
    <row r="16" spans="1:14" ht="15.6" x14ac:dyDescent="0.3">
      <c r="A16" s="50"/>
      <c r="B16" s="59">
        <f t="shared" si="0"/>
        <v>3</v>
      </c>
      <c r="C16" s="59"/>
      <c r="D16" s="59">
        <f t="shared" si="1"/>
        <v>820</v>
      </c>
      <c r="E16" s="46">
        <f t="shared" si="2"/>
        <v>700</v>
      </c>
      <c r="F16" s="58" t="str">
        <f t="shared" si="3"/>
        <v>CUB F/E 2 LADOS 1L + 1C DER</v>
      </c>
      <c r="I16" s="4">
        <f t="shared" si="4"/>
        <v>3</v>
      </c>
      <c r="J16" s="5">
        <f t="shared" si="5"/>
        <v>740</v>
      </c>
      <c r="K16" s="5">
        <f t="shared" si="6"/>
        <v>700</v>
      </c>
    </row>
    <row r="17" spans="1:11" ht="15.6" x14ac:dyDescent="0.3">
      <c r="A17" s="50"/>
      <c r="B17" s="7"/>
      <c r="C17" s="7"/>
      <c r="D17" s="7"/>
      <c r="E17" s="135"/>
      <c r="F17" s="49"/>
      <c r="I17" s="97"/>
      <c r="J17" s="3"/>
      <c r="K17" s="3"/>
    </row>
    <row r="18" spans="1:11" ht="15.6" x14ac:dyDescent="0.3">
      <c r="A18" s="50"/>
      <c r="B18" s="7"/>
      <c r="C18" s="7"/>
      <c r="D18" s="7"/>
      <c r="E18" s="7"/>
      <c r="F18" s="49"/>
      <c r="I18" s="97"/>
      <c r="J18" s="3"/>
      <c r="K18" s="3"/>
    </row>
    <row r="19" spans="1:11" ht="6.75" customHeight="1" x14ac:dyDescent="0.3"/>
    <row r="20" spans="1:11" ht="15.6" x14ac:dyDescent="0.3">
      <c r="A20" s="144" t="s">
        <v>16</v>
      </c>
      <c r="B20" s="144"/>
      <c r="C20" s="144"/>
      <c r="D20" s="144"/>
      <c r="E20" s="144"/>
      <c r="F20" s="144"/>
      <c r="G20" s="1"/>
    </row>
    <row r="21" spans="1:11" ht="10.5" customHeight="1" x14ac:dyDescent="0.3">
      <c r="A21" s="1"/>
      <c r="B21" s="1"/>
      <c r="C21" s="51"/>
      <c r="D21" s="1"/>
      <c r="E21" s="1"/>
      <c r="F21" s="1"/>
      <c r="G21" s="1"/>
    </row>
    <row r="22" spans="1:11" ht="15.6" x14ac:dyDescent="0.3">
      <c r="A22" s="1"/>
      <c r="B22" s="1"/>
      <c r="C22" s="1"/>
      <c r="D22" s="50" t="s">
        <v>8</v>
      </c>
      <c r="E22" s="50" t="s">
        <v>9</v>
      </c>
      <c r="F22" s="1"/>
      <c r="G22" s="1"/>
    </row>
    <row r="23" spans="1:11" ht="15.6" x14ac:dyDescent="0.3">
      <c r="A23" s="50" t="s">
        <v>10</v>
      </c>
      <c r="B23" s="78" t="s">
        <v>11</v>
      </c>
      <c r="C23" s="78" t="s">
        <v>12</v>
      </c>
      <c r="D23" s="69">
        <v>50</v>
      </c>
      <c r="E23" s="69">
        <v>70</v>
      </c>
      <c r="F23" s="78" t="s">
        <v>113</v>
      </c>
      <c r="G23" s="1"/>
      <c r="J23" s="6" t="s">
        <v>8</v>
      </c>
      <c r="K23" s="6" t="s">
        <v>9</v>
      </c>
    </row>
    <row r="24" spans="1:11" ht="15.6" x14ac:dyDescent="0.3">
      <c r="A24" s="50"/>
      <c r="B24" s="59">
        <f t="shared" ref="B24" si="7">I24</f>
        <v>1</v>
      </c>
      <c r="C24" s="59"/>
      <c r="D24" s="59">
        <f>J24+D23</f>
        <v>2350</v>
      </c>
      <c r="E24" s="59">
        <f>K24+E$23</f>
        <v>770</v>
      </c>
      <c r="F24" s="58" t="str">
        <f>C33</f>
        <v>CUB S/R F/E</v>
      </c>
      <c r="G24" s="1"/>
      <c r="I24" s="4">
        <f>B33</f>
        <v>1</v>
      </c>
      <c r="J24" s="5">
        <f t="shared" ref="J24:K24" si="8">D33</f>
        <v>2300</v>
      </c>
      <c r="K24" s="5">
        <f t="shared" si="8"/>
        <v>700</v>
      </c>
    </row>
    <row r="25" spans="1:11" ht="15.6" x14ac:dyDescent="0.3">
      <c r="A25" s="50"/>
      <c r="B25" s="59">
        <f t="shared" ref="B25:B26" si="9">I25</f>
        <v>3</v>
      </c>
      <c r="C25" s="59"/>
      <c r="D25" s="59">
        <f>J25+100</f>
        <v>840</v>
      </c>
      <c r="E25" s="59">
        <f t="shared" ref="E25:E26" si="10">K25+E$23</f>
        <v>770</v>
      </c>
      <c r="F25" s="58" t="str">
        <f t="shared" ref="F25:F26" si="11">C34</f>
        <v>CUB F/E 2 LADOS 1L + 1C IZQ</v>
      </c>
      <c r="G25" s="1"/>
      <c r="I25" s="4">
        <f t="shared" ref="I25:I26" si="12">B34</f>
        <v>3</v>
      </c>
      <c r="J25" s="5">
        <f t="shared" ref="J25:J26" si="13">D34</f>
        <v>740</v>
      </c>
      <c r="K25" s="5">
        <f t="shared" ref="K25:K26" si="14">E34</f>
        <v>700</v>
      </c>
    </row>
    <row r="26" spans="1:11" ht="15.6" x14ac:dyDescent="0.3">
      <c r="A26" s="50"/>
      <c r="B26" s="59">
        <f t="shared" si="9"/>
        <v>3</v>
      </c>
      <c r="C26" s="59"/>
      <c r="D26" s="59">
        <f>J26+100</f>
        <v>840</v>
      </c>
      <c r="E26" s="59">
        <f t="shared" si="10"/>
        <v>770</v>
      </c>
      <c r="F26" s="58" t="str">
        <f t="shared" si="11"/>
        <v>CUB F/E 2 LADOS 1L + 1C DER</v>
      </c>
      <c r="G26" s="1"/>
      <c r="I26" s="4">
        <f t="shared" si="12"/>
        <v>3</v>
      </c>
      <c r="J26" s="5">
        <f t="shared" si="13"/>
        <v>740</v>
      </c>
      <c r="K26" s="5">
        <f t="shared" si="14"/>
        <v>700</v>
      </c>
    </row>
    <row r="27" spans="1:11" ht="15.6" x14ac:dyDescent="0.3">
      <c r="A27" s="50"/>
      <c r="B27" s="7"/>
      <c r="C27" s="7"/>
      <c r="D27" s="7"/>
      <c r="E27" s="7"/>
      <c r="F27" s="49"/>
      <c r="G27" s="1"/>
      <c r="I27" s="97"/>
      <c r="J27" s="3"/>
      <c r="K27" s="3"/>
    </row>
    <row r="28" spans="1:11" ht="6.75" customHeight="1" x14ac:dyDescent="0.3">
      <c r="G28" s="1"/>
      <c r="I28" s="3"/>
      <c r="J28" s="3"/>
      <c r="K28" s="3"/>
    </row>
    <row r="29" spans="1:11" ht="16.2" thickBot="1" x14ac:dyDescent="0.35">
      <c r="A29" s="50"/>
      <c r="B29" s="7"/>
      <c r="C29" s="7"/>
      <c r="D29" s="7"/>
      <c r="E29" s="7"/>
      <c r="F29" s="49"/>
      <c r="I29" s="3"/>
      <c r="J29" s="3"/>
      <c r="K29" s="3"/>
    </row>
    <row r="30" spans="1:11" ht="16.2" thickBot="1" x14ac:dyDescent="0.35">
      <c r="A30" s="50"/>
      <c r="B30" s="71" t="s">
        <v>110</v>
      </c>
      <c r="C30" s="72"/>
      <c r="D30" s="72"/>
      <c r="E30" s="72"/>
      <c r="F30" s="73"/>
      <c r="I30" s="3"/>
      <c r="J30" s="3"/>
      <c r="K30" s="3"/>
    </row>
    <row r="31" spans="1:11" ht="10.5" customHeight="1" x14ac:dyDescent="0.3"/>
    <row r="32" spans="1:11" x14ac:dyDescent="0.3">
      <c r="A32" s="50" t="s">
        <v>10</v>
      </c>
      <c r="B32" s="77" t="s">
        <v>11</v>
      </c>
      <c r="C32" s="77" t="s">
        <v>113</v>
      </c>
      <c r="D32" s="77" t="s">
        <v>8</v>
      </c>
      <c r="E32" s="77" t="s">
        <v>9</v>
      </c>
      <c r="F32" s="77" t="s">
        <v>26</v>
      </c>
    </row>
    <row r="33" spans="1:7" ht="15.6" x14ac:dyDescent="0.3">
      <c r="A33" s="50"/>
      <c r="B33" s="74">
        <f>'4637'!B20</f>
        <v>1</v>
      </c>
      <c r="C33" s="75" t="str">
        <f>'4637'!C20</f>
        <v>CUB S/R F/E</v>
      </c>
      <c r="D33" s="74">
        <f>'4637'!D20</f>
        <v>2300</v>
      </c>
      <c r="E33" s="74">
        <f>'4637'!E20</f>
        <v>700</v>
      </c>
      <c r="F33" s="76" t="str">
        <f>'4637'!F20</f>
        <v>DAWN WUDA ELM  10453 SF</v>
      </c>
    </row>
    <row r="34" spans="1:7" ht="15.6" x14ac:dyDescent="0.3">
      <c r="A34" s="50"/>
      <c r="B34" s="74">
        <f>'4637'!B21</f>
        <v>3</v>
      </c>
      <c r="C34" s="75" t="str">
        <f>'4637'!C21</f>
        <v>CUB F/E 2 LADOS 1L + 1C IZQ</v>
      </c>
      <c r="D34" s="74">
        <f>'4637'!D21</f>
        <v>740</v>
      </c>
      <c r="E34" s="74">
        <f>'4637'!E21</f>
        <v>700</v>
      </c>
      <c r="F34" s="76" t="str">
        <f>'4637'!F21</f>
        <v>DAWN WUDA ELM  10453 SF</v>
      </c>
    </row>
    <row r="35" spans="1:7" ht="15.6" x14ac:dyDescent="0.3">
      <c r="A35" s="50"/>
      <c r="B35" s="74">
        <f>'4637'!B22</f>
        <v>3</v>
      </c>
      <c r="C35" s="75" t="str">
        <f>'4637'!C22</f>
        <v>CUB F/E 2 LADOS 1L + 1C DER</v>
      </c>
      <c r="D35" s="74">
        <f>'4637'!D22</f>
        <v>740</v>
      </c>
      <c r="E35" s="74">
        <f>'4637'!E22</f>
        <v>700</v>
      </c>
      <c r="F35" s="76" t="str">
        <f>'4637'!F22</f>
        <v>DAWN WUDA ELM  10453 SF</v>
      </c>
    </row>
    <row r="36" spans="1:7" ht="15.6" x14ac:dyDescent="0.3">
      <c r="A36" s="50"/>
      <c r="B36" s="7"/>
      <c r="C36" s="11"/>
      <c r="D36" s="7"/>
      <c r="E36" s="7"/>
      <c r="F36" s="49"/>
    </row>
    <row r="37" spans="1:7" ht="15.6" x14ac:dyDescent="0.3">
      <c r="A37" s="50"/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B39" s="7"/>
      <c r="C39" s="11"/>
      <c r="D39" s="7"/>
      <c r="E39" s="7"/>
      <c r="F39" s="49"/>
    </row>
    <row r="40" spans="1:7" ht="15.6" x14ac:dyDescent="0.3">
      <c r="B40" s="7"/>
      <c r="C40" s="11"/>
      <c r="D40" s="7"/>
      <c r="E40" s="7"/>
      <c r="F40" s="49"/>
    </row>
    <row r="41" spans="1:7" ht="15.6" x14ac:dyDescent="0.3">
      <c r="B41" s="7"/>
      <c r="C41" s="11"/>
      <c r="D41" s="7"/>
      <c r="E41" s="7"/>
      <c r="F41" s="49"/>
    </row>
    <row r="42" spans="1:7" ht="15.6" x14ac:dyDescent="0.3">
      <c r="B42" s="7"/>
      <c r="C42" s="11"/>
      <c r="D42" s="7"/>
      <c r="E42" s="7"/>
      <c r="F42" s="49"/>
    </row>
    <row r="43" spans="1:7" ht="15.6" x14ac:dyDescent="0.3">
      <c r="B43" s="7"/>
      <c r="C43" s="11"/>
      <c r="D43" s="7"/>
      <c r="E43" s="7"/>
      <c r="F43" s="49"/>
    </row>
    <row r="44" spans="1:7" ht="15.6" x14ac:dyDescent="0.3">
      <c r="B44" s="7"/>
      <c r="C44" s="11"/>
      <c r="D44" s="7"/>
      <c r="E44" s="7"/>
      <c r="F44" s="49"/>
    </row>
    <row r="45" spans="1:7" ht="15.6" x14ac:dyDescent="0.3">
      <c r="G45" s="1"/>
    </row>
    <row r="46" spans="1:7" ht="15.6" x14ac:dyDescent="0.3">
      <c r="C46" s="55" t="s">
        <v>30</v>
      </c>
      <c r="D46" s="54">
        <f>'4637'!G8</f>
        <v>7279</v>
      </c>
      <c r="G46" s="1"/>
    </row>
    <row r="47" spans="1:7" ht="17.25" customHeight="1" x14ac:dyDescent="0.3">
      <c r="C47" s="68" t="s">
        <v>70</v>
      </c>
      <c r="D47" s="67" t="str">
        <f>'4637'!C10</f>
        <v>DESARROLLO Y OPTIMIZACION DE SISTEMAS PRODUCTIVOS S.A.</v>
      </c>
      <c r="E47" s="22"/>
      <c r="F47" s="22"/>
      <c r="G47" s="1"/>
    </row>
    <row r="48" spans="1:7" ht="4.5" customHeight="1" x14ac:dyDescent="0.3">
      <c r="C48" s="56"/>
      <c r="D48" s="52"/>
      <c r="G48" s="1"/>
    </row>
    <row r="49" spans="1:6" ht="15.6" x14ac:dyDescent="0.3">
      <c r="C49" s="57" t="str">
        <f>'4637'!F11</f>
        <v>FECHA LIMITE :</v>
      </c>
      <c r="D49" s="53">
        <f>'4637'!G11</f>
        <v>45911</v>
      </c>
      <c r="E49" s="1"/>
      <c r="F49" s="1"/>
    </row>
    <row r="52" spans="1:6" x14ac:dyDescent="0.3">
      <c r="A52" s="145" t="s">
        <v>71</v>
      </c>
      <c r="B52" s="145"/>
      <c r="C52" s="145"/>
      <c r="D52" s="145"/>
      <c r="E52" s="145"/>
      <c r="F52" s="145"/>
    </row>
    <row r="54" spans="1:6" ht="9.75" customHeight="1" x14ac:dyDescent="0.3">
      <c r="B54" s="146" t="s">
        <v>72</v>
      </c>
      <c r="C54" s="147"/>
      <c r="D54" s="148"/>
      <c r="E54" s="148"/>
      <c r="F54" s="149"/>
    </row>
    <row r="55" spans="1:6" s="13" customFormat="1" ht="11.25" customHeight="1" x14ac:dyDescent="0.25">
      <c r="B55" s="111" t="s">
        <v>11</v>
      </c>
      <c r="C55" s="112" t="s">
        <v>12</v>
      </c>
      <c r="D55" s="113" t="s">
        <v>8</v>
      </c>
      <c r="E55" s="113" t="s">
        <v>9</v>
      </c>
      <c r="F55" s="114" t="s">
        <v>13</v>
      </c>
    </row>
    <row r="56" spans="1:6" s="13" customFormat="1" ht="15" customHeight="1" x14ac:dyDescent="0.3">
      <c r="A56" s="99" t="s">
        <v>136</v>
      </c>
      <c r="B56" s="115">
        <f>'4637'!B20</f>
        <v>1</v>
      </c>
      <c r="C56" s="116" t="str">
        <f>'4637'!C20</f>
        <v>CUB S/R F/E</v>
      </c>
      <c r="D56" s="115">
        <f>'4637'!D20</f>
        <v>2300</v>
      </c>
      <c r="E56" s="115">
        <f>'4637'!E20</f>
        <v>700</v>
      </c>
      <c r="F56" s="116" t="str">
        <f>'4637'!F20</f>
        <v>DAWN WUDA ELM  10453 SF</v>
      </c>
    </row>
    <row r="57" spans="1:6" s="13" customFormat="1" ht="15" customHeight="1" x14ac:dyDescent="0.3">
      <c r="A57" s="99"/>
      <c r="B57" s="115">
        <f>'4637'!B21</f>
        <v>3</v>
      </c>
      <c r="C57" s="116" t="str">
        <f>'4637'!C21</f>
        <v>CUB F/E 2 LADOS 1L + 1C IZQ</v>
      </c>
      <c r="D57" s="115">
        <f>'4637'!D21</f>
        <v>740</v>
      </c>
      <c r="E57" s="115">
        <f>'4637'!E21</f>
        <v>700</v>
      </c>
      <c r="F57" s="116" t="str">
        <f>'4637'!F21</f>
        <v>DAWN WUDA ELM  10453 SF</v>
      </c>
    </row>
    <row r="58" spans="1:6" s="13" customFormat="1" ht="15" customHeight="1" x14ac:dyDescent="0.3">
      <c r="A58" s="99"/>
      <c r="B58" s="115">
        <f>'4637'!B22</f>
        <v>3</v>
      </c>
      <c r="C58" s="116" t="str">
        <f>'4637'!C22</f>
        <v>CUB F/E 2 LADOS 1L + 1C DER</v>
      </c>
      <c r="D58" s="115">
        <f>'4637'!D22</f>
        <v>740</v>
      </c>
      <c r="E58" s="115">
        <f>'4637'!E22</f>
        <v>700</v>
      </c>
      <c r="F58" s="116" t="str">
        <f>'4637'!F22</f>
        <v>DAWN WUDA ELM  10453 SF</v>
      </c>
    </row>
    <row r="59" spans="1:6" ht="15.6" x14ac:dyDescent="0.3">
      <c r="A59" s="60"/>
      <c r="B59" s="3"/>
      <c r="C59" s="41"/>
      <c r="D59" s="7"/>
      <c r="E59" s="7"/>
      <c r="F59" s="49"/>
    </row>
    <row r="60" spans="1:6" ht="15.6" x14ac:dyDescent="0.3">
      <c r="A60" s="60"/>
      <c r="B60" s="3"/>
      <c r="C60" s="41"/>
      <c r="D60" s="7"/>
      <c r="E60" s="7"/>
      <c r="F60" s="56"/>
    </row>
    <row r="61" spans="1:6" ht="15.6" x14ac:dyDescent="0.3">
      <c r="A61" s="60"/>
      <c r="B61" s="3"/>
      <c r="C61" s="41"/>
      <c r="D61" s="7"/>
      <c r="E61" s="7"/>
      <c r="F61" s="49"/>
    </row>
    <row r="62" spans="1:6" ht="15" thickBot="1" x14ac:dyDescent="0.35"/>
    <row r="63" spans="1:6" x14ac:dyDescent="0.3">
      <c r="B63" s="79" t="s">
        <v>15</v>
      </c>
      <c r="C63" s="80"/>
      <c r="D63" s="81"/>
      <c r="E63" s="81"/>
      <c r="F63" s="82"/>
    </row>
    <row r="64" spans="1:6" x14ac:dyDescent="0.3">
      <c r="B64" s="83"/>
      <c r="C64" s="84" t="s">
        <v>117</v>
      </c>
      <c r="D64" s="9"/>
      <c r="E64" s="9"/>
      <c r="F64" s="85"/>
    </row>
    <row r="65" spans="1:7" ht="15" customHeight="1" x14ac:dyDescent="0.35">
      <c r="B65" s="84" t="s">
        <v>124</v>
      </c>
      <c r="C65" s="70"/>
      <c r="D65" s="10"/>
      <c r="E65" s="10"/>
      <c r="F65" s="86"/>
    </row>
    <row r="66" spans="1:7" ht="18.600000000000001" thickBot="1" x14ac:dyDescent="0.4">
      <c r="B66" s="96" t="s">
        <v>123</v>
      </c>
      <c r="C66" s="87"/>
      <c r="D66" s="87"/>
      <c r="E66" s="87"/>
      <c r="F66" s="88"/>
    </row>
    <row r="67" spans="1:7" ht="18" x14ac:dyDescent="0.35">
      <c r="A67" s="2"/>
      <c r="B67" s="8"/>
      <c r="G67" s="1"/>
    </row>
    <row r="68" spans="1:7" x14ac:dyDescent="0.3">
      <c r="B68" s="66"/>
      <c r="C68" s="66"/>
      <c r="D68" s="66"/>
      <c r="E68" s="66"/>
      <c r="F68" s="66"/>
    </row>
    <row r="69" spans="1:7" x14ac:dyDescent="0.3">
      <c r="B69" s="66"/>
      <c r="C69" s="66"/>
      <c r="D69" s="66"/>
      <c r="E69" s="66"/>
      <c r="F69" s="66"/>
    </row>
    <row r="70" spans="1:7" x14ac:dyDescent="0.3">
      <c r="B70" s="66"/>
      <c r="C70" s="66"/>
      <c r="E70" s="66"/>
      <c r="F70" s="66"/>
    </row>
  </sheetData>
  <mergeCells count="6">
    <mergeCell ref="M3:N3"/>
    <mergeCell ref="A20:F20"/>
    <mergeCell ref="A10:F10"/>
    <mergeCell ref="A52:F52"/>
    <mergeCell ref="B54:F54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2025-09-04T14:33:22Z</cp:lastPrinted>
  <dcterms:created xsi:type="dcterms:W3CDTF">2013-03-19T12:54:14Z</dcterms:created>
  <dcterms:modified xsi:type="dcterms:W3CDTF">2025-09-25T11:55:53Z</dcterms:modified>
</cp:coreProperties>
</file>