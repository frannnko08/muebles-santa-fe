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9 SEPTIEMBRE 2025\"/>
    </mc:Choice>
  </mc:AlternateContent>
  <xr:revisionPtr revIDLastSave="0" documentId="13_ncr:1_{E973D1E7-EEEC-43C8-AD75-2E2C2274E2F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D14" i="3"/>
  <c r="J14" i="3"/>
  <c r="I14" i="3"/>
  <c r="J23" i="3"/>
  <c r="I23" i="3"/>
  <c r="H21" i="4"/>
  <c r="B29" i="3" l="1"/>
  <c r="C29" i="3"/>
  <c r="F14" i="3" s="1"/>
  <c r="D29" i="3"/>
  <c r="E29" i="3"/>
  <c r="K23" i="3" s="1"/>
  <c r="E23" i="3" s="1"/>
  <c r="F29" i="3"/>
  <c r="B50" i="3"/>
  <c r="C50" i="3"/>
  <c r="D50" i="3"/>
  <c r="E50" i="3"/>
  <c r="F50" i="3"/>
  <c r="H24" i="4"/>
  <c r="K14" i="3" l="1"/>
  <c r="E14" i="3" s="1"/>
  <c r="B23" i="3"/>
  <c r="B14" i="3"/>
  <c r="F23" i="3"/>
  <c r="H25" i="4" l="1"/>
  <c r="H26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<sst xmlns="http://schemas.openxmlformats.org/spreadsheetml/2006/main" count="247" uniqueCount="144">
  <si>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</si>
  <si>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</si>
  <si>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</si>
  <si>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</si>
  <si>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</si>
  <si>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</si>
  <si>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</si>
  <si>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</si>
  <si>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</si>
  <si>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</si>
  <si>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</si>
  <si>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</si>
  <si>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</si>
  <si>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</si>
  <si>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</si>
  <si>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</si>
  <si>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</si>
  <si>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</si>
  <si>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</si>
  <si>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</si>
  <si>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</si>
  <si>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</si>
  <si>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</si>
  <si>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</si>
  <si>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</si>
  <si>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</si>
  <si>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</si>
  <si>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</si>
  <si>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</si>
  <si>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</si>
  <si>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</si>
  <si>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</si>
  <si>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</si>
  <si>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</si>
  <si>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</si>
  <si>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</si>
  <si>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</si>
  <si>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</si>
  <si>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</si>
  <si>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</si>
  <si>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</si>
  <si>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</si>
  <si>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</si>
  <si>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</si>
  <si>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</si>
  <si>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</si>
  <si>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</si>
  <si>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</si>
  <si>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</si>
  <si>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</si>
  <si>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</si>
  <si>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</si>
  <si>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</si>
  <si>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</si>
  <si>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</si>
  <si>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</si>
  <si>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</si>
  <si>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</si>
  <si>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</si>
  <si>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</si>
  <si>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</si>
  <si>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</si>
  <si>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</si>
  <si>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</si>
  <si>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</si>
  <si>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</si>
  <si>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</si>
  <si>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</si>
  <si>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</si>
  <si>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</si>
  <si>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</si>
  <si>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</si>
  <si>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</si>
  <si>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</si>
  <si>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</si>
  <si>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</si>
  <si>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</si>
  <si>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</si>
  <si>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</si>
  <si>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</si>
  <si>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</si>
  <si>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</si>
  <si>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</si>
  <si>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</si>
  <si>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</si>
  <si>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</si>
  <si>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</si>
  <si>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</si>
  <si>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</si>
  <si>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</si>
  <si>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</si>
  <si>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</si>
  <si>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</si>
  <si>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</si>
  <si>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</si>
  <si>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</si>
  <si>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</si>
  <si>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</si>
  <si>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</si>
  <si>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</si>
  <si>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</si>
  <si>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</si>
  <si>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</si>
  <si>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</si>
  <si>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</si>
  <si>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</si>
  <si>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</si>
  <si>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</si>
  <si>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</si>
  <si>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</si>
  <si>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</si>
  <si>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</si>
  <si>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</si>
  <si>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</si>
  <si>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</si>
  <si>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</si>
  <si>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</si>
  <si>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</si>
  <si>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</si>
  <si>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</si>
  <si>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</si>
  <si>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</si>
  <si>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</si>
  <si>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</si>
  <si>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</si>
  <si>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</si>
  <si>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</si>
  <si>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</si>
  <si>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</si>
  <si>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</si>
  <si>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</si>
  <si>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</si>
  <si>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</si>
  <si>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</si>
  <si>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</si>
  <si>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</si>
  <si>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</si>
  <si>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</si>
  <si>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</si>
  <si>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</si>
  <si>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</si>
  <si>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BLANCO MERINO 22191 SF</t>
  </si>
  <si>
    <t>CUB MESA 90° 2L R8</t>
  </si>
  <si>
    <t>N° 11646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</si>
</sst>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6" workbookViewId="0">
      <selection activeCell="D11" sqref="D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7282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45908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>
        <v>45909</v>
      </c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23314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1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2</v>
      </c>
      <c r="C21" s="106" t="s">
        <v>142</v>
      </c>
      <c r="D21" s="109">
        <v>1100</v>
      </c>
      <c r="E21" s="109">
        <v>700</v>
      </c>
      <c r="F21" s="106" t="s">
        <v>141</v>
      </c>
      <c r="G21" s="107">
        <v>37004</v>
      </c>
      <c r="H21" s="107">
        <f t="shared" ref="H21" si="0">G21*B21</f>
        <v>74008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74008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14061.52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88069.52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sqref="A1:G6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7282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45909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140</v>
      </c>
      <c r="B14" s="25">
        <f t="shared" ref="B14" si="0">I14</f>
        <v>2</v>
      </c>
      <c r="C14" s="25"/>
      <c r="D14" s="25">
        <f>J14+D$13</f>
        <v>1180</v>
      </c>
      <c r="E14" s="35">
        <f>K14+E$13</f>
        <v>700</v>
      </c>
      <c r="F14" s="103" t="str">
        <f>C29</f>
        <v>CUB MESA 90° 2L R8</v>
      </c>
      <c r="G14" s="1"/>
      <c r="I14" s="3">
        <f>I23</f>
        <v>2</v>
      </c>
      <c r="J14" s="4">
        <f>J23</f>
        <v>1100</v>
      </c>
      <c r="K14" s="4">
        <f>E29</f>
        <v>700</v>
      </c>
    </row>
    <row r="15" spans="1:14" ht="15.6" x14ac:dyDescent="0.3">
      <c r="A15" s="96"/>
      <c r="B15" s="6"/>
      <c r="C15" s="6"/>
      <c r="D15" s="6"/>
      <c r="E15" s="89"/>
      <c r="F15" s="108"/>
      <c r="G15" s="1"/>
      <c r="I15" s="90"/>
      <c r="J15" s="2"/>
      <c r="K15" s="2"/>
    </row>
    <row r="16" spans="1:14" ht="15.6" x14ac:dyDescent="0.3">
      <c r="A16" s="96"/>
      <c r="B16" s="6"/>
      <c r="C16" s="6"/>
      <c r="D16" s="6"/>
      <c r="E16" s="89"/>
      <c r="F16" s="108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18" t="s">
        <v>14</v>
      </c>
      <c r="B19" s="118"/>
      <c r="C19" s="118"/>
      <c r="D19" s="118"/>
      <c r="E19" s="118"/>
      <c r="F19" s="118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110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/>
      <c r="B23" s="16">
        <f t="shared" ref="B23" si="1">I23</f>
        <v>2</v>
      </c>
      <c r="C23" s="16"/>
      <c r="D23" s="16">
        <f>J23+D$22</f>
        <v>1140</v>
      </c>
      <c r="E23" s="16">
        <f>K23+E$22</f>
        <v>810</v>
      </c>
      <c r="F23" s="104" t="str">
        <f>C29</f>
        <v>CUB MESA 90° 2L R8</v>
      </c>
      <c r="G23" s="1"/>
      <c r="I23" s="3">
        <f>B29</f>
        <v>2</v>
      </c>
      <c r="J23" s="4">
        <f>D29</f>
        <v>1100</v>
      </c>
      <c r="K23" s="4">
        <f t="shared" ref="K23" si="2">E29</f>
        <v>700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140</v>
      </c>
      <c r="B29" s="25">
        <f>'4637'!B21</f>
        <v>2</v>
      </c>
      <c r="C29" s="103" t="str">
        <f>'4637'!C21</f>
        <v>CUB MESA 90° 2L R8</v>
      </c>
      <c r="D29" s="25">
        <f>'4637'!D21</f>
        <v>1100</v>
      </c>
      <c r="E29" s="25">
        <f>'4637'!E21</f>
        <v>700</v>
      </c>
      <c r="F29" s="25" t="str">
        <f>'4637'!F21</f>
        <v>BLANCO MERINO 22191 SF</v>
      </c>
      <c r="G29" s="1"/>
    </row>
    <row r="30" spans="1:11" ht="15.6" x14ac:dyDescent="0.3">
      <c r="A30" s="96"/>
      <c r="B30" s="6"/>
      <c r="C30" s="108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7282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MUEBLES ASENJO LTDA.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45909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18" t="s">
        <v>68</v>
      </c>
      <c r="B46" s="118"/>
      <c r="C46" s="118"/>
      <c r="D46" s="118"/>
      <c r="E46" s="118"/>
      <c r="F46" s="118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19" t="s">
        <v>69</v>
      </c>
      <c r="C48" s="120"/>
      <c r="D48" s="121"/>
      <c r="E48" s="121"/>
      <c r="F48" s="122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 t="s">
        <v>140</v>
      </c>
      <c r="B50" s="38">
        <f>'4637'!B21</f>
        <v>2</v>
      </c>
      <c r="C50" s="102" t="str">
        <f>'4637'!C21</f>
        <v>CUB MESA 90° 2L R8</v>
      </c>
      <c r="D50" s="39">
        <f>'4637'!D21</f>
        <v>1100</v>
      </c>
      <c r="E50" s="39">
        <f>'4637'!E21</f>
        <v>700</v>
      </c>
      <c r="F50" s="38" t="str">
        <f>'4637'!F21</f>
        <v>BLANCO MERINO 22191 SF</v>
      </c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9:F19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2025-09-08T14:42:26Z</cp:lastPrinted>
  <dcterms:created xsi:type="dcterms:W3CDTF">2013-03-19T12:54:14Z</dcterms:created>
  <dcterms:modified xsi:type="dcterms:W3CDTF">2025-09-08T14:43:12Z</dcterms:modified>
</cp:coreProperties>
</file>