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803D7908-0A5A-4A9C-B309-AEA36FD99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9" i="3" l="1"/>
  <c r="I23" i="3" s="1"/>
  <c r="I14" i="3" s="1"/>
  <c r="C29" i="3"/>
  <c r="F14" i="3" s="1"/>
  <c r="D29" i="3"/>
  <c r="J23" i="3" s="1"/>
  <c r="E29" i="3"/>
  <c r="K23" i="3" s="1"/>
  <c r="E23" i="3" s="1"/>
  <c r="F29" i="3"/>
  <c r="B50" i="3"/>
  <c r="C50" i="3"/>
  <c r="D50" i="3"/>
  <c r="E50" i="3"/>
  <c r="F50" i="3"/>
  <c r="H24" i="4"/>
  <c r="D23" i="3" l="1"/>
  <c r="J14" i="3"/>
  <c r="D14" i="3" s="1"/>
  <c r="K14" i="3"/>
  <c r="E14" i="3" s="1"/>
  <c r="B23" i="3"/>
  <c r="B14" i="3"/>
  <c r="F23" i="3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<sst xmlns="http://schemas.openxmlformats.org/spreadsheetml/2006/main" count="247" uniqueCount="144">
  <si>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</si>
  <si>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</si>
  <si>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</si>
  <si>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</si>
  <si>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</si>
  <si>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</si>
  <si>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</si>
  <si>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</si>
  <si>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</si>
  <si>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</si>
  <si>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</si>
  <si>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</si>
  <si>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</si>
  <si>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</si>
  <si>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</si>
  <si>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</si>
  <si>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</si>
  <si>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</si>
  <si>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</si>
  <si>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</si>
  <si>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</si>
  <si>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</si>
  <si>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</si>
  <si>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</si>
  <si>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</si>
  <si>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</si>
  <si>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</si>
  <si>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</si>
  <si>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</si>
  <si>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</si>
  <si>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</si>
  <si>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</si>
  <si>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</si>
  <si>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</si>
  <si>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</si>
  <si>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</si>
  <si>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</si>
  <si>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</si>
  <si>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</si>
  <si>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</si>
  <si>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</si>
  <si>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</si>
  <si>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</si>
  <si>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</si>
  <si>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</si>
  <si>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</si>
  <si>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</si>
  <si>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</si>
  <si>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</si>
  <si>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</si>
  <si>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</si>
  <si>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</si>
  <si>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</si>
  <si>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</si>
  <si>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</si>
  <si>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</si>
  <si>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</si>
  <si>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</si>
  <si>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</si>
  <si>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</si>
  <si>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</si>
  <si>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</si>
  <si>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</si>
  <si>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</si>
  <si>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</si>
  <si>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</si>
  <si>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</si>
  <si>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</si>
  <si>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</si>
  <si>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</si>
  <si>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</si>
  <si>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</si>
  <si>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</si>
  <si>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</si>
  <si>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</si>
  <si>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</si>
  <si>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</si>
  <si>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</si>
  <si>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</si>
  <si>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</si>
  <si>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</si>
  <si>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</si>
  <si>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</si>
  <si>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</si>
  <si>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</si>
  <si>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</si>
  <si>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</si>
  <si>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</si>
  <si>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</si>
  <si>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</si>
  <si>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</si>
  <si>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</si>
  <si>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</si>
  <si>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</si>
  <si>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</si>
  <si>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</si>
  <si>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</si>
  <si>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</si>
  <si>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</si>
  <si>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</si>
  <si>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</si>
  <si>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</si>
  <si>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</si>
  <si>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</si>
  <si>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</si>
  <si>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</si>
  <si>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</si>
  <si>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</si>
  <si>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</si>
  <si>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</si>
  <si>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</si>
  <si>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</si>
  <si>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</si>
  <si>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</si>
  <si>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</si>
  <si>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</si>
  <si>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</si>
  <si>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</si>
  <si>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</si>
  <si>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</si>
  <si>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</si>
  <si>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</si>
  <si>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</si>
  <si>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</si>
  <si>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</si>
  <si>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</si>
  <si>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</si>
  <si>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</si>
  <si>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</si>
  <si>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</si>
  <si>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</si>
  <si>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</si>
  <si>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</si>
  <si>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</si>
  <si>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</si>
  <si>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</si>
  <si>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</si>
  <si>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</si>
  <si>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</si>
  <si>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</si>
  <si>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</si>
  <si>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BLANCO MERINO 22191 SF</t>
  </si>
  <si>
    <t>CUB MESA 90° R8 2LADOS</t>
  </si>
  <si>
    <t>N° 11655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</si>
</sst>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7290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45830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45923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23347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1100</v>
      </c>
      <c r="E21" s="109">
        <v>700</v>
      </c>
      <c r="F21" s="106" t="s">
        <v>141</v>
      </c>
      <c r="G21" s="107">
        <v>37004</v>
      </c>
      <c r="H21" s="107">
        <f t="shared" ref="H21" si="0">G21*B21</f>
        <v>37004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37004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7030.76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44034.76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26" zoomScaleNormal="100" workbookViewId="0">
      <selection activeCell="A38" sqref="A38:F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7290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45923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140</v>
      </c>
      <c r="B14" s="25">
        <f t="shared" ref="B14" si="0">I14</f>
        <v>1</v>
      </c>
      <c r="C14" s="25"/>
      <c r="D14" s="25">
        <f>J14+D13</f>
        <v>1180</v>
      </c>
      <c r="E14" s="35">
        <f>K14+E$13</f>
        <v>700</v>
      </c>
      <c r="F14" s="103" t="str">
        <f>C29</f>
        <v>CUB MESA 90° R8 2LADOS</v>
      </c>
      <c r="G14" s="1"/>
      <c r="I14" s="3">
        <f>I23</f>
        <v>1</v>
      </c>
      <c r="J14" s="4">
        <f>J23</f>
        <v>1100</v>
      </c>
      <c r="K14" s="4">
        <f>E29</f>
        <v>700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08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8" t="s">
        <v>14</v>
      </c>
      <c r="B19" s="118"/>
      <c r="C19" s="118"/>
      <c r="D19" s="118"/>
      <c r="E19" s="118"/>
      <c r="F19" s="118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/>
      <c r="B23" s="16">
        <f t="shared" ref="B23" si="1">I23</f>
        <v>1</v>
      </c>
      <c r="C23" s="16"/>
      <c r="D23" s="16">
        <f>J23+D22</f>
        <v>1140</v>
      </c>
      <c r="E23" s="16">
        <f>K23+E$22</f>
        <v>810</v>
      </c>
      <c r="F23" s="104" t="str">
        <f>C29</f>
        <v>CUB MESA 90° R8 2LADOS</v>
      </c>
      <c r="G23" s="1"/>
      <c r="I23" s="3">
        <f>B29</f>
        <v>1</v>
      </c>
      <c r="J23" s="4">
        <f>D29</f>
        <v>1100</v>
      </c>
      <c r="K23" s="4">
        <f t="shared" ref="K23" si="2">E29</f>
        <v>700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140</v>
      </c>
      <c r="B29" s="25">
        <f>'4637'!B21</f>
        <v>1</v>
      </c>
      <c r="C29" s="103" t="str">
        <f>'4637'!C21</f>
        <v>CUB MESA 90° R8 2LADOS</v>
      </c>
      <c r="D29" s="25">
        <f>'4637'!D21</f>
        <v>1100</v>
      </c>
      <c r="E29" s="25">
        <f>'4637'!E21</f>
        <v>700</v>
      </c>
      <c r="F29" s="25" t="str">
        <f>'4637'!F21</f>
        <v>BLANCO MERINO 22191 SF</v>
      </c>
      <c r="G29" s="1"/>
    </row>
    <row r="30" spans="1:11" ht="15.6" x14ac:dyDescent="0.3">
      <c r="A30" s="96"/>
      <c r="B30" s="6"/>
      <c r="C30" s="108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7290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45923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8" t="s">
        <v>68</v>
      </c>
      <c r="B46" s="118"/>
      <c r="C46" s="118"/>
      <c r="D46" s="118"/>
      <c r="E46" s="118"/>
      <c r="F46" s="118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9" t="s">
        <v>69</v>
      </c>
      <c r="C48" s="120"/>
      <c r="D48" s="121"/>
      <c r="E48" s="121"/>
      <c r="F48" s="122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140</v>
      </c>
      <c r="B50" s="38">
        <f>'4637'!B21</f>
        <v>1</v>
      </c>
      <c r="C50" s="102" t="str">
        <f>'4637'!C21</f>
        <v>CUB MESA 90° R8 2LADOS</v>
      </c>
      <c r="D50" s="39">
        <f>'4637'!D21</f>
        <v>1100</v>
      </c>
      <c r="E50" s="39">
        <f>'4637'!E21</f>
        <v>700</v>
      </c>
      <c r="F50" s="38" t="str">
        <f>'4637'!F21</f>
        <v>BLANCO MERINO 22191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2025-09-22T15:33:21Z</cp:lastPrinted>
  <dcterms:created xsi:type="dcterms:W3CDTF">2013-03-19T12:54:14Z</dcterms:created>
  <dcterms:modified xsi:type="dcterms:W3CDTF">2025-09-26T17:59:06Z</dcterms:modified>
</cp:coreProperties>
</file>