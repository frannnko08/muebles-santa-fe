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9 SEPTIEMBRE 2025\"/>
    </mc:Choice>
  </mc:AlternateContent>
  <xr:revisionPtr revIDLastSave="0" documentId="13_ncr:1_{6819FFE2-BD3A-41BC-B891-448E2D826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23" i="3"/>
  <c r="D22" i="3"/>
  <c r="D23" i="3"/>
  <c r="D14" i="3"/>
  <c r="D15" i="3"/>
  <c r="E15" i="3"/>
  <c r="I23" i="3"/>
  <c r="J23" i="3"/>
  <c r="K23" i="3"/>
  <c r="I15" i="3"/>
  <c r="B15" i="3" s="1"/>
  <c r="J15" i="3"/>
  <c r="K15" i="3"/>
  <c r="F15" i="3"/>
  <c r="B23" i="3"/>
  <c r="F23" i="3"/>
  <c r="B29" i="3"/>
  <c r="C29" i="3"/>
  <c r="D29" i="3"/>
  <c r="E29" i="3"/>
  <c r="F29" i="3"/>
  <c r="B50" i="3"/>
  <c r="C50" i="3"/>
  <c r="D50" i="3"/>
  <c r="E50" i="3"/>
  <c r="F50" i="3"/>
  <c r="H25" i="4"/>
  <c r="H22" i="4"/>
  <c r="H26" i="4" l="1"/>
  <c r="H21" i="4"/>
  <c r="B28" i="3" l="1"/>
  <c r="I22" i="3" s="1"/>
  <c r="I14" i="3" s="1"/>
  <c r="C28" i="3"/>
  <c r="F14" i="3" s="1"/>
  <c r="D28" i="3"/>
  <c r="J22" i="3" s="1"/>
  <c r="E28" i="3"/>
  <c r="K22" i="3" s="1"/>
  <c r="F28" i="3"/>
  <c r="B49" i="3"/>
  <c r="C49" i="3"/>
  <c r="D49" i="3"/>
  <c r="E49" i="3"/>
  <c r="F49" i="3"/>
  <c r="J14" i="3" l="1"/>
  <c r="K14" i="3"/>
  <c r="E14" i="3" s="1"/>
  <c r="B22" i="3"/>
  <c r="B14" i="3"/>
  <c r="F22" i="3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<sst xmlns="http://schemas.openxmlformats.org/spreadsheetml/2006/main" count="245" uniqueCount="140">
  <si>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</si>
  <si>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</si>
  <si>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</si>
  <si>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</si>
  <si>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</si>
  <si>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</si>
  <si>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</si>
  <si>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</si>
  <si>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</si>
  <si>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</si>
  <si>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</si>
  <si>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</si>
  <si>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</si>
  <si>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</si>
  <si>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</si>
  <si>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</si>
  <si>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</si>
  <si>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</si>
  <si>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</si>
  <si>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</si>
  <si>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</si>
  <si>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</si>
  <si>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</si>
  <si>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</si>
  <si>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</si>
  <si>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</si>
  <si>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</si>
  <si>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</si>
  <si>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</si>
  <si>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</si>
  <si>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</si>
  <si>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</si>
  <si>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</si>
  <si>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</si>
  <si>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</si>
  <si>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</si>
  <si>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</si>
  <si>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</si>
  <si>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</si>
  <si>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</si>
  <si>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</si>
  <si>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</si>
  <si>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</si>
  <si>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</si>
  <si>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</si>
  <si>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</si>
  <si>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</si>
  <si>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</si>
  <si>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</si>
  <si>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</si>
  <si>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</si>
  <si>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</si>
  <si>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</si>
  <si>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</si>
  <si>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</si>
  <si>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</si>
  <si>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</si>
  <si>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</si>
  <si>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</si>
  <si>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</si>
  <si>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</si>
  <si>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</si>
  <si>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</si>
  <si>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</si>
  <si>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</si>
  <si>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</si>
  <si>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</si>
  <si>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</si>
  <si>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</si>
  <si>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</si>
  <si>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</si>
  <si>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</si>
  <si>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</si>
  <si>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</si>
  <si>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</si>
  <si>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</si>
  <si>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</si>
  <si>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</si>
  <si>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</si>
  <si>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</si>
  <si>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</si>
  <si>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</si>
  <si>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</si>
  <si>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</si>
  <si>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</si>
  <si>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</si>
  <si>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</si>
  <si>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</si>
  <si>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</si>
  <si>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</si>
  <si>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</si>
  <si>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</si>
  <si>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</si>
  <si>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</si>
  <si>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</si>
  <si>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</si>
  <si>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</si>
  <si>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</si>
  <si>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</si>
  <si>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</si>
  <si>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</si>
  <si>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</si>
  <si>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</si>
  <si>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</si>
  <si>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</si>
  <si>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</si>
  <si>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</si>
  <si>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</si>
  <si>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</si>
  <si>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</si>
  <si>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</si>
  <si>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</si>
  <si>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</si>
  <si>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</si>
  <si>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</si>
  <si>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</si>
  <si>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</si>
  <si>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</si>
  <si>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</si>
  <si>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</si>
  <si>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</si>
  <si>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</si>
  <si>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</si>
  <si>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</si>
  <si>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</si>
  <si>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</si>
  <si>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</si>
  <si>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</si>
  <si>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</si>
  <si>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</si>
  <si>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</si>
  <si>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</si>
  <si>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</si>
  <si>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</si>
  <si>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</si>
  <si>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</si>
  <si>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HECTOR NUÑEZ</t>
  </si>
  <si>
    <t>CUB CON RESPALDO R8</t>
  </si>
  <si>
    <t>GRANITO KOMBI</t>
  </si>
  <si>
    <t>N° 11665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</si>
</sst>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$70.000 EL DÍA 23/09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6</xdr:col>
      <xdr:colOff>0</xdr:colOff>
      <xdr:row>6</xdr:row>
      <xdr:rowOff>182880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47850" y="1076325"/>
          <a:ext cx="6823710" cy="1885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3440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9</xdr:row>
      <xdr:rowOff>175260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019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6</xdr:col>
      <xdr:colOff>0</xdr:colOff>
      <xdr:row>45</xdr:row>
      <xdr:rowOff>7620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8210550"/>
          <a:ext cx="8509635" cy="2324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2377440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25627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4CM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L22" sqref="L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7289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45831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45926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/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9">
        <v>1</v>
      </c>
      <c r="C21" s="120" t="s">
        <v>137</v>
      </c>
      <c r="D21" s="121">
        <v>1600</v>
      </c>
      <c r="E21" s="121">
        <v>500</v>
      </c>
      <c r="F21" s="120" t="s">
        <v>138</v>
      </c>
      <c r="G21" s="122">
        <v>49451</v>
      </c>
      <c r="H21" s="123">
        <f t="shared" ref="H21" si="0">G21*B21</f>
        <v>49451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4">
        <v>1</v>
      </c>
      <c r="C22" s="125" t="s">
        <v>137</v>
      </c>
      <c r="D22" s="126">
        <v>1800</v>
      </c>
      <c r="E22" s="126">
        <v>500</v>
      </c>
      <c r="F22" s="125" t="s">
        <v>138</v>
      </c>
      <c r="G22" s="127">
        <v>58445</v>
      </c>
      <c r="H22" s="128">
        <f>G22</f>
        <v>58445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SUM(H21:H22)</f>
        <v>107896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H25*0.19</f>
        <v>20500.240000000002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v>128000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9" zoomScaleNormal="100" workbookViewId="0">
      <selection activeCell="G35" sqref="A1:G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7289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HECTOR NUÑEZ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45926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>J14+$D$13</f>
        <v>1650</v>
      </c>
      <c r="E14" s="35">
        <f>K14+E$13</f>
        <v>470</v>
      </c>
      <c r="F14" s="103" t="str">
        <f>C28</f>
        <v>CUB CON RESPALDO R8</v>
      </c>
      <c r="G14" s="1"/>
      <c r="I14" s="3">
        <f>I22</f>
        <v>1</v>
      </c>
      <c r="J14" s="4">
        <f>J22</f>
        <v>1600</v>
      </c>
      <c r="K14" s="4">
        <f>E28</f>
        <v>500</v>
      </c>
    </row>
    <row r="15" spans="1:14" ht="15.6" x14ac:dyDescent="0.3">
      <c r="A15" s="96"/>
      <c r="B15" s="25">
        <f t="shared" ref="B15" si="1">I15</f>
        <v>1</v>
      </c>
      <c r="C15" s="25"/>
      <c r="D15" s="25">
        <f>J15+$D$13</f>
        <v>1850</v>
      </c>
      <c r="E15" s="35">
        <f>K15+E$13</f>
        <v>470</v>
      </c>
      <c r="F15" s="103" t="str">
        <f>C29</f>
        <v>CUB CON RESPALDO R8</v>
      </c>
      <c r="G15" s="1"/>
      <c r="I15" s="3">
        <f>I23</f>
        <v>1</v>
      </c>
      <c r="J15" s="4">
        <f>J23</f>
        <v>1800</v>
      </c>
      <c r="K15" s="4">
        <f>E29</f>
        <v>500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4" t="s">
        <v>14</v>
      </c>
      <c r="B18" s="114"/>
      <c r="C18" s="114"/>
      <c r="D18" s="114"/>
      <c r="E18" s="114"/>
      <c r="F18" s="11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110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/>
      <c r="D22" s="16">
        <f>J22+$D$21</f>
        <v>1640</v>
      </c>
      <c r="E22" s="16">
        <f>K22+E$21</f>
        <v>610</v>
      </c>
      <c r="F22" s="104" t="str">
        <f>C28</f>
        <v>CUB CON RESPALDO R8</v>
      </c>
      <c r="G22" s="1"/>
      <c r="I22" s="3">
        <f>B28</f>
        <v>1</v>
      </c>
      <c r="J22" s="4">
        <f>D28</f>
        <v>1600</v>
      </c>
      <c r="K22" s="4">
        <f t="shared" ref="K22" si="3">E28</f>
        <v>500</v>
      </c>
    </row>
    <row r="23" spans="1:11" ht="15.6" x14ac:dyDescent="0.3">
      <c r="A23" s="96"/>
      <c r="B23" s="16">
        <f t="shared" ref="B23" si="4">I23</f>
        <v>1</v>
      </c>
      <c r="C23" s="16"/>
      <c r="D23" s="16">
        <f>J23+$D$21</f>
        <v>1840</v>
      </c>
      <c r="E23" s="16">
        <f>K23+E$21</f>
        <v>610</v>
      </c>
      <c r="F23" s="104" t="str">
        <f>C29</f>
        <v>CUB CON RESPALDO R8</v>
      </c>
      <c r="G23" s="1"/>
      <c r="I23" s="3">
        <f>B29</f>
        <v>1</v>
      </c>
      <c r="J23" s="4">
        <f>D29</f>
        <v>1800</v>
      </c>
      <c r="K23" s="4">
        <f t="shared" ref="K23" si="5">E29</f>
        <v>500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135</v>
      </c>
      <c r="B28" s="25">
        <f>'4637'!B21</f>
        <v>1</v>
      </c>
      <c r="C28" s="103" t="str">
        <f>'4637'!C21</f>
        <v>CUB CON RESPALDO R8</v>
      </c>
      <c r="D28" s="25">
        <f>'4637'!D21</f>
        <v>1600</v>
      </c>
      <c r="E28" s="25">
        <f>'4637'!E21</f>
        <v>500</v>
      </c>
      <c r="F28" s="25" t="str">
        <f>'4637'!F21</f>
        <v>GRANITO KOMBI</v>
      </c>
      <c r="G28" s="1"/>
    </row>
    <row r="29" spans="1:11" ht="15.6" x14ac:dyDescent="0.3">
      <c r="A29" s="96"/>
      <c r="B29" s="25">
        <f>'4637'!B22</f>
        <v>1</v>
      </c>
      <c r="C29" s="103" t="str">
        <f>'4637'!C22</f>
        <v>CUB CON RESPALDO R8</v>
      </c>
      <c r="D29" s="25">
        <f>'4637'!D22</f>
        <v>1800</v>
      </c>
      <c r="E29" s="25">
        <f>'4637'!E22</f>
        <v>500</v>
      </c>
      <c r="F29" s="25" t="str">
        <f>'4637'!F22</f>
        <v>GRANITO KOMBI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7289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HECTOR NUÑEZ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45926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4" t="s">
        <v>68</v>
      </c>
      <c r="B45" s="114"/>
      <c r="C45" s="114"/>
      <c r="D45" s="114"/>
      <c r="E45" s="114"/>
      <c r="F45" s="11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5" t="s">
        <v>69</v>
      </c>
      <c r="C47" s="116"/>
      <c r="D47" s="117"/>
      <c r="E47" s="117"/>
      <c r="F47" s="11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135</v>
      </c>
      <c r="B49" s="38">
        <f>'4637'!B21</f>
        <v>1</v>
      </c>
      <c r="C49" s="102" t="str">
        <f>'4637'!C21</f>
        <v>CUB CON RESPALDO R8</v>
      </c>
      <c r="D49" s="39">
        <f>'4637'!D21</f>
        <v>1600</v>
      </c>
      <c r="E49" s="39">
        <f>'4637'!E21</f>
        <v>500</v>
      </c>
      <c r="F49" s="38" t="str">
        <f>'4637'!F21</f>
        <v>GRANITO KOMBI</v>
      </c>
      <c r="G49" s="1"/>
    </row>
    <row r="50" spans="1:7" s="15" customFormat="1" ht="15" customHeight="1" x14ac:dyDescent="0.3">
      <c r="A50" s="96"/>
      <c r="B50" s="38">
        <f>'4637'!B22</f>
        <v>1</v>
      </c>
      <c r="C50" s="102" t="str">
        <f>'4637'!C22</f>
        <v>CUB CON RESPALDO R8</v>
      </c>
      <c r="D50" s="39">
        <f>'4637'!D22</f>
        <v>1800</v>
      </c>
      <c r="E50" s="39">
        <f>'4637'!E22</f>
        <v>500</v>
      </c>
      <c r="F50" s="38" t="str">
        <f>'4637'!F22</f>
        <v>GRANITO KOMBI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2025-09-24T14:54:37Z</cp:lastPrinted>
  <dcterms:created xsi:type="dcterms:W3CDTF">2013-03-19T12:54:14Z</dcterms:created>
  <dcterms:modified xsi:type="dcterms:W3CDTF">2025-09-26T13:21:09Z</dcterms:modified>
</cp:coreProperties>
</file>