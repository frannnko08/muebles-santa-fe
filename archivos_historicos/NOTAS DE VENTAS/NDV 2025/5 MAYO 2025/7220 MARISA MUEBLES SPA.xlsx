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5\"/>
    </mc:Choice>
  </mc:AlternateContent>
  <xr:revisionPtr revIDLastSave="0" documentId="13_ncr:1_{A609A0EF-06DF-41DB-B218-888AA05661A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CUBIERTA!$A$38:$F$61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3" l="1"/>
  <c r="B15" i="3"/>
  <c r="D15" i="3"/>
  <c r="H21" i="4"/>
  <c r="B29" i="3"/>
  <c r="I23" i="3" s="1"/>
  <c r="C29" i="3"/>
  <c r="F14" i="3" s="1"/>
  <c r="D29" i="3"/>
  <c r="J14" i="3" s="1"/>
  <c r="D14" i="3" s="1"/>
  <c r="E29" i="3"/>
  <c r="K23" i="3" s="1"/>
  <c r="E23" i="3" s="1"/>
  <c r="F29" i="3"/>
  <c r="B50" i="3"/>
  <c r="C50" i="3"/>
  <c r="D50" i="3"/>
  <c r="E50" i="3"/>
  <c r="F50" i="3"/>
  <c r="J23" i="3" l="1"/>
  <c r="D23" i="3" s="1"/>
  <c r="K14" i="3"/>
  <c r="E14" i="3" s="1"/>
  <c r="B23" i="3"/>
  <c r="I14" i="3"/>
  <c r="B14" i="3" s="1"/>
  <c r="F23" i="3"/>
  <c r="H24" i="4"/>
  <c r="H25" i="4" l="1"/>
  <c r="H26" i="4" l="1"/>
  <c r="N5" i="3" l="1"/>
  <c r="M5" i="3" l="1"/>
  <c r="L5" i="3"/>
  <c r="K5" i="3"/>
  <c r="C43" i="3" l="1"/>
  <c r="C7" i="3"/>
  <c r="D41" i="3"/>
  <c r="D5" i="3"/>
  <c r="D43" i="3"/>
  <c r="D7" i="3"/>
  <c r="D40" i="3"/>
  <c r="D4" i="3"/>
</calcChain>
</file>

<file path=xl/sharedStrings.xml><?xml version="1.0" encoding="utf-8"?>
<sst xmlns="http://schemas.openxmlformats.org/spreadsheetml/2006/main" count="247" uniqueCount="145">
  <si>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</si>
  <si>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</si>
  <si>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</si>
  <si>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</si>
  <si>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</si>
  <si>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</si>
  <si>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</si>
  <si>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</si>
  <si>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</si>
  <si>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</si>
  <si>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</si>
  <si>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</si>
  <si>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</si>
  <si>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</si>
  <si>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</si>
  <si>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</si>
  <si>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</si>
  <si>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</si>
  <si>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</si>
  <si>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</si>
  <si>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</si>
  <si>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</si>
  <si>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</si>
  <si>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</si>
  <si>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</si>
  <si>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</si>
  <si>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</si>
  <si>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</si>
  <si>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</si>
  <si>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</si>
  <si>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</si>
  <si>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</si>
  <si>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</si>
  <si>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</si>
  <si>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</si>
  <si>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</si>
  <si>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</si>
  <si>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</si>
  <si>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</si>
  <si>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</si>
  <si>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</si>
  <si>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</si>
  <si>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</si>
  <si>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</si>
  <si>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</si>
  <si>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</si>
  <si>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</si>
  <si>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</si>
  <si>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</si>
  <si>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</si>
  <si>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</si>
  <si>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</si>
  <si>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</si>
  <si>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</si>
  <si>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</si>
  <si>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</si>
  <si>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</si>
  <si>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</si>
  <si>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</si>
  <si>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</si>
  <si>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</si>
  <si>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</si>
  <si>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</si>
  <si>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</si>
  <si>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</si>
  <si>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</si>
  <si>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</si>
  <si>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</si>
  <si>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</si>
  <si>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</si>
  <si>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</si>
  <si>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</si>
  <si>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</si>
  <si>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</si>
  <si>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</si>
  <si>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</si>
  <si>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</si>
  <si>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</si>
  <si>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</si>
  <si>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</si>
  <si>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</si>
  <si>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</si>
  <si>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</si>
  <si>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</si>
  <si>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</si>
  <si>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</si>
  <si>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</si>
  <si>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</si>
  <si>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</si>
  <si>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</si>
  <si>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</si>
  <si>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</si>
  <si>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</si>
  <si>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</si>
  <si>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</si>
  <si>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</si>
  <si>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</si>
  <si>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</si>
  <si>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</si>
  <si>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</si>
  <si>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</si>
  <si>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</si>
  <si>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</si>
  <si>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</si>
  <si>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</si>
  <si>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</si>
  <si>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</si>
  <si>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</si>
  <si>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</si>
  <si>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</si>
  <si>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</si>
  <si>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</si>
  <si>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</si>
  <si>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</si>
  <si>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</si>
  <si>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</si>
  <si>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</si>
  <si>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</si>
  <si>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</si>
  <si>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</si>
  <si>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</si>
  <si>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</si>
  <si>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</si>
  <si>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</si>
  <si>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</si>
  <si>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</si>
  <si>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</si>
  <si>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</si>
  <si>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</si>
  <si>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</si>
  <si>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</si>
  <si>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</si>
  <si>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</si>
  <si>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CONTACTO:</t>
  </si>
  <si>
    <t>MDF18MM</t>
  </si>
  <si>
    <t>CONTADO</t>
  </si>
  <si>
    <t>PUERTO MONTT</t>
  </si>
  <si>
    <t>MARISA MUEBLES SPA</t>
  </si>
  <si>
    <t>77.873.294-7</t>
  </si>
  <si>
    <t>EDUARDO CABRERA</t>
  </si>
  <si>
    <t>569 7664 0746</t>
  </si>
  <si>
    <t>BLANCO 2114 F6 MT</t>
  </si>
  <si>
    <t>N° 11260</t>
  </si>
  <si>
    <t>FALDON</t>
  </si>
  <si>
    <t>CUB MESA 2 LADOS R12 F/5CMS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</si>
</sst>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5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3" borderId="0" xfId="0" applyFont="1" applyFill="1"/>
    <xf numFmtId="166" fontId="3" fillId="0" borderId="32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8" fillId="3" borderId="0" xfId="0" quotePrefix="1" applyFont="1" applyFill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23</xdr:row>
      <xdr:rowOff>9525</xdr:rowOff>
    </xdr:from>
    <xdr:to>
      <xdr:col>5</xdr:col>
      <xdr:colOff>1390650</xdr:colOff>
      <xdr:row>27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$ 1.400.000.-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1685924</xdr:colOff>
      <xdr:row>46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0</xdr:rowOff>
    </xdr:from>
    <xdr:to>
      <xdr:col>6</xdr:col>
      <xdr:colOff>0</xdr:colOff>
      <xdr:row>43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38100</xdr:rowOff>
    </xdr:from>
    <xdr:to>
      <xdr:col>6</xdr:col>
      <xdr:colOff>0</xdr:colOff>
      <xdr:row>41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0</xdr:rowOff>
    </xdr:from>
    <xdr:to>
      <xdr:col>6</xdr:col>
      <xdr:colOff>0</xdr:colOff>
      <xdr:row>40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31</xdr:row>
      <xdr:rowOff>15239</xdr:rowOff>
    </xdr:from>
    <xdr:to>
      <xdr:col>6</xdr:col>
      <xdr:colOff>68580</xdr:colOff>
      <xdr:row>35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UN LADO A LA MEDIDA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UN LADO A LA MEDIDA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38</xdr:row>
      <xdr:rowOff>41910</xdr:rowOff>
    </xdr:from>
    <xdr:to>
      <xdr:col>1</xdr:col>
      <xdr:colOff>801763</xdr:colOff>
      <xdr:row>44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opLeftCell="A6" workbookViewId="0">
      <selection activeCell="K14" sqref="K14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142</v>
      </c>
      <c r="E8" s="1"/>
      <c r="F8" s="94" t="s">
        <v>27</v>
      </c>
      <c r="G8" s="95">
        <v>7220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137</v>
      </c>
      <c r="D10" s="55"/>
      <c r="E10" s="55"/>
      <c r="F10" s="56" t="s">
        <v>28</v>
      </c>
      <c r="G10" s="57">
        <v>45764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138</v>
      </c>
      <c r="D11" s="60"/>
      <c r="E11" s="60"/>
      <c r="F11" s="60" t="s">
        <v>124</v>
      </c>
      <c r="G11" s="61">
        <v>45779</v>
      </c>
      <c r="H11" s="62"/>
      <c r="I11" s="1"/>
    </row>
    <row r="12" spans="1:17" ht="15.6" x14ac:dyDescent="0.3">
      <c r="A12" s="1"/>
      <c r="B12" s="63" t="s">
        <v>132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133</v>
      </c>
      <c r="C13" s="108" t="s">
        <v>139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11" t="s">
        <v>140</v>
      </c>
      <c r="D14" s="66"/>
      <c r="E14" s="60"/>
      <c r="F14" s="60" t="s">
        <v>29</v>
      </c>
      <c r="G14" s="60"/>
      <c r="H14" s="62"/>
      <c r="I14" s="1"/>
    </row>
    <row r="15" spans="1:17" ht="15.6" x14ac:dyDescent="0.3">
      <c r="A15" s="1"/>
      <c r="B15" s="63" t="s">
        <v>1</v>
      </c>
      <c r="C15" s="101"/>
      <c r="D15" s="43"/>
      <c r="E15" s="43"/>
      <c r="F15" s="67" t="s">
        <v>75</v>
      </c>
      <c r="G15" s="67" t="s">
        <v>135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136</v>
      </c>
      <c r="D16" s="69"/>
      <c r="E16" s="70"/>
      <c r="F16" s="112" t="s">
        <v>18</v>
      </c>
      <c r="G16" s="112"/>
      <c r="H16" s="113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4" t="s">
        <v>19</v>
      </c>
      <c r="C19" s="115"/>
      <c r="D19" s="115"/>
      <c r="E19" s="115"/>
      <c r="F19" s="115"/>
      <c r="G19" s="115"/>
      <c r="H19" s="116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5">
        <v>100</v>
      </c>
      <c r="C21" s="105" t="s">
        <v>144</v>
      </c>
      <c r="D21" s="106">
        <v>1350</v>
      </c>
      <c r="E21" s="106">
        <v>350</v>
      </c>
      <c r="F21" s="105" t="s">
        <v>141</v>
      </c>
      <c r="G21" s="109">
        <v>24136</v>
      </c>
      <c r="H21" s="110">
        <f t="shared" ref="H21" si="0">G21*B21</f>
        <v>2413600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97"/>
      <c r="C22" s="97"/>
      <c r="D22" s="97"/>
      <c r="E22" s="97"/>
      <c r="F22" s="98"/>
      <c r="G22" s="99"/>
      <c r="H22" s="99"/>
      <c r="I22" s="1"/>
      <c r="K22" s="17"/>
      <c r="L22" s="26"/>
      <c r="M22" s="17"/>
      <c r="N22" s="17"/>
      <c r="O22" s="26"/>
      <c r="P22" s="33"/>
    </row>
    <row r="23" spans="1:16" ht="8.25" customHeight="1" thickBot="1" x14ac:dyDescent="0.35">
      <c r="A23" s="1"/>
      <c r="B23" s="74"/>
      <c r="C23" s="74"/>
      <c r="D23" s="74"/>
      <c r="E23" s="74"/>
      <c r="F23" s="74"/>
      <c r="G23" s="75"/>
      <c r="H23" s="75"/>
      <c r="I23" s="1"/>
    </row>
    <row r="24" spans="1:16" ht="15.6" x14ac:dyDescent="0.3">
      <c r="A24" s="1"/>
      <c r="B24" s="1"/>
      <c r="C24" s="1"/>
      <c r="D24" s="1"/>
      <c r="E24" s="1"/>
      <c r="F24" s="1"/>
      <c r="G24" s="76" t="s">
        <v>5</v>
      </c>
      <c r="H24" s="77">
        <f>SUM(H21:H23)</f>
        <v>2413600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8" t="s">
        <v>6</v>
      </c>
      <c r="H25" s="79">
        <f>H24*19%</f>
        <v>458584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80" t="s">
        <v>4</v>
      </c>
      <c r="H26" s="81">
        <f>H24+H25</f>
        <v>2872184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2"/>
      <c r="H27" s="100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2" t="s">
        <v>123</v>
      </c>
      <c r="C29" s="83"/>
      <c r="D29" s="84"/>
      <c r="E29" s="84"/>
      <c r="F29" s="74"/>
      <c r="G29" s="1"/>
      <c r="H29" s="1"/>
      <c r="I29" s="1"/>
    </row>
    <row r="30" spans="1:16" ht="15.6" x14ac:dyDescent="0.3">
      <c r="A30" s="1"/>
      <c r="B30" s="82" t="s">
        <v>122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5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0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7" t="s">
        <v>31</v>
      </c>
      <c r="C2" s="117"/>
      <c r="D2" s="117"/>
      <c r="E2" s="18"/>
      <c r="G2" s="117" t="s">
        <v>70</v>
      </c>
      <c r="H2" s="117"/>
      <c r="I2" s="117"/>
      <c r="P2" s="118" t="s">
        <v>58</v>
      </c>
      <c r="Q2" s="118"/>
      <c r="R2" s="118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8" t="s">
        <v>58</v>
      </c>
      <c r="M8" s="118"/>
      <c r="N8" s="118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2"/>
  <sheetViews>
    <sheetView tabSelected="1" topLeftCell="A37" zoomScaleNormal="100" workbookViewId="0">
      <selection activeCell="A38" sqref="A38:F61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9" t="s">
        <v>61</v>
      </c>
      <c r="L3" s="119"/>
      <c r="M3" s="119" t="s">
        <v>14</v>
      </c>
      <c r="N3" s="119"/>
    </row>
    <row r="4" spans="1:14" ht="15.75" customHeight="1" x14ac:dyDescent="0.3">
      <c r="A4" s="1"/>
      <c r="B4" s="1"/>
      <c r="C4" s="40" t="s">
        <v>27</v>
      </c>
      <c r="D4" s="14">
        <f>'4637'!G8</f>
        <v>7220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MARISA MUEBLES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45779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0" t="s">
        <v>61</v>
      </c>
      <c r="B10" s="120"/>
      <c r="C10" s="120"/>
      <c r="D10" s="120"/>
      <c r="E10" s="120"/>
      <c r="F10" s="120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100</v>
      </c>
      <c r="C14" s="25"/>
      <c r="D14" s="25">
        <f t="shared" ref="D14" si="1">J14+D$13</f>
        <v>1430</v>
      </c>
      <c r="E14" s="35">
        <f>K14+E13</f>
        <v>350</v>
      </c>
      <c r="F14" s="103" t="str">
        <f>C29</f>
        <v>CUB MESA 2 LADOS R12 F/5CMS</v>
      </c>
      <c r="G14" s="1"/>
      <c r="I14" s="3">
        <f>I23</f>
        <v>100</v>
      </c>
      <c r="J14" s="4">
        <f>D29</f>
        <v>1350</v>
      </c>
      <c r="K14" s="4">
        <f>E29</f>
        <v>350</v>
      </c>
    </row>
    <row r="15" spans="1:14" ht="15.6" x14ac:dyDescent="0.3">
      <c r="A15" s="96"/>
      <c r="B15" s="25">
        <f t="shared" ref="B15" si="2">I15</f>
        <v>200</v>
      </c>
      <c r="C15" s="25"/>
      <c r="D15" s="25">
        <f t="shared" ref="D15" si="3">J15+D$13</f>
        <v>1430</v>
      </c>
      <c r="E15" s="35">
        <f>K15</f>
        <v>32</v>
      </c>
      <c r="F15" s="103" t="s">
        <v>143</v>
      </c>
      <c r="G15" s="1"/>
      <c r="I15" s="3">
        <v>200</v>
      </c>
      <c r="J15" s="4">
        <v>1350</v>
      </c>
      <c r="K15" s="4">
        <v>32</v>
      </c>
    </row>
    <row r="16" spans="1:14" ht="15.6" x14ac:dyDescent="0.3">
      <c r="A16" s="96"/>
      <c r="B16" s="6"/>
      <c r="C16" s="6"/>
      <c r="D16" s="6"/>
      <c r="E16" s="89"/>
      <c r="F16" s="107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0" t="s">
        <v>14</v>
      </c>
      <c r="B19" s="120"/>
      <c r="C19" s="120"/>
      <c r="D19" s="120"/>
      <c r="E19" s="120"/>
      <c r="F19" s="120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150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4">I23</f>
        <v>100</v>
      </c>
      <c r="C23" s="16"/>
      <c r="D23" s="16">
        <f>J23+D$22</f>
        <v>1390</v>
      </c>
      <c r="E23" s="16">
        <f>K23+E22</f>
        <v>500</v>
      </c>
      <c r="F23" s="104" t="str">
        <f>C29</f>
        <v>CUB MESA 2 LADOS R12 F/5CMS</v>
      </c>
      <c r="G23" s="1"/>
      <c r="I23" s="3">
        <f>B29</f>
        <v>100</v>
      </c>
      <c r="J23" s="4">
        <f t="shared" ref="J23:K23" si="5">D29</f>
        <v>1350</v>
      </c>
      <c r="K23" s="4">
        <f t="shared" si="5"/>
        <v>350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134</v>
      </c>
      <c r="B29" s="25">
        <f>'4637'!B21</f>
        <v>100</v>
      </c>
      <c r="C29" s="103" t="str">
        <f>'4637'!C21</f>
        <v>CUB MESA 2 LADOS R12 F/5CMS</v>
      </c>
      <c r="D29" s="25">
        <f>'4637'!D21</f>
        <v>1350</v>
      </c>
      <c r="E29" s="25">
        <f>'4637'!E21</f>
        <v>350</v>
      </c>
      <c r="F29" s="25" t="str">
        <f>'4637'!F21</f>
        <v>BLANCO 2114 F6 MT</v>
      </c>
      <c r="G29" s="1"/>
    </row>
    <row r="30" spans="1:11" ht="15.6" x14ac:dyDescent="0.3">
      <c r="A30" s="52"/>
      <c r="B30" s="6"/>
      <c r="C30" s="107"/>
      <c r="D30" s="6"/>
      <c r="E30" s="6"/>
      <c r="F30" s="6"/>
      <c r="G30" s="1"/>
    </row>
    <row r="31" spans="1:11" ht="15.6" x14ac:dyDescent="0.3">
      <c r="A31" s="52"/>
      <c r="B31" s="6"/>
      <c r="C31" s="107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1"/>
      <c r="C39" s="1"/>
      <c r="D39" s="1"/>
      <c r="E39" s="1"/>
      <c r="F39" s="1"/>
      <c r="G39" s="1"/>
    </row>
    <row r="40" spans="1:7" ht="15.6" x14ac:dyDescent="0.3">
      <c r="A40" s="1"/>
      <c r="B40" s="1"/>
      <c r="C40" s="40" t="s">
        <v>27</v>
      </c>
      <c r="D40" s="14">
        <f>'4637'!G8</f>
        <v>7220</v>
      </c>
      <c r="E40" s="1"/>
      <c r="F40" s="1"/>
      <c r="G40" s="1"/>
    </row>
    <row r="41" spans="1:7" ht="17.25" customHeight="1" x14ac:dyDescent="0.3">
      <c r="A41" s="1"/>
      <c r="B41" s="1"/>
      <c r="C41" s="41" t="s">
        <v>67</v>
      </c>
      <c r="D41" s="42" t="str">
        <f>'4637'!C10</f>
        <v>MARISA MUEBLES SPA</v>
      </c>
      <c r="E41" s="43"/>
      <c r="F41" s="43"/>
      <c r="G41" s="1"/>
    </row>
    <row r="42" spans="1:7" ht="4.5" customHeight="1" x14ac:dyDescent="0.3">
      <c r="A42" s="1"/>
      <c r="B42" s="1"/>
      <c r="C42" s="44"/>
      <c r="D42" s="45"/>
      <c r="E42" s="1"/>
      <c r="F42" s="1"/>
      <c r="G42" s="1"/>
    </row>
    <row r="43" spans="1:7" ht="15.6" x14ac:dyDescent="0.3">
      <c r="A43" s="1"/>
      <c r="B43" s="1"/>
      <c r="C43" s="46" t="str">
        <f>'4637'!F11</f>
        <v>FECHA LIMITE :</v>
      </c>
      <c r="D43" s="13">
        <f>'4637'!G11</f>
        <v>45779</v>
      </c>
      <c r="E43" s="1"/>
      <c r="F43" s="1"/>
      <c r="G43" s="1"/>
    </row>
    <row r="44" spans="1:7" ht="15.6" x14ac:dyDescent="0.3">
      <c r="A44" s="1"/>
      <c r="B44" s="1"/>
      <c r="C44" s="1"/>
      <c r="D44" s="1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20" t="s">
        <v>68</v>
      </c>
      <c r="B46" s="120"/>
      <c r="C46" s="120"/>
      <c r="D46" s="120"/>
      <c r="E46" s="120"/>
      <c r="F46" s="120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21" t="s">
        <v>69</v>
      </c>
      <c r="C48" s="122"/>
      <c r="D48" s="123"/>
      <c r="E48" s="123"/>
      <c r="F48" s="124"/>
      <c r="G48" s="1"/>
    </row>
    <row r="49" spans="1:7" s="15" customFormat="1" ht="12.75" customHeight="1" x14ac:dyDescent="0.3">
      <c r="A49" s="1"/>
      <c r="B49" s="36" t="s">
        <v>10</v>
      </c>
      <c r="C49" s="47" t="s">
        <v>11</v>
      </c>
      <c r="D49" s="48" t="s">
        <v>7</v>
      </c>
      <c r="E49" s="48" t="s">
        <v>8</v>
      </c>
      <c r="F49" s="49" t="s">
        <v>12</v>
      </c>
      <c r="G49" s="1"/>
    </row>
    <row r="50" spans="1:7" s="15" customFormat="1" ht="15" customHeight="1" x14ac:dyDescent="0.3">
      <c r="A50" s="96"/>
      <c r="B50" s="38">
        <f>'4637'!B21</f>
        <v>100</v>
      </c>
      <c r="C50" s="102" t="str">
        <f>'4637'!C21</f>
        <v>CUB MESA 2 LADOS R12 F/5CMS</v>
      </c>
      <c r="D50" s="39">
        <f>'4637'!D21</f>
        <v>1350</v>
      </c>
      <c r="E50" s="39">
        <f>'4637'!E21</f>
        <v>350</v>
      </c>
      <c r="F50" s="38" t="str">
        <f>'4637'!F21</f>
        <v>BLANCO 2114 F6 MT</v>
      </c>
      <c r="G50" s="1"/>
    </row>
    <row r="51" spans="1:7" s="15" customFormat="1" ht="15" customHeight="1" x14ac:dyDescent="0.3">
      <c r="A51" s="50"/>
      <c r="B51" s="52"/>
      <c r="C51" s="52"/>
      <c r="D51" s="52"/>
      <c r="E51" s="52"/>
      <c r="F51" s="52"/>
      <c r="G51" s="1"/>
    </row>
    <row r="52" spans="1:7" ht="15.6" x14ac:dyDescent="0.3">
      <c r="A52" s="6"/>
      <c r="B52" s="6"/>
      <c r="C52" s="1"/>
      <c r="D52" s="6"/>
      <c r="E52" s="6"/>
      <c r="F52" s="44"/>
      <c r="G52" s="1"/>
    </row>
    <row r="53" spans="1:7" ht="15.6" x14ac:dyDescent="0.3">
      <c r="A53" s="6"/>
      <c r="B53" s="6"/>
      <c r="C53" s="1"/>
      <c r="D53" s="6"/>
      <c r="E53" s="6"/>
      <c r="F53" s="6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" customHeight="1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6"/>
      <c r="B59" s="5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x14ac:dyDescent="0.3">
      <c r="B61" s="20"/>
      <c r="C61" s="20"/>
      <c r="D61" s="20"/>
      <c r="E61" s="20"/>
      <c r="F61" s="20"/>
    </row>
    <row r="62" spans="1:7" x14ac:dyDescent="0.3">
      <c r="B62" s="20"/>
      <c r="C62" s="20"/>
      <c r="E62" s="20"/>
      <c r="F62" s="20"/>
    </row>
  </sheetData>
  <mergeCells count="6">
    <mergeCell ref="M3:N3"/>
    <mergeCell ref="A19:F19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2025-05-27T12:18:12Z</cp:lastPrinted>
  <dcterms:created xsi:type="dcterms:W3CDTF">2013-03-19T12:54:14Z</dcterms:created>
  <dcterms:modified xsi:type="dcterms:W3CDTF">2025-05-27T12:18:17Z</dcterms:modified>
</cp:coreProperties>
</file>