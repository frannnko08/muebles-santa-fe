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5\"/>
    </mc:Choice>
  </mc:AlternateContent>
  <xr:revisionPtr revIDLastSave="0" documentId="13_ncr:1_{0A40DAF5-F2F6-4E4B-A8ED-E8B18C9F452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'4637'!$A$1:$H$40</definedName>
    <definedName name="_xlnm.Print_Area" localSheetId="2">CUBIERTA!$A$1:$G$64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D20" i="3"/>
  <c r="D21" i="3"/>
  <c r="D22" i="3"/>
  <c r="D23" i="3"/>
  <c r="K21" i="3"/>
  <c r="E21" i="3" s="1"/>
  <c r="J22" i="3"/>
  <c r="K22" i="3"/>
  <c r="E22" i="3" s="1"/>
  <c r="J23" i="3"/>
  <c r="K23" i="3"/>
  <c r="E23" i="3" s="1"/>
  <c r="B53" i="3"/>
  <c r="I38" i="3" s="1"/>
  <c r="B38" i="3" s="1"/>
  <c r="C53" i="3"/>
  <c r="F38" i="3" s="1"/>
  <c r="D53" i="3"/>
  <c r="J38" i="3" s="1"/>
  <c r="D38" i="3" s="1"/>
  <c r="E53" i="3"/>
  <c r="K38" i="3" s="1"/>
  <c r="E38" i="3" s="1"/>
  <c r="F53" i="3"/>
  <c r="B54" i="3"/>
  <c r="I39" i="3" s="1"/>
  <c r="B39" i="3" s="1"/>
  <c r="C54" i="3"/>
  <c r="F39" i="3" s="1"/>
  <c r="D54" i="3"/>
  <c r="J39" i="3" s="1"/>
  <c r="D39" i="3" s="1"/>
  <c r="E54" i="3"/>
  <c r="K39" i="3" s="1"/>
  <c r="E39" i="3" s="1"/>
  <c r="F54" i="3"/>
  <c r="B55" i="3"/>
  <c r="I40" i="3" s="1"/>
  <c r="B40" i="3" s="1"/>
  <c r="C55" i="3"/>
  <c r="F40" i="3" s="1"/>
  <c r="D55" i="3"/>
  <c r="J40" i="3" s="1"/>
  <c r="D40" i="3" s="1"/>
  <c r="E55" i="3"/>
  <c r="K40" i="3" s="1"/>
  <c r="E40" i="3" s="1"/>
  <c r="F55" i="3"/>
  <c r="B56" i="3"/>
  <c r="I41" i="3" s="1"/>
  <c r="B41" i="3" s="1"/>
  <c r="C56" i="3"/>
  <c r="F41" i="3" s="1"/>
  <c r="D56" i="3"/>
  <c r="J41" i="3" s="1"/>
  <c r="D41" i="3" s="1"/>
  <c r="E56" i="3"/>
  <c r="K41" i="3" s="1"/>
  <c r="E41" i="3" s="1"/>
  <c r="F56" i="3"/>
  <c r="B83" i="3"/>
  <c r="C83" i="3"/>
  <c r="D83" i="3"/>
  <c r="E83" i="3"/>
  <c r="F83" i="3"/>
  <c r="B84" i="3"/>
  <c r="C84" i="3"/>
  <c r="D84" i="3"/>
  <c r="E84" i="3"/>
  <c r="F84" i="3"/>
  <c r="B85" i="3"/>
  <c r="C85" i="3"/>
  <c r="D85" i="3"/>
  <c r="E85" i="3"/>
  <c r="F85" i="3"/>
  <c r="B86" i="3"/>
  <c r="C86" i="3"/>
  <c r="D86" i="3"/>
  <c r="E86" i="3"/>
  <c r="F86" i="3"/>
  <c r="H27" i="4"/>
  <c r="H28" i="4"/>
  <c r="H29" i="4"/>
  <c r="H30" i="4"/>
  <c r="B48" i="3"/>
  <c r="I33" i="3" s="1"/>
  <c r="B33" i="3" s="1"/>
  <c r="C48" i="3"/>
  <c r="F33" i="3" s="1"/>
  <c r="D48" i="3"/>
  <c r="J33" i="3" s="1"/>
  <c r="D33" i="3" s="1"/>
  <c r="E48" i="3"/>
  <c r="K33" i="3" s="1"/>
  <c r="F48" i="3"/>
  <c r="B49" i="3"/>
  <c r="I34" i="3" s="1"/>
  <c r="B34" i="3" s="1"/>
  <c r="C49" i="3"/>
  <c r="F34" i="3" s="1"/>
  <c r="D49" i="3"/>
  <c r="J34" i="3" s="1"/>
  <c r="D34" i="3" s="1"/>
  <c r="E49" i="3"/>
  <c r="K34" i="3" s="1"/>
  <c r="F49" i="3"/>
  <c r="B50" i="3"/>
  <c r="B35" i="3" s="1"/>
  <c r="C50" i="3"/>
  <c r="F35" i="3" s="1"/>
  <c r="D50" i="3"/>
  <c r="D35" i="3" s="1"/>
  <c r="E50" i="3"/>
  <c r="K35" i="3" s="1"/>
  <c r="E35" i="3" s="1"/>
  <c r="F50" i="3"/>
  <c r="B51" i="3"/>
  <c r="I36" i="3" s="1"/>
  <c r="B36" i="3" s="1"/>
  <c r="C51" i="3"/>
  <c r="F36" i="3" s="1"/>
  <c r="D51" i="3"/>
  <c r="J36" i="3" s="1"/>
  <c r="D36" i="3" s="1"/>
  <c r="E51" i="3"/>
  <c r="K36" i="3" s="1"/>
  <c r="E36" i="3" s="1"/>
  <c r="F51" i="3"/>
  <c r="B52" i="3"/>
  <c r="I37" i="3" s="1"/>
  <c r="B37" i="3" s="1"/>
  <c r="C52" i="3"/>
  <c r="F37" i="3" s="1"/>
  <c r="D52" i="3"/>
  <c r="J37" i="3" s="1"/>
  <c r="D37" i="3" s="1"/>
  <c r="E52" i="3"/>
  <c r="K37" i="3" s="1"/>
  <c r="E37" i="3" s="1"/>
  <c r="F52" i="3"/>
  <c r="B78" i="3"/>
  <c r="C78" i="3"/>
  <c r="D78" i="3"/>
  <c r="E78" i="3"/>
  <c r="F78" i="3"/>
  <c r="B79" i="3"/>
  <c r="C79" i="3"/>
  <c r="D79" i="3"/>
  <c r="E79" i="3"/>
  <c r="F79" i="3"/>
  <c r="B80" i="3"/>
  <c r="C80" i="3"/>
  <c r="D80" i="3"/>
  <c r="E80" i="3"/>
  <c r="F80" i="3"/>
  <c r="B81" i="3"/>
  <c r="C81" i="3"/>
  <c r="D81" i="3"/>
  <c r="E81" i="3"/>
  <c r="F81" i="3"/>
  <c r="B82" i="3"/>
  <c r="C82" i="3"/>
  <c r="D82" i="3"/>
  <c r="E82" i="3"/>
  <c r="F82" i="3"/>
  <c r="H24" i="4"/>
  <c r="H25" i="4"/>
  <c r="H26" i="4"/>
  <c r="J20" i="3" l="1"/>
  <c r="I23" i="3"/>
  <c r="B23" i="3" s="1"/>
  <c r="I22" i="3"/>
  <c r="B22" i="3" s="1"/>
  <c r="I21" i="3"/>
  <c r="B21" i="3" s="1"/>
  <c r="I20" i="3"/>
  <c r="B20" i="3" s="1"/>
  <c r="K20" i="3"/>
  <c r="E20" i="3" s="1"/>
  <c r="J21" i="3"/>
  <c r="F23" i="3"/>
  <c r="F22" i="3"/>
  <c r="F21" i="3"/>
  <c r="F20" i="3"/>
  <c r="K17" i="3"/>
  <c r="E17" i="3" s="1"/>
  <c r="K18" i="3"/>
  <c r="E18" i="3" s="1"/>
  <c r="K16" i="3"/>
  <c r="E16" i="3" s="1"/>
  <c r="D17" i="3"/>
  <c r="J18" i="3"/>
  <c r="D18" i="3" s="1"/>
  <c r="K19" i="3"/>
  <c r="E19" i="3" s="1"/>
  <c r="J16" i="3"/>
  <c r="D16" i="3" s="1"/>
  <c r="I19" i="3"/>
  <c r="B19" i="3" s="1"/>
  <c r="I18" i="3"/>
  <c r="B18" i="3" s="1"/>
  <c r="B17" i="3"/>
  <c r="I16" i="3"/>
  <c r="B16" i="3" s="1"/>
  <c r="I15" i="3"/>
  <c r="B15" i="3" s="1"/>
  <c r="K15" i="3"/>
  <c r="E15" i="3" s="1"/>
  <c r="J19" i="3"/>
  <c r="J15" i="3"/>
  <c r="D15" i="3" s="1"/>
  <c r="F19" i="3"/>
  <c r="F18" i="3"/>
  <c r="F17" i="3"/>
  <c r="F16" i="3"/>
  <c r="F15" i="3"/>
  <c r="H22" i="4" l="1"/>
  <c r="H23" i="4"/>
  <c r="B47" i="3" l="1"/>
  <c r="I32" i="3" s="1"/>
  <c r="C47" i="3"/>
  <c r="F14" i="3" s="1"/>
  <c r="D47" i="3"/>
  <c r="J14" i="3" s="1"/>
  <c r="D14" i="3" s="1"/>
  <c r="E47" i="3"/>
  <c r="K32" i="3" s="1"/>
  <c r="F47" i="3"/>
  <c r="B77" i="3"/>
  <c r="C77" i="3"/>
  <c r="D77" i="3"/>
  <c r="E77" i="3"/>
  <c r="F77" i="3"/>
  <c r="H21" i="4"/>
  <c r="J32" i="3" l="1"/>
  <c r="D32" i="3" s="1"/>
  <c r="K14" i="3"/>
  <c r="E14" i="3" s="1"/>
  <c r="B32" i="3"/>
  <c r="I14" i="3"/>
  <c r="B14" i="3" s="1"/>
  <c r="F32" i="3"/>
  <c r="H34" i="4"/>
  <c r="H35" i="4" l="1"/>
  <c r="H36" i="4" l="1"/>
  <c r="N5" i="3" l="1"/>
  <c r="M5" i="3" l="1"/>
  <c r="L5" i="3"/>
  <c r="K5" i="3"/>
  <c r="C70" i="3" l="1"/>
  <c r="C7" i="3"/>
  <c r="D68" i="3"/>
  <c r="D5" i="3"/>
  <c r="D70" i="3"/>
  <c r="D7" i="3"/>
  <c r="D67" i="3"/>
  <c r="D4" i="3"/>
</calcChain>
</file>

<file path=xl/sharedStrings.xml><?xml version="1.0" encoding="utf-8"?>
<sst xmlns="http://schemas.openxmlformats.org/spreadsheetml/2006/main" count="267" uniqueCount="149">
  <si>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</si>
  <si>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</si>
  <si>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</si>
  <si>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</si>
  <si>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</si>
  <si>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</si>
  <si>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</si>
  <si>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</si>
  <si>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</si>
  <si>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</si>
  <si>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</si>
  <si>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</si>
  <si>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</si>
  <si>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</si>
  <si>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</si>
  <si>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</si>
  <si>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</si>
  <si>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</si>
  <si>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</si>
  <si>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</si>
  <si>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</si>
  <si>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</si>
  <si>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</si>
  <si>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</si>
  <si>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</si>
  <si>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</si>
  <si>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</si>
  <si>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</si>
  <si>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</si>
  <si>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</si>
  <si>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</si>
  <si>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</si>
  <si>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</si>
  <si>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</si>
  <si>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</si>
  <si>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</si>
  <si>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</si>
  <si>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</si>
  <si>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</si>
  <si>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</si>
  <si>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</si>
  <si>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</si>
  <si>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</si>
  <si>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</si>
  <si>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</si>
  <si>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</si>
  <si>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</si>
  <si>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</si>
  <si>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</si>
  <si>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</si>
  <si>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</si>
  <si>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</si>
  <si>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</si>
  <si>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</si>
  <si>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</si>
  <si>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</si>
  <si>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</si>
  <si>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</si>
  <si>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</si>
  <si>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</si>
  <si>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</si>
  <si>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</si>
  <si>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</si>
  <si>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</si>
  <si>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</si>
  <si>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</si>
  <si>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</si>
  <si>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</si>
  <si>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</si>
  <si>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</si>
  <si>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</si>
  <si>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</si>
  <si>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</si>
  <si>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</si>
  <si>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</si>
  <si>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</si>
  <si>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</si>
  <si>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</si>
  <si>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</si>
  <si>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</si>
  <si>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</si>
  <si>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</si>
  <si>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</si>
  <si>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</si>
  <si>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</si>
  <si>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</si>
  <si>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</si>
  <si>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</si>
  <si>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</si>
  <si>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</si>
  <si>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</si>
  <si>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</si>
  <si>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</si>
  <si>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</si>
  <si>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</si>
  <si>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</si>
  <si>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</si>
  <si>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</si>
  <si>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</si>
  <si>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</si>
  <si>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</si>
  <si>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</si>
  <si>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</si>
  <si>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</si>
  <si>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</si>
  <si>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</si>
  <si>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</si>
  <si>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</si>
  <si>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</si>
  <si>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</si>
  <si>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</si>
  <si>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</si>
  <si>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</si>
  <si>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</si>
  <si>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</si>
  <si>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</si>
  <si>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</si>
  <si>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</si>
  <si>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</si>
  <si>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</si>
  <si>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</si>
  <si>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</si>
  <si>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</si>
  <si>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</si>
  <si>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</si>
  <si>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</si>
  <si>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</si>
  <si>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</si>
  <si>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</si>
  <si>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</si>
  <si>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</si>
  <si>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</si>
  <si>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</si>
  <si>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</si>
  <si>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</si>
  <si>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</si>
  <si>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</si>
  <si>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</si>
  <si>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</si>
  <si>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</si>
  <si>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</si>
  <si>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</si>
  <si>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11440</t>
  </si>
  <si>
    <t>MEDITERRANEO 2180 MT</t>
  </si>
  <si>
    <t>CORNISA 180° 2L</t>
  </si>
  <si>
    <t>CENEFA R12 2V</t>
  </si>
  <si>
    <t>CUB C/R R12</t>
  </si>
  <si>
    <t>CUB S/R R12</t>
  </si>
  <si>
    <t>SON 20 DE 1530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</si>
</sst>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33</xdr:row>
      <xdr:rowOff>9525</xdr:rowOff>
    </xdr:from>
    <xdr:to>
      <xdr:col>5</xdr:col>
      <xdr:colOff>1390650</xdr:colOff>
      <xdr:row>37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26</xdr:row>
      <xdr:rowOff>76200</xdr:rowOff>
    </xdr:from>
    <xdr:to>
      <xdr:col>5</xdr:col>
      <xdr:colOff>1676399</xdr:colOff>
      <xdr:row>28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71</xdr:row>
      <xdr:rowOff>171450</xdr:rowOff>
    </xdr:from>
    <xdr:to>
      <xdr:col>5</xdr:col>
      <xdr:colOff>1685924</xdr:colOff>
      <xdr:row>73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69</xdr:row>
      <xdr:rowOff>0</xdr:rowOff>
    </xdr:from>
    <xdr:to>
      <xdr:col>6</xdr:col>
      <xdr:colOff>0</xdr:colOff>
      <xdr:row>70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67</xdr:row>
      <xdr:rowOff>38100</xdr:rowOff>
    </xdr:from>
    <xdr:to>
      <xdr:col>6</xdr:col>
      <xdr:colOff>0</xdr:colOff>
      <xdr:row>68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66</xdr:row>
      <xdr:rowOff>0</xdr:rowOff>
    </xdr:from>
    <xdr:to>
      <xdr:col>6</xdr:col>
      <xdr:colOff>0</xdr:colOff>
      <xdr:row>67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87</xdr:row>
      <xdr:rowOff>0</xdr:rowOff>
    </xdr:from>
    <xdr:to>
      <xdr:col>2</xdr:col>
      <xdr:colOff>38100</xdr:colOff>
      <xdr:row>88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87</xdr:row>
      <xdr:rowOff>0</xdr:rowOff>
    </xdr:from>
    <xdr:to>
      <xdr:col>2</xdr:col>
      <xdr:colOff>1019175</xdr:colOff>
      <xdr:row>87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87</xdr:row>
      <xdr:rowOff>0</xdr:rowOff>
    </xdr:from>
    <xdr:to>
      <xdr:col>3</xdr:col>
      <xdr:colOff>352425</xdr:colOff>
      <xdr:row>88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87</xdr:row>
      <xdr:rowOff>0</xdr:rowOff>
    </xdr:from>
    <xdr:to>
      <xdr:col>4</xdr:col>
      <xdr:colOff>257175</xdr:colOff>
      <xdr:row>88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87</xdr:row>
      <xdr:rowOff>0</xdr:rowOff>
    </xdr:from>
    <xdr:to>
      <xdr:col>5</xdr:col>
      <xdr:colOff>447675</xdr:colOff>
      <xdr:row>87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87</xdr:row>
      <xdr:rowOff>0</xdr:rowOff>
    </xdr:from>
    <xdr:to>
      <xdr:col>6</xdr:col>
      <xdr:colOff>0</xdr:colOff>
      <xdr:row>87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87</xdr:row>
      <xdr:rowOff>190500</xdr:rowOff>
    </xdr:from>
    <xdr:to>
      <xdr:col>2</xdr:col>
      <xdr:colOff>304800</xdr:colOff>
      <xdr:row>89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87</xdr:row>
      <xdr:rowOff>190500</xdr:rowOff>
    </xdr:from>
    <xdr:to>
      <xdr:col>2</xdr:col>
      <xdr:colOff>1276350</xdr:colOff>
      <xdr:row>89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87</xdr:row>
      <xdr:rowOff>190500</xdr:rowOff>
    </xdr:from>
    <xdr:to>
      <xdr:col>3</xdr:col>
      <xdr:colOff>619125</xdr:colOff>
      <xdr:row>89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87</xdr:row>
      <xdr:rowOff>190500</xdr:rowOff>
    </xdr:from>
    <xdr:to>
      <xdr:col>4</xdr:col>
      <xdr:colOff>523875</xdr:colOff>
      <xdr:row>89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87</xdr:row>
      <xdr:rowOff>190500</xdr:rowOff>
    </xdr:from>
    <xdr:to>
      <xdr:col>5</xdr:col>
      <xdr:colOff>723900</xdr:colOff>
      <xdr:row>89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87</xdr:row>
      <xdr:rowOff>190500</xdr:rowOff>
    </xdr:from>
    <xdr:to>
      <xdr:col>6</xdr:col>
      <xdr:colOff>0</xdr:colOff>
      <xdr:row>89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58</xdr:row>
      <xdr:rowOff>15239</xdr:rowOff>
    </xdr:from>
    <xdr:to>
      <xdr:col>6</xdr:col>
      <xdr:colOff>68580</xdr:colOff>
      <xdr:row>62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despachar  cubiertas el 27/04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42</xdr:row>
      <xdr:rowOff>200025</xdr:rowOff>
    </xdr:from>
    <xdr:to>
      <xdr:col>6</xdr:col>
      <xdr:colOff>19049</xdr:colOff>
      <xdr:row>44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90</xdr:row>
      <xdr:rowOff>32385</xdr:rowOff>
    </xdr:from>
    <xdr:to>
      <xdr:col>6</xdr:col>
      <xdr:colOff>19050</xdr:colOff>
      <xdr:row>94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despachar  cubiertas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27/05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65</xdr:row>
      <xdr:rowOff>41910</xdr:rowOff>
    </xdr:from>
    <xdr:to>
      <xdr:col>1</xdr:col>
      <xdr:colOff>801763</xdr:colOff>
      <xdr:row>71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opLeftCell="A19" workbookViewId="0">
      <selection activeCell="K26" sqref="K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7218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45799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45804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23061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15</v>
      </c>
      <c r="C21" s="106" t="s">
        <v>146</v>
      </c>
      <c r="D21" s="109">
        <v>2660</v>
      </c>
      <c r="E21" s="109">
        <v>600</v>
      </c>
      <c r="F21" s="106" t="s">
        <v>143</v>
      </c>
      <c r="G21" s="108">
        <v>82844</v>
      </c>
      <c r="H21" s="107">
        <f t="shared" ref="H21" si="0">G21*B21</f>
        <v>1242660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4</v>
      </c>
      <c r="C22" s="106" t="s">
        <v>146</v>
      </c>
      <c r="D22" s="109">
        <v>2750</v>
      </c>
      <c r="E22" s="109">
        <v>600</v>
      </c>
      <c r="F22" s="106" t="s">
        <v>143</v>
      </c>
      <c r="G22" s="108">
        <v>85565</v>
      </c>
      <c r="H22" s="107">
        <f t="shared" ref="H22:H30" si="1">G22*B22</f>
        <v>342260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>
        <v>1</v>
      </c>
      <c r="C23" s="106" t="s">
        <v>147</v>
      </c>
      <c r="D23" s="109">
        <v>1200</v>
      </c>
      <c r="E23" s="109">
        <v>300</v>
      </c>
      <c r="F23" s="106" t="s">
        <v>143</v>
      </c>
      <c r="G23" s="108">
        <v>19350</v>
      </c>
      <c r="H23" s="107">
        <f t="shared" si="1"/>
        <v>19350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6">
        <v>20</v>
      </c>
      <c r="C24" s="106" t="s">
        <v>144</v>
      </c>
      <c r="D24" s="109">
        <v>1530</v>
      </c>
      <c r="E24" s="109">
        <v>210</v>
      </c>
      <c r="F24" s="106" t="s">
        <v>143</v>
      </c>
      <c r="G24" s="108">
        <v>17037</v>
      </c>
      <c r="H24" s="107">
        <f t="shared" si="1"/>
        <v>340740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6">
        <v>13</v>
      </c>
      <c r="C25" s="106" t="s">
        <v>144</v>
      </c>
      <c r="D25" s="109">
        <v>3000</v>
      </c>
      <c r="E25" s="109">
        <v>210</v>
      </c>
      <c r="F25" s="106" t="s">
        <v>143</v>
      </c>
      <c r="G25" s="108">
        <v>32593</v>
      </c>
      <c r="H25" s="107">
        <f t="shared" si="1"/>
        <v>423709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6">
        <v>12</v>
      </c>
      <c r="C26" s="106" t="s">
        <v>144</v>
      </c>
      <c r="D26" s="109">
        <v>2900</v>
      </c>
      <c r="E26" s="109">
        <v>210</v>
      </c>
      <c r="F26" s="106" t="s">
        <v>143</v>
      </c>
      <c r="G26" s="108">
        <v>31535</v>
      </c>
      <c r="H26" s="107">
        <f t="shared" si="1"/>
        <v>378420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6">
        <v>4</v>
      </c>
      <c r="C27" s="106" t="s">
        <v>144</v>
      </c>
      <c r="D27" s="109">
        <v>2600</v>
      </c>
      <c r="E27" s="109">
        <v>210</v>
      </c>
      <c r="F27" s="106" t="s">
        <v>143</v>
      </c>
      <c r="G27" s="108">
        <v>28360</v>
      </c>
      <c r="H27" s="107">
        <f t="shared" si="1"/>
        <v>113440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6">
        <v>18</v>
      </c>
      <c r="C28" s="106" t="s">
        <v>145</v>
      </c>
      <c r="D28" s="109">
        <v>2350</v>
      </c>
      <c r="E28" s="109">
        <v>150</v>
      </c>
      <c r="F28" s="106" t="s">
        <v>143</v>
      </c>
      <c r="G28" s="108">
        <v>18368</v>
      </c>
      <c r="H28" s="107">
        <f t="shared" si="1"/>
        <v>330624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6">
        <v>17</v>
      </c>
      <c r="C29" s="106" t="s">
        <v>145</v>
      </c>
      <c r="D29" s="109">
        <v>2850</v>
      </c>
      <c r="E29" s="109">
        <v>150</v>
      </c>
      <c r="F29" s="106" t="s">
        <v>143</v>
      </c>
      <c r="G29" s="108">
        <v>22147</v>
      </c>
      <c r="H29" s="107">
        <f t="shared" si="1"/>
        <v>376499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106">
        <v>16</v>
      </c>
      <c r="C30" s="106" t="s">
        <v>145</v>
      </c>
      <c r="D30" s="109">
        <v>3000</v>
      </c>
      <c r="E30" s="109">
        <v>150</v>
      </c>
      <c r="F30" s="106" t="s">
        <v>143</v>
      </c>
      <c r="G30" s="108">
        <v>23281</v>
      </c>
      <c r="H30" s="107">
        <f t="shared" si="1"/>
        <v>372496</v>
      </c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97"/>
      <c r="C31" s="97"/>
      <c r="D31" s="110"/>
      <c r="E31" s="110"/>
      <c r="F31" s="97"/>
      <c r="G31" s="75"/>
      <c r="H31" s="99"/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97"/>
      <c r="C32" s="97"/>
      <c r="D32" s="97"/>
      <c r="E32" s="97"/>
      <c r="F32" s="98"/>
      <c r="G32" s="99"/>
      <c r="H32" s="99"/>
      <c r="I32" s="1"/>
      <c r="K32" s="17"/>
      <c r="L32" s="26"/>
      <c r="M32" s="17"/>
      <c r="N32" s="17"/>
      <c r="O32" s="26"/>
      <c r="P32" s="33"/>
    </row>
    <row r="33" spans="1:9" ht="8.25" customHeight="1" thickBot="1" x14ac:dyDescent="0.35">
      <c r="A33" s="1"/>
      <c r="B33" s="74"/>
      <c r="C33" s="74"/>
      <c r="D33" s="74"/>
      <c r="E33" s="74"/>
      <c r="F33" s="74"/>
      <c r="G33" s="75"/>
      <c r="H33" s="75"/>
      <c r="I33" s="1"/>
    </row>
    <row r="34" spans="1:9" ht="15.6" x14ac:dyDescent="0.3">
      <c r="A34" s="1"/>
      <c r="B34" s="1"/>
      <c r="C34" s="1"/>
      <c r="D34" s="1"/>
      <c r="E34" s="1"/>
      <c r="F34" s="1"/>
      <c r="G34" s="76" t="s">
        <v>5</v>
      </c>
      <c r="H34" s="77">
        <f>SUM(H21:H33)</f>
        <v>3940198</v>
      </c>
      <c r="I34" s="1"/>
    </row>
    <row r="35" spans="1:9" ht="15.6" x14ac:dyDescent="0.3">
      <c r="A35" s="1"/>
      <c r="B35" s="1"/>
      <c r="C35" s="1"/>
      <c r="D35" s="1"/>
      <c r="E35" s="1"/>
      <c r="F35" s="1"/>
      <c r="G35" s="78" t="s">
        <v>6</v>
      </c>
      <c r="H35" s="79">
        <f>H34*19%</f>
        <v>748637.62</v>
      </c>
      <c r="I35" s="1"/>
    </row>
    <row r="36" spans="1:9" ht="16.2" thickBot="1" x14ac:dyDescent="0.35">
      <c r="A36" s="1"/>
      <c r="B36" s="1"/>
      <c r="C36" s="1"/>
      <c r="D36" s="1"/>
      <c r="E36" s="1"/>
      <c r="F36" s="1"/>
      <c r="G36" s="80" t="s">
        <v>4</v>
      </c>
      <c r="H36" s="81">
        <f>H34+H35</f>
        <v>4688835.62</v>
      </c>
      <c r="I36" s="1"/>
    </row>
    <row r="37" spans="1:9" ht="15.6" x14ac:dyDescent="0.3">
      <c r="A37" s="1"/>
      <c r="B37" s="1"/>
      <c r="C37" s="1"/>
      <c r="D37" s="1"/>
      <c r="E37" s="1"/>
      <c r="F37" s="1"/>
      <c r="G37" s="52"/>
      <c r="H37" s="100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82" t="s">
        <v>123</v>
      </c>
      <c r="C39" s="83"/>
      <c r="D39" s="84"/>
      <c r="E39" s="84"/>
      <c r="F39" s="74"/>
      <c r="G39" s="1"/>
      <c r="H39" s="1"/>
      <c r="I39" s="1"/>
    </row>
    <row r="40" spans="1:9" ht="15.6" x14ac:dyDescent="0.3">
      <c r="A40" s="1"/>
      <c r="B40" s="82" t="s">
        <v>122</v>
      </c>
      <c r="C40" s="83"/>
      <c r="D40" s="84"/>
      <c r="E40" s="84"/>
      <c r="F40" s="74"/>
      <c r="G40" s="1"/>
      <c r="H40" s="1"/>
      <c r="I40" s="1"/>
    </row>
    <row r="41" spans="1:9" ht="15.6" x14ac:dyDescent="0.3">
      <c r="A41" s="1"/>
      <c r="B41" s="1" t="s">
        <v>25</v>
      </c>
      <c r="C41" s="1"/>
      <c r="D41" s="1"/>
      <c r="E41" s="85" t="s">
        <v>26</v>
      </c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5.6" x14ac:dyDescent="0.3">
      <c r="A43" s="1"/>
      <c r="B43" s="1"/>
      <c r="C43" s="1"/>
      <c r="D43" s="1"/>
      <c r="E43" s="1"/>
      <c r="F43" s="1"/>
      <c r="G43" s="1"/>
      <c r="H43" s="1"/>
      <c r="I43" s="1"/>
    </row>
  </sheetData>
  <sortState xmlns:xlrd2="http://schemas.microsoft.com/office/spreadsheetml/2017/richdata2" ref="B45">
    <sortCondition sortBy="fontColor" ref="B45" dxfId="0"/>
  </sortState>
  <mergeCells count="2">
    <mergeCell ref="F16:H16"/>
    <mergeCell ref="B19:H19"/>
  </mergeCells>
  <phoneticPr fontId="10" type="noConversion"/>
  <hyperlinks>
    <hyperlink ref="E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8"/>
  <sheetViews>
    <sheetView tabSelected="1" zoomScaleNormal="100" workbookViewId="0">
      <selection sqref="A1:G64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7218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45804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15</v>
      </c>
      <c r="C14" s="25"/>
      <c r="D14" s="25">
        <f t="shared" ref="D14" si="1">J14+D$13</f>
        <v>2740</v>
      </c>
      <c r="E14" s="35">
        <f>K14+E$13</f>
        <v>570</v>
      </c>
      <c r="F14" s="103" t="str">
        <f t="shared" ref="F14:F19" si="2">C47</f>
        <v>CUB C/R R12</v>
      </c>
      <c r="G14" s="1"/>
      <c r="I14" s="3">
        <f>I32</f>
        <v>15</v>
      </c>
      <c r="J14" s="4">
        <f>D47</f>
        <v>2660</v>
      </c>
      <c r="K14" s="4">
        <f>E47</f>
        <v>600</v>
      </c>
    </row>
    <row r="15" spans="1:14" ht="15.6" x14ac:dyDescent="0.3">
      <c r="A15" s="96"/>
      <c r="B15" s="25">
        <f t="shared" ref="B15:B19" si="3">I15</f>
        <v>4</v>
      </c>
      <c r="C15" s="25"/>
      <c r="D15" s="25">
        <f t="shared" ref="D15:D23" si="4">J15+D$13</f>
        <v>2830</v>
      </c>
      <c r="E15" s="35">
        <f t="shared" ref="E15" si="5">K15+E$13</f>
        <v>570</v>
      </c>
      <c r="F15" s="103" t="str">
        <f t="shared" si="2"/>
        <v>CUB C/R R12</v>
      </c>
      <c r="G15" s="1"/>
      <c r="I15" s="3">
        <f>I33</f>
        <v>4</v>
      </c>
      <c r="J15" s="4">
        <f t="shared" ref="J15:K15" si="6">D48</f>
        <v>2750</v>
      </c>
      <c r="K15" s="4">
        <f t="shared" si="6"/>
        <v>600</v>
      </c>
    </row>
    <row r="16" spans="1:14" ht="15.6" x14ac:dyDescent="0.3">
      <c r="A16" s="96"/>
      <c r="B16" s="25">
        <f t="shared" si="3"/>
        <v>1</v>
      </c>
      <c r="C16" s="25"/>
      <c r="D16" s="25">
        <f t="shared" si="4"/>
        <v>1280</v>
      </c>
      <c r="E16" s="35">
        <f>K16</f>
        <v>300</v>
      </c>
      <c r="F16" s="103" t="str">
        <f t="shared" si="2"/>
        <v>CUB S/R R12</v>
      </c>
      <c r="G16" s="1"/>
      <c r="I16" s="3">
        <f>I34</f>
        <v>1</v>
      </c>
      <c r="J16" s="4">
        <f t="shared" ref="J16:K16" si="7">D49</f>
        <v>1200</v>
      </c>
      <c r="K16" s="4">
        <f t="shared" si="7"/>
        <v>300</v>
      </c>
    </row>
    <row r="17" spans="1:11" ht="15.6" x14ac:dyDescent="0.3">
      <c r="A17" s="96"/>
      <c r="B17" s="25">
        <f t="shared" si="3"/>
        <v>10</v>
      </c>
      <c r="C17" s="25" t="s">
        <v>148</v>
      </c>
      <c r="D17" s="25">
        <f t="shared" si="4"/>
        <v>3100</v>
      </c>
      <c r="E17" s="35">
        <f>K17</f>
        <v>210</v>
      </c>
      <c r="F17" s="103" t="str">
        <f t="shared" si="2"/>
        <v>CORNISA 180° 2L</v>
      </c>
      <c r="G17" s="1"/>
      <c r="I17" s="3">
        <v>10</v>
      </c>
      <c r="J17" s="4">
        <v>3020</v>
      </c>
      <c r="K17" s="4">
        <f t="shared" ref="J17:K17" si="8">E50</f>
        <v>210</v>
      </c>
    </row>
    <row r="18" spans="1:11" ht="15.6" x14ac:dyDescent="0.3">
      <c r="A18" s="96"/>
      <c r="B18" s="25">
        <f t="shared" si="3"/>
        <v>13</v>
      </c>
      <c r="C18" s="25"/>
      <c r="D18" s="25">
        <f t="shared" si="4"/>
        <v>3080</v>
      </c>
      <c r="E18" s="35">
        <f>K18</f>
        <v>210</v>
      </c>
      <c r="F18" s="103" t="str">
        <f t="shared" si="2"/>
        <v>CORNISA 180° 2L</v>
      </c>
      <c r="G18" s="1"/>
      <c r="I18" s="3">
        <f>I36</f>
        <v>13</v>
      </c>
      <c r="J18" s="4">
        <f t="shared" ref="J18:K18" si="9">D51</f>
        <v>3000</v>
      </c>
      <c r="K18" s="4">
        <f t="shared" si="9"/>
        <v>210</v>
      </c>
    </row>
    <row r="19" spans="1:11" ht="15.6" x14ac:dyDescent="0.3">
      <c r="A19" s="96"/>
      <c r="B19" s="25">
        <f t="shared" si="3"/>
        <v>12</v>
      </c>
      <c r="C19" s="25"/>
      <c r="D19" s="25">
        <f t="shared" si="4"/>
        <v>2980</v>
      </c>
      <c r="E19" s="35">
        <f>K19</f>
        <v>210</v>
      </c>
      <c r="F19" s="103" t="str">
        <f t="shared" si="2"/>
        <v>CORNISA 180° 2L</v>
      </c>
      <c r="G19" s="1"/>
      <c r="I19" s="3">
        <f>I37</f>
        <v>12</v>
      </c>
      <c r="J19" s="4">
        <f t="shared" ref="J19:K19" si="10">D52</f>
        <v>2900</v>
      </c>
      <c r="K19" s="4">
        <f t="shared" si="10"/>
        <v>210</v>
      </c>
    </row>
    <row r="20" spans="1:11" ht="15.6" x14ac:dyDescent="0.3">
      <c r="A20" s="96"/>
      <c r="B20" s="25">
        <f t="shared" ref="B20:B23" si="11">I20</f>
        <v>4</v>
      </c>
      <c r="C20" s="25"/>
      <c r="D20" s="25">
        <f t="shared" si="4"/>
        <v>2680</v>
      </c>
      <c r="E20" s="35">
        <f t="shared" ref="E20:E23" si="12">K20</f>
        <v>210</v>
      </c>
      <c r="F20" s="103" t="str">
        <f>C53</f>
        <v>CORNISA 180° 2L</v>
      </c>
      <c r="G20" s="1"/>
      <c r="I20" s="3">
        <f>I38</f>
        <v>4</v>
      </c>
      <c r="J20" s="4">
        <f>D53</f>
        <v>2600</v>
      </c>
      <c r="K20" s="4">
        <f>E53</f>
        <v>210</v>
      </c>
    </row>
    <row r="21" spans="1:11" ht="15.6" x14ac:dyDescent="0.3">
      <c r="A21" s="96"/>
      <c r="B21" s="25">
        <f t="shared" si="11"/>
        <v>18</v>
      </c>
      <c r="C21" s="25"/>
      <c r="D21" s="25">
        <f t="shared" si="4"/>
        <v>2430</v>
      </c>
      <c r="E21" s="35">
        <f t="shared" si="12"/>
        <v>150</v>
      </c>
      <c r="F21" s="103" t="str">
        <f>C54</f>
        <v>CENEFA R12 2V</v>
      </c>
      <c r="G21" s="1"/>
      <c r="I21" s="3">
        <f>I39</f>
        <v>18</v>
      </c>
      <c r="J21" s="4">
        <f>D54</f>
        <v>2350</v>
      </c>
      <c r="K21" s="4">
        <f>E54</f>
        <v>150</v>
      </c>
    </row>
    <row r="22" spans="1:11" ht="15.6" x14ac:dyDescent="0.3">
      <c r="A22" s="96"/>
      <c r="B22" s="25">
        <f t="shared" si="11"/>
        <v>17</v>
      </c>
      <c r="C22" s="25"/>
      <c r="D22" s="25">
        <f t="shared" si="4"/>
        <v>2930</v>
      </c>
      <c r="E22" s="35">
        <f t="shared" si="12"/>
        <v>150</v>
      </c>
      <c r="F22" s="103" t="str">
        <f>C55</f>
        <v>CENEFA R12 2V</v>
      </c>
      <c r="G22" s="1"/>
      <c r="I22" s="3">
        <f>I40</f>
        <v>17</v>
      </c>
      <c r="J22" s="4">
        <f>D55</f>
        <v>2850</v>
      </c>
      <c r="K22" s="4">
        <f>E55</f>
        <v>150</v>
      </c>
    </row>
    <row r="23" spans="1:11" ht="15.6" x14ac:dyDescent="0.3">
      <c r="A23" s="96"/>
      <c r="B23" s="25">
        <f t="shared" si="11"/>
        <v>16</v>
      </c>
      <c r="C23" s="25"/>
      <c r="D23" s="25">
        <f t="shared" si="4"/>
        <v>3080</v>
      </c>
      <c r="E23" s="35">
        <f t="shared" si="12"/>
        <v>150</v>
      </c>
      <c r="F23" s="103" t="str">
        <f>C56</f>
        <v>CENEFA R12 2V</v>
      </c>
      <c r="G23" s="1"/>
      <c r="I23" s="3">
        <f>I41</f>
        <v>16</v>
      </c>
      <c r="J23" s="4">
        <f>D56</f>
        <v>3000</v>
      </c>
      <c r="K23" s="4">
        <f>E56</f>
        <v>150</v>
      </c>
    </row>
    <row r="24" spans="1:11" ht="15.6" x14ac:dyDescent="0.3">
      <c r="A24" s="96"/>
      <c r="B24" s="124"/>
      <c r="C24" s="124"/>
      <c r="D24" s="124"/>
      <c r="E24" s="128"/>
      <c r="F24" s="125"/>
      <c r="G24" s="1"/>
      <c r="I24" s="126"/>
      <c r="J24" s="127"/>
      <c r="K24" s="127"/>
    </row>
    <row r="25" spans="1:11" ht="15.6" x14ac:dyDescent="0.3">
      <c r="A25" s="96"/>
      <c r="B25" s="124"/>
      <c r="C25" s="124"/>
      <c r="D25" s="124"/>
      <c r="E25" s="128"/>
      <c r="F25" s="125"/>
      <c r="G25" s="1"/>
      <c r="I25" s="126"/>
      <c r="J25" s="127"/>
      <c r="K25" s="127"/>
    </row>
    <row r="26" spans="1:11" ht="15.6" x14ac:dyDescent="0.3">
      <c r="A26" s="52"/>
      <c r="B26" s="6"/>
      <c r="C26" s="6"/>
      <c r="D26" s="6"/>
      <c r="E26" s="89"/>
      <c r="F26" s="6"/>
      <c r="G26" s="1"/>
      <c r="I26" s="90"/>
      <c r="J26" s="2"/>
      <c r="K26" s="2"/>
    </row>
    <row r="27" spans="1:11" ht="6.7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119" t="s">
        <v>14</v>
      </c>
      <c r="B28" s="119"/>
      <c r="C28" s="119"/>
      <c r="D28" s="119"/>
      <c r="E28" s="119"/>
      <c r="F28" s="119"/>
      <c r="G28" s="1"/>
    </row>
    <row r="29" spans="1:11" ht="10.5" customHeight="1" x14ac:dyDescent="0.3">
      <c r="A29" s="1"/>
      <c r="B29" s="1"/>
      <c r="C29" s="12"/>
      <c r="D29" s="1"/>
      <c r="E29" s="1"/>
      <c r="F29" s="1"/>
      <c r="G29" s="1"/>
    </row>
    <row r="30" spans="1:11" ht="15.6" x14ac:dyDescent="0.3">
      <c r="A30" s="1"/>
      <c r="B30" s="1"/>
      <c r="C30" s="1"/>
      <c r="D30" s="52" t="s">
        <v>7</v>
      </c>
      <c r="E30" s="52" t="s">
        <v>8</v>
      </c>
      <c r="F30" s="1"/>
      <c r="G30" s="1"/>
    </row>
    <row r="31" spans="1:11" ht="15.6" x14ac:dyDescent="0.3">
      <c r="A31" s="52" t="s">
        <v>9</v>
      </c>
      <c r="B31" s="36" t="s">
        <v>10</v>
      </c>
      <c r="C31" s="36" t="s">
        <v>11</v>
      </c>
      <c r="D31" s="21">
        <v>40</v>
      </c>
      <c r="E31" s="21">
        <v>150</v>
      </c>
      <c r="F31" s="36" t="s">
        <v>110</v>
      </c>
      <c r="G31" s="1"/>
      <c r="J31" s="5" t="s">
        <v>7</v>
      </c>
      <c r="K31" s="5" t="s">
        <v>8</v>
      </c>
    </row>
    <row r="32" spans="1:11" ht="15.6" x14ac:dyDescent="0.3">
      <c r="A32" s="96" t="s">
        <v>130</v>
      </c>
      <c r="B32" s="16">
        <f t="shared" ref="B32" si="13">I32</f>
        <v>15</v>
      </c>
      <c r="C32" s="16"/>
      <c r="D32" s="16">
        <f>J32+D$31</f>
        <v>2700</v>
      </c>
      <c r="E32" s="16">
        <v>730</v>
      </c>
      <c r="F32" s="104" t="str">
        <f t="shared" ref="F32:F37" si="14">C47</f>
        <v>CUB C/R R12</v>
      </c>
      <c r="G32" s="1"/>
      <c r="I32" s="3">
        <f t="shared" ref="I32:I37" si="15">B47</f>
        <v>15</v>
      </c>
      <c r="J32" s="4">
        <f t="shared" ref="J32:K32" si="16">D47</f>
        <v>2660</v>
      </c>
      <c r="K32" s="4">
        <f t="shared" si="16"/>
        <v>600</v>
      </c>
    </row>
    <row r="33" spans="1:11" ht="15.6" x14ac:dyDescent="0.3">
      <c r="A33" s="96"/>
      <c r="B33" s="16">
        <f t="shared" ref="B33:B37" si="17">I33</f>
        <v>4</v>
      </c>
      <c r="C33" s="16"/>
      <c r="D33" s="16">
        <f>J33+D$31</f>
        <v>2790</v>
      </c>
      <c r="E33" s="16">
        <v>730</v>
      </c>
      <c r="F33" s="104" t="str">
        <f t="shared" si="14"/>
        <v>CUB C/R R12</v>
      </c>
      <c r="G33" s="1"/>
      <c r="I33" s="3">
        <f t="shared" si="15"/>
        <v>4</v>
      </c>
      <c r="J33" s="4">
        <f t="shared" ref="J33:K37" si="18">D48</f>
        <v>2750</v>
      </c>
      <c r="K33" s="4">
        <f t="shared" si="18"/>
        <v>600</v>
      </c>
    </row>
    <row r="34" spans="1:11" ht="15.6" x14ac:dyDescent="0.3">
      <c r="A34" s="96"/>
      <c r="B34" s="16">
        <f t="shared" si="17"/>
        <v>1</v>
      </c>
      <c r="C34" s="16"/>
      <c r="D34" s="16">
        <f>J34+D$31</f>
        <v>1240</v>
      </c>
      <c r="E34" s="16">
        <v>360</v>
      </c>
      <c r="F34" s="104" t="str">
        <f t="shared" si="14"/>
        <v>CUB S/R R12</v>
      </c>
      <c r="G34" s="1"/>
      <c r="I34" s="3">
        <f t="shared" si="15"/>
        <v>1</v>
      </c>
      <c r="J34" s="4">
        <f t="shared" si="18"/>
        <v>1200</v>
      </c>
      <c r="K34" s="4">
        <f t="shared" si="18"/>
        <v>300</v>
      </c>
    </row>
    <row r="35" spans="1:11" ht="15.6" x14ac:dyDescent="0.3">
      <c r="A35" s="96"/>
      <c r="B35" s="16">
        <f t="shared" si="17"/>
        <v>10</v>
      </c>
      <c r="C35" s="16" t="s">
        <v>148</v>
      </c>
      <c r="D35" s="16">
        <f>J35+D$31</f>
        <v>3080</v>
      </c>
      <c r="E35" s="16">
        <f>K35+E$31</f>
        <v>360</v>
      </c>
      <c r="F35" s="104" t="str">
        <f t="shared" si="14"/>
        <v>CORNISA 180° 2L</v>
      </c>
      <c r="G35" s="1"/>
      <c r="I35" s="3">
        <v>10</v>
      </c>
      <c r="J35" s="4">
        <v>3040</v>
      </c>
      <c r="K35" s="4">
        <f t="shared" si="18"/>
        <v>210</v>
      </c>
    </row>
    <row r="36" spans="1:11" ht="15.6" x14ac:dyDescent="0.3">
      <c r="A36" s="96"/>
      <c r="B36" s="16">
        <f t="shared" si="17"/>
        <v>13</v>
      </c>
      <c r="C36" s="16"/>
      <c r="D36" s="16">
        <f>J36+D$31</f>
        <v>3040</v>
      </c>
      <c r="E36" s="16">
        <f t="shared" ref="E36:E38" si="19">K36+E$31</f>
        <v>360</v>
      </c>
      <c r="F36" s="104" t="str">
        <f t="shared" si="14"/>
        <v>CORNISA 180° 2L</v>
      </c>
      <c r="G36" s="1"/>
      <c r="I36" s="3">
        <f t="shared" si="15"/>
        <v>13</v>
      </c>
      <c r="J36" s="4">
        <f t="shared" si="18"/>
        <v>3000</v>
      </c>
      <c r="K36" s="4">
        <f t="shared" si="18"/>
        <v>210</v>
      </c>
    </row>
    <row r="37" spans="1:11" ht="15.6" x14ac:dyDescent="0.3">
      <c r="A37" s="96"/>
      <c r="B37" s="16">
        <f t="shared" si="17"/>
        <v>12</v>
      </c>
      <c r="C37" s="16"/>
      <c r="D37" s="16">
        <f>J37+D$31</f>
        <v>2940</v>
      </c>
      <c r="E37" s="16">
        <f t="shared" si="19"/>
        <v>360</v>
      </c>
      <c r="F37" s="104" t="str">
        <f t="shared" si="14"/>
        <v>CORNISA 180° 2L</v>
      </c>
      <c r="G37" s="1"/>
      <c r="I37" s="3">
        <f t="shared" si="15"/>
        <v>12</v>
      </c>
      <c r="J37" s="4">
        <f t="shared" si="18"/>
        <v>2900</v>
      </c>
      <c r="K37" s="4">
        <f t="shared" si="18"/>
        <v>210</v>
      </c>
    </row>
    <row r="38" spans="1:11" ht="15.6" x14ac:dyDescent="0.3">
      <c r="A38" s="96"/>
      <c r="B38" s="16">
        <f t="shared" ref="B38:B41" si="20">I38</f>
        <v>4</v>
      </c>
      <c r="C38" s="16"/>
      <c r="D38" s="16">
        <f>J38+D$31</f>
        <v>2640</v>
      </c>
      <c r="E38" s="16">
        <f t="shared" si="19"/>
        <v>360</v>
      </c>
      <c r="F38" s="104" t="str">
        <f>C53</f>
        <v>CORNISA 180° 2L</v>
      </c>
      <c r="G38" s="1"/>
      <c r="I38" s="3">
        <f>B53</f>
        <v>4</v>
      </c>
      <c r="J38" s="4">
        <f>D53</f>
        <v>2600</v>
      </c>
      <c r="K38" s="4">
        <f>E53</f>
        <v>210</v>
      </c>
    </row>
    <row r="39" spans="1:11" ht="15.6" x14ac:dyDescent="0.3">
      <c r="A39" s="96"/>
      <c r="B39" s="16">
        <f t="shared" si="20"/>
        <v>18</v>
      </c>
      <c r="C39" s="16"/>
      <c r="D39" s="16">
        <f>J39+D$31</f>
        <v>2390</v>
      </c>
      <c r="E39" s="16">
        <f>K39+90</f>
        <v>240</v>
      </c>
      <c r="F39" s="104" t="str">
        <f>C54</f>
        <v>CENEFA R12 2V</v>
      </c>
      <c r="G39" s="1"/>
      <c r="I39" s="3">
        <f>B54</f>
        <v>18</v>
      </c>
      <c r="J39" s="4">
        <f>D54</f>
        <v>2350</v>
      </c>
      <c r="K39" s="4">
        <f>E54</f>
        <v>150</v>
      </c>
    </row>
    <row r="40" spans="1:11" ht="15.6" x14ac:dyDescent="0.3">
      <c r="A40" s="96"/>
      <c r="B40" s="16">
        <f t="shared" si="20"/>
        <v>17</v>
      </c>
      <c r="C40" s="16"/>
      <c r="D40" s="16">
        <f>J40+D$31</f>
        <v>2890</v>
      </c>
      <c r="E40" s="16">
        <f t="shared" ref="E40:E41" si="21">K40+90</f>
        <v>240</v>
      </c>
      <c r="F40" s="104" t="str">
        <f>C55</f>
        <v>CENEFA R12 2V</v>
      </c>
      <c r="G40" s="1"/>
      <c r="I40" s="3">
        <f>B55</f>
        <v>17</v>
      </c>
      <c r="J40" s="4">
        <f>D55</f>
        <v>2850</v>
      </c>
      <c r="K40" s="4">
        <f>E55</f>
        <v>150</v>
      </c>
    </row>
    <row r="41" spans="1:11" ht="15.6" x14ac:dyDescent="0.3">
      <c r="A41" s="96"/>
      <c r="B41" s="16">
        <f t="shared" si="20"/>
        <v>16</v>
      </c>
      <c r="C41" s="16"/>
      <c r="D41" s="16">
        <f>J41+D$31</f>
        <v>3040</v>
      </c>
      <c r="E41" s="16">
        <f t="shared" si="21"/>
        <v>240</v>
      </c>
      <c r="F41" s="104" t="str">
        <f>C56</f>
        <v>CENEFA R12 2V</v>
      </c>
      <c r="G41" s="1"/>
      <c r="I41" s="3">
        <f>B56</f>
        <v>16</v>
      </c>
      <c r="J41" s="4">
        <f>D56</f>
        <v>3000</v>
      </c>
      <c r="K41" s="4">
        <f>E56</f>
        <v>150</v>
      </c>
    </row>
    <row r="42" spans="1:11" ht="15.6" x14ac:dyDescent="0.3">
      <c r="A42" s="96"/>
      <c r="B42" s="6"/>
      <c r="C42" s="6"/>
      <c r="D42" s="6"/>
      <c r="E42" s="6"/>
      <c r="F42" s="6"/>
      <c r="G42" s="1"/>
      <c r="I42" s="90"/>
      <c r="J42" s="2"/>
      <c r="K42" s="2"/>
    </row>
    <row r="43" spans="1:11" ht="16.2" thickBot="1" x14ac:dyDescent="0.35">
      <c r="A43" s="52"/>
      <c r="B43" s="6"/>
      <c r="C43" s="6"/>
      <c r="D43" s="6"/>
      <c r="E43" s="6"/>
      <c r="F43" s="6"/>
      <c r="G43" s="1"/>
      <c r="I43" s="2"/>
      <c r="J43" s="2"/>
      <c r="K43" s="2"/>
    </row>
    <row r="44" spans="1:11" ht="16.2" thickBot="1" x14ac:dyDescent="0.35">
      <c r="A44" s="52"/>
      <c r="B44" s="22" t="s">
        <v>107</v>
      </c>
      <c r="C44" s="23"/>
      <c r="D44" s="23"/>
      <c r="E44" s="23"/>
      <c r="F44" s="24"/>
      <c r="G44" s="1"/>
      <c r="I44" s="2"/>
      <c r="J44" s="2"/>
      <c r="K44" s="2"/>
    </row>
    <row r="45" spans="1:11" ht="10.5" customHeight="1" x14ac:dyDescent="0.3">
      <c r="A45" s="1"/>
      <c r="B45" s="1"/>
      <c r="C45" s="1"/>
      <c r="D45" s="1"/>
      <c r="E45" s="1"/>
      <c r="F45" s="1"/>
      <c r="G45" s="1"/>
    </row>
    <row r="46" spans="1:11" ht="15.6" x14ac:dyDescent="0.3">
      <c r="A46" s="52" t="s">
        <v>9</v>
      </c>
      <c r="B46" s="88" t="s">
        <v>10</v>
      </c>
      <c r="C46" s="88" t="s">
        <v>110</v>
      </c>
      <c r="D46" s="88" t="s">
        <v>7</v>
      </c>
      <c r="E46" s="88" t="s">
        <v>8</v>
      </c>
      <c r="F46" s="88" t="s">
        <v>23</v>
      </c>
      <c r="G46" s="1"/>
    </row>
    <row r="47" spans="1:11" ht="15.6" x14ac:dyDescent="0.3">
      <c r="A47" s="96" t="s">
        <v>134</v>
      </c>
      <c r="B47" s="25">
        <f>'4637'!B21</f>
        <v>15</v>
      </c>
      <c r="C47" s="103" t="str">
        <f>'4637'!C21</f>
        <v>CUB C/R R12</v>
      </c>
      <c r="D47" s="25">
        <f>'4637'!D21</f>
        <v>2660</v>
      </c>
      <c r="E47" s="25">
        <f>'4637'!E21</f>
        <v>600</v>
      </c>
      <c r="F47" s="25" t="str">
        <f>'4637'!F21</f>
        <v>MEDITERRANEO 2180 MT</v>
      </c>
      <c r="G47" s="1"/>
    </row>
    <row r="48" spans="1:11" ht="15.6" x14ac:dyDescent="0.3">
      <c r="A48" s="96"/>
      <c r="B48" s="25">
        <f>'4637'!B22</f>
        <v>4</v>
      </c>
      <c r="C48" s="103" t="str">
        <f>'4637'!C22</f>
        <v>CUB C/R R12</v>
      </c>
      <c r="D48" s="25">
        <f>'4637'!D22</f>
        <v>2750</v>
      </c>
      <c r="E48" s="25">
        <f>'4637'!E22</f>
        <v>600</v>
      </c>
      <c r="F48" s="25" t="str">
        <f>'4637'!F22</f>
        <v>MEDITERRANEO 2180 MT</v>
      </c>
      <c r="G48" s="1"/>
    </row>
    <row r="49" spans="1:7" ht="15.6" x14ac:dyDescent="0.3">
      <c r="A49" s="96"/>
      <c r="B49" s="25">
        <f>'4637'!B23</f>
        <v>1</v>
      </c>
      <c r="C49" s="103" t="str">
        <f>'4637'!C23</f>
        <v>CUB S/R R12</v>
      </c>
      <c r="D49" s="25">
        <f>'4637'!D23</f>
        <v>1200</v>
      </c>
      <c r="E49" s="25">
        <f>'4637'!E23</f>
        <v>300</v>
      </c>
      <c r="F49" s="25" t="str">
        <f>'4637'!F23</f>
        <v>MEDITERRANEO 2180 MT</v>
      </c>
      <c r="G49" s="1"/>
    </row>
    <row r="50" spans="1:7" ht="15.6" x14ac:dyDescent="0.3">
      <c r="A50" s="96"/>
      <c r="B50" s="25">
        <f>'4637'!B24</f>
        <v>20</v>
      </c>
      <c r="C50" s="103" t="str">
        <f>'4637'!C24</f>
        <v>CORNISA 180° 2L</v>
      </c>
      <c r="D50" s="25">
        <f>'4637'!D24</f>
        <v>1530</v>
      </c>
      <c r="E50" s="25">
        <f>'4637'!E24</f>
        <v>210</v>
      </c>
      <c r="F50" s="25" t="str">
        <f>'4637'!F24</f>
        <v>MEDITERRANEO 2180 MT</v>
      </c>
      <c r="G50" s="1"/>
    </row>
    <row r="51" spans="1:7" ht="15.6" x14ac:dyDescent="0.3">
      <c r="A51" s="96"/>
      <c r="B51" s="25">
        <f>'4637'!B25</f>
        <v>13</v>
      </c>
      <c r="C51" s="103" t="str">
        <f>'4637'!C25</f>
        <v>CORNISA 180° 2L</v>
      </c>
      <c r="D51" s="25">
        <f>'4637'!D25</f>
        <v>3000</v>
      </c>
      <c r="E51" s="25">
        <f>'4637'!E25</f>
        <v>210</v>
      </c>
      <c r="F51" s="25" t="str">
        <f>'4637'!F25</f>
        <v>MEDITERRANEO 2180 MT</v>
      </c>
      <c r="G51" s="1"/>
    </row>
    <row r="52" spans="1:7" ht="15.6" x14ac:dyDescent="0.3">
      <c r="A52" s="96"/>
      <c r="B52" s="25">
        <f>'4637'!B26</f>
        <v>12</v>
      </c>
      <c r="C52" s="103" t="str">
        <f>'4637'!C26</f>
        <v>CORNISA 180° 2L</v>
      </c>
      <c r="D52" s="25">
        <f>'4637'!D26</f>
        <v>2900</v>
      </c>
      <c r="E52" s="25">
        <f>'4637'!E26</f>
        <v>210</v>
      </c>
      <c r="F52" s="25" t="str">
        <f>'4637'!F26</f>
        <v>MEDITERRANEO 2180 MT</v>
      </c>
      <c r="G52" s="1"/>
    </row>
    <row r="53" spans="1:7" ht="15.6" x14ac:dyDescent="0.3">
      <c r="A53" s="96"/>
      <c r="B53" s="25">
        <f>'4637'!B27</f>
        <v>4</v>
      </c>
      <c r="C53" s="103" t="str">
        <f>'4637'!C27</f>
        <v>CORNISA 180° 2L</v>
      </c>
      <c r="D53" s="25">
        <f>'4637'!D27</f>
        <v>2600</v>
      </c>
      <c r="E53" s="25">
        <f>'4637'!E27</f>
        <v>210</v>
      </c>
      <c r="F53" s="25" t="str">
        <f>'4637'!F27</f>
        <v>MEDITERRANEO 2180 MT</v>
      </c>
      <c r="G53" s="1"/>
    </row>
    <row r="54" spans="1:7" ht="15.6" x14ac:dyDescent="0.3">
      <c r="A54" s="96"/>
      <c r="B54" s="25">
        <f>'4637'!B28</f>
        <v>18</v>
      </c>
      <c r="C54" s="103" t="str">
        <f>'4637'!C28</f>
        <v>CENEFA R12 2V</v>
      </c>
      <c r="D54" s="25">
        <f>'4637'!D28</f>
        <v>2350</v>
      </c>
      <c r="E54" s="25">
        <f>'4637'!E28</f>
        <v>150</v>
      </c>
      <c r="F54" s="25" t="str">
        <f>'4637'!F28</f>
        <v>MEDITERRANEO 2180 MT</v>
      </c>
      <c r="G54" s="1"/>
    </row>
    <row r="55" spans="1:7" ht="15.6" x14ac:dyDescent="0.3">
      <c r="A55" s="96"/>
      <c r="B55" s="25">
        <f>'4637'!B29</f>
        <v>17</v>
      </c>
      <c r="C55" s="103" t="str">
        <f>'4637'!C29</f>
        <v>CENEFA R12 2V</v>
      </c>
      <c r="D55" s="25">
        <f>'4637'!D29</f>
        <v>2850</v>
      </c>
      <c r="E55" s="25">
        <f>'4637'!E29</f>
        <v>150</v>
      </c>
      <c r="F55" s="25" t="str">
        <f>'4637'!F29</f>
        <v>MEDITERRANEO 2180 MT</v>
      </c>
      <c r="G55" s="1"/>
    </row>
    <row r="56" spans="1:7" ht="15.6" x14ac:dyDescent="0.3">
      <c r="A56" s="96"/>
      <c r="B56" s="25">
        <f>'4637'!B30</f>
        <v>16</v>
      </c>
      <c r="C56" s="103" t="str">
        <f>'4637'!C30</f>
        <v>CENEFA R12 2V</v>
      </c>
      <c r="D56" s="25">
        <f>'4637'!D30</f>
        <v>3000</v>
      </c>
      <c r="E56" s="25">
        <f>'4637'!E30</f>
        <v>150</v>
      </c>
      <c r="F56" s="25" t="str">
        <f>'4637'!F30</f>
        <v>MEDITERRANEO 2180 MT</v>
      </c>
      <c r="G56" s="1"/>
    </row>
    <row r="57" spans="1:7" ht="15.6" x14ac:dyDescent="0.3">
      <c r="A57" s="96"/>
      <c r="B57" s="124"/>
      <c r="C57" s="125"/>
      <c r="D57" s="124"/>
      <c r="E57" s="124"/>
      <c r="F57" s="124"/>
      <c r="G57" s="1"/>
    </row>
    <row r="58" spans="1:7" ht="15.6" x14ac:dyDescent="0.3">
      <c r="A58" s="1"/>
      <c r="B58" s="6"/>
      <c r="C58" s="6"/>
      <c r="D58" s="6"/>
      <c r="E58" s="6"/>
      <c r="F58" s="6"/>
      <c r="G58" s="1"/>
    </row>
    <row r="59" spans="1:7" ht="15.6" x14ac:dyDescent="0.3">
      <c r="A59" s="1"/>
      <c r="B59" s="6"/>
      <c r="C59" s="6"/>
      <c r="D59" s="6"/>
      <c r="E59" s="6"/>
      <c r="F59" s="6"/>
      <c r="G59" s="1"/>
    </row>
    <row r="60" spans="1:7" ht="15.6" x14ac:dyDescent="0.3">
      <c r="A60" s="1"/>
      <c r="B60" s="6"/>
      <c r="C60" s="6"/>
      <c r="D60" s="6"/>
      <c r="E60" s="6"/>
      <c r="F60" s="6"/>
      <c r="G60" s="1"/>
    </row>
    <row r="61" spans="1:7" ht="15.6" x14ac:dyDescent="0.3">
      <c r="A61" s="1"/>
      <c r="B61" s="6"/>
      <c r="C61" s="6"/>
      <c r="D61" s="6"/>
      <c r="E61" s="6"/>
      <c r="F61" s="6"/>
      <c r="G61" s="1"/>
    </row>
    <row r="62" spans="1:7" ht="15.6" x14ac:dyDescent="0.3">
      <c r="A62" s="1"/>
      <c r="B62" s="6"/>
      <c r="C62" s="6"/>
      <c r="D62" s="6"/>
      <c r="E62" s="6"/>
      <c r="F62" s="6"/>
      <c r="G62" s="1"/>
    </row>
    <row r="63" spans="1:7" ht="15.6" x14ac:dyDescent="0.3">
      <c r="A63" s="1"/>
      <c r="B63" s="6"/>
      <c r="C63" s="6"/>
      <c r="D63" s="6"/>
      <c r="E63" s="6"/>
      <c r="F63" s="6"/>
      <c r="G63" s="1"/>
    </row>
    <row r="64" spans="1:7" ht="15.6" x14ac:dyDescent="0.3">
      <c r="A64" s="1"/>
      <c r="B64" s="6"/>
      <c r="C64" s="6"/>
      <c r="D64" s="6"/>
      <c r="E64" s="6"/>
      <c r="F64" s="6"/>
      <c r="G64" s="1"/>
    </row>
    <row r="65" spans="1:7" ht="15.6" x14ac:dyDescent="0.3">
      <c r="A65" s="1"/>
      <c r="B65" s="6"/>
      <c r="C65" s="6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40" t="s">
        <v>27</v>
      </c>
      <c r="D67" s="14">
        <f>'4637'!G8</f>
        <v>7218</v>
      </c>
      <c r="E67" s="1"/>
      <c r="F67" s="1"/>
      <c r="G67" s="1"/>
    </row>
    <row r="68" spans="1:7" ht="17.25" customHeight="1" x14ac:dyDescent="0.3">
      <c r="A68" s="1"/>
      <c r="B68" s="1"/>
      <c r="C68" s="41" t="s">
        <v>67</v>
      </c>
      <c r="D68" s="42" t="str">
        <f>'4637'!C10</f>
        <v>MUEBLES ASENJO LTDA.</v>
      </c>
      <c r="E68" s="43"/>
      <c r="F68" s="43"/>
      <c r="G68" s="1"/>
    </row>
    <row r="69" spans="1:7" ht="4.5" customHeight="1" x14ac:dyDescent="0.3">
      <c r="A69" s="1"/>
      <c r="B69" s="1"/>
      <c r="C69" s="44"/>
      <c r="D69" s="45"/>
      <c r="E69" s="1"/>
      <c r="F69" s="1"/>
      <c r="G69" s="1"/>
    </row>
    <row r="70" spans="1:7" ht="15.6" x14ac:dyDescent="0.3">
      <c r="A70" s="1"/>
      <c r="B70" s="1"/>
      <c r="C70" s="46" t="str">
        <f>'4637'!F11</f>
        <v>FECHA LIMITE :</v>
      </c>
      <c r="D70" s="13">
        <f>'4637'!G11</f>
        <v>45804</v>
      </c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119" t="s">
        <v>68</v>
      </c>
      <c r="B73" s="119"/>
      <c r="C73" s="119"/>
      <c r="D73" s="119"/>
      <c r="E73" s="119"/>
      <c r="F73" s="119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75" customHeight="1" x14ac:dyDescent="0.3">
      <c r="A75" s="1"/>
      <c r="B75" s="120" t="s">
        <v>69</v>
      </c>
      <c r="C75" s="121"/>
      <c r="D75" s="122"/>
      <c r="E75" s="122"/>
      <c r="F75" s="123"/>
      <c r="G75" s="1"/>
    </row>
    <row r="76" spans="1:7" s="15" customFormat="1" ht="12.75" customHeight="1" x14ac:dyDescent="0.3">
      <c r="A76" s="1"/>
      <c r="B76" s="36" t="s">
        <v>10</v>
      </c>
      <c r="C76" s="47" t="s">
        <v>11</v>
      </c>
      <c r="D76" s="48" t="s">
        <v>7</v>
      </c>
      <c r="E76" s="48" t="s">
        <v>8</v>
      </c>
      <c r="F76" s="49" t="s">
        <v>12</v>
      </c>
      <c r="G76" s="1"/>
    </row>
    <row r="77" spans="1:7" s="15" customFormat="1" ht="15" customHeight="1" x14ac:dyDescent="0.3">
      <c r="A77" s="96"/>
      <c r="B77" s="38">
        <f>'4637'!B21</f>
        <v>15</v>
      </c>
      <c r="C77" s="102" t="str">
        <f>'4637'!C21</f>
        <v>CUB C/R R12</v>
      </c>
      <c r="D77" s="39">
        <f>'4637'!D21</f>
        <v>2660</v>
      </c>
      <c r="E77" s="39">
        <f>'4637'!E21</f>
        <v>600</v>
      </c>
      <c r="F77" s="38" t="str">
        <f>'4637'!F21</f>
        <v>MEDITERRANEO 2180 MT</v>
      </c>
      <c r="G77" s="1"/>
    </row>
    <row r="78" spans="1:7" s="15" customFormat="1" ht="15" customHeight="1" x14ac:dyDescent="0.3">
      <c r="A78" s="96"/>
      <c r="B78" s="38">
        <f>'4637'!B22</f>
        <v>4</v>
      </c>
      <c r="C78" s="102" t="str">
        <f>'4637'!C22</f>
        <v>CUB C/R R12</v>
      </c>
      <c r="D78" s="39">
        <f>'4637'!D22</f>
        <v>2750</v>
      </c>
      <c r="E78" s="39">
        <f>'4637'!E22</f>
        <v>600</v>
      </c>
      <c r="F78" s="38" t="str">
        <f>'4637'!F22</f>
        <v>MEDITERRANEO 2180 MT</v>
      </c>
      <c r="G78" s="1"/>
    </row>
    <row r="79" spans="1:7" s="15" customFormat="1" ht="15" customHeight="1" x14ac:dyDescent="0.3">
      <c r="A79" s="96"/>
      <c r="B79" s="38">
        <f>'4637'!B23</f>
        <v>1</v>
      </c>
      <c r="C79" s="102" t="str">
        <f>'4637'!C23</f>
        <v>CUB S/R R12</v>
      </c>
      <c r="D79" s="39">
        <f>'4637'!D23</f>
        <v>1200</v>
      </c>
      <c r="E79" s="39">
        <f>'4637'!E23</f>
        <v>300</v>
      </c>
      <c r="F79" s="38" t="str">
        <f>'4637'!F23</f>
        <v>MEDITERRANEO 2180 MT</v>
      </c>
      <c r="G79" s="1"/>
    </row>
    <row r="80" spans="1:7" s="15" customFormat="1" ht="15" customHeight="1" x14ac:dyDescent="0.3">
      <c r="A80" s="96"/>
      <c r="B80" s="38">
        <f>'4637'!B24</f>
        <v>20</v>
      </c>
      <c r="C80" s="102" t="str">
        <f>'4637'!C24</f>
        <v>CORNISA 180° 2L</v>
      </c>
      <c r="D80" s="39">
        <f>'4637'!D24</f>
        <v>1530</v>
      </c>
      <c r="E80" s="39">
        <f>'4637'!E24</f>
        <v>210</v>
      </c>
      <c r="F80" s="38" t="str">
        <f>'4637'!F24</f>
        <v>MEDITERRANEO 2180 MT</v>
      </c>
      <c r="G80" s="1"/>
    </row>
    <row r="81" spans="1:7" s="15" customFormat="1" ht="15" customHeight="1" x14ac:dyDescent="0.3">
      <c r="A81" s="96"/>
      <c r="B81" s="38">
        <f>'4637'!B25</f>
        <v>13</v>
      </c>
      <c r="C81" s="102" t="str">
        <f>'4637'!C25</f>
        <v>CORNISA 180° 2L</v>
      </c>
      <c r="D81" s="39">
        <f>'4637'!D25</f>
        <v>3000</v>
      </c>
      <c r="E81" s="39">
        <f>'4637'!E25</f>
        <v>210</v>
      </c>
      <c r="F81" s="38" t="str">
        <f>'4637'!F25</f>
        <v>MEDITERRANEO 2180 MT</v>
      </c>
      <c r="G81" s="1"/>
    </row>
    <row r="82" spans="1:7" s="15" customFormat="1" ht="15" customHeight="1" x14ac:dyDescent="0.3">
      <c r="A82" s="96"/>
      <c r="B82" s="38">
        <f>'4637'!B26</f>
        <v>12</v>
      </c>
      <c r="C82" s="102" t="str">
        <f>'4637'!C26</f>
        <v>CORNISA 180° 2L</v>
      </c>
      <c r="D82" s="39">
        <f>'4637'!D26</f>
        <v>2900</v>
      </c>
      <c r="E82" s="39">
        <f>'4637'!E26</f>
        <v>210</v>
      </c>
      <c r="F82" s="38" t="str">
        <f>'4637'!F26</f>
        <v>MEDITERRANEO 2180 MT</v>
      </c>
      <c r="G82" s="1"/>
    </row>
    <row r="83" spans="1:7" s="15" customFormat="1" ht="15" customHeight="1" x14ac:dyDescent="0.3">
      <c r="A83" s="96"/>
      <c r="B83" s="38">
        <f>'4637'!B27</f>
        <v>4</v>
      </c>
      <c r="C83" s="102" t="str">
        <f>'4637'!C27</f>
        <v>CORNISA 180° 2L</v>
      </c>
      <c r="D83" s="39">
        <f>'4637'!D27</f>
        <v>2600</v>
      </c>
      <c r="E83" s="39">
        <f>'4637'!E27</f>
        <v>210</v>
      </c>
      <c r="F83" s="38" t="str">
        <f>'4637'!F27</f>
        <v>MEDITERRANEO 2180 MT</v>
      </c>
      <c r="G83" s="1"/>
    </row>
    <row r="84" spans="1:7" s="15" customFormat="1" ht="15" customHeight="1" x14ac:dyDescent="0.3">
      <c r="A84" s="96"/>
      <c r="B84" s="38">
        <f>'4637'!B28</f>
        <v>18</v>
      </c>
      <c r="C84" s="102" t="str">
        <f>'4637'!C28</f>
        <v>CENEFA R12 2V</v>
      </c>
      <c r="D84" s="39">
        <f>'4637'!D28</f>
        <v>2350</v>
      </c>
      <c r="E84" s="39">
        <f>'4637'!E28</f>
        <v>150</v>
      </c>
      <c r="F84" s="38" t="str">
        <f>'4637'!F28</f>
        <v>MEDITERRANEO 2180 MT</v>
      </c>
      <c r="G84" s="1"/>
    </row>
    <row r="85" spans="1:7" s="15" customFormat="1" ht="15" customHeight="1" x14ac:dyDescent="0.3">
      <c r="A85" s="96"/>
      <c r="B85" s="38">
        <f>'4637'!B29</f>
        <v>17</v>
      </c>
      <c r="C85" s="102" t="str">
        <f>'4637'!C29</f>
        <v>CENEFA R12 2V</v>
      </c>
      <c r="D85" s="39">
        <f>'4637'!D29</f>
        <v>2850</v>
      </c>
      <c r="E85" s="39">
        <f>'4637'!E29</f>
        <v>150</v>
      </c>
      <c r="F85" s="38" t="str">
        <f>'4637'!F29</f>
        <v>MEDITERRANEO 2180 MT</v>
      </c>
      <c r="G85" s="1"/>
    </row>
    <row r="86" spans="1:7" s="15" customFormat="1" ht="15" customHeight="1" x14ac:dyDescent="0.3">
      <c r="A86" s="96"/>
      <c r="B86" s="38">
        <f>'4637'!B30</f>
        <v>16</v>
      </c>
      <c r="C86" s="102" t="str">
        <f>'4637'!C30</f>
        <v>CENEFA R12 2V</v>
      </c>
      <c r="D86" s="39">
        <f>'4637'!D30</f>
        <v>3000</v>
      </c>
      <c r="E86" s="39">
        <f>'4637'!E30</f>
        <v>150</v>
      </c>
      <c r="F86" s="38" t="str">
        <f>'4637'!F30</f>
        <v>MEDITERRANEO 2180 MT</v>
      </c>
      <c r="G86" s="1"/>
    </row>
    <row r="87" spans="1:7" s="15" customFormat="1" ht="15" customHeight="1" x14ac:dyDescent="0.3">
      <c r="A87" s="50"/>
      <c r="B87" s="52"/>
      <c r="C87" s="52"/>
      <c r="D87" s="52"/>
      <c r="E87" s="52"/>
      <c r="F87" s="52"/>
      <c r="G87" s="1"/>
    </row>
    <row r="88" spans="1:7" ht="15.6" x14ac:dyDescent="0.3">
      <c r="A88" s="6"/>
      <c r="B88" s="6"/>
      <c r="C88" s="1"/>
      <c r="D88" s="6"/>
      <c r="E88" s="6"/>
      <c r="F88" s="44"/>
      <c r="G88" s="1"/>
    </row>
    <row r="89" spans="1:7" ht="15.6" x14ac:dyDescent="0.3">
      <c r="A89" s="6"/>
      <c r="B89" s="6"/>
      <c r="C89" s="1"/>
      <c r="D89" s="6"/>
      <c r="E89" s="6"/>
      <c r="F89" s="6"/>
      <c r="G89" s="1"/>
    </row>
    <row r="90" spans="1:7" ht="15.6" x14ac:dyDescent="0.3">
      <c r="A90" s="1"/>
      <c r="B90" s="1"/>
      <c r="C90" s="1"/>
      <c r="D90" s="1"/>
      <c r="E90" s="1"/>
      <c r="F90" s="1"/>
      <c r="G90" s="1"/>
    </row>
    <row r="91" spans="1:7" ht="15.6" x14ac:dyDescent="0.3">
      <c r="A91" s="1"/>
      <c r="B91" s="1"/>
      <c r="C91" s="1"/>
      <c r="D91" s="1"/>
      <c r="E91" s="1"/>
      <c r="F91" s="1"/>
      <c r="G91" s="1"/>
    </row>
    <row r="92" spans="1:7" ht="15.6" x14ac:dyDescent="0.3">
      <c r="A92" s="1"/>
      <c r="B92" s="1"/>
      <c r="C92" s="1"/>
      <c r="D92" s="1"/>
      <c r="E92" s="1"/>
      <c r="F92" s="1"/>
      <c r="G92" s="1"/>
    </row>
    <row r="93" spans="1:7" ht="15" customHeight="1" x14ac:dyDescent="0.3">
      <c r="A93" s="1"/>
      <c r="B93" s="1"/>
      <c r="C93" s="1"/>
      <c r="D93" s="1"/>
      <c r="E93" s="1"/>
      <c r="F93" s="1"/>
      <c r="G93" s="1"/>
    </row>
    <row r="94" spans="1:7" ht="15.6" x14ac:dyDescent="0.3">
      <c r="A94" s="1"/>
      <c r="B94" s="1"/>
      <c r="C94" s="1"/>
      <c r="D94" s="1"/>
      <c r="E94" s="1"/>
      <c r="F94" s="1"/>
      <c r="G94" s="1"/>
    </row>
    <row r="95" spans="1:7" ht="15.6" x14ac:dyDescent="0.3">
      <c r="A95" s="6"/>
      <c r="B95" s="51"/>
      <c r="C95" s="1"/>
      <c r="D95" s="1"/>
      <c r="E95" s="1"/>
      <c r="F95" s="1"/>
      <c r="G95" s="1"/>
    </row>
    <row r="96" spans="1:7" ht="15.6" x14ac:dyDescent="0.3">
      <c r="A96" s="1"/>
      <c r="B96" s="1"/>
      <c r="C96" s="1"/>
      <c r="D96" s="1"/>
      <c r="E96" s="1"/>
      <c r="F96" s="1"/>
      <c r="G96" s="1"/>
    </row>
    <row r="97" spans="2:6" x14ac:dyDescent="0.3">
      <c r="B97" s="20"/>
      <c r="C97" s="20"/>
      <c r="D97" s="20"/>
      <c r="E97" s="20"/>
      <c r="F97" s="20"/>
    </row>
    <row r="98" spans="2:6" x14ac:dyDescent="0.3">
      <c r="B98" s="20"/>
      <c r="C98" s="20"/>
      <c r="E98" s="20"/>
      <c r="F98" s="20"/>
    </row>
  </sheetData>
  <mergeCells count="6">
    <mergeCell ref="M3:N3"/>
    <mergeCell ref="A28:F28"/>
    <mergeCell ref="A10:F10"/>
    <mergeCell ref="A73:F73"/>
    <mergeCell ref="B75:F7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2025-05-22T22:12:20Z</cp:lastPrinted>
  <dcterms:created xsi:type="dcterms:W3CDTF">2013-03-19T12:54:14Z</dcterms:created>
  <dcterms:modified xsi:type="dcterms:W3CDTF">2025-05-22T22:17:44Z</dcterms:modified>
</cp:coreProperties>
</file>