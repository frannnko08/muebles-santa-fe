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5\"/>
    </mc:Choice>
  </mc:AlternateContent>
  <xr:revisionPtr revIDLastSave="0" documentId="13_ncr:1_{3B9DB307-4AD9-4C62-8415-08EB06DD1CC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4" l="1"/>
  <c r="H22" i="4"/>
  <c r="H25" i="4" s="1"/>
  <c r="B28" i="3"/>
  <c r="I22" i="3" s="1"/>
  <c r="C28" i="3"/>
  <c r="F14" i="3" s="1"/>
  <c r="D28" i="3"/>
  <c r="J14" i="3" s="1"/>
  <c r="D14" i="3" s="1"/>
  <c r="E28" i="3"/>
  <c r="K22" i="3" s="1"/>
  <c r="E22" i="3" s="1"/>
  <c r="F28" i="3"/>
  <c r="B50" i="3"/>
  <c r="C50" i="3"/>
  <c r="D50" i="3"/>
  <c r="E50" i="3"/>
  <c r="F50" i="3"/>
  <c r="J22" i="3" l="1"/>
  <c r="D22" i="3" s="1"/>
  <c r="K14" i="3"/>
  <c r="E14" i="3" s="1"/>
  <c r="B22" i="3"/>
  <c r="I14" i="3"/>
  <c r="B14" i="3" s="1"/>
  <c r="F22" i="3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<sst xmlns="http://schemas.openxmlformats.org/spreadsheetml/2006/main" count="245" uniqueCount="143">
  <si>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</si>
  <si>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</si>
  <si>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</si>
  <si>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</si>
  <si>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</si>
  <si>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</si>
  <si>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</si>
  <si>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</si>
  <si>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</si>
  <si>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</si>
  <si>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</si>
  <si>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</si>
  <si>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</si>
  <si>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</si>
  <si>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</si>
  <si>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</si>
  <si>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</si>
  <si>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</si>
  <si>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</si>
  <si>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</si>
  <si>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</si>
  <si>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</si>
  <si>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</si>
  <si>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</si>
  <si>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</si>
  <si>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</si>
  <si>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</si>
  <si>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</si>
  <si>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</si>
  <si>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</si>
  <si>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</si>
  <si>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</si>
  <si>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</si>
  <si>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</si>
  <si>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</si>
  <si>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</si>
  <si>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</si>
  <si>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</si>
  <si>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</si>
  <si>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</si>
  <si>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</si>
  <si>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</si>
  <si>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</si>
  <si>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</si>
  <si>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</si>
  <si>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</si>
  <si>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</si>
  <si>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</si>
  <si>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</si>
  <si>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</si>
  <si>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</si>
  <si>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</si>
  <si>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</si>
  <si>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</si>
  <si>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</si>
  <si>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</si>
  <si>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</si>
  <si>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</si>
  <si>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</si>
  <si>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</si>
  <si>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</si>
  <si>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</si>
  <si>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</si>
  <si>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</si>
  <si>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</si>
  <si>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</si>
  <si>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</si>
  <si>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</si>
  <si>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</si>
  <si>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</si>
  <si>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</si>
  <si>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</si>
  <si>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</si>
  <si>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</si>
  <si>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</si>
  <si>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</si>
  <si>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</si>
  <si>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</si>
  <si>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</si>
  <si>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</si>
  <si>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</si>
  <si>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</si>
  <si>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</si>
  <si>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</si>
  <si>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</si>
  <si>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</si>
  <si>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</si>
  <si>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</si>
  <si>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</si>
  <si>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</si>
  <si>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</si>
  <si>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</si>
  <si>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</si>
  <si>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</si>
  <si>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</si>
  <si>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</si>
  <si>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</si>
  <si>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</si>
  <si>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</si>
  <si>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</si>
  <si>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</si>
  <si>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</si>
  <si>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</si>
  <si>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</si>
  <si>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</si>
  <si>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</si>
  <si>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</si>
  <si>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</si>
  <si>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</si>
  <si>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</si>
  <si>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</si>
  <si>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</si>
  <si>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</si>
  <si>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</si>
  <si>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</si>
  <si>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</si>
  <si>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</si>
  <si>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</si>
  <si>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</si>
  <si>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</si>
  <si>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</si>
  <si>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</si>
  <si>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</si>
  <si>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</si>
  <si>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</si>
  <si>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</si>
  <si>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</si>
  <si>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</si>
  <si>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</si>
  <si>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</si>
  <si>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</si>
  <si>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</si>
  <si>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</si>
  <si>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</si>
  <si>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CONTADO</t>
  </si>
  <si>
    <t>MDF18MM</t>
  </si>
  <si>
    <t>MDF 18MM</t>
  </si>
  <si>
    <t>CORREO:</t>
  </si>
  <si>
    <t>N° 11430</t>
  </si>
  <si>
    <t>CRISTIAN ORTIZ</t>
  </si>
  <si>
    <t>+569 4293 9216</t>
  </si>
  <si>
    <t>CUB C/R R8</t>
  </si>
  <si>
    <t>ONIX BROWN 2721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</si>
</sst>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quotePrefix="1" applyFont="1"/>
    <xf numFmtId="0" fontId="18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15" fillId="0" borderId="11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166" fontId="3" fillId="0" borderId="34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$ 64.985.-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OBSERVACIONES:FILETEAR EL LADO IZQUIERDO, ENTREGAR CON SOBRE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FILETEAR EL LADO IZQUIERDO,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ENTREGAR CON SOBRE MEDIDA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J22" sqref="J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6.88671875" customWidth="1"/>
    <col min="4" max="5" width="9.109375" customWidth="1"/>
    <col min="6" max="6" width="33.7773437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138</v>
      </c>
      <c r="E8" s="1"/>
      <c r="F8" s="93" t="s">
        <v>27</v>
      </c>
      <c r="G8" s="94">
        <v>7215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5" t="s">
        <v>139</v>
      </c>
      <c r="D10" s="55"/>
      <c r="E10" s="55"/>
      <c r="F10" s="56" t="s">
        <v>28</v>
      </c>
      <c r="G10" s="57">
        <v>45790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45793</v>
      </c>
      <c r="H11" s="62"/>
      <c r="I11" s="1"/>
    </row>
    <row r="12" spans="1:17" ht="16.8" x14ac:dyDescent="0.4">
      <c r="A12" s="1"/>
      <c r="B12" s="63" t="s">
        <v>130</v>
      </c>
      <c r="C12" s="108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63" t="s">
        <v>137</v>
      </c>
      <c r="C14" s="109"/>
      <c r="D14" s="43"/>
      <c r="E14" s="43"/>
      <c r="F14" s="43"/>
      <c r="G14" s="64"/>
      <c r="H14" s="65"/>
      <c r="I14" s="1"/>
    </row>
    <row r="15" spans="1:17" ht="15.6" x14ac:dyDescent="0.3">
      <c r="A15" s="1"/>
      <c r="B15" s="59" t="s">
        <v>17</v>
      </c>
      <c r="C15" s="107" t="s">
        <v>140</v>
      </c>
      <c r="D15" s="66"/>
      <c r="E15" s="60"/>
      <c r="F15" s="60" t="s">
        <v>29</v>
      </c>
      <c r="G15" s="60" t="s">
        <v>133</v>
      </c>
      <c r="H15" s="62"/>
      <c r="I15" s="1"/>
    </row>
    <row r="16" spans="1:17" ht="16.8" x14ac:dyDescent="0.4">
      <c r="A16" s="1"/>
      <c r="B16" s="63" t="s">
        <v>1</v>
      </c>
      <c r="C16" s="108"/>
      <c r="D16" s="43"/>
      <c r="E16" s="43"/>
      <c r="F16" s="67" t="s">
        <v>75</v>
      </c>
      <c r="G16" s="67" t="s">
        <v>134</v>
      </c>
      <c r="H16" s="65"/>
      <c r="I16" s="1"/>
    </row>
    <row r="17" spans="1:16" ht="16.2" thickBot="1" x14ac:dyDescent="0.35">
      <c r="A17" s="1"/>
      <c r="B17" s="68" t="s">
        <v>3</v>
      </c>
      <c r="C17" s="110" t="s">
        <v>131</v>
      </c>
      <c r="D17" s="69"/>
      <c r="E17" s="70"/>
      <c r="F17" s="116" t="s">
        <v>18</v>
      </c>
      <c r="G17" s="116"/>
      <c r="H17" s="117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18" t="s">
        <v>19</v>
      </c>
      <c r="C20" s="119"/>
      <c r="D20" s="119"/>
      <c r="E20" s="119"/>
      <c r="F20" s="119"/>
      <c r="G20" s="119"/>
      <c r="H20" s="120"/>
      <c r="I20" s="1"/>
    </row>
    <row r="21" spans="1:16" ht="16.2" thickBot="1" x14ac:dyDescent="0.35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11">
        <v>1</v>
      </c>
      <c r="C22" s="112" t="s">
        <v>141</v>
      </c>
      <c r="D22" s="115">
        <v>2800</v>
      </c>
      <c r="E22" s="115">
        <v>550</v>
      </c>
      <c r="F22" s="100" t="s">
        <v>142</v>
      </c>
      <c r="G22" s="113">
        <v>109219</v>
      </c>
      <c r="H22" s="114">
        <f>G22*B22</f>
        <v>109219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1"/>
      <c r="C23" s="101"/>
      <c r="D23" s="102"/>
      <c r="E23" s="102"/>
      <c r="F23" s="101"/>
      <c r="G23" s="103"/>
      <c r="H23" s="104"/>
      <c r="I23" s="1"/>
    </row>
    <row r="24" spans="1:16" ht="18" customHeight="1" thickBot="1" x14ac:dyDescent="0.35">
      <c r="A24" s="1"/>
      <c r="B24" s="101"/>
      <c r="C24" s="101"/>
      <c r="D24" s="102"/>
      <c r="E24" s="102"/>
      <c r="F24" s="101"/>
      <c r="G24" s="103"/>
      <c r="H24" s="10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SUM(H22:H22)</f>
        <v>109219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H25*19%</f>
        <v>20751.61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129970.61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4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abSelected="1" zoomScaleNormal="100" workbookViewId="0">
      <selection sqref="A1:F3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7215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CRISTIAN ORTIZ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45793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135</v>
      </c>
      <c r="B14" s="25">
        <f t="shared" ref="B14" si="0">I14</f>
        <v>1</v>
      </c>
      <c r="C14" s="25"/>
      <c r="D14" s="25">
        <f t="shared" ref="D14" si="1">J14+D$13</f>
        <v>2880</v>
      </c>
      <c r="E14" s="35">
        <f>K14+E$13</f>
        <v>520</v>
      </c>
      <c r="F14" s="98" t="str">
        <f>C28</f>
        <v>CUB C/R R8</v>
      </c>
      <c r="G14" s="1"/>
      <c r="I14" s="3">
        <f>I22</f>
        <v>1</v>
      </c>
      <c r="J14" s="4">
        <f>D28</f>
        <v>2800</v>
      </c>
      <c r="K14" s="4">
        <f>E28</f>
        <v>550</v>
      </c>
    </row>
    <row r="15" spans="1:14" ht="15.6" x14ac:dyDescent="0.3">
      <c r="A15" s="95"/>
      <c r="B15" s="6"/>
      <c r="C15" s="6"/>
      <c r="D15" s="6"/>
      <c r="E15" s="88"/>
      <c r="F15" s="106"/>
      <c r="G15" s="1"/>
      <c r="I15" s="89"/>
      <c r="J15" s="2"/>
      <c r="K15" s="2"/>
    </row>
    <row r="16" spans="1:14" ht="15.6" x14ac:dyDescent="0.3">
      <c r="A16" s="52"/>
      <c r="B16" s="6"/>
      <c r="C16" s="6"/>
      <c r="D16" s="6"/>
      <c r="E16" s="88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4" t="s">
        <v>14</v>
      </c>
      <c r="B18" s="124"/>
      <c r="C18" s="124"/>
      <c r="D18" s="124"/>
      <c r="E18" s="124"/>
      <c r="F18" s="12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2">I22</f>
        <v>1</v>
      </c>
      <c r="C22" s="16"/>
      <c r="D22" s="16">
        <f>J22+D$21</f>
        <v>2840</v>
      </c>
      <c r="E22" s="16">
        <f>K22+E$21</f>
        <v>680</v>
      </c>
      <c r="F22" s="99" t="str">
        <f>C28</f>
        <v>CUB C/R R8</v>
      </c>
      <c r="G22" s="1"/>
      <c r="I22" s="3">
        <f>B28</f>
        <v>1</v>
      </c>
      <c r="J22" s="4">
        <f t="shared" ref="J22:K22" si="3">D28</f>
        <v>2800</v>
      </c>
      <c r="K22" s="4">
        <f t="shared" si="3"/>
        <v>550</v>
      </c>
    </row>
    <row r="23" spans="1:11" ht="15.6" x14ac:dyDescent="0.3">
      <c r="A23" s="95"/>
      <c r="B23" s="6"/>
      <c r="C23" s="6"/>
      <c r="D23" s="6"/>
      <c r="E23" s="6"/>
      <c r="F23" s="106"/>
      <c r="G23" s="1"/>
      <c r="I23" s="89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7" t="s">
        <v>10</v>
      </c>
      <c r="C27" s="87" t="s">
        <v>110</v>
      </c>
      <c r="D27" s="87" t="s">
        <v>7</v>
      </c>
      <c r="E27" s="87" t="s">
        <v>8</v>
      </c>
      <c r="F27" s="87" t="s">
        <v>23</v>
      </c>
      <c r="G27" s="1"/>
    </row>
    <row r="28" spans="1:11" ht="15.6" x14ac:dyDescent="0.3">
      <c r="A28" s="95" t="s">
        <v>136</v>
      </c>
      <c r="B28" s="25">
        <f>'4637'!B22</f>
        <v>1</v>
      </c>
      <c r="C28" s="98" t="str">
        <f>'4637'!C22</f>
        <v>CUB C/R R8</v>
      </c>
      <c r="D28" s="25">
        <f>'4637'!D22</f>
        <v>2800</v>
      </c>
      <c r="E28" s="25">
        <f>'4637'!E22</f>
        <v>550</v>
      </c>
      <c r="F28" s="25" t="str">
        <f>'4637'!F22</f>
        <v>ONIX BROWN 2721 BR</v>
      </c>
      <c r="G28" s="1"/>
    </row>
    <row r="29" spans="1:11" ht="15.6" x14ac:dyDescent="0.3">
      <c r="A29" s="95"/>
      <c r="B29" s="6"/>
      <c r="C29" s="106"/>
      <c r="D29" s="6"/>
      <c r="E29" s="6"/>
      <c r="F29" s="6"/>
      <c r="G29" s="1"/>
    </row>
    <row r="30" spans="1:11" ht="15.6" x14ac:dyDescent="0.3">
      <c r="A30" s="52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7215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CRISTIAN ORTIZ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45793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4" t="s">
        <v>68</v>
      </c>
      <c r="B46" s="124"/>
      <c r="C46" s="124"/>
      <c r="D46" s="124"/>
      <c r="E46" s="124"/>
      <c r="F46" s="124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5" t="s">
        <v>69</v>
      </c>
      <c r="C48" s="126"/>
      <c r="D48" s="127"/>
      <c r="E48" s="127"/>
      <c r="F48" s="128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5" t="s">
        <v>135</v>
      </c>
      <c r="B50" s="38">
        <f>'4637'!B22</f>
        <v>1</v>
      </c>
      <c r="C50" s="97" t="str">
        <f>'4637'!C22</f>
        <v>CUB C/R R8</v>
      </c>
      <c r="D50" s="39">
        <f>'4637'!D22</f>
        <v>2800</v>
      </c>
      <c r="E50" s="39">
        <f>'4637'!E22</f>
        <v>550</v>
      </c>
      <c r="F50" s="38" t="str">
        <f>'4637'!F22</f>
        <v>ONIX BROWN 2721 BR</v>
      </c>
      <c r="G50" s="1"/>
    </row>
    <row r="51" spans="1:7" s="15" customFormat="1" ht="15" customHeight="1" x14ac:dyDescent="0.3">
      <c r="A51" s="95"/>
      <c r="B51" s="52"/>
      <c r="C51" s="105"/>
      <c r="D51" s="52"/>
      <c r="E51" s="52"/>
      <c r="F51" s="52"/>
      <c r="G51" s="1"/>
    </row>
    <row r="52" spans="1:7" s="15" customFormat="1" ht="15" customHeight="1" x14ac:dyDescent="0.3">
      <c r="A52" s="50"/>
      <c r="B52" s="52"/>
      <c r="C52" s="52"/>
      <c r="D52" s="52"/>
      <c r="E52" s="52"/>
      <c r="F52" s="52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2025-05-14T14:16:44Z</cp:lastPrinted>
  <dcterms:created xsi:type="dcterms:W3CDTF">2013-03-19T12:54:14Z</dcterms:created>
  <dcterms:modified xsi:type="dcterms:W3CDTF">2025-05-14T14:17:33Z</dcterms:modified>
</cp:coreProperties>
</file>