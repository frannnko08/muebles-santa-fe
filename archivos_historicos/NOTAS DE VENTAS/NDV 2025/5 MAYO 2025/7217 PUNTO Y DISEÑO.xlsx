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5 MAYO 2025\"/>
    </mc:Choice>
  </mc:AlternateContent>
  <xr:revisionPtr revIDLastSave="0" documentId="13_ncr:1_{D0BA3AAF-28BE-4BBF-B203-9833FC28061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'4637'!$A$1:$H$32</definedName>
    <definedName name="_xlnm.Print_Area" localSheetId="2">CUBIERTA!$A$1:$F$37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3" l="1"/>
  <c r="I23" i="3"/>
  <c r="B23" i="3" s="1"/>
  <c r="J23" i="3"/>
  <c r="D23" i="3" s="1"/>
  <c r="K23" i="3"/>
  <c r="B29" i="3"/>
  <c r="C29" i="3"/>
  <c r="D29" i="3"/>
  <c r="E29" i="3"/>
  <c r="F29" i="3"/>
  <c r="B51" i="3"/>
  <c r="C51" i="3"/>
  <c r="D51" i="3"/>
  <c r="E51" i="3"/>
  <c r="F51" i="3"/>
  <c r="H22" i="4"/>
  <c r="H26" i="4" s="1"/>
  <c r="B28" i="3"/>
  <c r="I22" i="3" s="1"/>
  <c r="C28" i="3"/>
  <c r="F14" i="3" s="1"/>
  <c r="D28" i="3"/>
  <c r="J14" i="3" s="1"/>
  <c r="D14" i="3" s="1"/>
  <c r="E28" i="3"/>
  <c r="K22" i="3" s="1"/>
  <c r="E22" i="3" s="1"/>
  <c r="F28" i="3"/>
  <c r="B50" i="3"/>
  <c r="C50" i="3"/>
  <c r="D50" i="3"/>
  <c r="E50" i="3"/>
  <c r="F50" i="3"/>
  <c r="J22" i="3" l="1"/>
  <c r="D22" i="3" s="1"/>
  <c r="K14" i="3"/>
  <c r="E14" i="3" s="1"/>
  <c r="B22" i="3"/>
  <c r="I14" i="3"/>
  <c r="B14" i="3" s="1"/>
  <c r="F22" i="3"/>
  <c r="H27" i="4" l="1"/>
  <c r="H28" i="4" s="1"/>
  <c r="N5" i="3" l="1"/>
  <c r="M5" i="3" l="1"/>
  <c r="L5" i="3"/>
  <c r="K5" i="3"/>
  <c r="C43" i="3" l="1"/>
  <c r="C7" i="3"/>
  <c r="D41" i="3"/>
  <c r="D5" i="3"/>
  <c r="D43" i="3"/>
  <c r="D7" i="3"/>
  <c r="D40" i="3"/>
  <c r="D4" i="3"/>
</calcChain>
</file>

<file path=xl/sharedStrings.xml><?xml version="1.0" encoding="utf-8"?>
<sst xmlns="http://schemas.openxmlformats.org/spreadsheetml/2006/main" count="248" uniqueCount="145">
  <si>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</si>
  <si>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</si>
  <si>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</si>
  <si>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</si>
  <si>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</si>
  <si>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</si>
  <si>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</si>
  <si>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</si>
  <si>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</si>
  <si>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</si>
  <si>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</si>
  <si>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</si>
  <si>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</si>
  <si>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</si>
  <si>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</si>
  <si>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</si>
  <si>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</si>
  <si>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</si>
  <si>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</si>
  <si>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</si>
  <si>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</si>
  <si>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</si>
  <si>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</si>
  <si>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</si>
  <si>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</si>
  <si>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</si>
  <si>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</si>
  <si>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</si>
  <si>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</si>
  <si>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</si>
  <si>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</si>
  <si>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</si>
  <si>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</si>
  <si>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</si>
  <si>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</si>
  <si>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</si>
  <si>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</si>
  <si>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</si>
  <si>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</si>
  <si>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</si>
  <si>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</si>
  <si>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</si>
  <si>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</si>
  <si>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</si>
  <si>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</si>
  <si>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</si>
  <si>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</si>
  <si>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</si>
  <si>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</si>
  <si>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</si>
  <si>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</si>
  <si>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</si>
  <si>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</si>
  <si>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</si>
  <si>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</si>
  <si>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</si>
  <si>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</si>
  <si>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</si>
  <si>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</si>
  <si>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</si>
  <si>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</si>
  <si>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</si>
  <si>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</si>
  <si>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</si>
  <si>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</si>
  <si>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</si>
  <si>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</si>
  <si>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</si>
  <si>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</si>
  <si>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</si>
  <si>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</si>
  <si>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</si>
  <si>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</si>
  <si>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</si>
  <si>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</si>
  <si>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</si>
  <si>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</si>
  <si>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</si>
  <si>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</si>
  <si>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</si>
  <si>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</si>
  <si>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</si>
  <si>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</si>
  <si>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</si>
  <si>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</si>
  <si>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</si>
  <si>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</si>
  <si>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</si>
  <si>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</si>
  <si>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</si>
  <si>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</si>
  <si>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</si>
  <si>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</si>
  <si>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</si>
  <si>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</si>
  <si>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</si>
  <si>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</si>
  <si>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</si>
  <si>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</si>
  <si>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</si>
  <si>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</si>
  <si>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</si>
  <si>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</si>
  <si>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</si>
  <si>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</si>
  <si>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</si>
  <si>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</si>
  <si>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</si>
  <si>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</si>
  <si>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</si>
  <si>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</si>
  <si>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</si>
  <si>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</si>
  <si>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</si>
  <si>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</si>
  <si>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</si>
  <si>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</si>
  <si>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</si>
  <si>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</si>
  <si>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</si>
  <si>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</si>
  <si>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</si>
  <si>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</si>
  <si>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</si>
  <si>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</si>
  <si>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</si>
  <si>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</si>
  <si>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</si>
  <si>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</si>
  <si>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</si>
  <si>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</si>
  <si>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</si>
  <si>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</si>
  <si>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NO</t>
  </si>
  <si>
    <t>CONTADO</t>
  </si>
  <si>
    <t>MDF18MM</t>
  </si>
  <si>
    <t>MDF 18MM</t>
  </si>
  <si>
    <t>CORREO:</t>
  </si>
  <si>
    <t>PUNTO Y DISEÑO</t>
  </si>
  <si>
    <t>OMAR VERGARA</t>
  </si>
  <si>
    <t>569 68412708</t>
  </si>
  <si>
    <t>N° 11439</t>
  </si>
  <si>
    <t>CUB C/R R12</t>
  </si>
  <si>
    <t>QUARZITE 3044 PT</t>
  </si>
  <si>
    <t>ZOCALOS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</si>
</sst>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31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8" fillId="3" borderId="0" xfId="0" applyFont="1" applyFill="1"/>
    <xf numFmtId="0" fontId="6" fillId="3" borderId="0" xfId="2" applyFill="1"/>
    <xf numFmtId="0" fontId="19" fillId="0" borderId="9" xfId="2" applyFont="1" applyFill="1" applyBorder="1" applyAlignment="1">
      <alignment horizontal="left"/>
    </xf>
    <xf numFmtId="0" fontId="15" fillId="0" borderId="11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166" fontId="3" fillId="0" borderId="34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1" fontId="15" fillId="0" borderId="34" xfId="0" applyNumberFormat="1" applyFont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7" fillId="3" borderId="0" xfId="0" quotePrefix="1" applyFont="1" applyFill="1"/>
    <xf numFmtId="1" fontId="15" fillId="0" borderId="2" xfId="0" applyNumberFormat="1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</cellXfs>
  <cellStyles count="3">
    <cellStyle name="Hipervínculo" xfId="2" builtinId="8"/>
    <cellStyle name="Millares" xfId="1" builtinId="3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25</xdr:row>
      <xdr:rowOff>9525</xdr:rowOff>
    </xdr:from>
    <xdr:to>
      <xdr:col>5</xdr:col>
      <xdr:colOff>1390650</xdr:colOff>
      <xdr:row>29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 $ 150.000.-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44</xdr:row>
      <xdr:rowOff>171450</xdr:rowOff>
    </xdr:from>
    <xdr:to>
      <xdr:col>5</xdr:col>
      <xdr:colOff>1685924</xdr:colOff>
      <xdr:row>46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0</xdr:rowOff>
    </xdr:from>
    <xdr:to>
      <xdr:col>6</xdr:col>
      <xdr:colOff>0</xdr:colOff>
      <xdr:row>43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38100</xdr:rowOff>
    </xdr:from>
    <xdr:to>
      <xdr:col>6</xdr:col>
      <xdr:colOff>0</xdr:colOff>
      <xdr:row>41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53</xdr:row>
      <xdr:rowOff>0</xdr:rowOff>
    </xdr:from>
    <xdr:to>
      <xdr:col>2</xdr:col>
      <xdr:colOff>38100</xdr:colOff>
      <xdr:row>54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53</xdr:row>
      <xdr:rowOff>0</xdr:rowOff>
    </xdr:from>
    <xdr:to>
      <xdr:col>2</xdr:col>
      <xdr:colOff>1019175</xdr:colOff>
      <xdr:row>53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53</xdr:row>
      <xdr:rowOff>0</xdr:rowOff>
    </xdr:from>
    <xdr:to>
      <xdr:col>3</xdr:col>
      <xdr:colOff>352425</xdr:colOff>
      <xdr:row>54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53</xdr:row>
      <xdr:rowOff>0</xdr:rowOff>
    </xdr:from>
    <xdr:to>
      <xdr:col>4</xdr:col>
      <xdr:colOff>257175</xdr:colOff>
      <xdr:row>54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53</xdr:row>
      <xdr:rowOff>0</xdr:rowOff>
    </xdr:from>
    <xdr:to>
      <xdr:col>5</xdr:col>
      <xdr:colOff>447675</xdr:colOff>
      <xdr:row>53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53</xdr:row>
      <xdr:rowOff>0</xdr:rowOff>
    </xdr:from>
    <xdr:to>
      <xdr:col>6</xdr:col>
      <xdr:colOff>0</xdr:colOff>
      <xdr:row>53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53</xdr:row>
      <xdr:rowOff>190500</xdr:rowOff>
    </xdr:from>
    <xdr:to>
      <xdr:col>2</xdr:col>
      <xdr:colOff>304800</xdr:colOff>
      <xdr:row>55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53</xdr:row>
      <xdr:rowOff>190500</xdr:rowOff>
    </xdr:from>
    <xdr:to>
      <xdr:col>2</xdr:col>
      <xdr:colOff>1276350</xdr:colOff>
      <xdr:row>55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53</xdr:row>
      <xdr:rowOff>190500</xdr:rowOff>
    </xdr:from>
    <xdr:to>
      <xdr:col>3</xdr:col>
      <xdr:colOff>619125</xdr:colOff>
      <xdr:row>55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53</xdr:row>
      <xdr:rowOff>190500</xdr:rowOff>
    </xdr:from>
    <xdr:to>
      <xdr:col>4</xdr:col>
      <xdr:colOff>523875</xdr:colOff>
      <xdr:row>55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53</xdr:row>
      <xdr:rowOff>190500</xdr:rowOff>
    </xdr:from>
    <xdr:to>
      <xdr:col>5</xdr:col>
      <xdr:colOff>723900</xdr:colOff>
      <xdr:row>55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53</xdr:row>
      <xdr:rowOff>190500</xdr:rowOff>
    </xdr:from>
    <xdr:to>
      <xdr:col>6</xdr:col>
      <xdr:colOff>0</xdr:colOff>
      <xdr:row>55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31</xdr:row>
      <xdr:rowOff>15239</xdr:rowOff>
    </xdr:from>
    <xdr:to>
      <xdr:col>6</xdr:col>
      <xdr:colOff>68580</xdr:colOff>
      <xdr:row>35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OBSERVACIONES:FILETEAR EL LADO IZQUIERDO, ENTREGAR CON SOBRE MEDIDA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56</xdr:row>
      <xdr:rowOff>32385</xdr:rowOff>
    </xdr:from>
    <xdr:to>
      <xdr:col>6</xdr:col>
      <xdr:colOff>19050</xdr:colOff>
      <xdr:row>60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38</xdr:row>
      <xdr:rowOff>41910</xdr:rowOff>
    </xdr:from>
    <xdr:to>
      <xdr:col>1</xdr:col>
      <xdr:colOff>801763</xdr:colOff>
      <xdr:row>44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5"/>
  <sheetViews>
    <sheetView topLeftCell="A9" workbookViewId="0">
      <selection activeCell="K20" sqref="K20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6.88671875" customWidth="1"/>
    <col min="4" max="5" width="9.109375" customWidth="1"/>
    <col min="6" max="6" width="33.7773437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141</v>
      </c>
      <c r="E8" s="1"/>
      <c r="F8" s="93" t="s">
        <v>27</v>
      </c>
      <c r="G8" s="94">
        <v>7217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5" t="s">
        <v>138</v>
      </c>
      <c r="D10" s="55"/>
      <c r="E10" s="55"/>
      <c r="F10" s="56" t="s">
        <v>28</v>
      </c>
      <c r="G10" s="57">
        <v>45799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/>
      <c r="D11" s="60"/>
      <c r="E11" s="60"/>
      <c r="F11" s="60" t="s">
        <v>124</v>
      </c>
      <c r="G11" s="61">
        <v>45803</v>
      </c>
      <c r="H11" s="62"/>
      <c r="I11" s="1"/>
    </row>
    <row r="12" spans="1:17" ht="16.8" x14ac:dyDescent="0.4">
      <c r="A12" s="1"/>
      <c r="B12" s="63" t="s">
        <v>130</v>
      </c>
      <c r="C12" s="107"/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132</v>
      </c>
      <c r="C13" t="s">
        <v>139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63" t="s">
        <v>137</v>
      </c>
      <c r="C14" s="108"/>
      <c r="D14" s="43"/>
      <c r="E14" s="43"/>
      <c r="F14" s="43"/>
      <c r="G14" s="64"/>
      <c r="H14" s="65"/>
      <c r="I14" s="1"/>
    </row>
    <row r="15" spans="1:17" ht="15.6" x14ac:dyDescent="0.3">
      <c r="A15" s="1"/>
      <c r="B15" s="59" t="s">
        <v>17</v>
      </c>
      <c r="C15" s="128" t="s">
        <v>140</v>
      </c>
      <c r="D15" s="66"/>
      <c r="E15" s="60"/>
      <c r="F15" s="60" t="s">
        <v>29</v>
      </c>
      <c r="G15" s="60" t="s">
        <v>133</v>
      </c>
      <c r="H15" s="62"/>
      <c r="I15" s="1"/>
    </row>
    <row r="16" spans="1:17" ht="16.8" x14ac:dyDescent="0.4">
      <c r="A16" s="1"/>
      <c r="B16" s="63" t="s">
        <v>1</v>
      </c>
      <c r="C16" s="107"/>
      <c r="D16" s="43"/>
      <c r="E16" s="43"/>
      <c r="F16" s="67" t="s">
        <v>75</v>
      </c>
      <c r="G16" s="67" t="s">
        <v>134</v>
      </c>
      <c r="H16" s="65"/>
      <c r="I16" s="1"/>
    </row>
    <row r="17" spans="1:16" ht="16.2" thickBot="1" x14ac:dyDescent="0.35">
      <c r="A17" s="1"/>
      <c r="B17" s="68" t="s">
        <v>3</v>
      </c>
      <c r="C17" s="109" t="s">
        <v>131</v>
      </c>
      <c r="D17" s="69"/>
      <c r="E17" s="70"/>
      <c r="F17" s="115" t="s">
        <v>18</v>
      </c>
      <c r="G17" s="115"/>
      <c r="H17" s="116"/>
      <c r="I17" s="1"/>
    </row>
    <row r="18" spans="1:16" ht="15.6" x14ac:dyDescent="0.3">
      <c r="A18" s="1"/>
      <c r="B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17" t="s">
        <v>19</v>
      </c>
      <c r="C20" s="118"/>
      <c r="D20" s="118"/>
      <c r="E20" s="118"/>
      <c r="F20" s="118"/>
      <c r="G20" s="118"/>
      <c r="H20" s="119"/>
      <c r="I20" s="1"/>
    </row>
    <row r="21" spans="1:16" ht="16.2" thickBot="1" x14ac:dyDescent="0.35">
      <c r="A21" s="1"/>
      <c r="B21" s="71" t="s">
        <v>20</v>
      </c>
      <c r="C21" s="72" t="s">
        <v>21</v>
      </c>
      <c r="D21" s="72" t="s">
        <v>22</v>
      </c>
      <c r="E21" s="72" t="s">
        <v>8</v>
      </c>
      <c r="F21" s="73" t="s">
        <v>23</v>
      </c>
      <c r="G21" s="71" t="s">
        <v>24</v>
      </c>
      <c r="H21" s="73" t="s">
        <v>4</v>
      </c>
      <c r="I21" s="1"/>
    </row>
    <row r="22" spans="1:16" ht="18" customHeight="1" x14ac:dyDescent="0.3">
      <c r="A22" s="1"/>
      <c r="B22" s="110">
        <v>1</v>
      </c>
      <c r="C22" s="111" t="s">
        <v>142</v>
      </c>
      <c r="D22" s="114">
        <v>3600</v>
      </c>
      <c r="E22" s="114">
        <v>530</v>
      </c>
      <c r="F22" s="100" t="s">
        <v>143</v>
      </c>
      <c r="G22" s="112">
        <v>215960</v>
      </c>
      <c r="H22" s="113">
        <f>G22*B22</f>
        <v>215960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0">
        <v>2</v>
      </c>
      <c r="C23" s="100" t="s">
        <v>144</v>
      </c>
      <c r="D23" s="129">
        <v>3600</v>
      </c>
      <c r="E23" s="129">
        <v>160</v>
      </c>
      <c r="F23" s="100" t="s">
        <v>143</v>
      </c>
      <c r="G23" s="130"/>
      <c r="H23" s="130"/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1"/>
      <c r="C24" s="101"/>
      <c r="D24" s="102"/>
      <c r="E24" s="102"/>
      <c r="F24" s="101"/>
      <c r="G24" s="103"/>
      <c r="H24" s="104"/>
      <c r="I24" s="1"/>
    </row>
    <row r="25" spans="1:16" ht="18" customHeight="1" thickBot="1" x14ac:dyDescent="0.35">
      <c r="A25" s="1"/>
      <c r="B25" s="101"/>
      <c r="C25" s="101"/>
      <c r="D25" s="102"/>
      <c r="E25" s="102"/>
      <c r="F25" s="101"/>
      <c r="G25" s="103"/>
      <c r="H25" s="104"/>
      <c r="I25" s="1"/>
    </row>
    <row r="26" spans="1:16" ht="15.6" x14ac:dyDescent="0.3">
      <c r="A26" s="1"/>
      <c r="B26" s="1"/>
      <c r="C26" s="1"/>
      <c r="D26" s="1"/>
      <c r="E26" s="1"/>
      <c r="F26" s="1"/>
      <c r="G26" s="75" t="s">
        <v>5</v>
      </c>
      <c r="H26" s="76">
        <f>SUM(H22:H22)</f>
        <v>215960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77" t="s">
        <v>6</v>
      </c>
      <c r="H27" s="78">
        <f>H26*19%</f>
        <v>41032.400000000001</v>
      </c>
      <c r="I27" s="1"/>
    </row>
    <row r="28" spans="1:16" ht="16.2" thickBot="1" x14ac:dyDescent="0.35">
      <c r="A28" s="1"/>
      <c r="B28" s="1"/>
      <c r="C28" s="1"/>
      <c r="D28" s="1"/>
      <c r="E28" s="1"/>
      <c r="F28" s="1"/>
      <c r="G28" s="79" t="s">
        <v>4</v>
      </c>
      <c r="H28" s="80">
        <f>H26+H27</f>
        <v>256992.4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52"/>
      <c r="H29" s="96"/>
      <c r="I29" s="1"/>
    </row>
    <row r="30" spans="1:16" ht="15.6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16" ht="15.6" x14ac:dyDescent="0.3">
      <c r="A31" s="1"/>
      <c r="B31" s="81" t="s">
        <v>123</v>
      </c>
      <c r="C31" s="82"/>
      <c r="D31" s="83"/>
      <c r="E31" s="83"/>
      <c r="F31" s="74"/>
      <c r="G31" s="1"/>
      <c r="H31" s="1"/>
      <c r="I31" s="1"/>
    </row>
    <row r="32" spans="1:16" ht="15.6" x14ac:dyDescent="0.3">
      <c r="A32" s="1"/>
      <c r="B32" s="81" t="s">
        <v>122</v>
      </c>
      <c r="C32" s="82"/>
      <c r="D32" s="83"/>
      <c r="E32" s="83"/>
      <c r="F32" s="74"/>
      <c r="G32" s="1"/>
      <c r="H32" s="1"/>
      <c r="I32" s="1"/>
    </row>
    <row r="33" spans="1:9" ht="15.6" x14ac:dyDescent="0.3">
      <c r="A33" s="1"/>
      <c r="B33" s="1" t="s">
        <v>25</v>
      </c>
      <c r="C33" s="1"/>
      <c r="D33" s="1"/>
      <c r="E33" s="84" t="s">
        <v>26</v>
      </c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</sheetData>
  <sortState xmlns:xlrd2="http://schemas.microsoft.com/office/spreadsheetml/2017/richdata2" ref="B37">
    <sortCondition sortBy="fontColor" ref="B37" dxfId="1"/>
  </sortState>
  <mergeCells count="2">
    <mergeCell ref="F17:H17"/>
    <mergeCell ref="B20:H20"/>
  </mergeCells>
  <phoneticPr fontId="10" type="noConversion"/>
  <hyperlinks>
    <hyperlink ref="E3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0" t="s">
        <v>31</v>
      </c>
      <c r="C2" s="120"/>
      <c r="D2" s="120"/>
      <c r="E2" s="18"/>
      <c r="G2" s="120" t="s">
        <v>70</v>
      </c>
      <c r="H2" s="120"/>
      <c r="I2" s="120"/>
      <c r="P2" s="121" t="s">
        <v>58</v>
      </c>
      <c r="Q2" s="121"/>
      <c r="R2" s="121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1" t="s">
        <v>58</v>
      </c>
      <c r="M8" s="121"/>
      <c r="N8" s="121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4"/>
  <sheetViews>
    <sheetView tabSelected="1" zoomScaleNormal="100" workbookViewId="0">
      <selection sqref="A1:F37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2" t="s">
        <v>61</v>
      </c>
      <c r="L3" s="122"/>
      <c r="M3" s="122" t="s">
        <v>14</v>
      </c>
      <c r="N3" s="122"/>
    </row>
    <row r="4" spans="1:14" ht="15.75" customHeight="1" x14ac:dyDescent="0.3">
      <c r="A4" s="1"/>
      <c r="B4" s="1"/>
      <c r="C4" s="40" t="s">
        <v>27</v>
      </c>
      <c r="D4" s="14">
        <f>'4637'!G8</f>
        <v>7217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PUNTO Y DISEÑO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6" t="str">
        <f>'4637'!F11</f>
        <v>FECHA LIMITE :</v>
      </c>
      <c r="D7" s="13">
        <f>'4637'!G11</f>
        <v>45803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3" t="s">
        <v>61</v>
      </c>
      <c r="B10" s="123"/>
      <c r="C10" s="123"/>
      <c r="D10" s="123"/>
      <c r="E10" s="123"/>
      <c r="F10" s="123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60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135</v>
      </c>
      <c r="B14" s="25">
        <f t="shared" ref="B14" si="0">I14</f>
        <v>1</v>
      </c>
      <c r="C14" s="25"/>
      <c r="D14" s="25">
        <f t="shared" ref="D14" si="1">J14+D$13</f>
        <v>3660</v>
      </c>
      <c r="E14" s="35">
        <f>K14+E$13</f>
        <v>500</v>
      </c>
      <c r="F14" s="98" t="str">
        <f>C28</f>
        <v>CUB C/R R12</v>
      </c>
      <c r="G14" s="1"/>
      <c r="I14" s="3">
        <f>I22</f>
        <v>1</v>
      </c>
      <c r="J14" s="4">
        <f>D28</f>
        <v>3600</v>
      </c>
      <c r="K14" s="4">
        <f>E28</f>
        <v>530</v>
      </c>
    </row>
    <row r="15" spans="1:14" ht="15.6" x14ac:dyDescent="0.3">
      <c r="A15" s="95"/>
      <c r="B15" s="6"/>
      <c r="C15" s="6"/>
      <c r="D15" s="6"/>
      <c r="E15" s="88"/>
      <c r="F15" s="106"/>
      <c r="G15" s="1"/>
      <c r="I15" s="89"/>
      <c r="J15" s="2"/>
      <c r="K15" s="2"/>
    </row>
    <row r="16" spans="1:14" ht="15.6" x14ac:dyDescent="0.3">
      <c r="A16" s="52"/>
      <c r="B16" s="6"/>
      <c r="C16" s="6"/>
      <c r="D16" s="6"/>
      <c r="E16" s="88"/>
      <c r="F16" s="6"/>
      <c r="G16" s="1"/>
      <c r="I16" s="89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3" t="s">
        <v>14</v>
      </c>
      <c r="B18" s="123"/>
      <c r="C18" s="123"/>
      <c r="D18" s="123"/>
      <c r="E18" s="123"/>
      <c r="F18" s="123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130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5"/>
      <c r="B22" s="16">
        <f t="shared" ref="B22" si="2">I22</f>
        <v>1</v>
      </c>
      <c r="C22" s="16"/>
      <c r="D22" s="16">
        <f>J22+D$21</f>
        <v>3640</v>
      </c>
      <c r="E22" s="16">
        <f>K22+E$21</f>
        <v>660</v>
      </c>
      <c r="F22" s="99" t="str">
        <f>C28</f>
        <v>CUB C/R R12</v>
      </c>
      <c r="G22" s="1"/>
      <c r="I22" s="3">
        <f>B28</f>
        <v>1</v>
      </c>
      <c r="J22" s="4">
        <f t="shared" ref="J22:K22" si="3">D28</f>
        <v>3600</v>
      </c>
      <c r="K22" s="4">
        <f t="shared" si="3"/>
        <v>530</v>
      </c>
    </row>
    <row r="23" spans="1:11" ht="15.6" x14ac:dyDescent="0.3">
      <c r="A23" s="95"/>
      <c r="B23" s="16">
        <f t="shared" ref="B23" si="4">I23</f>
        <v>2</v>
      </c>
      <c r="C23" s="16"/>
      <c r="D23" s="16">
        <f>J23+D$21</f>
        <v>3640</v>
      </c>
      <c r="E23" s="16">
        <v>160</v>
      </c>
      <c r="F23" s="99" t="str">
        <f>C29</f>
        <v>ZOCALOS</v>
      </c>
      <c r="G23" s="1"/>
      <c r="I23" s="3">
        <f>B29</f>
        <v>2</v>
      </c>
      <c r="J23" s="4">
        <f t="shared" ref="J23" si="5">D29</f>
        <v>3600</v>
      </c>
      <c r="K23" s="4">
        <f t="shared" ref="K23" si="6">E29</f>
        <v>160</v>
      </c>
    </row>
    <row r="24" spans="1:11" ht="16.2" thickBot="1" x14ac:dyDescent="0.35">
      <c r="A24" s="52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52"/>
      <c r="B25" s="22" t="s">
        <v>107</v>
      </c>
      <c r="C25" s="23"/>
      <c r="D25" s="23"/>
      <c r="E25" s="23"/>
      <c r="F25" s="24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52" t="s">
        <v>9</v>
      </c>
      <c r="B27" s="87" t="s">
        <v>10</v>
      </c>
      <c r="C27" s="87" t="s">
        <v>110</v>
      </c>
      <c r="D27" s="87" t="s">
        <v>7</v>
      </c>
      <c r="E27" s="87" t="s">
        <v>8</v>
      </c>
      <c r="F27" s="87" t="s">
        <v>23</v>
      </c>
      <c r="G27" s="1"/>
    </row>
    <row r="28" spans="1:11" ht="15.6" x14ac:dyDescent="0.3">
      <c r="A28" s="95" t="s">
        <v>136</v>
      </c>
      <c r="B28" s="25">
        <f>'4637'!B22</f>
        <v>1</v>
      </c>
      <c r="C28" s="98" t="str">
        <f>'4637'!C22</f>
        <v>CUB C/R R12</v>
      </c>
      <c r="D28" s="25">
        <f>'4637'!D22</f>
        <v>3600</v>
      </c>
      <c r="E28" s="25">
        <f>'4637'!E22</f>
        <v>530</v>
      </c>
      <c r="F28" s="25" t="str">
        <f>'4637'!F22</f>
        <v>QUARZITE 3044 PT</v>
      </c>
      <c r="G28" s="1"/>
    </row>
    <row r="29" spans="1:11" ht="15.6" x14ac:dyDescent="0.3">
      <c r="A29" s="95"/>
      <c r="B29" s="25">
        <f>'4637'!B23</f>
        <v>2</v>
      </c>
      <c r="C29" s="98" t="str">
        <f>'4637'!C23</f>
        <v>ZOCALOS</v>
      </c>
      <c r="D29" s="25">
        <f>'4637'!D23</f>
        <v>3600</v>
      </c>
      <c r="E29" s="25">
        <f>'4637'!E23</f>
        <v>160</v>
      </c>
      <c r="F29" s="25" t="str">
        <f>'4637'!F23</f>
        <v>QUARZITE 3044 PT</v>
      </c>
      <c r="G29" s="1"/>
    </row>
    <row r="30" spans="1:11" ht="15.6" x14ac:dyDescent="0.3">
      <c r="A30" s="52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1"/>
      <c r="C39" s="1"/>
      <c r="D39" s="1"/>
      <c r="E39" s="1"/>
      <c r="F39" s="1"/>
      <c r="G39" s="1"/>
    </row>
    <row r="40" spans="1:7" ht="15.6" x14ac:dyDescent="0.3">
      <c r="A40" s="1"/>
      <c r="B40" s="1"/>
      <c r="C40" s="40" t="s">
        <v>27</v>
      </c>
      <c r="D40" s="14">
        <f>'4637'!G8</f>
        <v>7217</v>
      </c>
      <c r="E40" s="1"/>
      <c r="F40" s="1"/>
      <c r="G40" s="1"/>
    </row>
    <row r="41" spans="1:7" ht="17.25" customHeight="1" x14ac:dyDescent="0.3">
      <c r="A41" s="1"/>
      <c r="B41" s="1"/>
      <c r="C41" s="41" t="s">
        <v>67</v>
      </c>
      <c r="D41" s="42" t="str">
        <f>'4637'!C10</f>
        <v>PUNTO Y DISEÑO</v>
      </c>
      <c r="E41" s="43"/>
      <c r="F41" s="43"/>
      <c r="G41" s="1"/>
    </row>
    <row r="42" spans="1:7" ht="4.5" customHeight="1" x14ac:dyDescent="0.3">
      <c r="A42" s="1"/>
      <c r="B42" s="1"/>
      <c r="C42" s="44"/>
      <c r="D42" s="45"/>
      <c r="E42" s="1"/>
      <c r="F42" s="1"/>
      <c r="G42" s="1"/>
    </row>
    <row r="43" spans="1:7" ht="15.6" x14ac:dyDescent="0.3">
      <c r="A43" s="1"/>
      <c r="B43" s="1"/>
      <c r="C43" s="46" t="str">
        <f>'4637'!F11</f>
        <v>FECHA LIMITE :</v>
      </c>
      <c r="D43" s="13">
        <f>'4637'!G11</f>
        <v>45803</v>
      </c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23" t="s">
        <v>68</v>
      </c>
      <c r="B46" s="123"/>
      <c r="C46" s="123"/>
      <c r="D46" s="123"/>
      <c r="E46" s="123"/>
      <c r="F46" s="123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75" customHeight="1" x14ac:dyDescent="0.3">
      <c r="A48" s="1"/>
      <c r="B48" s="124" t="s">
        <v>69</v>
      </c>
      <c r="C48" s="125"/>
      <c r="D48" s="126"/>
      <c r="E48" s="126"/>
      <c r="F48" s="127"/>
      <c r="G48" s="1"/>
    </row>
    <row r="49" spans="1:7" s="15" customFormat="1" ht="12.75" customHeight="1" x14ac:dyDescent="0.3">
      <c r="A49" s="1"/>
      <c r="B49" s="36" t="s">
        <v>10</v>
      </c>
      <c r="C49" s="47" t="s">
        <v>11</v>
      </c>
      <c r="D49" s="48" t="s">
        <v>7</v>
      </c>
      <c r="E49" s="48" t="s">
        <v>8</v>
      </c>
      <c r="F49" s="49" t="s">
        <v>12</v>
      </c>
      <c r="G49" s="1"/>
    </row>
    <row r="50" spans="1:7" s="15" customFormat="1" ht="15" customHeight="1" x14ac:dyDescent="0.3">
      <c r="A50" s="95" t="s">
        <v>135</v>
      </c>
      <c r="B50" s="38">
        <f>'4637'!B22</f>
        <v>1</v>
      </c>
      <c r="C50" s="97" t="str">
        <f>'4637'!C22</f>
        <v>CUB C/R R12</v>
      </c>
      <c r="D50" s="39">
        <f>'4637'!D22</f>
        <v>3600</v>
      </c>
      <c r="E50" s="39">
        <f>'4637'!E22</f>
        <v>530</v>
      </c>
      <c r="F50" s="38" t="str">
        <f>'4637'!F22</f>
        <v>QUARZITE 3044 PT</v>
      </c>
      <c r="G50" s="1"/>
    </row>
    <row r="51" spans="1:7" s="15" customFormat="1" ht="15" customHeight="1" x14ac:dyDescent="0.3">
      <c r="A51" s="95"/>
      <c r="B51" s="38">
        <f>'4637'!B23</f>
        <v>2</v>
      </c>
      <c r="C51" s="97" t="str">
        <f>'4637'!C23</f>
        <v>ZOCALOS</v>
      </c>
      <c r="D51" s="39">
        <f>'4637'!D23</f>
        <v>3600</v>
      </c>
      <c r="E51" s="39">
        <f>'4637'!E23</f>
        <v>160</v>
      </c>
      <c r="F51" s="38" t="str">
        <f>'4637'!F23</f>
        <v>QUARZITE 3044 PT</v>
      </c>
      <c r="G51" s="1"/>
    </row>
    <row r="52" spans="1:7" s="15" customFormat="1" ht="15" customHeight="1" x14ac:dyDescent="0.3">
      <c r="A52" s="95"/>
      <c r="B52" s="52"/>
      <c r="C52" s="105"/>
      <c r="D52" s="52"/>
      <c r="E52" s="52"/>
      <c r="F52" s="52"/>
      <c r="G52" s="1"/>
    </row>
    <row r="53" spans="1:7" s="15" customFormat="1" ht="15" customHeight="1" x14ac:dyDescent="0.3">
      <c r="A53" s="50"/>
      <c r="B53" s="52"/>
      <c r="C53" s="52"/>
      <c r="D53" s="52"/>
      <c r="E53" s="52"/>
      <c r="F53" s="52"/>
      <c r="G53" s="1"/>
    </row>
    <row r="54" spans="1:7" ht="15.6" x14ac:dyDescent="0.3">
      <c r="A54" s="6"/>
      <c r="B54" s="6"/>
      <c r="C54" s="1"/>
      <c r="D54" s="6"/>
      <c r="E54" s="6"/>
      <c r="F54" s="44"/>
      <c r="G54" s="1"/>
    </row>
    <row r="55" spans="1:7" ht="15.6" x14ac:dyDescent="0.3">
      <c r="A55" s="6"/>
      <c r="B55" s="6"/>
      <c r="C55" s="1"/>
      <c r="D55" s="6"/>
      <c r="E55" s="6"/>
      <c r="F55" s="6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" customHeight="1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6"/>
      <c r="B61" s="5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x14ac:dyDescent="0.3">
      <c r="B63" s="20"/>
      <c r="C63" s="20"/>
      <c r="D63" s="20"/>
      <c r="E63" s="20"/>
      <c r="F63" s="20"/>
    </row>
    <row r="64" spans="1:7" x14ac:dyDescent="0.3">
      <c r="B64" s="20"/>
      <c r="C64" s="20"/>
      <c r="E64" s="20"/>
      <c r="F64" s="20"/>
    </row>
  </sheetData>
  <mergeCells count="6">
    <mergeCell ref="M3:N3"/>
    <mergeCell ref="A18:F18"/>
    <mergeCell ref="A10:F10"/>
    <mergeCell ref="A46:F46"/>
    <mergeCell ref="B48:F48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2025-05-22T21:47:34Z</cp:lastPrinted>
  <dcterms:created xsi:type="dcterms:W3CDTF">2013-03-19T12:54:14Z</dcterms:created>
  <dcterms:modified xsi:type="dcterms:W3CDTF">2025-05-22T21:47:47Z</dcterms:modified>
</cp:coreProperties>
</file>