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FDFBE37C-7991-4CA1-B0A2-EDB6CE8B6A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CUBIERTA!$A$44:$G$70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E16" i="3" s="1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34" i="3"/>
  <c r="I26" i="3" s="1"/>
  <c r="B26" i="3" s="1"/>
  <c r="C34" i="3"/>
  <c r="F26" i="3" s="1"/>
  <c r="D34" i="3"/>
  <c r="J26" i="3" s="1"/>
  <c r="D26" i="3" s="1"/>
  <c r="E34" i="3"/>
  <c r="K26" i="3" s="1"/>
  <c r="E26" i="3" s="1"/>
  <c r="F34" i="3"/>
  <c r="B57" i="3"/>
  <c r="C57" i="3"/>
  <c r="D57" i="3"/>
  <c r="E57" i="3"/>
  <c r="F57" i="3"/>
  <c r="B58" i="3"/>
  <c r="C58" i="3"/>
  <c r="D58" i="3"/>
  <c r="E58" i="3"/>
  <c r="F58" i="3"/>
  <c r="H27" i="4"/>
  <c r="H23" i="4"/>
  <c r="H24" i="4"/>
  <c r="H22" i="4"/>
  <c r="B32" i="3"/>
  <c r="I24" i="3" s="1"/>
  <c r="C32" i="3"/>
  <c r="F14" i="3" s="1"/>
  <c r="D32" i="3"/>
  <c r="J14" i="3" s="1"/>
  <c r="D14" i="3" s="1"/>
  <c r="E32" i="3"/>
  <c r="K24" i="3" s="1"/>
  <c r="E24" i="3" s="1"/>
  <c r="F32" i="3"/>
  <c r="B56" i="3"/>
  <c r="C56" i="3"/>
  <c r="D56" i="3"/>
  <c r="E56" i="3"/>
  <c r="F56" i="3"/>
  <c r="J24" i="3" l="1"/>
  <c r="D24" i="3" s="1"/>
  <c r="K14" i="3"/>
  <c r="E14" i="3" s="1"/>
  <c r="B24" i="3"/>
  <c r="I14" i="3"/>
  <c r="B14" i="3" s="1"/>
  <c r="F24" i="3"/>
  <c r="H28" i="4" l="1"/>
  <c r="H29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<sst xmlns="http://schemas.openxmlformats.org/spreadsheetml/2006/main" count="254" uniqueCount="148">
  <si>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</si>
  <si>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</si>
  <si>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</si>
  <si>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</si>
  <si>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</si>
  <si>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</si>
  <si>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</si>
  <si>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</si>
  <si>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</si>
  <si>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</si>
  <si>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</si>
  <si>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</si>
  <si>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</si>
  <si>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</si>
  <si>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</si>
  <si>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</si>
  <si>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</si>
  <si>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</si>
  <si>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</si>
  <si>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</si>
  <si>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</si>
  <si>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</si>
  <si>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</si>
  <si>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</si>
  <si>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</si>
  <si>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</si>
  <si>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</si>
  <si>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</si>
  <si>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</si>
  <si>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</si>
  <si>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</si>
  <si>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</si>
  <si>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</si>
  <si>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</si>
  <si>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</si>
  <si>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</si>
  <si>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</si>
  <si>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</si>
  <si>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</si>
  <si>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</si>
  <si>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</si>
  <si>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</si>
  <si>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</si>
  <si>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</si>
  <si>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</si>
  <si>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</si>
  <si>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</si>
  <si>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</si>
  <si>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</si>
  <si>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</si>
  <si>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</si>
  <si>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</si>
  <si>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</si>
  <si>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</si>
  <si>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</si>
  <si>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</si>
  <si>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</si>
  <si>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</si>
  <si>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</si>
  <si>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</si>
  <si>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</si>
  <si>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</si>
  <si>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</si>
  <si>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</si>
  <si>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</si>
  <si>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</si>
  <si>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</si>
  <si>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</si>
  <si>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</si>
  <si>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</si>
  <si>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</si>
  <si>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</si>
  <si>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</si>
  <si>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</si>
  <si>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</si>
  <si>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</si>
  <si>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</si>
  <si>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</si>
  <si>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</si>
  <si>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</si>
  <si>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</si>
  <si>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</si>
  <si>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</si>
  <si>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</si>
  <si>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</si>
  <si>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</si>
  <si>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</si>
  <si>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</si>
  <si>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</si>
  <si>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</si>
  <si>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</si>
  <si>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</si>
  <si>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</si>
  <si>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</si>
  <si>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</si>
  <si>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</si>
  <si>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</si>
  <si>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</si>
  <si>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</si>
  <si>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</si>
  <si>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</si>
  <si>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</si>
  <si>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</si>
  <si>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</si>
  <si>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</si>
  <si>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</si>
  <si>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</si>
  <si>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</si>
  <si>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</si>
  <si>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</si>
  <si>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</si>
  <si>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</si>
  <si>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</si>
  <si>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</si>
  <si>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</si>
  <si>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</si>
  <si>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</si>
  <si>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</si>
  <si>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</si>
  <si>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</si>
  <si>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</si>
  <si>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</si>
  <si>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</si>
  <si>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</si>
  <si>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</si>
  <si>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</si>
  <si>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</si>
  <si>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</si>
  <si>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</si>
  <si>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</si>
  <si>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</si>
  <si>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</si>
  <si>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</si>
  <si>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</si>
  <si>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</si>
  <si>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</si>
  <si>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>MDF 18MM</t>
  </si>
  <si>
    <t>CORREO:</t>
  </si>
  <si>
    <t>N° 11423</t>
  </si>
  <si>
    <t>JOSE LUIS RODRIGUEZ</t>
  </si>
  <si>
    <t>56962302329</t>
  </si>
  <si>
    <t>CUB C/R FRENTE 180°</t>
  </si>
  <si>
    <t>GRANITO KOMBI 0670 BR</t>
  </si>
  <si>
    <t>JOSE LUIS RODRIGUEZ HERRERA</t>
  </si>
  <si>
    <t>23.939.811-1</t>
  </si>
  <si>
    <t>OTRAS ACTIVIDADES EN CONSTRUCCION</t>
  </si>
  <si>
    <t>DR. M. BARROS BORGOÑO 180 OF 102 1P</t>
  </si>
  <si>
    <t>INNOVAJL73@GMAIL.COM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</si>
</sst>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$ 150.000.-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0</xdr:rowOff>
    </xdr:from>
    <xdr:to>
      <xdr:col>3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190500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190500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190500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190500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190500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190500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63</xdr:row>
      <xdr:rowOff>32385</xdr:rowOff>
    </xdr:from>
    <xdr:to>
      <xdr:col>6</xdr:col>
      <xdr:colOff>19050</xdr:colOff>
      <xdr:row>67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NOVAJL73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8" workbookViewId="0">
      <selection activeCell="J14" sqref="J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138</v>
      </c>
      <c r="E8" s="1"/>
      <c r="F8" s="94" t="s">
        <v>27</v>
      </c>
      <c r="G8" s="95">
        <v>7214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143</v>
      </c>
      <c r="D10" s="55"/>
      <c r="E10" s="55"/>
      <c r="F10" s="56" t="s">
        <v>28</v>
      </c>
      <c r="G10" s="57">
        <v>45785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144</v>
      </c>
      <c r="D11" s="60"/>
      <c r="E11" s="60"/>
      <c r="F11" s="60" t="s">
        <v>124</v>
      </c>
      <c r="G11" s="61">
        <v>45789</v>
      </c>
      <c r="H11" s="62"/>
      <c r="I11" s="1"/>
    </row>
    <row r="12" spans="1:17" ht="16.8" x14ac:dyDescent="0.4">
      <c r="A12" s="1"/>
      <c r="B12" s="63" t="s">
        <v>130</v>
      </c>
      <c r="C12" s="111" t="s">
        <v>145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137</v>
      </c>
      <c r="C14" s="112" t="s">
        <v>147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10" t="s">
        <v>140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11" t="s">
        <v>146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13" t="s">
        <v>131</v>
      </c>
      <c r="D17" s="69"/>
      <c r="E17" s="70"/>
      <c r="F17" s="114" t="s">
        <v>18</v>
      </c>
      <c r="G17" s="114"/>
      <c r="H17" s="11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6" t="s">
        <v>19</v>
      </c>
      <c r="C20" s="117"/>
      <c r="D20" s="117"/>
      <c r="E20" s="117"/>
      <c r="F20" s="117"/>
      <c r="G20" s="117"/>
      <c r="H20" s="118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1">
        <v>1</v>
      </c>
      <c r="C22" s="101" t="s">
        <v>141</v>
      </c>
      <c r="D22" s="107">
        <v>2770</v>
      </c>
      <c r="E22" s="107">
        <v>500</v>
      </c>
      <c r="F22" s="101" t="s">
        <v>142</v>
      </c>
      <c r="G22" s="102">
        <v>110499</v>
      </c>
      <c r="H22" s="102">
        <f>G22*B22</f>
        <v>110499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1</v>
      </c>
      <c r="C23" s="101" t="s">
        <v>141</v>
      </c>
      <c r="D23" s="107">
        <v>1140</v>
      </c>
      <c r="E23" s="107">
        <v>400</v>
      </c>
      <c r="F23" s="101" t="s">
        <v>142</v>
      </c>
      <c r="G23" s="102">
        <v>37841</v>
      </c>
      <c r="H23" s="102">
        <f t="shared" ref="H23:H24" si="0">G23*B23</f>
        <v>37841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1</v>
      </c>
      <c r="C24" s="101" t="s">
        <v>141</v>
      </c>
      <c r="D24" s="107">
        <v>1380</v>
      </c>
      <c r="E24" s="107">
        <v>370</v>
      </c>
      <c r="F24" s="101" t="s">
        <v>142</v>
      </c>
      <c r="G24" s="102">
        <v>41889</v>
      </c>
      <c r="H24" s="102">
        <f t="shared" si="0"/>
        <v>41889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3"/>
      <c r="C25" s="103"/>
      <c r="D25" s="104"/>
      <c r="E25" s="104"/>
      <c r="F25" s="103"/>
      <c r="G25" s="75"/>
      <c r="H25" s="75"/>
      <c r="I25" s="1"/>
    </row>
    <row r="26" spans="1:16" ht="18" customHeight="1" thickBot="1" x14ac:dyDescent="0.35">
      <c r="A26" s="1"/>
      <c r="B26" s="103"/>
      <c r="C26" s="103"/>
      <c r="D26" s="104"/>
      <c r="E26" s="104"/>
      <c r="F26" s="103"/>
      <c r="G26" s="105"/>
      <c r="H26" s="106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SUM(H22:H24)</f>
        <v>190229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36143.51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226372.51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7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7:H17"/>
    <mergeCell ref="B20:H20"/>
  </mergeCells>
  <phoneticPr fontId="10" type="noConversion"/>
  <hyperlinks>
    <hyperlink ref="E34" r:id="rId1" xr:uid="{00000000-0004-0000-0000-000000000000}"/>
    <hyperlink ref="C14" r:id="rId2" xr:uid="{392D3E3E-B3DB-4C7A-9B81-610D7DF7A02C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1"/>
  <sheetViews>
    <sheetView topLeftCell="A32" zoomScaleNormal="100" workbookViewId="0">
      <selection activeCell="A44" sqref="A44:G7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7214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JOSE LUIS RODRIGUEZ HERRERA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45789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1</v>
      </c>
      <c r="C14" s="25"/>
      <c r="D14" s="25">
        <f t="shared" ref="D14" si="1">J14+D$13</f>
        <v>2850</v>
      </c>
      <c r="E14" s="35">
        <f>K14+E$13</f>
        <v>470</v>
      </c>
      <c r="F14" s="99" t="str">
        <f>C32</f>
        <v>CUB C/R FRENTE 180°</v>
      </c>
      <c r="G14" s="1"/>
      <c r="I14" s="3">
        <f>I24</f>
        <v>1</v>
      </c>
      <c r="J14" s="4">
        <f>D32</f>
        <v>2770</v>
      </c>
      <c r="K14" s="4">
        <f>E32</f>
        <v>500</v>
      </c>
    </row>
    <row r="15" spans="1:14" ht="15.6" x14ac:dyDescent="0.3">
      <c r="A15" s="96"/>
      <c r="B15" s="25">
        <f t="shared" ref="B15:B16" si="2">I15</f>
        <v>1</v>
      </c>
      <c r="C15" s="25"/>
      <c r="D15" s="25">
        <f t="shared" ref="D15:D16" si="3">J15+D$13</f>
        <v>1220</v>
      </c>
      <c r="E15" s="35">
        <f t="shared" ref="E15:E16" si="4">K15+E$13</f>
        <v>370</v>
      </c>
      <c r="F15" s="99" t="str">
        <f t="shared" ref="F15:F16" si="5">C33</f>
        <v>CUB C/R FRENTE 180°</v>
      </c>
      <c r="G15" s="1"/>
      <c r="I15" s="3">
        <f t="shared" ref="I15:I16" si="6">I25</f>
        <v>1</v>
      </c>
      <c r="J15" s="4">
        <f t="shared" ref="J15:K15" si="7">D33</f>
        <v>1140</v>
      </c>
      <c r="K15" s="4">
        <f t="shared" si="7"/>
        <v>400</v>
      </c>
    </row>
    <row r="16" spans="1:14" ht="15.6" x14ac:dyDescent="0.3">
      <c r="A16" s="96"/>
      <c r="B16" s="25">
        <f t="shared" si="2"/>
        <v>1</v>
      </c>
      <c r="C16" s="25"/>
      <c r="D16" s="25">
        <f t="shared" si="3"/>
        <v>1460</v>
      </c>
      <c r="E16" s="35">
        <f t="shared" si="4"/>
        <v>340</v>
      </c>
      <c r="F16" s="99" t="str">
        <f t="shared" si="5"/>
        <v>CUB C/R FRENTE 180°</v>
      </c>
      <c r="G16" s="1"/>
      <c r="I16" s="3">
        <f t="shared" si="6"/>
        <v>1</v>
      </c>
      <c r="J16" s="4">
        <f t="shared" ref="J16:K16" si="8">D34</f>
        <v>1380</v>
      </c>
      <c r="K16" s="4">
        <f t="shared" si="8"/>
        <v>370</v>
      </c>
    </row>
    <row r="17" spans="1:11" ht="15.6" x14ac:dyDescent="0.3">
      <c r="A17" s="96"/>
      <c r="B17" s="6"/>
      <c r="C17" s="6"/>
      <c r="D17" s="6"/>
      <c r="E17" s="89"/>
      <c r="F17" s="109"/>
      <c r="G17" s="1"/>
      <c r="I17" s="90"/>
      <c r="J17" s="2"/>
      <c r="K17" s="2"/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2" t="s">
        <v>14</v>
      </c>
      <c r="B20" s="122"/>
      <c r="C20" s="122"/>
      <c r="D20" s="122"/>
      <c r="E20" s="122"/>
      <c r="F20" s="122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150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/>
      <c r="B24" s="16">
        <f t="shared" ref="B24" si="9">I24</f>
        <v>1</v>
      </c>
      <c r="C24" s="16"/>
      <c r="D24" s="16">
        <f>J24+D$23</f>
        <v>2810</v>
      </c>
      <c r="E24" s="16">
        <f>K24+E$23</f>
        <v>650</v>
      </c>
      <c r="F24" s="100" t="str">
        <f>C32</f>
        <v>CUB C/R FRENTE 180°</v>
      </c>
      <c r="G24" s="1"/>
      <c r="I24" s="3">
        <f>B32</f>
        <v>1</v>
      </c>
      <c r="J24" s="4">
        <f t="shared" ref="J24:K24" si="10">D32</f>
        <v>2770</v>
      </c>
      <c r="K24" s="4">
        <f t="shared" si="10"/>
        <v>500</v>
      </c>
    </row>
    <row r="25" spans="1:11" ht="15.6" x14ac:dyDescent="0.3">
      <c r="A25" s="96"/>
      <c r="B25" s="16">
        <f t="shared" ref="B25:B26" si="11">I25</f>
        <v>1</v>
      </c>
      <c r="C25" s="16"/>
      <c r="D25" s="16">
        <f t="shared" ref="D25:D26" si="12">J25+D$23</f>
        <v>1180</v>
      </c>
      <c r="E25" s="16">
        <f t="shared" ref="E25:E26" si="13">K25+E$23</f>
        <v>550</v>
      </c>
      <c r="F25" s="100" t="str">
        <f t="shared" ref="F25:F26" si="14">C33</f>
        <v>CUB C/R FRENTE 180°</v>
      </c>
      <c r="G25" s="1"/>
      <c r="I25" s="3">
        <f t="shared" ref="I25:I26" si="15">B33</f>
        <v>1</v>
      </c>
      <c r="J25" s="4">
        <f t="shared" ref="J25:J26" si="16">D33</f>
        <v>1140</v>
      </c>
      <c r="K25" s="4">
        <f t="shared" ref="K25:K26" si="17">E33</f>
        <v>400</v>
      </c>
    </row>
    <row r="26" spans="1:11" ht="15.6" x14ac:dyDescent="0.3">
      <c r="A26" s="96"/>
      <c r="B26" s="16">
        <f t="shared" si="11"/>
        <v>1</v>
      </c>
      <c r="C26" s="16"/>
      <c r="D26" s="16">
        <f t="shared" si="12"/>
        <v>1420</v>
      </c>
      <c r="E26" s="16">
        <f t="shared" si="13"/>
        <v>520</v>
      </c>
      <c r="F26" s="100" t="str">
        <f t="shared" si="14"/>
        <v>CUB C/R FRENTE 180°</v>
      </c>
      <c r="G26" s="1"/>
      <c r="I26" s="3">
        <f t="shared" si="15"/>
        <v>1</v>
      </c>
      <c r="J26" s="4">
        <f t="shared" si="16"/>
        <v>1380</v>
      </c>
      <c r="K26" s="4">
        <f t="shared" si="17"/>
        <v>370</v>
      </c>
    </row>
    <row r="27" spans="1:11" ht="15.6" x14ac:dyDescent="0.3">
      <c r="A27" s="96"/>
      <c r="B27" s="6"/>
      <c r="C27" s="6"/>
      <c r="D27" s="6"/>
      <c r="E27" s="6"/>
      <c r="F27" s="109"/>
      <c r="G27" s="1"/>
      <c r="I27" s="90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6" t="s">
        <v>136</v>
      </c>
      <c r="B32" s="25">
        <f>'4637'!B22</f>
        <v>1</v>
      </c>
      <c r="C32" s="99" t="str">
        <f>'4637'!C22</f>
        <v>CUB C/R FRENTE 180°</v>
      </c>
      <c r="D32" s="25">
        <f>'4637'!D22</f>
        <v>2770</v>
      </c>
      <c r="E32" s="25">
        <f>'4637'!E22</f>
        <v>500</v>
      </c>
      <c r="F32" s="25" t="str">
        <f>'4637'!F22</f>
        <v>GRANITO KOMBI 0670 BR</v>
      </c>
      <c r="G32" s="1"/>
    </row>
    <row r="33" spans="1:7" ht="15.6" x14ac:dyDescent="0.3">
      <c r="A33" s="96"/>
      <c r="B33" s="25">
        <f>'4637'!B23</f>
        <v>1</v>
      </c>
      <c r="C33" s="99" t="str">
        <f>'4637'!C23</f>
        <v>CUB C/R FRENTE 180°</v>
      </c>
      <c r="D33" s="25">
        <f>'4637'!D23</f>
        <v>1140</v>
      </c>
      <c r="E33" s="25">
        <f>'4637'!E23</f>
        <v>400</v>
      </c>
      <c r="F33" s="25" t="str">
        <f>'4637'!F23</f>
        <v>GRANITO KOMBI 0670 BR</v>
      </c>
      <c r="G33" s="1"/>
    </row>
    <row r="34" spans="1:7" ht="15.6" x14ac:dyDescent="0.3">
      <c r="A34" s="96"/>
      <c r="B34" s="25">
        <f>'4637'!B24</f>
        <v>1</v>
      </c>
      <c r="C34" s="99" t="str">
        <f>'4637'!C24</f>
        <v>CUB C/R FRENTE 180°</v>
      </c>
      <c r="D34" s="25">
        <f>'4637'!D24</f>
        <v>1380</v>
      </c>
      <c r="E34" s="25">
        <f>'4637'!E24</f>
        <v>370</v>
      </c>
      <c r="F34" s="25" t="str">
        <f>'4637'!F24</f>
        <v>GRANITO KOMBI 0670 BR</v>
      </c>
      <c r="G34" s="1"/>
    </row>
    <row r="35" spans="1:7" ht="15.6" x14ac:dyDescent="0.3">
      <c r="A35" s="96"/>
      <c r="B35" s="6"/>
      <c r="C35" s="109"/>
      <c r="D35" s="6"/>
      <c r="E35" s="6"/>
      <c r="F35" s="6"/>
      <c r="G35" s="1"/>
    </row>
    <row r="36" spans="1:7" ht="15.6" x14ac:dyDescent="0.3">
      <c r="A36" s="52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7214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JOSE LUIS RODRIGUEZ HERRERA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45789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2" t="s">
        <v>68</v>
      </c>
      <c r="B52" s="122"/>
      <c r="C52" s="122"/>
      <c r="D52" s="122"/>
      <c r="E52" s="122"/>
      <c r="F52" s="122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3" t="s">
        <v>69</v>
      </c>
      <c r="C54" s="124"/>
      <c r="D54" s="125"/>
      <c r="E54" s="125"/>
      <c r="F54" s="126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6" t="s">
        <v>135</v>
      </c>
      <c r="B56" s="38">
        <f>'4637'!B22</f>
        <v>1</v>
      </c>
      <c r="C56" s="98" t="str">
        <f>'4637'!C22</f>
        <v>CUB C/R FRENTE 180°</v>
      </c>
      <c r="D56" s="39">
        <f>'4637'!D22</f>
        <v>2770</v>
      </c>
      <c r="E56" s="39">
        <f>'4637'!E22</f>
        <v>500</v>
      </c>
      <c r="F56" s="38" t="str">
        <f>'4637'!F22</f>
        <v>GRANITO KOMBI 0670 BR</v>
      </c>
      <c r="G56" s="1"/>
    </row>
    <row r="57" spans="1:7" s="15" customFormat="1" ht="15" customHeight="1" x14ac:dyDescent="0.3">
      <c r="A57" s="96"/>
      <c r="B57" s="38">
        <f>'4637'!B23</f>
        <v>1</v>
      </c>
      <c r="C57" s="98" t="str">
        <f>'4637'!C23</f>
        <v>CUB C/R FRENTE 180°</v>
      </c>
      <c r="D57" s="39">
        <f>'4637'!D23</f>
        <v>1140</v>
      </c>
      <c r="E57" s="39">
        <f>'4637'!E23</f>
        <v>400</v>
      </c>
      <c r="F57" s="38" t="str">
        <f>'4637'!F23</f>
        <v>GRANITO KOMBI 0670 BR</v>
      </c>
      <c r="G57" s="1"/>
    </row>
    <row r="58" spans="1:7" s="15" customFormat="1" ht="15" customHeight="1" x14ac:dyDescent="0.3">
      <c r="A58" s="96"/>
      <c r="B58" s="38">
        <f>'4637'!B24</f>
        <v>1</v>
      </c>
      <c r="C58" s="98" t="str">
        <f>'4637'!C24</f>
        <v>CUB C/R FRENTE 180°</v>
      </c>
      <c r="D58" s="39">
        <f>'4637'!D24</f>
        <v>1380</v>
      </c>
      <c r="E58" s="39">
        <f>'4637'!E24</f>
        <v>370</v>
      </c>
      <c r="F58" s="38" t="str">
        <f>'4637'!F24</f>
        <v>GRANITO KOMBI 0670 BR</v>
      </c>
      <c r="G58" s="1"/>
    </row>
    <row r="59" spans="1:7" s="15" customFormat="1" ht="15" customHeight="1" x14ac:dyDescent="0.3">
      <c r="A59" s="96"/>
      <c r="B59" s="52"/>
      <c r="C59" s="108"/>
      <c r="D59" s="52"/>
      <c r="E59" s="52"/>
      <c r="F59" s="52"/>
      <c r="G59" s="1"/>
    </row>
    <row r="60" spans="1:7" s="15" customFormat="1" ht="15" customHeight="1" x14ac:dyDescent="0.3">
      <c r="A60" s="50"/>
      <c r="B60" s="52"/>
      <c r="C60" s="52"/>
      <c r="D60" s="52"/>
      <c r="E60" s="52"/>
      <c r="F60" s="52"/>
      <c r="G60" s="1"/>
    </row>
    <row r="61" spans="1:7" ht="15.6" x14ac:dyDescent="0.3">
      <c r="A61" s="6"/>
      <c r="B61" s="6"/>
      <c r="C61" s="1"/>
      <c r="D61" s="6"/>
      <c r="E61" s="6"/>
      <c r="F61" s="44"/>
      <c r="G61" s="1"/>
    </row>
    <row r="62" spans="1:7" ht="15.6" x14ac:dyDescent="0.3">
      <c r="A62" s="6"/>
      <c r="B62" s="6"/>
      <c r="C62" s="1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" customHeight="1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6"/>
      <c r="B68" s="5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x14ac:dyDescent="0.3">
      <c r="B70" s="20"/>
      <c r="C70" s="20"/>
      <c r="D70" s="20"/>
      <c r="E70" s="20"/>
      <c r="F70" s="20"/>
    </row>
    <row r="71" spans="1:7" x14ac:dyDescent="0.3">
      <c r="B71" s="20"/>
      <c r="C71" s="20"/>
      <c r="E71" s="20"/>
      <c r="F71" s="20"/>
    </row>
  </sheetData>
  <mergeCells count="6">
    <mergeCell ref="M3:N3"/>
    <mergeCell ref="A20:F20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2025-05-08T16:23:49Z</cp:lastPrinted>
  <dcterms:created xsi:type="dcterms:W3CDTF">2013-03-19T12:54:14Z</dcterms:created>
  <dcterms:modified xsi:type="dcterms:W3CDTF">2025-05-20T15:31:41Z</dcterms:modified>
</cp:coreProperties>
</file>