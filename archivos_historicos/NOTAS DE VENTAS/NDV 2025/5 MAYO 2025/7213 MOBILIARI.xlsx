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5 MAYO 2025\"/>
    </mc:Choice>
  </mc:AlternateContent>
  <xr:revisionPtr revIDLastSave="0" documentId="13_ncr:1_{6DB2F516-7CF4-4238-B4EF-4F615838E9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B27" i="3"/>
  <c r="I22" i="3" s="1"/>
  <c r="C27" i="3"/>
  <c r="F14" i="3" s="1"/>
  <c r="D27" i="3"/>
  <c r="J14" i="3" s="1"/>
  <c r="D14" i="3" s="1"/>
  <c r="E27" i="3"/>
  <c r="K22" i="3" s="1"/>
  <c r="E22" i="3" s="1"/>
  <c r="F27" i="3"/>
  <c r="B49" i="3"/>
  <c r="C49" i="3"/>
  <c r="D49" i="3"/>
  <c r="E49" i="3"/>
  <c r="F49" i="3"/>
  <c r="J22" i="3" l="1"/>
  <c r="D22" i="3" s="1"/>
  <c r="K14" i="3"/>
  <c r="E14" i="3" s="1"/>
  <c r="B22" i="3"/>
  <c r="I14" i="3"/>
  <c r="B14" i="3" s="1"/>
  <c r="F22" i="3"/>
  <c r="H25" i="4"/>
  <c r="H26" i="4" l="1"/>
  <c r="H27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<sst xmlns="http://schemas.openxmlformats.org/spreadsheetml/2006/main" count="251" uniqueCount="149">
  <si>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</si>
  <si>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</si>
  <si>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</si>
  <si>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</si>
  <si>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</si>
  <si>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</si>
  <si>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</si>
  <si>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</si>
  <si>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</si>
  <si>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</si>
  <si>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</si>
  <si>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</si>
  <si>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</si>
  <si>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</si>
  <si>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</si>
  <si>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</si>
  <si>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</si>
  <si>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</si>
  <si>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</si>
  <si>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</si>
  <si>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</si>
  <si>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</si>
  <si>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</si>
  <si>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</si>
  <si>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</si>
  <si>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</si>
  <si>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</si>
  <si>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</si>
  <si>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</si>
  <si>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</si>
  <si>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</si>
  <si>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</si>
  <si>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</si>
  <si>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</si>
  <si>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</si>
  <si>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</si>
  <si>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</si>
  <si>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</si>
  <si>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</si>
  <si>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</si>
  <si>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</si>
  <si>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</si>
  <si>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</si>
  <si>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</si>
  <si>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</si>
  <si>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</si>
  <si>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</si>
  <si>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</si>
  <si>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</si>
  <si>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</si>
  <si>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</si>
  <si>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</si>
  <si>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</si>
  <si>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</si>
  <si>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</si>
  <si>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</si>
  <si>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</si>
  <si>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</si>
  <si>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</si>
  <si>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</si>
  <si>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</si>
  <si>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</si>
  <si>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</si>
  <si>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</si>
  <si>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</si>
  <si>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</si>
  <si>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</si>
  <si>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</si>
  <si>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</si>
  <si>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</si>
  <si>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</si>
  <si>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</si>
  <si>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</si>
  <si>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</si>
  <si>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</si>
  <si>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</si>
  <si>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</si>
  <si>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</si>
  <si>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</si>
  <si>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</si>
  <si>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</si>
  <si>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</si>
  <si>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</si>
  <si>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</si>
  <si>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</si>
  <si>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</si>
  <si>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</si>
  <si>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</si>
  <si>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</si>
  <si>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</si>
  <si>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</si>
  <si>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</si>
  <si>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</si>
  <si>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</si>
  <si>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</si>
  <si>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</si>
  <si>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</si>
  <si>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</si>
  <si>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</si>
  <si>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</si>
  <si>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</si>
  <si>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</si>
  <si>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</si>
  <si>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</si>
  <si>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</si>
  <si>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</si>
  <si>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</si>
  <si>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</si>
  <si>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</si>
  <si>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</si>
  <si>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</si>
  <si>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</si>
  <si>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</si>
  <si>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</si>
  <si>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</si>
  <si>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</si>
  <si>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</si>
  <si>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</si>
  <si>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</si>
  <si>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</si>
  <si>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</si>
  <si>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</si>
  <si>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</si>
  <si>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</si>
  <si>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</si>
  <si>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</si>
  <si>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</si>
  <si>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</si>
  <si>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</si>
  <si>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</si>
  <si>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</si>
  <si>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</si>
  <si>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</si>
  <si>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</si>
  <si>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CONTADO</t>
  </si>
  <si>
    <t>BETA HORIZONTAL</t>
  </si>
  <si>
    <t>CUB C/R R8</t>
  </si>
  <si>
    <t>MDF18MM</t>
  </si>
  <si>
    <t>MDF 18MM</t>
  </si>
  <si>
    <t>DUSKBERG MARBLE 40476 SF</t>
  </si>
  <si>
    <t>N° 11414</t>
  </si>
  <si>
    <t>MOBILIARI M SPA</t>
  </si>
  <si>
    <t>77.834.856-K</t>
  </si>
  <si>
    <t>FAC. DE MUEBLES</t>
  </si>
  <si>
    <t>ALEJANDRO RODRIGUEZ</t>
  </si>
  <si>
    <t>MOBILIARIOMAGNO@GMAIL.COM</t>
  </si>
  <si>
    <t>56982224604</t>
  </si>
  <si>
    <t>FEDERICO MISTRAL PONENTE 149 MAIPU</t>
  </si>
  <si>
    <t>CORREO: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</si>
</sst>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quotePrefix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8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$ 100.000.-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OBILIARIOMAGNO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6" workbookViewId="0">
      <selection activeCell="E13" sqref="E1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3.44140625" customWidth="1"/>
    <col min="4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140</v>
      </c>
      <c r="E8" s="1"/>
      <c r="F8" s="94" t="s">
        <v>27</v>
      </c>
      <c r="G8" s="95">
        <v>7213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141</v>
      </c>
      <c r="D10" s="55"/>
      <c r="E10" s="55"/>
      <c r="F10" s="56" t="s">
        <v>28</v>
      </c>
      <c r="G10" s="57">
        <v>45777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142</v>
      </c>
      <c r="D11" s="60"/>
      <c r="E11" s="60"/>
      <c r="F11" s="60" t="s">
        <v>124</v>
      </c>
      <c r="G11" s="61">
        <v>45783</v>
      </c>
      <c r="H11" s="62"/>
      <c r="I11" s="1"/>
    </row>
    <row r="12" spans="1:17" ht="16.8" x14ac:dyDescent="0.4">
      <c r="A12" s="1"/>
      <c r="B12" s="63" t="s">
        <v>130</v>
      </c>
      <c r="C12" s="124" t="s">
        <v>143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t="s">
        <v>144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63" t="s">
        <v>148</v>
      </c>
      <c r="C14" s="125" t="s">
        <v>145</v>
      </c>
      <c r="D14" s="43"/>
      <c r="E14" s="43"/>
      <c r="F14" s="43"/>
      <c r="G14" s="64"/>
      <c r="H14" s="65"/>
      <c r="I14" s="1"/>
    </row>
    <row r="15" spans="1:17" ht="15.6" x14ac:dyDescent="0.3">
      <c r="A15" s="1"/>
      <c r="B15" s="59" t="s">
        <v>17</v>
      </c>
      <c r="C15" s="110" t="s">
        <v>146</v>
      </c>
      <c r="D15" s="66"/>
      <c r="E15" s="60"/>
      <c r="F15" s="60" t="s">
        <v>29</v>
      </c>
      <c r="G15" s="60" t="s">
        <v>133</v>
      </c>
      <c r="H15" s="62"/>
      <c r="I15" s="1"/>
    </row>
    <row r="16" spans="1:17" ht="16.8" x14ac:dyDescent="0.4">
      <c r="A16" s="1"/>
      <c r="B16" s="63" t="s">
        <v>1</v>
      </c>
      <c r="C16" s="124" t="s">
        <v>147</v>
      </c>
      <c r="D16" s="43"/>
      <c r="E16" s="43"/>
      <c r="F16" s="67" t="s">
        <v>75</v>
      </c>
      <c r="G16" s="67" t="s">
        <v>134</v>
      </c>
      <c r="H16" s="65"/>
      <c r="I16" s="1"/>
    </row>
    <row r="17" spans="1:16" ht="16.2" thickBot="1" x14ac:dyDescent="0.35">
      <c r="A17" s="1"/>
      <c r="B17" s="68" t="s">
        <v>3</v>
      </c>
      <c r="C17" s="126" t="s">
        <v>131</v>
      </c>
      <c r="D17" s="69"/>
      <c r="E17" s="70"/>
      <c r="F17" s="111" t="s">
        <v>18</v>
      </c>
      <c r="G17" s="111"/>
      <c r="H17" s="112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3" t="s">
        <v>19</v>
      </c>
      <c r="C20" s="114"/>
      <c r="D20" s="114"/>
      <c r="E20" s="114"/>
      <c r="F20" s="114"/>
      <c r="G20" s="114"/>
      <c r="H20" s="115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1">
        <v>1</v>
      </c>
      <c r="C22" s="101" t="s">
        <v>136</v>
      </c>
      <c r="D22" s="107">
        <v>3000</v>
      </c>
      <c r="E22" s="107">
        <v>520</v>
      </c>
      <c r="F22" s="101" t="s">
        <v>139</v>
      </c>
      <c r="G22" s="102">
        <v>128690</v>
      </c>
      <c r="H22" s="102">
        <f>G22*B22</f>
        <v>128690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3"/>
      <c r="C23" s="103"/>
      <c r="D23" s="104"/>
      <c r="E23" s="104"/>
      <c r="F23" s="103"/>
      <c r="G23" s="75"/>
      <c r="H23" s="75"/>
      <c r="I23" s="1"/>
    </row>
    <row r="24" spans="1:16" ht="18" customHeight="1" thickBot="1" x14ac:dyDescent="0.35">
      <c r="A24" s="1"/>
      <c r="B24" s="103"/>
      <c r="C24" s="103"/>
      <c r="D24" s="104"/>
      <c r="E24" s="104"/>
      <c r="F24" s="103"/>
      <c r="G24" s="105"/>
      <c r="H24" s="106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SUM(H22:H22)</f>
        <v>128690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24451.1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153141.1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97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7:H17"/>
    <mergeCell ref="B20:H20"/>
  </mergeCells>
  <phoneticPr fontId="10" type="noConversion"/>
  <hyperlinks>
    <hyperlink ref="E32" r:id="rId1" xr:uid="{00000000-0004-0000-0000-000000000000}"/>
    <hyperlink ref="C14" r:id="rId2" xr:uid="{3B1C03FB-A0A5-4E2B-86D8-496649C50FB2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zoomScaleNormal="100" workbookViewId="0">
      <selection sqref="A1:F35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7213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MOBILIARI M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45783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40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137</v>
      </c>
      <c r="B14" s="25">
        <f t="shared" ref="B14" si="0">I14</f>
        <v>1</v>
      </c>
      <c r="C14" s="25"/>
      <c r="D14" s="25">
        <f t="shared" ref="D14" si="1">J14+D$13</f>
        <v>3040</v>
      </c>
      <c r="E14" s="35">
        <f>K14+E$13</f>
        <v>490</v>
      </c>
      <c r="F14" s="99" t="str">
        <f>C27</f>
        <v>CUB C/R R8</v>
      </c>
      <c r="G14" s="1"/>
      <c r="I14" s="3">
        <f>I22</f>
        <v>1</v>
      </c>
      <c r="J14" s="4">
        <f>D27</f>
        <v>3000</v>
      </c>
      <c r="K14" s="4">
        <f>E27</f>
        <v>520</v>
      </c>
    </row>
    <row r="15" spans="1:14" ht="15.6" x14ac:dyDescent="0.3">
      <c r="A15" s="96"/>
      <c r="B15" s="6"/>
      <c r="C15" s="6"/>
      <c r="D15" s="6"/>
      <c r="E15" s="89"/>
      <c r="F15" s="109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9" t="s">
        <v>14</v>
      </c>
      <c r="B18" s="119"/>
      <c r="C18" s="119"/>
      <c r="D18" s="119"/>
      <c r="E18" s="119"/>
      <c r="F18" s="119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/>
      <c r="B22" s="16">
        <f t="shared" ref="B22" si="2">I22</f>
        <v>1</v>
      </c>
      <c r="C22" s="16" t="s">
        <v>135</v>
      </c>
      <c r="D22" s="16">
        <f>J22+D$21</f>
        <v>3040</v>
      </c>
      <c r="E22" s="16">
        <f>K22+E$21</f>
        <v>650</v>
      </c>
      <c r="F22" s="100" t="str">
        <f>C27</f>
        <v>CUB C/R R8</v>
      </c>
      <c r="G22" s="1"/>
      <c r="I22" s="3">
        <f>B27</f>
        <v>1</v>
      </c>
      <c r="J22" s="4">
        <f t="shared" ref="J22:K22" si="3">D27</f>
        <v>3000</v>
      </c>
      <c r="K22" s="4">
        <f t="shared" si="3"/>
        <v>520</v>
      </c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6" t="s">
        <v>138</v>
      </c>
      <c r="B27" s="25">
        <f>'4637'!B22</f>
        <v>1</v>
      </c>
      <c r="C27" s="99" t="str">
        <f>'4637'!C22</f>
        <v>CUB C/R R8</v>
      </c>
      <c r="D27" s="25">
        <f>'4637'!D22</f>
        <v>3000</v>
      </c>
      <c r="E27" s="25">
        <f>'4637'!E22</f>
        <v>520</v>
      </c>
      <c r="F27" s="25" t="str">
        <f>'4637'!F22</f>
        <v>DUSKBERG MARBLE 40476 SF</v>
      </c>
      <c r="G27" s="1"/>
    </row>
    <row r="28" spans="1:11" ht="15.6" x14ac:dyDescent="0.3">
      <c r="A28" s="96"/>
      <c r="B28" s="6"/>
      <c r="C28" s="109"/>
      <c r="D28" s="6"/>
      <c r="E28" s="6"/>
      <c r="F28" s="6"/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7213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MOBILIARI M SPA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45783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19" t="s">
        <v>68</v>
      </c>
      <c r="B45" s="119"/>
      <c r="C45" s="119"/>
      <c r="D45" s="119"/>
      <c r="E45" s="119"/>
      <c r="F45" s="119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0" t="s">
        <v>69</v>
      </c>
      <c r="C47" s="121"/>
      <c r="D47" s="122"/>
      <c r="E47" s="122"/>
      <c r="F47" s="123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 t="s">
        <v>137</v>
      </c>
      <c r="B49" s="38">
        <f>'4637'!B22</f>
        <v>1</v>
      </c>
      <c r="C49" s="98" t="str">
        <f>'4637'!C22</f>
        <v>CUB C/R R8</v>
      </c>
      <c r="D49" s="39">
        <f>'4637'!D22</f>
        <v>3000</v>
      </c>
      <c r="E49" s="39">
        <f>'4637'!E22</f>
        <v>520</v>
      </c>
      <c r="F49" s="38" t="str">
        <f>'4637'!F22</f>
        <v>DUSKBERG MARBLE 40476 SF</v>
      </c>
      <c r="G49" s="1"/>
    </row>
    <row r="50" spans="1:7" s="15" customFormat="1" ht="15" customHeight="1" x14ac:dyDescent="0.3">
      <c r="A50" s="96"/>
      <c r="B50" s="52"/>
      <c r="C50" s="108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2025-05-06T13:26:29Z</cp:lastPrinted>
  <dcterms:created xsi:type="dcterms:W3CDTF">2013-03-19T12:54:14Z</dcterms:created>
  <dcterms:modified xsi:type="dcterms:W3CDTF">2025-05-06T13:30:10Z</dcterms:modified>
</cp:coreProperties>
</file>