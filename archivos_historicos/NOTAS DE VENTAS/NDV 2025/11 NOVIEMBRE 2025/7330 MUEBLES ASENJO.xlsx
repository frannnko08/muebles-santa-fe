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1 NOVIEMBRE 2025\"/>
    </mc:Choice>
  </mc:AlternateContent>
  <xr:revisionPtr revIDLastSave="0" documentId="13_ncr:1_{405B5225-1B60-44C3-99C4-D801348E908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K23" i="3"/>
  <c r="E23" i="3" s="1"/>
  <c r="B29" i="3"/>
  <c r="I23" i="3" s="1"/>
  <c r="B23" i="3" s="1"/>
  <c r="C29" i="3"/>
  <c r="F23" i="3" s="1"/>
  <c r="D29" i="3"/>
  <c r="J23" i="3" s="1"/>
  <c r="D23" i="3" s="1"/>
  <c r="E29" i="3"/>
  <c r="F29" i="3"/>
  <c r="B50" i="3"/>
  <c r="C50" i="3"/>
  <c r="D50" i="3"/>
  <c r="E50" i="3"/>
  <c r="F50" i="3"/>
  <c r="H22" i="4" l="1"/>
  <c r="H21" i="4" l="1"/>
  <c r="B28" i="3" l="1"/>
  <c r="I22" i="3" s="1"/>
  <c r="I14" i="3" s="1"/>
  <c r="B14" i="3" s="1"/>
  <c r="C28" i="3"/>
  <c r="F14" i="3" s="1"/>
  <c r="D28" i="3"/>
  <c r="J22" i="3" s="1"/>
  <c r="E28" i="3"/>
  <c r="F28" i="3"/>
  <c r="B49" i="3"/>
  <c r="C49" i="3"/>
  <c r="D49" i="3"/>
  <c r="E49" i="3"/>
  <c r="F49" i="3"/>
  <c r="H25" i="4"/>
  <c r="K22" i="3" l="1"/>
  <c r="K14" i="3" s="1"/>
  <c r="E14" i="3" s="1"/>
  <c r="D22" i="3"/>
  <c r="J14" i="3"/>
  <c r="D14" i="3" s="1"/>
  <c r="B22" i="3"/>
  <c r="F22" i="3"/>
  <c r="E22" i="3" l="1"/>
  <c r="H26" i="4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<sst xmlns="http://schemas.openxmlformats.org/spreadsheetml/2006/main" count="249" uniqueCount="144">
  <si>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</si>
  <si>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</si>
  <si>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</si>
  <si>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</si>
  <si>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</si>
  <si>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</si>
  <si>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</si>
  <si>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</si>
  <si>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</si>
  <si>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</si>
  <si>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</si>
  <si>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</si>
  <si>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</si>
  <si>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</si>
  <si>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</si>
  <si>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</si>
  <si>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</si>
  <si>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</si>
  <si>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</si>
  <si>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</si>
  <si>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</si>
  <si>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</si>
  <si>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</si>
  <si>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</si>
  <si>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</si>
  <si>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</si>
  <si>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</si>
  <si>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</si>
  <si>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</si>
  <si>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</si>
  <si>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</si>
  <si>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</si>
  <si>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</si>
  <si>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</si>
  <si>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</si>
  <si>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</si>
  <si>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</si>
  <si>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</si>
  <si>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</si>
  <si>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</si>
  <si>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</si>
  <si>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</si>
  <si>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</si>
  <si>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</si>
  <si>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</si>
  <si>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</si>
  <si>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</si>
  <si>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</si>
  <si>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</si>
  <si>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</si>
  <si>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</si>
  <si>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</si>
  <si>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</si>
  <si>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</si>
  <si>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</si>
  <si>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</si>
  <si>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</si>
  <si>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</si>
  <si>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</si>
  <si>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</si>
  <si>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</si>
  <si>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</si>
  <si>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</si>
  <si>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</si>
  <si>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</si>
  <si>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</si>
  <si>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</si>
  <si>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</si>
  <si>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</si>
  <si>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</si>
  <si>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</si>
  <si>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</si>
  <si>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</si>
  <si>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</si>
  <si>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</si>
  <si>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</si>
  <si>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</si>
  <si>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</si>
  <si>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</si>
  <si>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</si>
  <si>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</si>
  <si>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</si>
  <si>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</si>
  <si>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</si>
  <si>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</si>
  <si>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</si>
  <si>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</si>
  <si>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</si>
  <si>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</si>
  <si>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</si>
  <si>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</si>
  <si>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</si>
  <si>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</si>
  <si>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</si>
  <si>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</si>
  <si>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</si>
  <si>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</si>
  <si>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</si>
  <si>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</si>
  <si>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</si>
  <si>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</si>
  <si>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</si>
  <si>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</si>
  <si>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</si>
  <si>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</si>
  <si>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</si>
  <si>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</si>
  <si>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</si>
  <si>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</si>
  <si>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</si>
  <si>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</si>
  <si>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</si>
  <si>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</si>
  <si>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</si>
  <si>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</si>
  <si>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</si>
  <si>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</si>
  <si>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</si>
  <si>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</si>
  <si>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</si>
  <si>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</si>
  <si>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</si>
  <si>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</si>
  <si>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</si>
  <si>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</si>
  <si>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</si>
  <si>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</si>
  <si>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</si>
  <si>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</si>
  <si>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</si>
  <si>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</si>
  <si>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</si>
  <si>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</si>
  <si>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</si>
  <si>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</si>
  <si>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</si>
  <si>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</si>
  <si>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</si>
  <si>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</si>
  <si>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</si>
  <si>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</si>
  <si>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CUB C/R 90° R8</t>
  </si>
  <si>
    <t>N° 11774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</si>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</sst>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565543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5"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7330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45988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>
        <v>45992</v>
      </c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23626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4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09" t="s">
        <v>18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7</v>
      </c>
      <c r="C21" s="105" t="s">
        <v>141</v>
      </c>
      <c r="D21" s="107">
        <v>1600</v>
      </c>
      <c r="E21" s="107">
        <v>600</v>
      </c>
      <c r="F21" s="105" t="s">
        <v>143</v>
      </c>
      <c r="G21" s="106">
        <v>39619</v>
      </c>
      <c r="H21" s="106">
        <f t="shared" ref="H21" si="0">G21*B21</f>
        <v>277333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5">
        <v>1</v>
      </c>
      <c r="C22" s="105" t="s">
        <v>141</v>
      </c>
      <c r="D22" s="107">
        <v>1200</v>
      </c>
      <c r="E22" s="107">
        <v>600</v>
      </c>
      <c r="F22" s="105" t="s">
        <v>143</v>
      </c>
      <c r="G22" s="106">
        <v>29662</v>
      </c>
      <c r="H22" s="106">
        <f t="shared" ref="H22" si="1">G22*B22</f>
        <v>29662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6"/>
      <c r="C23" s="96"/>
      <c r="D23" s="96"/>
      <c r="E23" s="96"/>
      <c r="F23" s="97"/>
      <c r="G23" s="98"/>
      <c r="H23" s="98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306995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58329.05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365324.05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9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36" zoomScaleNormal="100" workbookViewId="0">
      <selection activeCell="A37" sqref="A37:F60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40" t="s">
        <v>27</v>
      </c>
      <c r="D4" s="14">
        <f>'4637'!G8</f>
        <v>7330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45992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7</v>
      </c>
      <c r="C14" s="25"/>
      <c r="D14" s="25">
        <f>J14+80</f>
        <v>1680</v>
      </c>
      <c r="E14" s="35">
        <f>K14+E$13</f>
        <v>570</v>
      </c>
      <c r="F14" s="102" t="str">
        <f>C28</f>
        <v>CUB C/R 90° R8</v>
      </c>
      <c r="G14" s="1"/>
      <c r="I14" s="89">
        <f>I22</f>
        <v>7</v>
      </c>
      <c r="J14" s="4">
        <f>J22</f>
        <v>1600</v>
      </c>
      <c r="K14" s="4">
        <f>K22</f>
        <v>600</v>
      </c>
    </row>
    <row r="15" spans="1:14" ht="15.6" x14ac:dyDescent="0.3">
      <c r="A15" s="95"/>
      <c r="B15" s="25">
        <f t="shared" ref="B15" si="1">I15</f>
        <v>1</v>
      </c>
      <c r="C15" s="25"/>
      <c r="D15" s="25">
        <f>J15+80</f>
        <v>1280</v>
      </c>
      <c r="E15" s="35">
        <f>K15+E$13</f>
        <v>570</v>
      </c>
      <c r="F15" s="102" t="str">
        <f>C29</f>
        <v>CUB C/R 90° R8</v>
      </c>
      <c r="G15" s="1"/>
      <c r="I15" s="89">
        <f>I23</f>
        <v>1</v>
      </c>
      <c r="J15" s="4">
        <f>J23</f>
        <v>1200</v>
      </c>
      <c r="K15" s="4">
        <f>K23</f>
        <v>600</v>
      </c>
    </row>
    <row r="16" spans="1:14" ht="15.6" x14ac:dyDescent="0.3">
      <c r="A16" s="52"/>
      <c r="B16" s="6"/>
      <c r="C16" s="6"/>
      <c r="D16" s="6"/>
      <c r="E16" s="10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7" t="s">
        <v>14</v>
      </c>
      <c r="B18" s="117"/>
      <c r="C18" s="117"/>
      <c r="D18" s="117"/>
      <c r="E18" s="117"/>
      <c r="F18" s="117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2">I22</f>
        <v>7</v>
      </c>
      <c r="C22" s="16"/>
      <c r="D22" s="16">
        <f>J22+D$21</f>
        <v>1640</v>
      </c>
      <c r="E22" s="16">
        <f>K22+E$21</f>
        <v>730</v>
      </c>
      <c r="F22" s="103" t="str">
        <f>C28</f>
        <v>CUB C/R 90° R8</v>
      </c>
      <c r="G22" s="1"/>
      <c r="I22" s="3">
        <f>B28</f>
        <v>7</v>
      </c>
      <c r="J22" s="4">
        <f>D28</f>
        <v>1600</v>
      </c>
      <c r="K22" s="4">
        <f t="shared" ref="K22" si="3">E28</f>
        <v>600</v>
      </c>
    </row>
    <row r="23" spans="1:11" ht="15.6" x14ac:dyDescent="0.3">
      <c r="A23" s="95"/>
      <c r="B23" s="16">
        <f t="shared" ref="B23" si="4">I23</f>
        <v>1</v>
      </c>
      <c r="C23" s="16"/>
      <c r="D23" s="16">
        <f>J23+D$21</f>
        <v>1240</v>
      </c>
      <c r="E23" s="16">
        <f>K23+E$21</f>
        <v>730</v>
      </c>
      <c r="F23" s="103" t="str">
        <f>C29</f>
        <v>CUB C/R 90° R8</v>
      </c>
      <c r="G23" s="1"/>
      <c r="I23" s="3">
        <f>B29</f>
        <v>1</v>
      </c>
      <c r="J23" s="4">
        <f>D29</f>
        <v>1200</v>
      </c>
      <c r="K23" s="4">
        <f t="shared" ref="K23" si="5">E29</f>
        <v>600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5" t="s">
        <v>140</v>
      </c>
      <c r="B28" s="25">
        <f>'4637'!B21</f>
        <v>7</v>
      </c>
      <c r="C28" s="102" t="str">
        <f>'4637'!C21</f>
        <v>CUB C/R 90° R8</v>
      </c>
      <c r="D28" s="25">
        <f>'4637'!D21</f>
        <v>1600</v>
      </c>
      <c r="E28" s="25">
        <f>'4637'!E21</f>
        <v>600</v>
      </c>
      <c r="F28" s="25" t="str">
        <f>'4637'!F21</f>
        <v>GLACIAL WHITE 22191 SF</v>
      </c>
      <c r="G28" s="1"/>
    </row>
    <row r="29" spans="1:11" ht="15.6" x14ac:dyDescent="0.3">
      <c r="A29" s="95"/>
      <c r="B29" s="25">
        <f>'4637'!B22</f>
        <v>1</v>
      </c>
      <c r="C29" s="102" t="str">
        <f>'4637'!C22</f>
        <v>CUB C/R 90° R8</v>
      </c>
      <c r="D29" s="25">
        <f>'4637'!D22</f>
        <v>1200</v>
      </c>
      <c r="E29" s="25">
        <f>'4637'!E22</f>
        <v>600</v>
      </c>
      <c r="F29" s="25" t="str">
        <f>'4637'!F22</f>
        <v>GLACIAL WHITE 22191 SF</v>
      </c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7330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45992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7" t="s">
        <v>68</v>
      </c>
      <c r="B45" s="117"/>
      <c r="C45" s="117"/>
      <c r="D45" s="117"/>
      <c r="E45" s="117"/>
      <c r="F45" s="117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8" t="s">
        <v>69</v>
      </c>
      <c r="C47" s="119"/>
      <c r="D47" s="120"/>
      <c r="E47" s="120"/>
      <c r="F47" s="121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5" t="s">
        <v>140</v>
      </c>
      <c r="B49" s="38">
        <f>'4637'!B21</f>
        <v>7</v>
      </c>
      <c r="C49" s="101" t="str">
        <f>'4637'!C21</f>
        <v>CUB C/R 90° R8</v>
      </c>
      <c r="D49" s="39">
        <f>'4637'!D21</f>
        <v>1600</v>
      </c>
      <c r="E49" s="39">
        <f>'4637'!E21</f>
        <v>600</v>
      </c>
      <c r="F49" s="38" t="str">
        <f>'4637'!F21</f>
        <v>GLACIAL WHITE 22191 SF</v>
      </c>
      <c r="G49" s="1"/>
    </row>
    <row r="50" spans="1:7" s="15" customFormat="1" ht="15" customHeight="1" x14ac:dyDescent="0.3">
      <c r="B50" s="38">
        <f>'4637'!B22</f>
        <v>1</v>
      </c>
      <c r="C50" s="101" t="str">
        <f>'4637'!C22</f>
        <v>CUB C/R 90° R8</v>
      </c>
      <c r="D50" s="39">
        <f>'4637'!D22</f>
        <v>1200</v>
      </c>
      <c r="E50" s="39">
        <f>'4637'!E22</f>
        <v>600</v>
      </c>
      <c r="F50" s="38" t="str">
        <f>'4637'!F22</f>
        <v>GLACIAL WHITE 22191 SF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2025-11-28T12:21:56Z</cp:lastPrinted>
  <dcterms:created xsi:type="dcterms:W3CDTF">2013-03-19T12:54:14Z</dcterms:created>
  <dcterms:modified xsi:type="dcterms:W3CDTF">2025-11-28T12:22:00Z</dcterms:modified>
</cp:coreProperties>
</file>