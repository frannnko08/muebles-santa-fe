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320E6B29-1253-4114-A0C7-70A6B9C41F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H22" i="4" l="1"/>
  <c r="B28" i="3" l="1"/>
  <c r="I22" i="3" s="1"/>
  <c r="I14" i="3" s="1"/>
  <c r="C28" i="3"/>
  <c r="F14" i="3" s="1"/>
  <c r="D28" i="3"/>
  <c r="J22" i="3" s="1"/>
  <c r="D22" i="3" s="1"/>
  <c r="E28" i="3"/>
  <c r="K22" i="3" s="1"/>
  <c r="E22" i="3" s="1"/>
  <c r="F28" i="3"/>
  <c r="B49" i="3"/>
  <c r="C49" i="3"/>
  <c r="D49" i="3"/>
  <c r="E49" i="3"/>
  <c r="F49" i="3"/>
  <c r="H26" i="4"/>
  <c r="J14" i="3" l="1"/>
  <c r="D14" i="3" s="1"/>
  <c r="K14" i="3"/>
  <c r="B22" i="3"/>
  <c r="B14" i="3"/>
  <c r="F22" i="3"/>
  <c r="H27" i="4" l="1"/>
  <c r="H28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<sst xmlns="http://schemas.openxmlformats.org/spreadsheetml/2006/main" count="243" uniqueCount="142">
  <si>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</si>
  <si>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</si>
  <si>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</si>
  <si>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</si>
  <si>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</si>
  <si>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</si>
  <si>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</si>
  <si>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</si>
  <si>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</si>
  <si>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</si>
  <si>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</si>
  <si>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</si>
  <si>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</si>
  <si>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</si>
  <si>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</si>
  <si>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</si>
  <si>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</si>
  <si>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</si>
  <si>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</si>
  <si>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</si>
  <si>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</si>
  <si>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</si>
  <si>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</si>
  <si>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</si>
  <si>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</si>
  <si>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</si>
  <si>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</si>
  <si>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</si>
  <si>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</si>
  <si>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</si>
  <si>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</si>
  <si>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</si>
  <si>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</si>
  <si>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</si>
  <si>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</si>
  <si>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</si>
  <si>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</si>
  <si>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</si>
  <si>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</si>
  <si>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</si>
  <si>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</si>
  <si>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</si>
  <si>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</si>
  <si>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</si>
  <si>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</si>
  <si>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</si>
  <si>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</si>
  <si>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</si>
  <si>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</si>
  <si>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</si>
  <si>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</si>
  <si>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</si>
  <si>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</si>
  <si>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</si>
  <si>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</si>
  <si>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</si>
  <si>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</si>
  <si>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</si>
  <si>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</si>
  <si>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</si>
  <si>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</si>
  <si>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</si>
  <si>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</si>
  <si>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</si>
  <si>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</si>
  <si>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</si>
  <si>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</si>
  <si>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</si>
  <si>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</si>
  <si>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</si>
  <si>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</si>
  <si>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</si>
  <si>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</si>
  <si>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</si>
  <si>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</si>
  <si>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</si>
  <si>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</si>
  <si>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</si>
  <si>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</si>
  <si>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</si>
  <si>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</si>
  <si>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</si>
  <si>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</si>
  <si>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</si>
  <si>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</si>
  <si>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</si>
  <si>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</si>
  <si>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</si>
  <si>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</si>
  <si>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</si>
  <si>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</si>
  <si>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</si>
  <si>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</si>
  <si>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</si>
  <si>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</si>
  <si>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</si>
  <si>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</si>
  <si>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</si>
  <si>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</si>
  <si>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</si>
  <si>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</si>
  <si>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</si>
  <si>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</si>
  <si>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</si>
  <si>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</si>
  <si>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</si>
  <si>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</si>
  <si>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</si>
  <si>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</si>
  <si>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</si>
  <si>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</si>
  <si>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</si>
  <si>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</si>
  <si>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</si>
  <si>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</si>
  <si>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</si>
  <si>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</si>
  <si>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</si>
  <si>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</si>
  <si>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</si>
  <si>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</si>
  <si>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</si>
  <si>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</si>
  <si>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</si>
  <si>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</si>
  <si>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</si>
  <si>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</si>
  <si>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</si>
  <si>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</si>
  <si>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</si>
  <si>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</si>
  <si>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</si>
  <si>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</si>
  <si>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</si>
  <si>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</si>
  <si>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</si>
  <si>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INSTALACION Y SERVICIOS SPA</t>
  </si>
  <si>
    <t>76.553.287-6</t>
  </si>
  <si>
    <t>CONTADO</t>
  </si>
  <si>
    <t>N° 11754</t>
  </si>
  <si>
    <t>CUB C/R 90° R8</t>
  </si>
  <si>
    <t>SHELL WHITE 22011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</si>
</sst>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7" fillId="0" borderId="0" xfId="0" applyFont="1"/>
    <xf numFmtId="0" fontId="18" fillId="0" borderId="0" xfId="0" quotePrefix="1" applyFont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25</xdr:row>
      <xdr:rowOff>9525</xdr:rowOff>
    </xdr:from>
    <xdr:to>
      <xdr:col>5</xdr:col>
      <xdr:colOff>1360170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$ 135.289.-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 A LA MEDIDA Y ENCHAPADA SIN REGRUESO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8" workbookViewId="0">
      <selection activeCell="M25" sqref="M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3320312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7323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136</v>
      </c>
      <c r="D10" s="55"/>
      <c r="E10" s="55"/>
      <c r="F10" s="56" t="s">
        <v>28</v>
      </c>
      <c r="G10" s="57">
        <v>45978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137</v>
      </c>
      <c r="D11" s="60"/>
      <c r="E11" s="60"/>
      <c r="F11" s="60" t="s">
        <v>122</v>
      </c>
      <c r="G11" s="61">
        <v>45979</v>
      </c>
      <c r="H11" s="62"/>
      <c r="I11" s="1"/>
    </row>
    <row r="12" spans="1:17" ht="16.8" x14ac:dyDescent="0.4">
      <c r="A12" s="1"/>
      <c r="B12" s="63" t="s">
        <v>128</v>
      </c>
      <c r="C12" s="104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5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2">
        <v>56964395293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4"/>
      <c r="D16" s="43"/>
      <c r="E16" s="43"/>
      <c r="F16" s="67" t="s">
        <v>75</v>
      </c>
      <c r="G16" s="107" t="s">
        <v>138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129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140</v>
      </c>
      <c r="D22" s="103">
        <v>2210</v>
      </c>
      <c r="E22" s="103">
        <v>520</v>
      </c>
      <c r="F22" s="100" t="s">
        <v>141</v>
      </c>
      <c r="G22" s="101">
        <v>113688</v>
      </c>
      <c r="H22" s="101">
        <f>G22*B22</f>
        <v>113688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3"/>
      <c r="C23" s="114"/>
      <c r="D23" s="115"/>
      <c r="E23" s="115"/>
      <c r="F23" s="113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3"/>
      <c r="C24" s="114"/>
      <c r="D24" s="115"/>
      <c r="E24" s="115"/>
      <c r="F24" s="113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SUM(H22:H25)</f>
        <v>113688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21600.720000000001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135288.72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134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135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46.66406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7323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INSTALACION Y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45979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2290</v>
      </c>
      <c r="E14" s="35">
        <f>K14+E13</f>
        <v>490</v>
      </c>
      <c r="F14" s="98" t="str">
        <f>C28</f>
        <v>CUB C/R 90° R8</v>
      </c>
      <c r="G14" s="1"/>
      <c r="I14" s="3">
        <f>I22</f>
        <v>1</v>
      </c>
      <c r="J14" s="4">
        <f>J22</f>
        <v>2210</v>
      </c>
      <c r="K14" s="4">
        <f>E28</f>
        <v>520</v>
      </c>
    </row>
    <row r="15" spans="1:14" ht="15.6" x14ac:dyDescent="0.3">
      <c r="A15" s="96"/>
      <c r="B15" s="6"/>
      <c r="C15" s="6"/>
      <c r="D15" s="6"/>
      <c r="E15" s="89"/>
      <c r="F15" s="102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3" ht="6.75" customHeight="1" x14ac:dyDescent="0.3">
      <c r="A17" s="1"/>
      <c r="B17" s="1"/>
      <c r="C17" s="1"/>
      <c r="D17" s="1"/>
      <c r="E17" s="1"/>
      <c r="F17" s="1"/>
      <c r="G17" s="1"/>
    </row>
    <row r="18" spans="1:13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3" ht="10.5" customHeight="1" x14ac:dyDescent="0.3">
      <c r="A19" s="1"/>
      <c r="B19" s="1"/>
      <c r="C19" s="12"/>
      <c r="D19" s="1"/>
      <c r="E19" s="1"/>
      <c r="F19" s="1"/>
      <c r="G19" s="1"/>
    </row>
    <row r="20" spans="1:13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3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3" ht="15.6" x14ac:dyDescent="0.3">
      <c r="A22" s="96"/>
      <c r="B22" s="16">
        <f t="shared" ref="B22" si="1">I22</f>
        <v>1</v>
      </c>
      <c r="C22" s="16"/>
      <c r="D22" s="16">
        <f>J22+D$21</f>
        <v>2250</v>
      </c>
      <c r="E22" s="16">
        <f>K22+E21</f>
        <v>650</v>
      </c>
      <c r="F22" s="99" t="str">
        <f>C28</f>
        <v>CUB C/R 90° R8</v>
      </c>
      <c r="G22" s="1"/>
      <c r="I22" s="3">
        <f>B28</f>
        <v>1</v>
      </c>
      <c r="J22" s="4">
        <f>D28</f>
        <v>2210</v>
      </c>
      <c r="K22" s="4">
        <f t="shared" ref="K22" si="2">E28</f>
        <v>520</v>
      </c>
      <c r="M22">
        <v>185</v>
      </c>
    </row>
    <row r="23" spans="1:13" ht="15.6" x14ac:dyDescent="0.3">
      <c r="A23" s="96"/>
      <c r="B23" s="6"/>
      <c r="C23" s="6"/>
      <c r="D23" s="6"/>
      <c r="E23" s="6"/>
      <c r="F23" s="102"/>
      <c r="G23" s="1"/>
      <c r="I23" s="90"/>
      <c r="J23" s="2"/>
      <c r="K23" s="2"/>
    </row>
    <row r="24" spans="1:13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3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3" ht="10.5" customHeight="1" x14ac:dyDescent="0.3">
      <c r="A26" s="1"/>
      <c r="B26" s="1"/>
      <c r="C26" s="1"/>
      <c r="D26" s="1"/>
      <c r="E26" s="1"/>
      <c r="F26" s="1"/>
      <c r="G26" s="1"/>
    </row>
    <row r="27" spans="1:13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  <c r="J27">
        <v>1060</v>
      </c>
    </row>
    <row r="28" spans="1:13" ht="15.6" x14ac:dyDescent="0.3">
      <c r="A28" s="96"/>
      <c r="B28" s="25">
        <f>'4637'!B22</f>
        <v>1</v>
      </c>
      <c r="C28" s="110" t="str">
        <f>'4637'!C22</f>
        <v>CUB C/R 90° R8</v>
      </c>
      <c r="D28" s="25">
        <f>'4637'!D22</f>
        <v>2210</v>
      </c>
      <c r="E28" s="25">
        <f>'4637'!E22</f>
        <v>520</v>
      </c>
      <c r="F28" s="25" t="str">
        <f>'4637'!F22</f>
        <v>SHELL WHITE 22011 BR</v>
      </c>
      <c r="G28" s="1"/>
      <c r="J28">
        <v>50</v>
      </c>
    </row>
    <row r="29" spans="1:13" ht="15.6" x14ac:dyDescent="0.3">
      <c r="A29" s="96"/>
      <c r="B29" s="6"/>
      <c r="C29" s="102"/>
      <c r="D29" s="6"/>
      <c r="E29" s="6"/>
      <c r="F29" s="6"/>
      <c r="G29" s="1"/>
    </row>
    <row r="30" spans="1:13" ht="15.6" x14ac:dyDescent="0.3">
      <c r="A30" s="1"/>
      <c r="B30" s="6"/>
      <c r="C30" s="6"/>
      <c r="D30" s="6"/>
      <c r="E30" s="6"/>
      <c r="F30" s="6"/>
      <c r="G30" s="1"/>
    </row>
    <row r="31" spans="1:13" ht="15.6" x14ac:dyDescent="0.3">
      <c r="A31" s="1"/>
      <c r="B31" s="6"/>
      <c r="C31" s="6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7323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INSTALACION Y SERVICIOS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45979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'4637'!B22</f>
        <v>1</v>
      </c>
      <c r="C49" s="109" t="str">
        <f>'4637'!C22</f>
        <v>CUB C/R 90° R8</v>
      </c>
      <c r="D49" s="39">
        <f>'4637'!D22</f>
        <v>2210</v>
      </c>
      <c r="E49" s="39">
        <f>'4637'!E22</f>
        <v>520</v>
      </c>
      <c r="F49" s="38" t="str">
        <f>'4637'!F22</f>
        <v>SHELL WHITE 22011 BR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2025-11-18T12:46:39Z</cp:lastPrinted>
  <dcterms:created xsi:type="dcterms:W3CDTF">2013-03-19T12:54:14Z</dcterms:created>
  <dcterms:modified xsi:type="dcterms:W3CDTF">2025-11-18T12:46:49Z</dcterms:modified>
</cp:coreProperties>
</file>