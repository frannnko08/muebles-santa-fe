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43C2D1C9-E677-4819-8A53-9B26B86C62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7" i="3"/>
  <c r="C27" i="3"/>
  <c r="F21" i="3" s="1"/>
  <c r="D27" i="3"/>
  <c r="J14" i="3" s="1"/>
  <c r="D14" i="3" s="1"/>
  <c r="E27" i="3"/>
  <c r="K14" i="3" s="1"/>
  <c r="E14" i="3" s="1"/>
  <c r="F27" i="3"/>
  <c r="H26" i="4" l="1"/>
  <c r="I21" i="3"/>
  <c r="F14" i="3"/>
  <c r="K21" i="3"/>
  <c r="E21" i="3" s="1"/>
  <c r="J21" i="3"/>
  <c r="D21" i="3" s="1"/>
  <c r="B21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<sst xmlns="http://schemas.openxmlformats.org/spreadsheetml/2006/main" count="247" uniqueCount="145">
  <si>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</si>
  <si>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</si>
  <si>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</si>
  <si>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</si>
  <si>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</si>
  <si>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</si>
  <si>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</si>
  <si>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</si>
  <si>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</si>
  <si>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</si>
  <si>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</si>
  <si>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</si>
  <si>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</si>
  <si>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</si>
  <si>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</si>
  <si>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</si>
  <si>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</si>
  <si>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</si>
  <si>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</si>
  <si>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</si>
  <si>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</si>
  <si>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</si>
  <si>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</si>
  <si>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</si>
  <si>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</si>
  <si>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</si>
  <si>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</si>
  <si>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</si>
  <si>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</si>
  <si>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</si>
  <si>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</si>
  <si>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</si>
  <si>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</si>
  <si>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</si>
  <si>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</si>
  <si>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</si>
  <si>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</si>
  <si>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</si>
  <si>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</si>
  <si>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</si>
  <si>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</si>
  <si>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</si>
  <si>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</si>
  <si>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</si>
  <si>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</si>
  <si>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</si>
  <si>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</si>
  <si>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</si>
  <si>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</si>
  <si>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</si>
  <si>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</si>
  <si>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</si>
  <si>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</si>
  <si>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</si>
  <si>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</si>
  <si>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</si>
  <si>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</si>
  <si>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</si>
  <si>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</si>
  <si>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</si>
  <si>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</si>
  <si>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</si>
  <si>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</si>
  <si>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</si>
  <si>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</si>
  <si>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</si>
  <si>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</si>
  <si>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</si>
  <si>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</si>
  <si>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</si>
  <si>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</si>
  <si>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</si>
  <si>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</si>
  <si>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</si>
  <si>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</si>
  <si>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</si>
  <si>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</si>
  <si>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</si>
  <si>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</si>
  <si>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</si>
  <si>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</si>
  <si>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</si>
  <si>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</si>
  <si>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</si>
  <si>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</si>
  <si>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</si>
  <si>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</si>
  <si>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</si>
  <si>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</si>
  <si>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</si>
  <si>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</si>
  <si>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</si>
  <si>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</si>
  <si>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</si>
  <si>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</si>
  <si>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</si>
  <si>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</si>
  <si>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</si>
  <si>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</si>
  <si>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</si>
  <si>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</si>
  <si>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</si>
  <si>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</si>
  <si>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</si>
  <si>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</si>
  <si>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</si>
  <si>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</si>
  <si>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</si>
  <si>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</si>
  <si>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</si>
  <si>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</si>
  <si>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</si>
  <si>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</si>
  <si>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</si>
  <si>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</si>
  <si>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</si>
  <si>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</si>
  <si>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</si>
  <si>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</si>
  <si>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</si>
  <si>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</si>
  <si>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</si>
  <si>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</si>
  <si>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</si>
  <si>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</si>
  <si>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</si>
  <si>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</si>
  <si>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</si>
  <si>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</si>
  <si>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</si>
  <si>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</si>
  <si>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</si>
  <si>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</si>
  <si>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</si>
  <si>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 xml:space="preserve"> MDF 18MM</t>
  </si>
  <si>
    <t>MDF18MM</t>
  </si>
  <si>
    <t>VICENTE MUEBLES SPA</t>
  </si>
  <si>
    <t>77.247.699-K</t>
  </si>
  <si>
    <t>MARTIN TEJEDA</t>
  </si>
  <si>
    <t>+569 9825 0017</t>
  </si>
  <si>
    <t>INDUSTRIAL CONCRETE 3127 MT</t>
  </si>
  <si>
    <t>N°11755</t>
  </si>
  <si>
    <t>CELULAR: 963868755</t>
  </si>
  <si>
    <t>E-MAIL: fdonoso@topmobili.cl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</si>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</sst>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3" borderId="0" xfId="0" applyFont="1" applyFill="1"/>
    <xf numFmtId="0" fontId="20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21" fillId="0" borderId="0" xfId="2" quotePrefix="1" applyFont="1" applyFill="1" applyBorder="1" applyAlignment="1">
      <alignment horizontal="left"/>
    </xf>
    <xf numFmtId="0" fontId="22" fillId="0" borderId="3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PAGADA</a:t>
          </a:r>
          <a:r>
            <a:rPr lang="es-CL" sz="900" b="1" i="1" baseline="0"/>
            <a:t> $ 82.803.-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D7F71C-B16E-4500-8672-2ED5BDA37B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5</xdr:row>
      <xdr:rowOff>121991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31A79D0-A8A0-4EE1-98BB-DB32DCDF6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K23" sqref="K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142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143</v>
      </c>
      <c r="G7" s="1"/>
      <c r="H7" s="1"/>
      <c r="I7" s="1"/>
    </row>
    <row r="8" spans="1:17" ht="16.2" thickBot="1" x14ac:dyDescent="0.35">
      <c r="A8" s="1"/>
      <c r="B8" s="91" t="s">
        <v>14</v>
      </c>
      <c r="C8" s="92"/>
      <c r="D8" s="93" t="s">
        <v>141</v>
      </c>
      <c r="E8" s="1"/>
      <c r="F8" s="94" t="s">
        <v>25</v>
      </c>
      <c r="G8" s="95">
        <v>7325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128</v>
      </c>
      <c r="C10" s="86" t="s">
        <v>136</v>
      </c>
      <c r="D10" s="55"/>
      <c r="E10" s="55"/>
      <c r="F10" s="56" t="s">
        <v>26</v>
      </c>
      <c r="G10" s="57">
        <v>45369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122</v>
      </c>
      <c r="G11" s="61">
        <v>45371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132</v>
      </c>
      <c r="C13" t="s">
        <v>138</v>
      </c>
      <c r="D13" s="43"/>
      <c r="E13" s="43"/>
      <c r="F13" s="43" t="s">
        <v>127</v>
      </c>
      <c r="G13" s="64" t="s">
        <v>129</v>
      </c>
      <c r="H13" s="65"/>
      <c r="I13" s="1"/>
    </row>
    <row r="14" spans="1:17" ht="15.6" x14ac:dyDescent="0.3">
      <c r="A14" s="1"/>
      <c r="B14" s="59" t="s">
        <v>15</v>
      </c>
      <c r="C14" s="113" t="s">
        <v>139</v>
      </c>
      <c r="D14" s="66"/>
      <c r="E14" s="60"/>
      <c r="F14" s="60" t="s">
        <v>27</v>
      </c>
      <c r="G14" s="60"/>
      <c r="H14" s="62"/>
      <c r="I14" s="1"/>
    </row>
    <row r="15" spans="1:17" ht="16.8" x14ac:dyDescent="0.4">
      <c r="A15" s="1"/>
      <c r="B15" s="63" t="s">
        <v>1</v>
      </c>
      <c r="C15" s="107"/>
      <c r="D15" s="43"/>
      <c r="E15" s="43"/>
      <c r="F15" s="67" t="s">
        <v>73</v>
      </c>
      <c r="G15" s="67" t="s">
        <v>125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131</v>
      </c>
      <c r="D16" s="69"/>
      <c r="E16" s="70"/>
      <c r="F16" s="115" t="s">
        <v>16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17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18</v>
      </c>
      <c r="C20" s="72" t="s">
        <v>19</v>
      </c>
      <c r="D20" s="72" t="s">
        <v>20</v>
      </c>
      <c r="E20" s="72" t="s">
        <v>8</v>
      </c>
      <c r="F20" s="73" t="s">
        <v>21</v>
      </c>
      <c r="G20" s="71" t="s">
        <v>22</v>
      </c>
      <c r="H20" s="73" t="s">
        <v>4</v>
      </c>
      <c r="I20" s="1"/>
    </row>
    <row r="21" spans="1:16" ht="18" customHeight="1" x14ac:dyDescent="0.3">
      <c r="A21" s="1"/>
      <c r="B21" s="109">
        <v>1</v>
      </c>
      <c r="C21" s="110" t="s">
        <v>144</v>
      </c>
      <c r="D21" s="112">
        <v>645</v>
      </c>
      <c r="E21" s="112">
        <v>450</v>
      </c>
      <c r="F21" s="114" t="s">
        <v>140</v>
      </c>
      <c r="G21" s="111">
        <v>69582</v>
      </c>
      <c r="H21" s="105">
        <f>G21*B21</f>
        <v>69582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7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69582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13220.58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82802.58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121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120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85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29</v>
      </c>
      <c r="C2" s="120"/>
      <c r="D2" s="120"/>
      <c r="E2" s="18"/>
      <c r="G2" s="120" t="s">
        <v>68</v>
      </c>
      <c r="H2" s="120"/>
      <c r="I2" s="120"/>
      <c r="P2" s="121" t="s">
        <v>56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21" t="s">
        <v>56</v>
      </c>
      <c r="M8" s="121"/>
      <c r="N8" s="121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4" zoomScaleNormal="100" workbookViewId="0">
      <selection activeCell="A36" sqref="A36:F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59</v>
      </c>
      <c r="L3" s="122"/>
      <c r="M3" s="122" t="s">
        <v>13</v>
      </c>
      <c r="N3" s="122"/>
    </row>
    <row r="4" spans="1:14" ht="15.75" customHeight="1" x14ac:dyDescent="0.3">
      <c r="A4" s="1"/>
      <c r="B4" s="1"/>
      <c r="C4" s="40" t="s">
        <v>25</v>
      </c>
      <c r="D4" s="14">
        <f>'4637'!G8</f>
        <v>7325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65</v>
      </c>
      <c r="D5" s="42" t="str">
        <f>'4637'!C10</f>
        <v>VICENTE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45371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59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6" t="s">
        <v>133</v>
      </c>
      <c r="B14" s="25">
        <f t="shared" ref="B14" si="0">I14</f>
        <v>1</v>
      </c>
      <c r="C14" s="25"/>
      <c r="D14" s="25">
        <f>J14+D$13</f>
        <v>695</v>
      </c>
      <c r="E14" s="35">
        <f>K14+E$13</f>
        <v>420</v>
      </c>
      <c r="F14" s="103" t="str">
        <f>C27</f>
        <v>CUB C/R R8</v>
      </c>
      <c r="G14" s="1"/>
      <c r="I14" s="3">
        <f>I21</f>
        <v>1</v>
      </c>
      <c r="J14" s="4">
        <f t="shared" ref="J14:K14" si="1">D27</f>
        <v>645</v>
      </c>
      <c r="K14" s="4">
        <f t="shared" si="1"/>
        <v>450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3" t="s">
        <v>13</v>
      </c>
      <c r="B17" s="123"/>
      <c r="C17" s="123"/>
      <c r="D17" s="123"/>
      <c r="E17" s="123"/>
      <c r="F17" s="123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106" t="s">
        <v>134</v>
      </c>
      <c r="B21" s="16">
        <f t="shared" ref="B21" si="2">I21</f>
        <v>1</v>
      </c>
      <c r="C21" s="16"/>
      <c r="D21" s="16">
        <f>J21+D$20</f>
        <v>685</v>
      </c>
      <c r="E21" s="16">
        <f>K21+E$20</f>
        <v>580</v>
      </c>
      <c r="F21" s="104" t="str">
        <f>C27</f>
        <v>CUB C/R R8</v>
      </c>
      <c r="G21" s="1"/>
      <c r="I21" s="3">
        <f>B27</f>
        <v>1</v>
      </c>
      <c r="J21" s="4">
        <f>D27</f>
        <v>645</v>
      </c>
      <c r="K21" s="4">
        <f>E27</f>
        <v>450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108</v>
      </c>
      <c r="D26" s="88" t="s">
        <v>7</v>
      </c>
      <c r="E26" s="88" t="s">
        <v>8</v>
      </c>
      <c r="F26" s="88" t="s">
        <v>21</v>
      </c>
      <c r="G26" s="1"/>
    </row>
    <row r="27" spans="1:11" ht="15.6" x14ac:dyDescent="0.3">
      <c r="A27" s="106" t="s">
        <v>133</v>
      </c>
      <c r="B27" s="25">
        <f>'4637'!B21</f>
        <v>1</v>
      </c>
      <c r="C27" s="103" t="str">
        <f>'4637'!C21</f>
        <v>CUB C/R R8</v>
      </c>
      <c r="D27" s="25">
        <f>'4637'!D21</f>
        <v>645</v>
      </c>
      <c r="E27" s="25">
        <f>'4637'!E21</f>
        <v>450</v>
      </c>
      <c r="F27" s="25" t="str">
        <f>'4637'!F21</f>
        <v>INDUSTRIAL CONCRETE 3127 MT</v>
      </c>
      <c r="G27" s="1"/>
    </row>
    <row r="28" spans="1:11" ht="15.6" x14ac:dyDescent="0.3">
      <c r="A28" s="96"/>
      <c r="B28" s="6"/>
      <c r="C28" s="6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25</v>
      </c>
      <c r="D39" s="14">
        <f>'4637'!G8</f>
        <v>7325</v>
      </c>
      <c r="E39" s="1"/>
      <c r="F39" s="1"/>
      <c r="G39" s="1"/>
    </row>
    <row r="40" spans="1:7" ht="17.25" customHeight="1" x14ac:dyDescent="0.3">
      <c r="A40" s="1"/>
      <c r="B40" s="1"/>
      <c r="C40" s="41" t="s">
        <v>65</v>
      </c>
      <c r="D40" s="42" t="str">
        <f>'4637'!C10</f>
        <v>VICENTE MUEBLES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45371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66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67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106" t="s">
        <v>135</v>
      </c>
      <c r="B49" s="38">
        <f>'4637'!B21</f>
        <v>1</v>
      </c>
      <c r="C49" s="101" t="str">
        <f>'4637'!C21</f>
        <v>CUB C/R R8</v>
      </c>
      <c r="D49" s="39">
        <f>'4637'!D21</f>
        <v>645</v>
      </c>
      <c r="E49" s="39">
        <f>'4637'!E21</f>
        <v>450</v>
      </c>
      <c r="F49" s="38" t="str">
        <f>'4637'!F21</f>
        <v>INDUSTRIAL CONCRETE 3127 MT</v>
      </c>
      <c r="G49" s="1"/>
    </row>
    <row r="50" spans="1:7" s="15" customFormat="1" ht="15" customHeight="1" x14ac:dyDescent="0.3">
      <c r="A50" s="96"/>
      <c r="B50" s="52"/>
      <c r="C50" s="102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2025-11-17T19:28:20Z</cp:lastPrinted>
  <dcterms:created xsi:type="dcterms:W3CDTF">2013-03-19T12:54:14Z</dcterms:created>
  <dcterms:modified xsi:type="dcterms:W3CDTF">2025-11-17T19:28:46Z</dcterms:modified>
</cp:coreProperties>
</file>