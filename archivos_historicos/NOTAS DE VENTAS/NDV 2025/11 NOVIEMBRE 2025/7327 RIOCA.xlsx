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C129532C-ACDD-44BE-82D0-A12E475F70E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15" i="3" s="1"/>
  <c r="D30" i="3"/>
  <c r="J23" i="3" s="1"/>
  <c r="D23" i="3" s="1"/>
  <c r="E30" i="3"/>
  <c r="K23" i="3" s="1"/>
  <c r="F30" i="3"/>
  <c r="B52" i="3"/>
  <c r="C52" i="3"/>
  <c r="D52" i="3"/>
  <c r="E52" i="3"/>
  <c r="F52" i="3"/>
  <c r="H23" i="4"/>
  <c r="H22" i="4"/>
  <c r="J15" i="3" l="1"/>
  <c r="D15" i="3" s="1"/>
  <c r="F23" i="3"/>
  <c r="I15" i="3"/>
  <c r="B15" i="3" s="1"/>
  <c r="K15" i="3"/>
  <c r="B29" i="3"/>
  <c r="I22" i="3" s="1"/>
  <c r="I14" i="3" s="1"/>
  <c r="C29" i="3"/>
  <c r="F14" i="3" s="1"/>
  <c r="D29" i="3"/>
  <c r="J22" i="3" s="1"/>
  <c r="D22" i="3" s="1"/>
  <c r="E29" i="3"/>
  <c r="K22" i="3" s="1"/>
  <c r="E22" i="3" s="1"/>
  <c r="F29" i="3"/>
  <c r="B51" i="3"/>
  <c r="C51" i="3"/>
  <c r="D51" i="3"/>
  <c r="E51" i="3"/>
  <c r="F51" i="3"/>
  <c r="H26" i="4"/>
  <c r="J14" i="3" l="1"/>
  <c r="D14" i="3" s="1"/>
  <c r="K14" i="3"/>
  <c r="E14" i="3" s="1"/>
  <c r="B22" i="3"/>
  <c r="B14" i="3"/>
  <c r="F22" i="3"/>
  <c r="H27" i="4" l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<sst xmlns="http://schemas.openxmlformats.org/spreadsheetml/2006/main" count="249" uniqueCount="147">
  <si>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</si>
  <si>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</si>
  <si>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</si>
  <si>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</si>
  <si>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</si>
  <si>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</si>
  <si>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</si>
  <si>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</si>
  <si>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</si>
  <si>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</si>
  <si>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</si>
  <si>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</si>
  <si>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</si>
  <si>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</si>
  <si>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</si>
  <si>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</si>
  <si>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</si>
  <si>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</si>
  <si>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</si>
  <si>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</si>
  <si>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</si>
  <si>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</si>
  <si>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</si>
  <si>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</si>
  <si>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</si>
  <si>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</si>
  <si>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</si>
  <si>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</si>
  <si>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</si>
  <si>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</si>
  <si>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</si>
  <si>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</si>
  <si>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</si>
  <si>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</si>
  <si>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</si>
  <si>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</si>
  <si>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</si>
  <si>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</si>
  <si>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</si>
  <si>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</si>
  <si>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</si>
  <si>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</si>
  <si>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</si>
  <si>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</si>
  <si>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</si>
  <si>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</si>
  <si>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</si>
  <si>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</si>
  <si>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</si>
  <si>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</si>
  <si>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</si>
  <si>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</si>
  <si>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</si>
  <si>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</si>
  <si>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</si>
  <si>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</si>
  <si>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</si>
  <si>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</si>
  <si>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</si>
  <si>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</si>
  <si>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</si>
  <si>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</si>
  <si>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</si>
  <si>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</si>
  <si>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</si>
  <si>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</si>
  <si>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</si>
  <si>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</si>
  <si>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</si>
  <si>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</si>
  <si>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</si>
  <si>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</si>
  <si>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</si>
  <si>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</si>
  <si>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</si>
  <si>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</si>
  <si>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</si>
  <si>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</si>
  <si>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</si>
  <si>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</si>
  <si>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</si>
  <si>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</si>
  <si>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</si>
  <si>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</si>
  <si>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</si>
  <si>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</si>
  <si>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</si>
  <si>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</si>
  <si>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</si>
  <si>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</si>
  <si>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</si>
  <si>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</si>
  <si>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</si>
  <si>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</si>
  <si>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</si>
  <si>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</si>
  <si>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</si>
  <si>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</si>
  <si>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</si>
  <si>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</si>
  <si>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</si>
  <si>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</si>
  <si>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</si>
  <si>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</si>
  <si>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</si>
  <si>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</si>
  <si>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</si>
  <si>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</si>
  <si>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</si>
  <si>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</si>
  <si>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</si>
  <si>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</si>
  <si>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</si>
  <si>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</si>
  <si>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</si>
  <si>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</si>
  <si>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</si>
  <si>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</si>
  <si>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</si>
  <si>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</si>
  <si>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</si>
  <si>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</si>
  <si>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</si>
  <si>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</si>
  <si>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</si>
  <si>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</si>
  <si>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</si>
  <si>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</si>
  <si>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</si>
  <si>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</si>
  <si>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</si>
  <si>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</si>
  <si>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</si>
  <si>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</si>
  <si>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</si>
  <si>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</si>
  <si>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</si>
  <si>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RIOCA LTDA</t>
  </si>
  <si>
    <t>76.744.503-2</t>
  </si>
  <si>
    <t>FABRIACION DE MUEBLES</t>
  </si>
  <si>
    <t>JHON GANDICA</t>
  </si>
  <si>
    <t>+569 3251 5202</t>
  </si>
  <si>
    <t>BRASIL 937 LA CISTERNA</t>
  </si>
  <si>
    <t>CUB C/R 180°</t>
  </si>
  <si>
    <t>GRIS NUBE 2189 MT F6</t>
  </si>
  <si>
    <t>RESPALDOS</t>
  </si>
  <si>
    <t>N° 11752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</si>
</sst>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7" fillId="0" borderId="0" xfId="0" applyFont="1"/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23" fillId="3" borderId="0" xfId="0" applyFont="1" applyFill="1"/>
    <xf numFmtId="0" fontId="18" fillId="0" borderId="0" xfId="0" quotePrefix="1" applyFont="1"/>
    <xf numFmtId="0" fontId="22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25</xdr:row>
      <xdr:rowOff>9525</xdr:rowOff>
    </xdr:from>
    <xdr:to>
      <xdr:col>5</xdr:col>
      <xdr:colOff>1360170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$ 75.274.-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RESPALDO LLEVA REBAJE SEGÚN ANGULO DE CUBIERTA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 A LA MEDIDA Y RESPALDO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REBAJE SEGUN ANGULO DE CUBIERTA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9" workbookViewId="0">
      <selection activeCell="L24" sqref="L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146</v>
      </c>
      <c r="E8" s="1"/>
      <c r="F8" s="94" t="s">
        <v>27</v>
      </c>
      <c r="G8" s="95">
        <v>7327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137</v>
      </c>
      <c r="D10" s="55"/>
      <c r="E10" s="55"/>
      <c r="F10" s="56" t="s">
        <v>28</v>
      </c>
      <c r="G10" s="57">
        <v>45972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138</v>
      </c>
      <c r="D11" s="60"/>
      <c r="E11" s="60"/>
      <c r="F11" s="60" t="s">
        <v>122</v>
      </c>
      <c r="G11" s="61">
        <v>45974</v>
      </c>
      <c r="H11" s="62"/>
      <c r="I11" s="1"/>
    </row>
    <row r="12" spans="1:17" ht="15.6" x14ac:dyDescent="0.3">
      <c r="A12" s="1"/>
      <c r="B12" s="63" t="s">
        <v>128</v>
      </c>
      <c r="C12" s="115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C13" t="s">
        <v>140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5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6" t="s">
        <v>141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4" t="s">
        <v>142</v>
      </c>
      <c r="D16" s="43"/>
      <c r="E16" s="43"/>
      <c r="F16" s="67" t="s">
        <v>75</v>
      </c>
      <c r="G16" s="107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129</v>
      </c>
      <c r="D17" s="69"/>
      <c r="E17" s="70"/>
      <c r="F17" s="118" t="s">
        <v>18</v>
      </c>
      <c r="G17" s="118"/>
      <c r="H17" s="119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17" t="s">
        <v>143</v>
      </c>
      <c r="D22" s="103">
        <v>1550</v>
      </c>
      <c r="E22" s="103">
        <v>572</v>
      </c>
      <c r="F22" s="100" t="s">
        <v>144</v>
      </c>
      <c r="G22" s="101">
        <v>120705</v>
      </c>
      <c r="H22" s="101">
        <f>G22*B22</f>
        <v>120705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17" t="s">
        <v>145</v>
      </c>
      <c r="D23" s="103">
        <v>600</v>
      </c>
      <c r="E23" s="103">
        <v>70</v>
      </c>
      <c r="F23" s="100" t="s">
        <v>144</v>
      </c>
      <c r="G23" s="101">
        <v>5805</v>
      </c>
      <c r="H23" s="101">
        <f t="shared" ref="H23" si="0">G23*B23</f>
        <v>5805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2"/>
      <c r="C24" s="113"/>
      <c r="D24" s="114"/>
      <c r="E24" s="114"/>
      <c r="F24" s="112"/>
      <c r="G24" s="75"/>
      <c r="H24" s="75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SUM(H22:H25)</f>
        <v>126510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24036.9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150546.9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134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135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zoomScaleNormal="100" workbookViewId="0">
      <selection sqref="A1:F3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46.66406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>
        <f>'4637'!G8</f>
        <v>7327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RIOCA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45974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1630</v>
      </c>
      <c r="E14" s="35">
        <f>K14+E$13</f>
        <v>542</v>
      </c>
      <c r="F14" s="98" t="str">
        <f>C29</f>
        <v>CUB C/R 180°</v>
      </c>
      <c r="G14" s="1"/>
      <c r="I14" s="3">
        <f>I22</f>
        <v>1</v>
      </c>
      <c r="J14" s="4">
        <f>J22</f>
        <v>1550</v>
      </c>
      <c r="K14" s="4">
        <f>E29</f>
        <v>572</v>
      </c>
    </row>
    <row r="15" spans="1:14" ht="15.6" x14ac:dyDescent="0.3">
      <c r="A15" s="96"/>
      <c r="B15" s="25">
        <f t="shared" ref="B15" si="1">I15</f>
        <v>1</v>
      </c>
      <c r="C15" s="25"/>
      <c r="D15" s="25">
        <f t="shared" ref="D15" si="2">J15+D$13</f>
        <v>680</v>
      </c>
      <c r="E15" s="35">
        <v>100</v>
      </c>
      <c r="F15" s="98" t="str">
        <f>C30</f>
        <v>RESPALDOS</v>
      </c>
      <c r="G15" s="1"/>
      <c r="I15" s="3">
        <f t="shared" ref="I15:J15" si="3">I23</f>
        <v>1</v>
      </c>
      <c r="J15" s="4">
        <f t="shared" si="3"/>
        <v>600</v>
      </c>
      <c r="K15" s="4">
        <f>E30</f>
        <v>70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3" ht="6.75" customHeight="1" x14ac:dyDescent="0.3">
      <c r="A17" s="1"/>
      <c r="B17" s="1"/>
      <c r="C17" s="1"/>
      <c r="D17" s="1"/>
      <c r="E17" s="1"/>
      <c r="F17" s="1"/>
      <c r="G17" s="1"/>
    </row>
    <row r="18" spans="1:13" ht="15.6" x14ac:dyDescent="0.3">
      <c r="A18" s="126" t="s">
        <v>14</v>
      </c>
      <c r="B18" s="126"/>
      <c r="C18" s="126"/>
      <c r="D18" s="126"/>
      <c r="E18" s="126"/>
      <c r="F18" s="126"/>
      <c r="G18" s="1"/>
    </row>
    <row r="19" spans="1:13" ht="10.5" customHeight="1" x14ac:dyDescent="0.3">
      <c r="A19" s="1"/>
      <c r="B19" s="1"/>
      <c r="C19" s="12"/>
      <c r="D19" s="1"/>
      <c r="E19" s="1"/>
      <c r="F19" s="1"/>
      <c r="G19" s="1"/>
    </row>
    <row r="20" spans="1:13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3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3" ht="15.6" x14ac:dyDescent="0.3">
      <c r="A22" s="96"/>
      <c r="B22" s="16">
        <f t="shared" ref="B22" si="4">I22</f>
        <v>1</v>
      </c>
      <c r="C22" s="16"/>
      <c r="D22" s="16">
        <f>J22+D$21</f>
        <v>1590</v>
      </c>
      <c r="E22" s="16">
        <f>K22+E$21</f>
        <v>722</v>
      </c>
      <c r="F22" s="99" t="str">
        <f>C29</f>
        <v>CUB C/R 180°</v>
      </c>
      <c r="G22" s="1"/>
      <c r="I22" s="3">
        <f>B29</f>
        <v>1</v>
      </c>
      <c r="J22" s="4">
        <f>D29</f>
        <v>1550</v>
      </c>
      <c r="K22" s="4">
        <f t="shared" ref="K22" si="5">E29</f>
        <v>572</v>
      </c>
      <c r="M22">
        <v>185</v>
      </c>
    </row>
    <row r="23" spans="1:13" ht="15.6" x14ac:dyDescent="0.3">
      <c r="A23" s="96"/>
      <c r="B23" s="16">
        <f t="shared" ref="B23" si="6">I23</f>
        <v>1</v>
      </c>
      <c r="C23" s="16"/>
      <c r="D23" s="16">
        <f>J23+D$21</f>
        <v>640</v>
      </c>
      <c r="E23" s="16">
        <v>140</v>
      </c>
      <c r="F23" s="99" t="str">
        <f>C30</f>
        <v>RESPALDOS</v>
      </c>
      <c r="G23" s="1"/>
      <c r="I23" s="3">
        <f>B30</f>
        <v>1</v>
      </c>
      <c r="J23" s="4">
        <f>D30</f>
        <v>600</v>
      </c>
      <c r="K23" s="4">
        <f>E30</f>
        <v>70</v>
      </c>
    </row>
    <row r="24" spans="1:13" ht="15.6" x14ac:dyDescent="0.3">
      <c r="A24" s="96"/>
      <c r="B24" s="6"/>
      <c r="C24" s="6"/>
      <c r="D24" s="6"/>
      <c r="E24" s="6"/>
      <c r="F24" s="102"/>
      <c r="G24" s="1"/>
      <c r="I24" s="90"/>
      <c r="J24" s="2"/>
      <c r="K24" s="2"/>
    </row>
    <row r="25" spans="1:13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3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3" ht="10.5" customHeight="1" x14ac:dyDescent="0.3">
      <c r="A27" s="1"/>
      <c r="B27" s="1"/>
      <c r="C27" s="1"/>
      <c r="D27" s="1"/>
      <c r="E27" s="1"/>
      <c r="F27" s="1"/>
      <c r="G27" s="1"/>
    </row>
    <row r="28" spans="1:13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  <c r="J28">
        <v>1060</v>
      </c>
    </row>
    <row r="29" spans="1:13" ht="15.6" x14ac:dyDescent="0.3">
      <c r="A29" s="96"/>
      <c r="B29" s="25">
        <f>'4637'!B22</f>
        <v>1</v>
      </c>
      <c r="C29" s="110" t="str">
        <f>'4637'!C22</f>
        <v>CUB C/R 180°</v>
      </c>
      <c r="D29" s="25">
        <f>'4637'!D22</f>
        <v>1550</v>
      </c>
      <c r="E29" s="25">
        <f>'4637'!E22</f>
        <v>572</v>
      </c>
      <c r="F29" s="25" t="str">
        <f>'4637'!F22</f>
        <v>GRIS NUBE 2189 MT F6</v>
      </c>
      <c r="G29" s="1"/>
      <c r="J29">
        <v>50</v>
      </c>
    </row>
    <row r="30" spans="1:13" ht="15.6" x14ac:dyDescent="0.3">
      <c r="A30" s="96"/>
      <c r="B30" s="25">
        <f>'4637'!B23</f>
        <v>1</v>
      </c>
      <c r="C30" s="110" t="str">
        <f>'4637'!C23</f>
        <v>RESPALDOS</v>
      </c>
      <c r="D30" s="25">
        <f>'4637'!D23</f>
        <v>600</v>
      </c>
      <c r="E30" s="25">
        <f>'4637'!E23</f>
        <v>70</v>
      </c>
      <c r="F30" s="25" t="str">
        <f>'4637'!F23</f>
        <v>GRIS NUBE 2189 MT F6</v>
      </c>
      <c r="G30" s="1"/>
    </row>
    <row r="31" spans="1:13" ht="15.6" x14ac:dyDescent="0.3">
      <c r="A31" s="96"/>
      <c r="B31" s="6"/>
      <c r="C31" s="102"/>
      <c r="D31" s="6"/>
      <c r="E31" s="6"/>
      <c r="F31" s="6"/>
      <c r="G31" s="1"/>
    </row>
    <row r="32" spans="1:13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7327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RIOCA LTDA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45974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6" t="s">
        <v>68</v>
      </c>
      <c r="B47" s="126"/>
      <c r="C47" s="126"/>
      <c r="D47" s="126"/>
      <c r="E47" s="126"/>
      <c r="F47" s="126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7" t="s">
        <v>69</v>
      </c>
      <c r="C49" s="128"/>
      <c r="D49" s="129"/>
      <c r="E49" s="129"/>
      <c r="F49" s="130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'4637'!B22</f>
        <v>1</v>
      </c>
      <c r="C51" s="109" t="str">
        <f>'4637'!C22</f>
        <v>CUB C/R 180°</v>
      </c>
      <c r="D51" s="39">
        <f>'4637'!D22</f>
        <v>1550</v>
      </c>
      <c r="E51" s="39">
        <f>'4637'!E22</f>
        <v>572</v>
      </c>
      <c r="F51" s="38" t="str">
        <f>'4637'!F22</f>
        <v>GRIS NUBE 2189 MT F6</v>
      </c>
      <c r="G51" s="1"/>
    </row>
    <row r="52" spans="1:7" s="15" customFormat="1" ht="15" customHeight="1" x14ac:dyDescent="0.3">
      <c r="A52" s="96"/>
      <c r="B52" s="38">
        <f>'4637'!B23</f>
        <v>1</v>
      </c>
      <c r="C52" s="109" t="str">
        <f>'4637'!C23</f>
        <v>RESPALDOS</v>
      </c>
      <c r="D52" s="39">
        <f>'4637'!D23</f>
        <v>600</v>
      </c>
      <c r="E52" s="39">
        <f>'4637'!E23</f>
        <v>70</v>
      </c>
      <c r="F52" s="38" t="str">
        <f>'4637'!F23</f>
        <v>GRIS NUBE 2189 MT F6</v>
      </c>
      <c r="G52" s="1"/>
    </row>
    <row r="53" spans="1:7" s="15" customFormat="1" ht="15" customHeight="1" x14ac:dyDescent="0.3">
      <c r="A53" s="96"/>
      <c r="B53" s="52"/>
      <c r="C53" s="108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2025-11-20T11:19:45Z</cp:lastPrinted>
  <dcterms:created xsi:type="dcterms:W3CDTF">2013-03-19T12:54:14Z</dcterms:created>
  <dcterms:modified xsi:type="dcterms:W3CDTF">2025-11-20T11:21:32Z</dcterms:modified>
</cp:coreProperties>
</file>