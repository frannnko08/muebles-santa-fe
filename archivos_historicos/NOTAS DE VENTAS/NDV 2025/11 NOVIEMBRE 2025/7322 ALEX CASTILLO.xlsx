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9C2A3A2B-7A9F-43F7-84CB-03B89E8AA8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CUBIERTA!$A$2:$F$36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50" i="3"/>
  <c r="C50" i="3"/>
  <c r="D50" i="3"/>
  <c r="E50" i="3"/>
  <c r="F50" i="3"/>
  <c r="J22" i="3" l="1"/>
  <c r="D22" i="3" s="1"/>
  <c r="K14" i="3"/>
  <c r="E14" i="3" s="1"/>
  <c r="B22" i="3"/>
  <c r="I14" i="3"/>
  <c r="B14" i="3" s="1"/>
  <c r="F22" i="3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<sst xmlns="http://schemas.openxmlformats.org/spreadsheetml/2006/main" count="244" uniqueCount="142">
  <si>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</si>
  <si>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</si>
  <si>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</si>
  <si>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</si>
  <si>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</si>
  <si>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</si>
  <si>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</si>
  <si>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</si>
  <si>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</si>
  <si>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</si>
  <si>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</si>
  <si>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</si>
  <si>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</si>
  <si>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</si>
  <si>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</si>
  <si>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</si>
  <si>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</si>
  <si>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</si>
  <si>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</si>
  <si>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</si>
  <si>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</si>
  <si>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</si>
  <si>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</si>
  <si>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</si>
  <si>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</si>
  <si>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</si>
  <si>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</si>
  <si>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</si>
  <si>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</si>
  <si>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</si>
  <si>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</si>
  <si>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</si>
  <si>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</si>
  <si>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</si>
  <si>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</si>
  <si>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</si>
  <si>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</si>
  <si>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</si>
  <si>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</si>
  <si>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</si>
  <si>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</si>
  <si>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</si>
  <si>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</si>
  <si>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</si>
  <si>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</si>
  <si>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</si>
  <si>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</si>
  <si>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</si>
  <si>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</si>
  <si>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</si>
  <si>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</si>
  <si>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</si>
  <si>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</si>
  <si>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</si>
  <si>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</si>
  <si>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</si>
  <si>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</si>
  <si>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</si>
  <si>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</si>
  <si>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</si>
  <si>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</si>
  <si>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</si>
  <si>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</si>
  <si>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</si>
  <si>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</si>
  <si>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</si>
  <si>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</si>
  <si>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</si>
  <si>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</si>
  <si>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</si>
  <si>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</si>
  <si>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</si>
  <si>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</si>
  <si>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</si>
  <si>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</si>
  <si>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</si>
  <si>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</si>
  <si>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</si>
  <si>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</si>
  <si>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</si>
  <si>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</si>
  <si>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</si>
  <si>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</si>
  <si>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</si>
  <si>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</si>
  <si>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</si>
  <si>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</si>
  <si>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</si>
  <si>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</si>
  <si>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</si>
  <si>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</si>
  <si>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</si>
  <si>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</si>
  <si>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</si>
  <si>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</si>
  <si>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</si>
  <si>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</si>
  <si>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</si>
  <si>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</si>
  <si>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</si>
  <si>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</si>
  <si>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</si>
  <si>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</si>
  <si>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</si>
  <si>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</si>
  <si>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</si>
  <si>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</si>
  <si>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</si>
  <si>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</si>
  <si>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</si>
  <si>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</si>
  <si>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</si>
  <si>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</si>
  <si>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</si>
  <si>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</si>
  <si>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</si>
  <si>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</si>
  <si>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</si>
  <si>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</si>
  <si>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</si>
  <si>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</si>
  <si>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</si>
  <si>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</si>
  <si>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</si>
  <si>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</si>
  <si>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</si>
  <si>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</si>
  <si>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</si>
  <si>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</si>
  <si>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</si>
  <si>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</si>
  <si>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</si>
  <si>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</si>
  <si>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</si>
  <si>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</si>
  <si>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</si>
  <si>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CUB C/R 90° R8</t>
  </si>
  <si>
    <t xml:space="preserve">N° </t>
  </si>
  <si>
    <t>ALEX CASTILLO</t>
  </si>
  <si>
    <t>5699251 1218</t>
  </si>
  <si>
    <t>SANTIAGO</t>
  </si>
  <si>
    <t>WHITE MARBLE 42004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</si>
</sst>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 applyAlignment="1">
      <alignment horizontal="left" vertical="top"/>
    </xf>
    <xf numFmtId="1" fontId="15" fillId="0" borderId="2" xfId="0" applyNumberFormat="1" applyFont="1" applyBorder="1" applyAlignment="1">
      <alignment horizontal="left" vertical="center" indent="2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$ 60.000.-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4F0C7E-E010-49DA-9ED2-014D410D9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2</xdr:row>
      <xdr:rowOff>7620</xdr:rowOff>
    </xdr:from>
    <xdr:to>
      <xdr:col>2</xdr:col>
      <xdr:colOff>2108527</xdr:colOff>
      <xdr:row>5</xdr:row>
      <xdr:rowOff>99131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A66C1F0-3810-48DC-A00D-9058FF570B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264920" y="40386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.332031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7322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45967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/>
      <c r="H11" s="62"/>
      <c r="I11" s="1"/>
    </row>
    <row r="12" spans="1:17" ht="15.6" x14ac:dyDescent="0.3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9" t="s">
        <v>139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140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4</v>
      </c>
      <c r="C21" s="101" t="s">
        <v>136</v>
      </c>
      <c r="D21" s="110">
        <v>1300</v>
      </c>
      <c r="E21" s="110">
        <v>480</v>
      </c>
      <c r="F21" s="101" t="s">
        <v>141</v>
      </c>
      <c r="G21" s="102">
        <v>25210</v>
      </c>
      <c r="H21" s="102">
        <f>G21*B21</f>
        <v>100840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</row>
    <row r="23" spans="1:16" ht="18" customHeight="1" thickBot="1" x14ac:dyDescent="0.35">
      <c r="A23" s="1"/>
      <c r="B23" s="103"/>
      <c r="C23" s="103"/>
      <c r="D23" s="104"/>
      <c r="E23" s="104"/>
      <c r="F23" s="103"/>
      <c r="G23" s="105"/>
      <c r="H23" s="106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100840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19159.599999999999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119999.6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zoomScaleNormal="100" workbookViewId="0">
      <selection activeCell="A2" sqref="A2:F3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7322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ALEX CASTILLO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4</v>
      </c>
      <c r="C14" s="25"/>
      <c r="D14" s="25">
        <f t="shared" ref="D14" si="1">J14+D$13</f>
        <v>1380</v>
      </c>
      <c r="E14" s="35">
        <f>K14+E$13</f>
        <v>450</v>
      </c>
      <c r="F14" s="99" t="str">
        <f>C28</f>
        <v>CUB C/R 90° R8</v>
      </c>
      <c r="G14" s="1"/>
      <c r="I14" s="3">
        <f>I22</f>
        <v>4</v>
      </c>
      <c r="J14" s="4">
        <f>D28</f>
        <v>1300</v>
      </c>
      <c r="K14" s="4">
        <f>E28</f>
        <v>480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100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4</v>
      </c>
      <c r="C22" s="16"/>
      <c r="D22" s="16">
        <f>J22+D$21</f>
        <v>1400</v>
      </c>
      <c r="E22" s="16">
        <f>K22+E$21</f>
        <v>610</v>
      </c>
      <c r="F22" s="100" t="str">
        <f>C28</f>
        <v>CUB C/R 90° R8</v>
      </c>
      <c r="G22" s="1"/>
      <c r="I22" s="3">
        <f>B28</f>
        <v>4</v>
      </c>
      <c r="J22" s="4">
        <f t="shared" ref="J22:K22" si="3">D28</f>
        <v>1300</v>
      </c>
      <c r="K22" s="4">
        <f t="shared" si="3"/>
        <v>480</v>
      </c>
    </row>
    <row r="23" spans="1:11" ht="15.6" x14ac:dyDescent="0.3">
      <c r="A23" s="96"/>
      <c r="B23" s="6"/>
      <c r="C23" s="6"/>
      <c r="D23" s="6"/>
      <c r="E23" s="6"/>
      <c r="F23" s="108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133</v>
      </c>
      <c r="B28" s="25">
        <f>'4637'!B21</f>
        <v>4</v>
      </c>
      <c r="C28" s="99" t="str">
        <f>'4637'!C21</f>
        <v>CUB C/R 90° R8</v>
      </c>
      <c r="D28" s="25">
        <f>'4637'!D21</f>
        <v>1300</v>
      </c>
      <c r="E28" s="25">
        <f>'4637'!E21</f>
        <v>480</v>
      </c>
      <c r="F28" s="25" t="str">
        <f>'4637'!F21</f>
        <v>WHITE MARBLE 42004 GL</v>
      </c>
      <c r="G28" s="1"/>
    </row>
    <row r="29" spans="1:11" ht="15.6" x14ac:dyDescent="0.3">
      <c r="A29" s="96"/>
      <c r="B29" s="6"/>
      <c r="C29" s="108"/>
      <c r="D29" s="6"/>
      <c r="E29" s="6"/>
      <c r="F29" s="6"/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7322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ALEX CASTILLO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0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9" t="s">
        <v>68</v>
      </c>
      <c r="B46" s="119"/>
      <c r="C46" s="119"/>
      <c r="D46" s="119"/>
      <c r="E46" s="119"/>
      <c r="F46" s="119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0" t="s">
        <v>69</v>
      </c>
      <c r="C48" s="121"/>
      <c r="D48" s="122"/>
      <c r="E48" s="122"/>
      <c r="F48" s="123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/>
      <c r="B50" s="38">
        <f>'4637'!B21</f>
        <v>4</v>
      </c>
      <c r="C50" s="98" t="str">
        <f>'4637'!C21</f>
        <v>CUB C/R 90° R8</v>
      </c>
      <c r="D50" s="39">
        <f>'4637'!D21</f>
        <v>1300</v>
      </c>
      <c r="E50" s="39">
        <f>'4637'!E21</f>
        <v>480</v>
      </c>
      <c r="F50" s="38" t="str">
        <f>'4637'!F21</f>
        <v>WHITE MARBLE 42004 GL</v>
      </c>
      <c r="G50" s="1"/>
    </row>
    <row r="51" spans="1:7" s="15" customFormat="1" ht="15" customHeight="1" x14ac:dyDescent="0.3">
      <c r="A51" s="96"/>
      <c r="B51" s="52"/>
      <c r="C51" s="107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2025-11-06T13:23:16Z</cp:lastPrinted>
  <dcterms:created xsi:type="dcterms:W3CDTF">2013-03-19T12:54:14Z</dcterms:created>
  <dcterms:modified xsi:type="dcterms:W3CDTF">2025-11-06T13:23:34Z</dcterms:modified>
</cp:coreProperties>
</file>