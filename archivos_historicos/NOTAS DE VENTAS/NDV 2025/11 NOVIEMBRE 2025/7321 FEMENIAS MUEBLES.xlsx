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1 NOVIEMBRE 2025\"/>
    </mc:Choice>
  </mc:AlternateContent>
  <xr:revisionPtr revIDLastSave="0" documentId="13_ncr:1_{AE4A7EB7-DACF-4C59-9E7C-51D3C809BE3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CUBIERTA!$A$38:$F$62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s="1"/>
  <c r="B28" i="3"/>
  <c r="I22" i="3" s="1"/>
  <c r="C28" i="3"/>
  <c r="F14" i="3" s="1"/>
  <c r="D28" i="3"/>
  <c r="J14" i="3" s="1"/>
  <c r="D14" i="3" s="1"/>
  <c r="E28" i="3"/>
  <c r="K22" i="3" s="1"/>
  <c r="E22" i="3" s="1"/>
  <c r="F28" i="3"/>
  <c r="B50" i="3"/>
  <c r="C50" i="3"/>
  <c r="D50" i="3"/>
  <c r="E50" i="3"/>
  <c r="F50" i="3"/>
  <c r="J22" i="3" l="1"/>
  <c r="D22" i="3" s="1"/>
  <c r="K14" i="3"/>
  <c r="E14" i="3" s="1"/>
  <c r="B22" i="3"/>
  <c r="I14" i="3"/>
  <c r="B14" i="3" s="1"/>
  <c r="F22" i="3"/>
  <c r="H25" i="4" l="1"/>
  <c r="H26" i="4" l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<sst xmlns="http://schemas.openxmlformats.org/spreadsheetml/2006/main" count="245" uniqueCount="143">
  <si>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</si>
  <si>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</si>
  <si>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</si>
  <si>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</si>
  <si>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</si>
  <si>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</si>
  <si>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</si>
  <si>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</si>
  <si>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</si>
  <si>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</si>
  <si>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</si>
  <si>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</si>
  <si>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</si>
  <si>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</si>
  <si>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</si>
  <si>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</si>
  <si>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</si>
  <si>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</si>
  <si>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</si>
  <si>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</si>
  <si>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</si>
  <si>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</si>
  <si>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</si>
  <si>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</si>
  <si>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</si>
  <si>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</si>
  <si>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</si>
  <si>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</si>
  <si>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</si>
  <si>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</si>
  <si>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</si>
  <si>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</si>
  <si>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</si>
  <si>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</si>
  <si>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</si>
  <si>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</si>
  <si>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</si>
  <si>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</si>
  <si>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</si>
  <si>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</si>
  <si>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</si>
  <si>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</si>
  <si>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</si>
  <si>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</si>
  <si>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</si>
  <si>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</si>
  <si>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</si>
  <si>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</si>
  <si>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</si>
  <si>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</si>
  <si>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</si>
  <si>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</si>
  <si>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</si>
  <si>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</si>
  <si>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</si>
  <si>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</si>
  <si>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</si>
  <si>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</si>
  <si>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</si>
  <si>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</si>
  <si>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</si>
  <si>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</si>
  <si>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</si>
  <si>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</si>
  <si>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</si>
  <si>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</si>
  <si>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</si>
  <si>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</si>
  <si>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</si>
  <si>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</si>
  <si>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</si>
  <si>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</si>
  <si>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</si>
  <si>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</si>
  <si>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</si>
  <si>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</si>
  <si>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</si>
  <si>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</si>
  <si>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</si>
  <si>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</si>
  <si>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</si>
  <si>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</si>
  <si>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</si>
  <si>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</si>
  <si>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</si>
  <si>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</si>
  <si>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</si>
  <si>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</si>
  <si>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</si>
  <si>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</si>
  <si>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</si>
  <si>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</si>
  <si>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</si>
  <si>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</si>
  <si>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</si>
  <si>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</si>
  <si>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</si>
  <si>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</si>
  <si>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</si>
  <si>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</si>
  <si>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</si>
  <si>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</si>
  <si>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</si>
  <si>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</si>
  <si>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</si>
  <si>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</si>
  <si>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</si>
  <si>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</si>
  <si>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</si>
  <si>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</si>
  <si>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</si>
  <si>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</si>
  <si>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</si>
  <si>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</si>
  <si>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</si>
  <si>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</si>
  <si>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</si>
  <si>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</si>
  <si>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</si>
  <si>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</si>
  <si>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</si>
  <si>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</si>
  <si>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</si>
  <si>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</si>
  <si>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</si>
  <si>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</si>
  <si>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</si>
  <si>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</si>
  <si>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</si>
  <si>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</si>
  <si>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</si>
  <si>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</si>
  <si>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CONTACTO:</t>
  </si>
  <si>
    <t>MDF18MM</t>
  </si>
  <si>
    <t>NO</t>
  </si>
  <si>
    <t>CONTADO</t>
  </si>
  <si>
    <t>FEMENIAS MUEBLES</t>
  </si>
  <si>
    <t>CHRISTIAN FEMENIAS</t>
  </si>
  <si>
    <t>5699727 8419</t>
  </si>
  <si>
    <t>VIÑA DEL MAR</t>
  </si>
  <si>
    <t>CUB C/R 90° R8</t>
  </si>
  <si>
    <t>MOUESE 2193 O SIMILAR</t>
  </si>
  <si>
    <t xml:space="preserve">N°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</si>
</sst>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quotePrefix="1" applyFont="1" applyAlignment="1">
      <alignment horizontal="left" vertical="top"/>
    </xf>
    <xf numFmtId="1" fontId="15" fillId="0" borderId="2" xfId="0" applyNumberFormat="1" applyFont="1" applyBorder="1" applyAlignment="1">
      <alignment horizontal="left" vertical="center" indent="2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255145</xdr:colOff>
      <xdr:row>5</xdr:row>
      <xdr:rowOff>96726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4F0C7E-E010-49DA-9ED2-014D410D9C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198120" y="198120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289560</xdr:colOff>
      <xdr:row>2</xdr:row>
      <xdr:rowOff>7620</xdr:rowOff>
    </xdr:from>
    <xdr:to>
      <xdr:col>2</xdr:col>
      <xdr:colOff>2108527</xdr:colOff>
      <xdr:row>5</xdr:row>
      <xdr:rowOff>99131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A66C1F0-3810-48DC-A00D-9058FF570B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264920" y="403860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190500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190500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190500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190500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190500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190500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55</xdr:row>
      <xdr:rowOff>32385</xdr:rowOff>
    </xdr:from>
    <xdr:to>
      <xdr:col>6</xdr:col>
      <xdr:colOff>19050</xdr:colOff>
      <xdr:row>59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801763</xdr:colOff>
      <xdr:row>44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workbookViewId="0">
      <selection activeCell="D13" sqref="D1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.33203125" customWidth="1"/>
    <col min="4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7321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136</v>
      </c>
      <c r="D10" s="55"/>
      <c r="E10" s="55"/>
      <c r="F10" s="56" t="s">
        <v>28</v>
      </c>
      <c r="G10" s="57">
        <v>45959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/>
      <c r="H11" s="62"/>
      <c r="I11" s="1"/>
    </row>
    <row r="12" spans="1:17" ht="15.6" x14ac:dyDescent="0.3">
      <c r="A12" s="1"/>
      <c r="B12" s="63" t="s">
        <v>131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9" t="s">
        <v>138</v>
      </c>
      <c r="D14" s="66"/>
      <c r="E14" s="60"/>
      <c r="F14" s="60" t="s">
        <v>29</v>
      </c>
      <c r="G14" s="60" t="s">
        <v>134</v>
      </c>
      <c r="H14" s="62"/>
      <c r="I14" s="1"/>
    </row>
    <row r="15" spans="1:17" ht="15.6" x14ac:dyDescent="0.3">
      <c r="A15" s="1"/>
      <c r="B15" s="63" t="s">
        <v>1</v>
      </c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139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1">
        <v>1</v>
      </c>
      <c r="C21" s="101" t="s">
        <v>140</v>
      </c>
      <c r="D21" s="110">
        <v>860</v>
      </c>
      <c r="E21" s="110">
        <v>520</v>
      </c>
      <c r="F21" s="101" t="s">
        <v>141</v>
      </c>
      <c r="G21" s="102">
        <v>35900</v>
      </c>
      <c r="H21" s="102">
        <f>G21*B21</f>
        <v>35900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3"/>
      <c r="C22" s="103"/>
      <c r="D22" s="104"/>
      <c r="E22" s="104"/>
      <c r="F22" s="103"/>
      <c r="G22" s="75"/>
      <c r="H22" s="75"/>
      <c r="I22" s="1"/>
    </row>
    <row r="23" spans="1:16" ht="18" customHeight="1" thickBot="1" x14ac:dyDescent="0.35">
      <c r="A23" s="1"/>
      <c r="B23" s="103"/>
      <c r="C23" s="103"/>
      <c r="D23" s="104"/>
      <c r="E23" s="104"/>
      <c r="F23" s="103"/>
      <c r="G23" s="105"/>
      <c r="H23" s="106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SUM(H21:H21)</f>
        <v>35900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6821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42721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7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3"/>
  <sheetViews>
    <sheetView tabSelected="1" topLeftCell="A26" zoomScaleNormal="100" workbookViewId="0">
      <selection activeCell="A38" sqref="A38:F62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7321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FEMENIAS MUEBLES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940</v>
      </c>
      <c r="E14" s="35">
        <f>K14+E$13</f>
        <v>490</v>
      </c>
      <c r="F14" s="99" t="str">
        <f>C28</f>
        <v>CUB C/R 90° R8</v>
      </c>
      <c r="G14" s="1"/>
      <c r="I14" s="3">
        <f>I22</f>
        <v>1</v>
      </c>
      <c r="J14" s="4">
        <f>D28</f>
        <v>860</v>
      </c>
      <c r="K14" s="4">
        <f>E28</f>
        <v>520</v>
      </c>
    </row>
    <row r="15" spans="1:14" ht="15.6" x14ac:dyDescent="0.3">
      <c r="A15" s="96"/>
      <c r="B15" s="6"/>
      <c r="C15" s="6"/>
      <c r="D15" s="6"/>
      <c r="E15" s="89"/>
      <c r="F15" s="108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9" t="s">
        <v>14</v>
      </c>
      <c r="B18" s="119"/>
      <c r="C18" s="119"/>
      <c r="D18" s="119"/>
      <c r="E18" s="119"/>
      <c r="F18" s="119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100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2">I22</f>
        <v>1</v>
      </c>
      <c r="C22" s="16"/>
      <c r="D22" s="16">
        <f>J22+D$21</f>
        <v>960</v>
      </c>
      <c r="E22" s="16">
        <f>K22+E$21</f>
        <v>650</v>
      </c>
      <c r="F22" s="100" t="str">
        <f>C28</f>
        <v>CUB C/R 90° R8</v>
      </c>
      <c r="G22" s="1"/>
      <c r="I22" s="3">
        <f>B28</f>
        <v>1</v>
      </c>
      <c r="J22" s="4">
        <f t="shared" ref="J22:K22" si="3">D28</f>
        <v>860</v>
      </c>
      <c r="K22" s="4">
        <f t="shared" si="3"/>
        <v>520</v>
      </c>
    </row>
    <row r="23" spans="1:11" ht="15.6" x14ac:dyDescent="0.3">
      <c r="A23" s="96"/>
      <c r="B23" s="6"/>
      <c r="C23" s="6"/>
      <c r="D23" s="6"/>
      <c r="E23" s="6"/>
      <c r="F23" s="108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133</v>
      </c>
      <c r="B28" s="25">
        <f>'4637'!B21</f>
        <v>1</v>
      </c>
      <c r="C28" s="99" t="str">
        <f>'4637'!C21</f>
        <v>CUB C/R 90° R8</v>
      </c>
      <c r="D28" s="25">
        <f>'4637'!D21</f>
        <v>860</v>
      </c>
      <c r="E28" s="25">
        <f>'4637'!E21</f>
        <v>520</v>
      </c>
      <c r="F28" s="25" t="str">
        <f>'4637'!F21</f>
        <v>MOUESE 2193 O SIMILAR</v>
      </c>
      <c r="G28" s="1"/>
    </row>
    <row r="29" spans="1:11" ht="15.6" x14ac:dyDescent="0.3">
      <c r="A29" s="96"/>
      <c r="B29" s="6"/>
      <c r="C29" s="108"/>
      <c r="D29" s="6"/>
      <c r="E29" s="6"/>
      <c r="F29" s="6"/>
      <c r="G29" s="1"/>
    </row>
    <row r="30" spans="1:11" ht="15.6" x14ac:dyDescent="0.3">
      <c r="A30" s="52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7321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FEMENIAS MUEBLES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0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19" t="s">
        <v>68</v>
      </c>
      <c r="B46" s="119"/>
      <c r="C46" s="119"/>
      <c r="D46" s="119"/>
      <c r="E46" s="119"/>
      <c r="F46" s="119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20" t="s">
        <v>69</v>
      </c>
      <c r="C48" s="121"/>
      <c r="D48" s="122"/>
      <c r="E48" s="122"/>
      <c r="F48" s="123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6"/>
      <c r="B50" s="38">
        <f>'4637'!B21</f>
        <v>1</v>
      </c>
      <c r="C50" s="98" t="str">
        <f>'4637'!C21</f>
        <v>CUB C/R 90° R8</v>
      </c>
      <c r="D50" s="39">
        <f>'4637'!D21</f>
        <v>860</v>
      </c>
      <c r="E50" s="39">
        <f>'4637'!E21</f>
        <v>520</v>
      </c>
      <c r="F50" s="38" t="str">
        <f>'4637'!F21</f>
        <v>MOUESE 2193 O SIMILAR</v>
      </c>
      <c r="G50" s="1"/>
    </row>
    <row r="51" spans="1:7" s="15" customFormat="1" ht="15" customHeight="1" x14ac:dyDescent="0.3">
      <c r="A51" s="96"/>
      <c r="B51" s="52"/>
      <c r="C51" s="107"/>
      <c r="D51" s="52"/>
      <c r="E51" s="52"/>
      <c r="F51" s="52"/>
      <c r="G51" s="1"/>
    </row>
    <row r="52" spans="1:7" s="15" customFormat="1" ht="15" customHeight="1" x14ac:dyDescent="0.3">
      <c r="A52" s="50"/>
      <c r="B52" s="52"/>
      <c r="C52" s="52"/>
      <c r="D52" s="52"/>
      <c r="E52" s="52"/>
      <c r="F52" s="52"/>
      <c r="G52" s="1"/>
    </row>
    <row r="53" spans="1:7" ht="15.6" x14ac:dyDescent="0.3">
      <c r="A53" s="6"/>
      <c r="B53" s="6"/>
      <c r="C53" s="1"/>
      <c r="D53" s="6"/>
      <c r="E53" s="6"/>
      <c r="F53" s="44"/>
      <c r="G53" s="1"/>
    </row>
    <row r="54" spans="1:7" ht="15.6" x14ac:dyDescent="0.3">
      <c r="A54" s="6"/>
      <c r="B54" s="6"/>
      <c r="C54" s="1"/>
      <c r="D54" s="6"/>
      <c r="E54" s="6"/>
      <c r="F54" s="6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" customHeight="1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6"/>
      <c r="B60" s="5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x14ac:dyDescent="0.3">
      <c r="B62" s="20"/>
      <c r="C62" s="20"/>
      <c r="D62" s="20"/>
      <c r="E62" s="20"/>
      <c r="F62" s="20"/>
    </row>
    <row r="63" spans="1:7" x14ac:dyDescent="0.3">
      <c r="B63" s="20"/>
      <c r="C63" s="20"/>
      <c r="E63" s="20"/>
      <c r="F63" s="20"/>
    </row>
  </sheetData>
  <mergeCells count="6">
    <mergeCell ref="M3:N3"/>
    <mergeCell ref="A18:F18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2025-11-04T14:20:19Z</cp:lastPrinted>
  <dcterms:created xsi:type="dcterms:W3CDTF">2013-03-19T12:54:14Z</dcterms:created>
  <dcterms:modified xsi:type="dcterms:W3CDTF">2025-11-04T14:20:31Z</dcterms:modified>
</cp:coreProperties>
</file>