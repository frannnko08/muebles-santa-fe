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11 NOVIEMBRE 2025\"/>
    </mc:Choice>
  </mc:AlternateContent>
  <xr:revisionPtr revIDLastSave="0" documentId="13_ncr:1_{59FA18A9-09B0-486F-AA29-0AB67610B50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2" i="4" l="1"/>
  <c r="B27" i="3" l="1"/>
  <c r="I21" i="3" s="1"/>
  <c r="I14" i="3" s="1"/>
  <c r="C27" i="3"/>
  <c r="F14" i="3" s="1"/>
  <c r="D27" i="3"/>
  <c r="J21" i="3" s="1"/>
  <c r="D21" i="3" s="1"/>
  <c r="E27" i="3"/>
  <c r="K21" i="3" s="1"/>
  <c r="E21" i="3" s="1"/>
  <c r="F27" i="3"/>
  <c r="B48" i="3"/>
  <c r="C48" i="3"/>
  <c r="D48" i="3"/>
  <c r="E48" i="3"/>
  <c r="F48" i="3"/>
  <c r="H25" i="4"/>
  <c r="J14" i="3" l="1"/>
  <c r="D14" i="3" s="1"/>
  <c r="K14" i="3"/>
  <c r="E14" i="3" s="1"/>
  <c r="B21" i="3"/>
  <c r="B14" i="3"/>
  <c r="F21" i="3"/>
  <c r="H26" i="4" l="1"/>
  <c r="H27" i="4" l="1"/>
  <c r="N5" i="3" l="1"/>
  <c r="M5" i="3" l="1"/>
  <c r="L5" i="3"/>
  <c r="K5" i="3"/>
  <c r="C41" i="3" l="1"/>
  <c r="C7" i="3"/>
  <c r="D39" i="3"/>
  <c r="D5" i="3"/>
  <c r="D41" i="3"/>
  <c r="D7" i="3"/>
  <c r="D38" i="3"/>
  <c r="D4" i="3"/>
</calcChain>
</file>

<file path=xl/sharedStrings.xml><?xml version="1.0" encoding="utf-8"?>
<sst xmlns="http://schemas.openxmlformats.org/spreadsheetml/2006/main" count="247" uniqueCount="146">
  <si>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</si>
  <si>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</si>
  <si>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</si>
  <si>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</si>
  <si>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</si>
  <si>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</si>
  <si>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</si>
  <si>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</si>
  <si>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</si>
  <si>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</si>
  <si>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</si>
  <si>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</si>
  <si>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</si>
  <si>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</si>
  <si>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</si>
  <si>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</si>
  <si>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</si>
  <si>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</si>
  <si>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</si>
  <si>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</si>
  <si>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</si>
  <si>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</si>
  <si>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</si>
  <si>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</si>
  <si>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</si>
  <si>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</si>
  <si>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</si>
  <si>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</si>
  <si>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</si>
  <si>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</si>
  <si>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</si>
  <si>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</si>
  <si>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</si>
  <si>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</si>
  <si>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</si>
  <si>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</si>
  <si>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</si>
  <si>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</si>
  <si>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</si>
  <si>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</si>
  <si>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</si>
  <si>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</si>
  <si>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</si>
  <si>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</si>
  <si>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</si>
  <si>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</si>
  <si>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</si>
  <si>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</si>
  <si>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</si>
  <si>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</si>
  <si>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</si>
  <si>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</si>
  <si>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</si>
  <si>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</si>
  <si>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</si>
  <si>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</si>
  <si>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</si>
  <si>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</si>
  <si>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</si>
  <si>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</si>
  <si>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</si>
  <si>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</si>
  <si>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</si>
  <si>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</si>
  <si>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</si>
  <si>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</si>
  <si>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</si>
  <si>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</si>
  <si>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</si>
  <si>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</si>
  <si>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</si>
  <si>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</si>
  <si>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</si>
  <si>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</si>
  <si>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</si>
  <si>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</si>
  <si>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</si>
  <si>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</si>
  <si>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</si>
  <si>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</si>
  <si>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</si>
  <si>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</si>
  <si>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</si>
  <si>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</si>
  <si>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</si>
  <si>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</si>
  <si>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</si>
  <si>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</si>
  <si>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</si>
  <si>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</si>
  <si>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</si>
  <si>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</si>
  <si>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</si>
  <si>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</si>
  <si>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</si>
  <si>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</si>
  <si>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</si>
  <si>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</si>
  <si>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</si>
  <si>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</si>
  <si>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</si>
  <si>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</si>
  <si>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</si>
  <si>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</si>
  <si>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</si>
  <si>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</si>
  <si>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</si>
  <si>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</si>
  <si>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</si>
  <si>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</si>
  <si>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</si>
  <si>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</si>
  <si>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</si>
  <si>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</si>
  <si>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</si>
  <si>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</si>
  <si>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</si>
  <si>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</si>
  <si>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</si>
  <si>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</si>
  <si>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</si>
  <si>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</si>
  <si>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</si>
  <si>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</si>
  <si>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</si>
  <si>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</si>
  <si>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</si>
  <si>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</si>
  <si>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</si>
  <si>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SANTIAGO</t>
  </si>
  <si>
    <t>CONTACTO:</t>
  </si>
  <si>
    <t>MDF18MM</t>
  </si>
  <si>
    <t>CORREO:</t>
  </si>
  <si>
    <t>OBRA:</t>
  </si>
  <si>
    <t xml:space="preserve">CUENTA CORRIENTE BANCO SANATNDER N° 87316181 A NOMBRE DE </t>
  </si>
  <si>
    <t>"MUEBLES SANTA FE SPA." - RUT : 77.054.606-0, CORREO: FRANCODONOSO@TOPMOBILI.CL</t>
  </si>
  <si>
    <t>CONTADO</t>
  </si>
  <si>
    <t>N° 11758</t>
  </si>
  <si>
    <t>ESMAP SPA</t>
  </si>
  <si>
    <t>77.318.848-3</t>
  </si>
  <si>
    <t>FABRICACION DE MUEBLES</t>
  </si>
  <si>
    <t>ESTEBAN TRILLAS</t>
  </si>
  <si>
    <t>+569 8668 2413</t>
  </si>
  <si>
    <t>7328R</t>
  </si>
  <si>
    <t>CUB C/R R12</t>
  </si>
  <si>
    <t>MARMORE CARRARA PP-5859 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</si>
</sst>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00"/>
    <numFmt numFmtId="166" formatCode="_-* #,##0_-;\-* #,##0_-;_-* &quot;-&quot;??_-;_-@_-"/>
  </numFmts>
  <fonts count="2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Segoe UI"/>
      <family val="2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132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14" fontId="11" fillId="0" borderId="0" xfId="0" applyNumberFormat="1" applyFont="1" applyAlignment="1">
      <alignment horizontal="left" indent="1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0" fontId="5" fillId="3" borderId="4" xfId="0" applyFont="1" applyFill="1" applyBorder="1"/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3" fillId="3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166" fontId="1" fillId="0" borderId="0" xfId="1" applyNumberFormat="1" applyFont="1" applyFill="1" applyBorder="1"/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15" fillId="0" borderId="2" xfId="0" applyNumberFormat="1" applyFont="1" applyBorder="1" applyAlignment="1">
      <alignment horizontal="center" vertical="center"/>
    </xf>
    <xf numFmtId="0" fontId="17" fillId="3" borderId="0" xfId="0" applyFont="1" applyFill="1"/>
    <xf numFmtId="0" fontId="6" fillId="3" borderId="0" xfId="2" applyFill="1"/>
    <xf numFmtId="0" fontId="19" fillId="0" borderId="9" xfId="2" applyFont="1" applyFill="1" applyBorder="1" applyAlignment="1">
      <alignment horizontal="left"/>
    </xf>
    <xf numFmtId="0" fontId="20" fillId="3" borderId="0" xfId="0" applyFont="1" applyFill="1"/>
    <xf numFmtId="0" fontId="16" fillId="0" borderId="0" xfId="0" applyFont="1" applyAlignment="1">
      <alignment horizontal="center"/>
    </xf>
    <xf numFmtId="0" fontId="21" fillId="0" borderId="18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7" fillId="0" borderId="0" xfId="0" applyFont="1"/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165" fontId="15" fillId="0" borderId="0" xfId="0" applyNumberFormat="1" applyFont="1" applyAlignment="1">
      <alignment horizontal="center" vertical="center"/>
    </xf>
    <xf numFmtId="0" fontId="23" fillId="3" borderId="0" xfId="0" applyFont="1" applyFill="1"/>
    <xf numFmtId="0" fontId="18" fillId="0" borderId="0" xfId="0" quotePrefix="1" applyFont="1"/>
    <xf numFmtId="0" fontId="22" fillId="0" borderId="2" xfId="0" applyFont="1" applyBorder="1" applyAlignment="1">
      <alignment horizontal="center" vertical="center"/>
    </xf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  <xf numFmtId="0" fontId="24" fillId="0" borderId="2" xfId="0" applyFont="1" applyBorder="1" applyAlignment="1">
      <alignment horizontal="center" vertical="center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179070</xdr:colOff>
      <xdr:row>24</xdr:row>
      <xdr:rowOff>9525</xdr:rowOff>
    </xdr:from>
    <xdr:to>
      <xdr:col>5</xdr:col>
      <xdr:colOff>1360170</xdr:colOff>
      <xdr:row>28</xdr:row>
      <xdr:rowOff>47625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79070" y="7789545"/>
          <a:ext cx="5295900" cy="8382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 $70.000.-</a:t>
          </a:r>
          <a:endParaRPr lang="es-CL" sz="900" b="1" i="1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895350</xdr:colOff>
      <xdr:row>5</xdr:row>
      <xdr:rowOff>47625</xdr:rowOff>
    </xdr:from>
    <xdr:to>
      <xdr:col>5</xdr:col>
      <xdr:colOff>1666875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790700" y="1066800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15</xdr:row>
      <xdr:rowOff>76200</xdr:rowOff>
    </xdr:from>
    <xdr:to>
      <xdr:col>5</xdr:col>
      <xdr:colOff>1676399</xdr:colOff>
      <xdr:row>17</xdr:row>
      <xdr:rowOff>19050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1514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1695449</xdr:colOff>
      <xdr:row>10</xdr:row>
      <xdr:rowOff>19050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3419475"/>
          <a:ext cx="6991349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42</xdr:row>
      <xdr:rowOff>171450</xdr:rowOff>
    </xdr:from>
    <xdr:to>
      <xdr:col>5</xdr:col>
      <xdr:colOff>1685924</xdr:colOff>
      <xdr:row>44</xdr:row>
      <xdr:rowOff>19050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277350"/>
          <a:ext cx="6810374" cy="2286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40</xdr:row>
      <xdr:rowOff>0</xdr:rowOff>
    </xdr:from>
    <xdr:to>
      <xdr:col>6</xdr:col>
      <xdr:colOff>0</xdr:colOff>
      <xdr:row>41</xdr:row>
      <xdr:rowOff>0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743075" y="1047750"/>
          <a:ext cx="5162550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38</xdr:row>
      <xdr:rowOff>38100</xdr:rowOff>
    </xdr:from>
    <xdr:to>
      <xdr:col>6</xdr:col>
      <xdr:colOff>0</xdr:colOff>
      <xdr:row>39</xdr:row>
      <xdr:rowOff>19050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743075" y="800100"/>
          <a:ext cx="5162550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37</xdr:row>
      <xdr:rowOff>0</xdr:rowOff>
    </xdr:from>
    <xdr:to>
      <xdr:col>6</xdr:col>
      <xdr:colOff>0</xdr:colOff>
      <xdr:row>38</xdr:row>
      <xdr:rowOff>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743075" y="571500"/>
          <a:ext cx="5162550" cy="19050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50</xdr:row>
      <xdr:rowOff>0</xdr:rowOff>
    </xdr:from>
    <xdr:to>
      <xdr:col>2</xdr:col>
      <xdr:colOff>38100</xdr:colOff>
      <xdr:row>51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50</xdr:row>
      <xdr:rowOff>0</xdr:rowOff>
    </xdr:from>
    <xdr:to>
      <xdr:col>2</xdr:col>
      <xdr:colOff>1019175</xdr:colOff>
      <xdr:row>50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0</xdr:rowOff>
    </xdr:from>
    <xdr:to>
      <xdr:col>3</xdr:col>
      <xdr:colOff>352425</xdr:colOff>
      <xdr:row>51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0</xdr:rowOff>
    </xdr:from>
    <xdr:to>
      <xdr:col>4</xdr:col>
      <xdr:colOff>257175</xdr:colOff>
      <xdr:row>51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0</xdr:rowOff>
    </xdr:from>
    <xdr:to>
      <xdr:col>5</xdr:col>
      <xdr:colOff>447675</xdr:colOff>
      <xdr:row>50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0</xdr:rowOff>
    </xdr:from>
    <xdr:to>
      <xdr:col>6</xdr:col>
      <xdr:colOff>0</xdr:colOff>
      <xdr:row>50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50</xdr:row>
      <xdr:rowOff>190500</xdr:rowOff>
    </xdr:from>
    <xdr:to>
      <xdr:col>2</xdr:col>
      <xdr:colOff>304800</xdr:colOff>
      <xdr:row>52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50</xdr:row>
      <xdr:rowOff>190500</xdr:rowOff>
    </xdr:from>
    <xdr:to>
      <xdr:col>2</xdr:col>
      <xdr:colOff>1276350</xdr:colOff>
      <xdr:row>52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50</xdr:row>
      <xdr:rowOff>190500</xdr:rowOff>
    </xdr:from>
    <xdr:to>
      <xdr:col>3</xdr:col>
      <xdr:colOff>619125</xdr:colOff>
      <xdr:row>52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50</xdr:row>
      <xdr:rowOff>190500</xdr:rowOff>
    </xdr:from>
    <xdr:to>
      <xdr:col>4</xdr:col>
      <xdr:colOff>523875</xdr:colOff>
      <xdr:row>52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50</xdr:row>
      <xdr:rowOff>190500</xdr:rowOff>
    </xdr:from>
    <xdr:to>
      <xdr:col>5</xdr:col>
      <xdr:colOff>723900</xdr:colOff>
      <xdr:row>52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50</xdr:row>
      <xdr:rowOff>190500</xdr:rowOff>
    </xdr:from>
    <xdr:to>
      <xdr:col>6</xdr:col>
      <xdr:colOff>0</xdr:colOff>
      <xdr:row>52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29</xdr:row>
      <xdr:rowOff>15239</xdr:rowOff>
    </xdr:from>
    <xdr:to>
      <xdr:col>6</xdr:col>
      <xdr:colOff>68580</xdr:colOff>
      <xdr:row>33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473189"/>
          <a:ext cx="7820025" cy="84201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22</xdr:row>
      <xdr:rowOff>200025</xdr:rowOff>
    </xdr:from>
    <xdr:to>
      <xdr:col>6</xdr:col>
      <xdr:colOff>19049</xdr:colOff>
      <xdr:row>24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53</xdr:row>
      <xdr:rowOff>32385</xdr:rowOff>
    </xdr:from>
    <xdr:to>
      <xdr:col>6</xdr:col>
      <xdr:colOff>19050</xdr:colOff>
      <xdr:row>57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725805" y="11290935"/>
          <a:ext cx="7437120" cy="91059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36</xdr:row>
      <xdr:rowOff>41910</xdr:rowOff>
    </xdr:from>
    <xdr:to>
      <xdr:col>1</xdr:col>
      <xdr:colOff>801763</xdr:colOff>
      <xdr:row>42</xdr:row>
      <xdr:rowOff>137160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  <xdr:twoCellAnchor>
    <xdr:from>
      <xdr:col>1</xdr:col>
      <xdr:colOff>923925</xdr:colOff>
      <xdr:row>7</xdr:row>
      <xdr:rowOff>28575</xdr:rowOff>
    </xdr:from>
    <xdr:to>
      <xdr:col>6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3" workbookViewId="0">
      <selection activeCell="K16" sqref="K16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27.88671875" customWidth="1"/>
    <col min="4" max="5" width="9.109375" customWidth="1"/>
    <col min="6" max="6" width="27.44140625" customWidth="1"/>
    <col min="7" max="7" width="15.44140625" customWidth="1"/>
    <col min="8" max="8" width="13.21875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91" t="s">
        <v>16</v>
      </c>
      <c r="C8" s="92"/>
      <c r="D8" s="93" t="s">
        <v>137</v>
      </c>
      <c r="E8" s="1"/>
      <c r="F8" s="94" t="s">
        <v>27</v>
      </c>
      <c r="G8" s="95" t="s">
        <v>143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4" t="s">
        <v>127</v>
      </c>
      <c r="C10" s="86" t="s">
        <v>138</v>
      </c>
      <c r="D10" s="55"/>
      <c r="E10" s="55"/>
      <c r="F10" s="56" t="s">
        <v>28</v>
      </c>
      <c r="G10" s="57">
        <v>44163</v>
      </c>
      <c r="H10" s="58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9" t="s">
        <v>2</v>
      </c>
      <c r="C11" s="111" t="s">
        <v>139</v>
      </c>
      <c r="D11" s="60"/>
      <c r="E11" s="60"/>
      <c r="F11" s="60" t="s">
        <v>122</v>
      </c>
      <c r="G11" s="61">
        <v>45989</v>
      </c>
      <c r="H11" s="62"/>
      <c r="I11" s="1"/>
    </row>
    <row r="12" spans="1:17" ht="15.6" x14ac:dyDescent="0.3">
      <c r="A12" s="1"/>
      <c r="B12" s="63" t="s">
        <v>128</v>
      </c>
      <c r="C12" s="115" t="s">
        <v>140</v>
      </c>
      <c r="D12" s="43"/>
      <c r="E12" s="43"/>
      <c r="F12" s="43" t="s">
        <v>30</v>
      </c>
      <c r="G12" s="64"/>
      <c r="H12" s="65"/>
      <c r="I12" s="1"/>
    </row>
    <row r="13" spans="1:17" ht="15.6" x14ac:dyDescent="0.3">
      <c r="A13" s="1"/>
      <c r="B13" s="63" t="s">
        <v>130</v>
      </c>
      <c r="C13" t="s">
        <v>141</v>
      </c>
      <c r="D13" s="43"/>
      <c r="E13" s="43"/>
      <c r="F13" s="43" t="s">
        <v>126</v>
      </c>
      <c r="G13" s="64"/>
      <c r="H13" s="65"/>
      <c r="I13" s="1"/>
    </row>
    <row r="14" spans="1:17" ht="15.6" x14ac:dyDescent="0.3">
      <c r="A14" s="1"/>
      <c r="B14" s="63" t="s">
        <v>132</v>
      </c>
      <c r="C14" s="105"/>
      <c r="D14" s="43"/>
      <c r="E14" s="43"/>
      <c r="F14" s="43" t="s">
        <v>133</v>
      </c>
      <c r="G14" s="64"/>
      <c r="H14" s="65"/>
      <c r="I14" s="1"/>
    </row>
    <row r="15" spans="1:17" ht="15.6" x14ac:dyDescent="0.3">
      <c r="A15" s="1"/>
      <c r="B15" s="59" t="s">
        <v>17</v>
      </c>
      <c r="C15" s="116" t="s">
        <v>142</v>
      </c>
      <c r="D15" s="66"/>
      <c r="E15" s="60"/>
      <c r="F15" s="60" t="s">
        <v>29</v>
      </c>
      <c r="G15" s="60"/>
      <c r="H15" s="62"/>
      <c r="I15" s="1"/>
    </row>
    <row r="16" spans="1:17" ht="16.8" x14ac:dyDescent="0.4">
      <c r="A16" s="1"/>
      <c r="B16" s="63" t="s">
        <v>1</v>
      </c>
      <c r="C16" s="104"/>
      <c r="D16" s="43"/>
      <c r="E16" s="43"/>
      <c r="F16" s="67" t="s">
        <v>75</v>
      </c>
      <c r="G16" s="107" t="s">
        <v>136</v>
      </c>
      <c r="H16" s="65"/>
      <c r="I16" s="1"/>
    </row>
    <row r="17" spans="1:16" ht="16.2" thickBot="1" x14ac:dyDescent="0.35">
      <c r="A17" s="1"/>
      <c r="B17" s="68" t="s">
        <v>3</v>
      </c>
      <c r="C17" s="106" t="s">
        <v>129</v>
      </c>
      <c r="D17" s="69"/>
      <c r="E17" s="70"/>
      <c r="F17" s="118" t="s">
        <v>18</v>
      </c>
      <c r="G17" s="118"/>
      <c r="H17" s="119"/>
      <c r="I17" s="1"/>
    </row>
    <row r="18" spans="1:16" ht="15.6" x14ac:dyDescent="0.3">
      <c r="A18" s="1"/>
      <c r="B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"/>
      <c r="C19" s="1"/>
      <c r="D19" s="1"/>
      <c r="E19" s="1"/>
      <c r="F19" s="1"/>
      <c r="G19" s="1"/>
      <c r="H19" s="1"/>
      <c r="I19" s="1"/>
    </row>
    <row r="20" spans="1:16" ht="16.2" thickBot="1" x14ac:dyDescent="0.35">
      <c r="A20" s="1"/>
      <c r="B20" s="120" t="s">
        <v>19</v>
      </c>
      <c r="C20" s="121"/>
      <c r="D20" s="121"/>
      <c r="E20" s="121"/>
      <c r="F20" s="121"/>
      <c r="G20" s="121"/>
      <c r="H20" s="122"/>
      <c r="I20" s="1"/>
    </row>
    <row r="21" spans="1:16" ht="15.6" x14ac:dyDescent="0.3">
      <c r="A21" s="1"/>
      <c r="B21" s="71" t="s">
        <v>20</v>
      </c>
      <c r="C21" s="72" t="s">
        <v>21</v>
      </c>
      <c r="D21" s="72" t="s">
        <v>22</v>
      </c>
      <c r="E21" s="72" t="s">
        <v>8</v>
      </c>
      <c r="F21" s="73" t="s">
        <v>23</v>
      </c>
      <c r="G21" s="71" t="s">
        <v>24</v>
      </c>
      <c r="H21" s="73" t="s">
        <v>4</v>
      </c>
      <c r="I21" s="1"/>
    </row>
    <row r="22" spans="1:16" ht="18" customHeight="1" x14ac:dyDescent="0.3">
      <c r="A22" s="1"/>
      <c r="B22" s="100">
        <v>1</v>
      </c>
      <c r="C22" s="117" t="s">
        <v>144</v>
      </c>
      <c r="D22" s="103">
        <v>2040</v>
      </c>
      <c r="E22" s="103">
        <v>580</v>
      </c>
      <c r="F22" s="131" t="s">
        <v>145</v>
      </c>
      <c r="G22" s="101">
        <v>123982</v>
      </c>
      <c r="H22" s="101">
        <f>G22*B22</f>
        <v>123982</v>
      </c>
      <c r="I22" s="1"/>
      <c r="K22" s="17"/>
      <c r="L22" s="26"/>
      <c r="M22" s="17"/>
      <c r="N22" s="17"/>
      <c r="O22" s="26"/>
      <c r="P22" s="33"/>
    </row>
    <row r="23" spans="1:16" ht="18" customHeight="1" x14ac:dyDescent="0.3">
      <c r="A23" s="1"/>
      <c r="B23" s="112"/>
      <c r="C23" s="113"/>
      <c r="D23" s="114"/>
      <c r="E23" s="114"/>
      <c r="F23" s="112"/>
      <c r="G23" s="75"/>
      <c r="H23" s="7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4"/>
      <c r="C24" s="74"/>
      <c r="D24" s="74"/>
      <c r="E24" s="74"/>
      <c r="F24" s="74"/>
      <c r="G24" s="75"/>
      <c r="H24" s="75"/>
      <c r="I24" s="1"/>
    </row>
    <row r="25" spans="1:16" ht="15.6" x14ac:dyDescent="0.3">
      <c r="A25" s="1"/>
      <c r="B25" s="1"/>
      <c r="C25" s="1"/>
      <c r="D25" s="1"/>
      <c r="E25" s="1"/>
      <c r="F25" s="1"/>
      <c r="G25" s="76" t="s">
        <v>5</v>
      </c>
      <c r="H25" s="77">
        <f>SUM(H22:H24)</f>
        <v>123982</v>
      </c>
      <c r="I25" s="1"/>
    </row>
    <row r="26" spans="1:16" ht="15.6" x14ac:dyDescent="0.3">
      <c r="A26" s="1"/>
      <c r="B26" s="1"/>
      <c r="C26" s="1"/>
      <c r="D26" s="1"/>
      <c r="E26" s="1"/>
      <c r="F26" s="1"/>
      <c r="G26" s="78" t="s">
        <v>6</v>
      </c>
      <c r="H26" s="79">
        <f>H25*19%</f>
        <v>23556.58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80" t="s">
        <v>4</v>
      </c>
      <c r="H27" s="81">
        <f>H25+H26</f>
        <v>147538.58000000002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2"/>
      <c r="H28" s="97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2" t="s">
        <v>134</v>
      </c>
      <c r="C30" s="83"/>
      <c r="D30" s="84"/>
      <c r="E30" s="84"/>
      <c r="F30" s="74"/>
      <c r="G30" s="1"/>
      <c r="H30" s="1"/>
      <c r="I30" s="1"/>
    </row>
    <row r="31" spans="1:16" ht="15.6" x14ac:dyDescent="0.3">
      <c r="A31" s="1"/>
      <c r="B31" s="82" t="s">
        <v>135</v>
      </c>
      <c r="C31" s="83"/>
      <c r="D31" s="84"/>
      <c r="E31" s="84"/>
      <c r="F31" s="74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5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7:H17"/>
    <mergeCell ref="B20:H20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76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3" t="s">
        <v>31</v>
      </c>
      <c r="C2" s="123"/>
      <c r="D2" s="123"/>
      <c r="E2" s="18"/>
      <c r="G2" s="123" t="s">
        <v>70</v>
      </c>
      <c r="H2" s="123"/>
      <c r="I2" s="123"/>
      <c r="P2" s="124" t="s">
        <v>58</v>
      </c>
      <c r="Q2" s="124"/>
      <c r="R2" s="124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24" t="s">
        <v>58</v>
      </c>
      <c r="M8" s="124"/>
      <c r="N8" s="124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125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1"/>
  <sheetViews>
    <sheetView tabSelected="1" zoomScaleNormal="100" workbookViewId="0">
      <selection sqref="A1:F35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46.6640625" customWidth="1"/>
    <col min="4" max="4" width="13.77734375" customWidth="1"/>
    <col min="5" max="5" width="11" customWidth="1"/>
    <col min="6" max="6" width="38.2187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124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25" t="s">
        <v>61</v>
      </c>
      <c r="L3" s="125"/>
      <c r="M3" s="125" t="s">
        <v>14</v>
      </c>
      <c r="N3" s="125"/>
    </row>
    <row r="4" spans="1:14" ht="15.75" customHeight="1" x14ac:dyDescent="0.3">
      <c r="A4" s="1"/>
      <c r="B4" s="1"/>
      <c r="C4" s="40" t="s">
        <v>27</v>
      </c>
      <c r="D4" s="14" t="str">
        <f>'4637'!G8</f>
        <v>7328R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ESMAP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7" t="str">
        <f>'4637'!F11</f>
        <v>FECHA LIMITE :</v>
      </c>
      <c r="D7" s="13">
        <f>'4637'!G11</f>
        <v>45989</v>
      </c>
      <c r="E7" s="1"/>
      <c r="F7" s="1"/>
      <c r="G7" s="1"/>
    </row>
    <row r="8" spans="1:14" ht="15.6" x14ac:dyDescent="0.3">
      <c r="A8" s="1"/>
      <c r="B8" s="1"/>
      <c r="C8" s="53" t="s">
        <v>123</v>
      </c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26" t="s">
        <v>61</v>
      </c>
      <c r="B10" s="126"/>
      <c r="C10" s="126"/>
      <c r="D10" s="126"/>
      <c r="E10" s="126"/>
      <c r="F10" s="126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2" t="s">
        <v>7</v>
      </c>
      <c r="E12" s="52" t="s">
        <v>8</v>
      </c>
      <c r="F12" s="1"/>
      <c r="G12" s="1"/>
    </row>
    <row r="13" spans="1:14" ht="15.6" x14ac:dyDescent="0.3">
      <c r="A13" s="52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6" t="s">
        <v>131</v>
      </c>
      <c r="B14" s="25">
        <f t="shared" ref="B14" si="0">I14</f>
        <v>1</v>
      </c>
      <c r="C14" s="25"/>
      <c r="D14" s="25">
        <f>J14+D$13</f>
        <v>2120</v>
      </c>
      <c r="E14" s="35">
        <f>K14+E$13</f>
        <v>550</v>
      </c>
      <c r="F14" s="98" t="str">
        <f>C27</f>
        <v>CUB C/R R12</v>
      </c>
      <c r="G14" s="1"/>
      <c r="I14" s="3">
        <f>I21</f>
        <v>1</v>
      </c>
      <c r="J14" s="4">
        <f>J21</f>
        <v>2040</v>
      </c>
      <c r="K14" s="4">
        <f>E27</f>
        <v>580</v>
      </c>
    </row>
    <row r="15" spans="1:14" ht="15.6" x14ac:dyDescent="0.3">
      <c r="A15" s="52"/>
      <c r="B15" s="6"/>
      <c r="C15" s="6"/>
      <c r="D15" s="6"/>
      <c r="E15" s="89"/>
      <c r="F15" s="6"/>
      <c r="G15" s="1"/>
      <c r="I15" s="90"/>
      <c r="J15" s="2"/>
      <c r="K15" s="2"/>
    </row>
    <row r="16" spans="1:14" ht="6.75" customHeight="1" x14ac:dyDescent="0.3">
      <c r="A16" s="1"/>
      <c r="B16" s="1"/>
      <c r="C16" s="1"/>
      <c r="D16" s="1"/>
      <c r="E16" s="1"/>
      <c r="F16" s="1"/>
      <c r="G16" s="1"/>
    </row>
    <row r="17" spans="1:13" ht="15.6" x14ac:dyDescent="0.3">
      <c r="A17" s="126" t="s">
        <v>14</v>
      </c>
      <c r="B17" s="126"/>
      <c r="C17" s="126"/>
      <c r="D17" s="126"/>
      <c r="E17" s="126"/>
      <c r="F17" s="126"/>
      <c r="G17" s="1"/>
    </row>
    <row r="18" spans="1:13" ht="10.5" customHeight="1" x14ac:dyDescent="0.3">
      <c r="A18" s="1"/>
      <c r="B18" s="1"/>
      <c r="C18" s="12"/>
      <c r="D18" s="1"/>
      <c r="E18" s="1"/>
      <c r="F18" s="1"/>
      <c r="G18" s="1"/>
    </row>
    <row r="19" spans="1:13" ht="15.6" x14ac:dyDescent="0.3">
      <c r="A19" s="1"/>
      <c r="B19" s="1"/>
      <c r="C19" s="1"/>
      <c r="D19" s="52" t="s">
        <v>7</v>
      </c>
      <c r="E19" s="52" t="s">
        <v>8</v>
      </c>
      <c r="F19" s="1"/>
      <c r="G19" s="1"/>
    </row>
    <row r="20" spans="1:13" ht="15.6" x14ac:dyDescent="0.3">
      <c r="A20" s="52" t="s">
        <v>9</v>
      </c>
      <c r="B20" s="36" t="s">
        <v>10</v>
      </c>
      <c r="C20" s="36" t="s">
        <v>11</v>
      </c>
      <c r="D20" s="21">
        <v>40</v>
      </c>
      <c r="E20" s="21">
        <v>150</v>
      </c>
      <c r="F20" s="36" t="s">
        <v>110</v>
      </c>
      <c r="G20" s="1"/>
      <c r="J20" s="5" t="s">
        <v>7</v>
      </c>
      <c r="K20" s="5" t="s">
        <v>8</v>
      </c>
    </row>
    <row r="21" spans="1:13" ht="15.6" x14ac:dyDescent="0.3">
      <c r="A21" s="96"/>
      <c r="B21" s="16">
        <f t="shared" ref="B21" si="1">I21</f>
        <v>1</v>
      </c>
      <c r="C21" s="16"/>
      <c r="D21" s="16">
        <f>J21+D$20</f>
        <v>2080</v>
      </c>
      <c r="E21" s="16">
        <f>K21+E$20</f>
        <v>730</v>
      </c>
      <c r="F21" s="99" t="str">
        <f>C27</f>
        <v>CUB C/R R12</v>
      </c>
      <c r="G21" s="1"/>
      <c r="I21" s="3">
        <f>B27</f>
        <v>1</v>
      </c>
      <c r="J21" s="4">
        <f>D27</f>
        <v>2040</v>
      </c>
      <c r="K21" s="4">
        <f t="shared" ref="K21" si="2">E27</f>
        <v>580</v>
      </c>
      <c r="M21">
        <v>185</v>
      </c>
    </row>
    <row r="22" spans="1:13" ht="15.6" x14ac:dyDescent="0.3">
      <c r="A22" s="96"/>
      <c r="B22" s="6"/>
      <c r="C22" s="6"/>
      <c r="D22" s="6"/>
      <c r="E22" s="6"/>
      <c r="F22" s="102"/>
      <c r="G22" s="1"/>
      <c r="I22" s="90"/>
      <c r="J22" s="2"/>
      <c r="K22" s="2"/>
    </row>
    <row r="23" spans="1:13" ht="16.2" thickBot="1" x14ac:dyDescent="0.35">
      <c r="A23" s="52"/>
      <c r="B23" s="6"/>
      <c r="C23" s="6"/>
      <c r="D23" s="6"/>
      <c r="E23" s="6"/>
      <c r="F23" s="6"/>
      <c r="G23" s="1"/>
      <c r="I23" s="2"/>
      <c r="J23" s="2"/>
      <c r="K23" s="2"/>
    </row>
    <row r="24" spans="1:13" ht="16.2" thickBot="1" x14ac:dyDescent="0.35">
      <c r="A24" s="52"/>
      <c r="B24" s="22" t="s">
        <v>107</v>
      </c>
      <c r="C24" s="23"/>
      <c r="D24" s="23"/>
      <c r="E24" s="23"/>
      <c r="F24" s="24"/>
      <c r="G24" s="1"/>
      <c r="I24" s="2"/>
      <c r="J24" s="2"/>
      <c r="K24" s="2"/>
    </row>
    <row r="25" spans="1:13" ht="10.5" customHeight="1" x14ac:dyDescent="0.3">
      <c r="A25" s="1"/>
      <c r="B25" s="1"/>
      <c r="C25" s="1"/>
      <c r="D25" s="1"/>
      <c r="E25" s="1"/>
      <c r="F25" s="1"/>
      <c r="G25" s="1"/>
    </row>
    <row r="26" spans="1:13" ht="15.6" x14ac:dyDescent="0.3">
      <c r="A26" s="52" t="s">
        <v>9</v>
      </c>
      <c r="B26" s="88" t="s">
        <v>10</v>
      </c>
      <c r="C26" s="88" t="s">
        <v>110</v>
      </c>
      <c r="D26" s="88" t="s">
        <v>7</v>
      </c>
      <c r="E26" s="88" t="s">
        <v>8</v>
      </c>
      <c r="F26" s="88" t="s">
        <v>23</v>
      </c>
      <c r="G26" s="1"/>
      <c r="J26">
        <v>1060</v>
      </c>
    </row>
    <row r="27" spans="1:13" ht="15.6" x14ac:dyDescent="0.3">
      <c r="A27" s="96"/>
      <c r="B27" s="25">
        <f>'4637'!B22</f>
        <v>1</v>
      </c>
      <c r="C27" s="110" t="str">
        <f>'4637'!C22</f>
        <v>CUB C/R R12</v>
      </c>
      <c r="D27" s="25">
        <f>'4637'!D22</f>
        <v>2040</v>
      </c>
      <c r="E27" s="25">
        <f>'4637'!E22</f>
        <v>580</v>
      </c>
      <c r="F27" s="25" t="str">
        <f>'4637'!F22</f>
        <v>MARMORE CARRARA PP-5859 BR</v>
      </c>
      <c r="G27" s="1"/>
      <c r="J27">
        <v>50</v>
      </c>
    </row>
    <row r="28" spans="1:13" ht="15.6" x14ac:dyDescent="0.3">
      <c r="A28" s="96"/>
      <c r="B28" s="6"/>
      <c r="C28" s="102"/>
      <c r="D28" s="6"/>
      <c r="E28" s="6"/>
      <c r="F28" s="6"/>
      <c r="G28" s="1"/>
    </row>
    <row r="29" spans="1:13" ht="15.6" x14ac:dyDescent="0.3">
      <c r="A29" s="1"/>
      <c r="B29" s="6"/>
      <c r="C29" s="6"/>
      <c r="D29" s="6"/>
      <c r="E29" s="6"/>
      <c r="F29" s="6"/>
      <c r="G29" s="1"/>
    </row>
    <row r="30" spans="1:13" ht="15.6" x14ac:dyDescent="0.3">
      <c r="A30" s="1"/>
      <c r="B30" s="6"/>
      <c r="C30" s="6"/>
      <c r="D30" s="6"/>
      <c r="E30" s="6"/>
      <c r="F30" s="6"/>
      <c r="G30" s="1"/>
    </row>
    <row r="31" spans="1:13" ht="15.6" x14ac:dyDescent="0.3">
      <c r="A31" s="1"/>
      <c r="B31" s="6"/>
      <c r="C31" s="6"/>
      <c r="D31" s="6"/>
      <c r="E31" s="6"/>
      <c r="F31" s="6"/>
      <c r="G31" s="1"/>
    </row>
    <row r="32" spans="1:13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1"/>
      <c r="C37" s="1"/>
      <c r="D37" s="1"/>
      <c r="E37" s="1"/>
      <c r="F37" s="1"/>
      <c r="G37" s="1"/>
    </row>
    <row r="38" spans="1:7" ht="15.6" x14ac:dyDescent="0.3">
      <c r="A38" s="1"/>
      <c r="B38" s="1"/>
      <c r="C38" s="40" t="s">
        <v>27</v>
      </c>
      <c r="D38" s="14" t="str">
        <f>'4637'!G8</f>
        <v>7328R</v>
      </c>
      <c r="E38" s="1"/>
      <c r="F38" s="1"/>
      <c r="G38" s="1"/>
    </row>
    <row r="39" spans="1:7" ht="17.25" customHeight="1" x14ac:dyDescent="0.3">
      <c r="A39" s="1"/>
      <c r="B39" s="1"/>
      <c r="C39" s="41" t="s">
        <v>67</v>
      </c>
      <c r="D39" s="42" t="str">
        <f>'4637'!C10</f>
        <v>ESMAP SPA</v>
      </c>
      <c r="E39" s="43"/>
      <c r="F39" s="43"/>
      <c r="G39" s="1"/>
    </row>
    <row r="40" spans="1:7" ht="4.5" customHeight="1" x14ac:dyDescent="0.3">
      <c r="A40" s="1"/>
      <c r="B40" s="1"/>
      <c r="C40" s="44"/>
      <c r="D40" s="45"/>
      <c r="E40" s="1"/>
      <c r="F40" s="1"/>
      <c r="G40" s="1"/>
    </row>
    <row r="41" spans="1:7" ht="15.6" x14ac:dyDescent="0.3">
      <c r="A41" s="1"/>
      <c r="B41" s="1"/>
      <c r="C41" s="46" t="str">
        <f>'4637'!F11</f>
        <v>FECHA LIMITE :</v>
      </c>
      <c r="D41" s="13">
        <f>'4637'!G11</f>
        <v>45989</v>
      </c>
      <c r="E41" s="1"/>
      <c r="F41" s="1"/>
      <c r="G41" s="1"/>
    </row>
    <row r="42" spans="1:7" ht="15.6" x14ac:dyDescent="0.3">
      <c r="A42" s="1"/>
      <c r="B42" s="1"/>
      <c r="C42" s="1"/>
      <c r="D42" s="1"/>
      <c r="E42" s="1"/>
      <c r="F42" s="1"/>
      <c r="G42" s="1"/>
    </row>
    <row r="43" spans="1:7" ht="15.6" x14ac:dyDescent="0.3">
      <c r="A43" s="1"/>
      <c r="B43" s="1"/>
      <c r="C43" s="1"/>
      <c r="D43" s="1"/>
      <c r="E43" s="1"/>
      <c r="F43" s="1"/>
      <c r="G43" s="1"/>
    </row>
    <row r="44" spans="1:7" ht="15.6" x14ac:dyDescent="0.3">
      <c r="A44" s="126" t="s">
        <v>68</v>
      </c>
      <c r="B44" s="126"/>
      <c r="C44" s="126"/>
      <c r="D44" s="126"/>
      <c r="E44" s="126"/>
      <c r="F44" s="126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75" customHeight="1" x14ac:dyDescent="0.3">
      <c r="A46" s="1"/>
      <c r="B46" s="127" t="s">
        <v>69</v>
      </c>
      <c r="C46" s="128"/>
      <c r="D46" s="129"/>
      <c r="E46" s="129"/>
      <c r="F46" s="130"/>
      <c r="G46" s="1"/>
    </row>
    <row r="47" spans="1:7" s="15" customFormat="1" ht="12.75" customHeight="1" x14ac:dyDescent="0.3">
      <c r="A47" s="1"/>
      <c r="B47" s="36" t="s">
        <v>10</v>
      </c>
      <c r="C47" s="47" t="s">
        <v>11</v>
      </c>
      <c r="D47" s="48" t="s">
        <v>7</v>
      </c>
      <c r="E47" s="48" t="s">
        <v>8</v>
      </c>
      <c r="F47" s="49" t="s">
        <v>12</v>
      </c>
      <c r="G47" s="1"/>
    </row>
    <row r="48" spans="1:7" s="15" customFormat="1" ht="15" customHeight="1" x14ac:dyDescent="0.3">
      <c r="A48" s="96"/>
      <c r="B48" s="38">
        <f>'4637'!B22</f>
        <v>1</v>
      </c>
      <c r="C48" s="109" t="str">
        <f>'4637'!C22</f>
        <v>CUB C/R R12</v>
      </c>
      <c r="D48" s="39">
        <f>'4637'!D22</f>
        <v>2040</v>
      </c>
      <c r="E48" s="39">
        <f>'4637'!E22</f>
        <v>580</v>
      </c>
      <c r="F48" s="38" t="str">
        <f>'4637'!F22</f>
        <v>MARMORE CARRARA PP-5859 BR</v>
      </c>
      <c r="G48" s="1"/>
    </row>
    <row r="49" spans="1:7" s="15" customFormat="1" ht="15" customHeight="1" x14ac:dyDescent="0.3">
      <c r="A49" s="96"/>
      <c r="B49" s="52"/>
      <c r="C49" s="108"/>
      <c r="D49" s="52"/>
      <c r="E49" s="52"/>
      <c r="F49" s="52"/>
      <c r="G49" s="1"/>
    </row>
    <row r="50" spans="1:7" s="15" customFormat="1" ht="15" customHeight="1" x14ac:dyDescent="0.3">
      <c r="A50" s="50"/>
      <c r="B50" s="52"/>
      <c r="C50" s="52"/>
      <c r="D50" s="52"/>
      <c r="E50" s="52"/>
      <c r="F50" s="52"/>
      <c r="G50" s="1"/>
    </row>
    <row r="51" spans="1:7" ht="15.6" x14ac:dyDescent="0.3">
      <c r="A51" s="6"/>
      <c r="B51" s="6"/>
      <c r="C51" s="1"/>
      <c r="D51" s="6"/>
      <c r="E51" s="6"/>
      <c r="F51" s="44"/>
      <c r="G51" s="1"/>
    </row>
    <row r="52" spans="1:7" ht="15.6" x14ac:dyDescent="0.3">
      <c r="A52" s="6"/>
      <c r="B52" s="6"/>
      <c r="C52" s="1"/>
      <c r="D52" s="6"/>
      <c r="E52" s="6"/>
      <c r="F52" s="6"/>
      <c r="G52" s="1"/>
    </row>
    <row r="53" spans="1:7" ht="15.6" x14ac:dyDescent="0.3">
      <c r="A53" s="1"/>
      <c r="B53" s="1"/>
      <c r="C53" s="1"/>
      <c r="D53" s="1"/>
      <c r="E53" s="1"/>
      <c r="F53" s="1"/>
      <c r="G53" s="1"/>
    </row>
    <row r="54" spans="1:7" ht="15.6" x14ac:dyDescent="0.3">
      <c r="A54" s="1"/>
      <c r="B54" s="1"/>
      <c r="C54" s="1"/>
      <c r="D54" s="1"/>
      <c r="E54" s="1"/>
      <c r="F54" s="1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" customHeight="1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.6" x14ac:dyDescent="0.3">
      <c r="A58" s="6"/>
      <c r="B58" s="5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x14ac:dyDescent="0.3">
      <c r="B60" s="20"/>
      <c r="C60" s="20"/>
      <c r="D60" s="20"/>
      <c r="E60" s="20"/>
      <c r="F60" s="20"/>
    </row>
    <row r="61" spans="1:7" x14ac:dyDescent="0.3">
      <c r="B61" s="20"/>
      <c r="C61" s="20"/>
      <c r="E61" s="20"/>
      <c r="F61" s="20"/>
    </row>
  </sheetData>
  <mergeCells count="6">
    <mergeCell ref="M3:N3"/>
    <mergeCell ref="A17:F17"/>
    <mergeCell ref="A10:F10"/>
    <mergeCell ref="A44:F44"/>
    <mergeCell ref="B46:F46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67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2025-11-28T19:35:39Z</cp:lastPrinted>
  <dcterms:created xsi:type="dcterms:W3CDTF">2013-03-19T12:54:14Z</dcterms:created>
  <dcterms:modified xsi:type="dcterms:W3CDTF">2025-11-28T19:39:19Z</dcterms:modified>
</cp:coreProperties>
</file>