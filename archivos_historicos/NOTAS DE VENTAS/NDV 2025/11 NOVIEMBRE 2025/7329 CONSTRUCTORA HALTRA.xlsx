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11 NOVIEMBRE 2025\"/>
    </mc:Choice>
  </mc:AlternateContent>
  <xr:revisionPtr revIDLastSave="0" documentId="13_ncr:1_{92E065D3-31F3-4FD7-B4E7-78373E2B84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'4637'!$A$1:$I$49</definedName>
    <definedName name="_xlnm.Print_Area" localSheetId="2">CUBIERTA!$A$1:$G$63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3" l="1"/>
  <c r="D29" i="3"/>
  <c r="D30" i="3"/>
  <c r="D31" i="3"/>
  <c r="D32" i="3"/>
  <c r="D33" i="3"/>
  <c r="E28" i="3"/>
  <c r="E29" i="3"/>
  <c r="E30" i="3"/>
  <c r="E31" i="3"/>
  <c r="E32" i="3"/>
  <c r="E33" i="3"/>
  <c r="E60" i="3"/>
  <c r="E59" i="3"/>
  <c r="E61" i="3"/>
  <c r="E57" i="3"/>
  <c r="E54" i="3"/>
  <c r="E55" i="3"/>
  <c r="B81" i="3" l="1"/>
  <c r="J56" i="3" s="1"/>
  <c r="B56" i="3" s="1"/>
  <c r="C81" i="3"/>
  <c r="G28" i="3" s="1"/>
  <c r="D81" i="3"/>
  <c r="K56" i="3" s="1"/>
  <c r="D56" i="3" s="1"/>
  <c r="E81" i="3"/>
  <c r="L56" i="3" s="1"/>
  <c r="E56" i="3" s="1"/>
  <c r="G81" i="3"/>
  <c r="B121" i="3"/>
  <c r="C121" i="3"/>
  <c r="D121" i="3"/>
  <c r="E121" i="3"/>
  <c r="F121" i="3"/>
  <c r="F81" i="3" s="1"/>
  <c r="G121" i="3"/>
  <c r="B15" i="3"/>
  <c r="B69" i="3"/>
  <c r="B44" i="3" s="1"/>
  <c r="C69" i="3"/>
  <c r="G44" i="3" s="1"/>
  <c r="D69" i="3"/>
  <c r="K44" i="3" s="1"/>
  <c r="D44" i="3" s="1"/>
  <c r="E69" i="3"/>
  <c r="L44" i="3" s="1"/>
  <c r="E44" i="3" s="1"/>
  <c r="G69" i="3"/>
  <c r="B70" i="3"/>
  <c r="J45" i="3" s="1"/>
  <c r="B45" i="3" s="1"/>
  <c r="C70" i="3"/>
  <c r="G45" i="3" s="1"/>
  <c r="D70" i="3"/>
  <c r="K45" i="3" s="1"/>
  <c r="K16" i="3" s="1"/>
  <c r="E70" i="3"/>
  <c r="L45" i="3" s="1"/>
  <c r="G70" i="3"/>
  <c r="B71" i="3"/>
  <c r="J46" i="3" s="1"/>
  <c r="B46" i="3" s="1"/>
  <c r="C71" i="3"/>
  <c r="G46" i="3" s="1"/>
  <c r="D71" i="3"/>
  <c r="K46" i="3" s="1"/>
  <c r="D46" i="3" s="1"/>
  <c r="E71" i="3"/>
  <c r="L46" i="3" s="1"/>
  <c r="E46" i="3" s="1"/>
  <c r="G71" i="3"/>
  <c r="B72" i="3"/>
  <c r="J47" i="3" s="1"/>
  <c r="B47" i="3" s="1"/>
  <c r="C72" i="3"/>
  <c r="G47" i="3" s="1"/>
  <c r="D72" i="3"/>
  <c r="K47" i="3" s="1"/>
  <c r="D47" i="3" s="1"/>
  <c r="E72" i="3"/>
  <c r="L47" i="3" s="1"/>
  <c r="E47" i="3" s="1"/>
  <c r="G72" i="3"/>
  <c r="B73" i="3"/>
  <c r="J48" i="3" s="1"/>
  <c r="B48" i="3" s="1"/>
  <c r="C73" i="3"/>
  <c r="G48" i="3" s="1"/>
  <c r="D73" i="3"/>
  <c r="K48" i="3" s="1"/>
  <c r="D48" i="3" s="1"/>
  <c r="E73" i="3"/>
  <c r="L48" i="3" s="1"/>
  <c r="E48" i="3" s="1"/>
  <c r="G73" i="3"/>
  <c r="B74" i="3"/>
  <c r="J49" i="3" s="1"/>
  <c r="B49" i="3" s="1"/>
  <c r="C74" i="3"/>
  <c r="G49" i="3" s="1"/>
  <c r="D74" i="3"/>
  <c r="K49" i="3" s="1"/>
  <c r="D49" i="3" s="1"/>
  <c r="E74" i="3"/>
  <c r="L49" i="3" s="1"/>
  <c r="E49" i="3" s="1"/>
  <c r="G74" i="3"/>
  <c r="B75" i="3"/>
  <c r="J50" i="3" s="1"/>
  <c r="B50" i="3" s="1"/>
  <c r="C75" i="3"/>
  <c r="G50" i="3" s="1"/>
  <c r="D75" i="3"/>
  <c r="K50" i="3" s="1"/>
  <c r="D50" i="3" s="1"/>
  <c r="E75" i="3"/>
  <c r="L50" i="3" s="1"/>
  <c r="E50" i="3" s="1"/>
  <c r="G75" i="3"/>
  <c r="B76" i="3"/>
  <c r="J51" i="3" s="1"/>
  <c r="B51" i="3" s="1"/>
  <c r="C76" i="3"/>
  <c r="G51" i="3" s="1"/>
  <c r="D76" i="3"/>
  <c r="K51" i="3" s="1"/>
  <c r="D51" i="3" s="1"/>
  <c r="E76" i="3"/>
  <c r="L51" i="3" s="1"/>
  <c r="E51" i="3" s="1"/>
  <c r="G76" i="3"/>
  <c r="B77" i="3"/>
  <c r="J52" i="3" s="1"/>
  <c r="B52" i="3" s="1"/>
  <c r="C77" i="3"/>
  <c r="G52" i="3" s="1"/>
  <c r="D77" i="3"/>
  <c r="K52" i="3" s="1"/>
  <c r="D52" i="3" s="1"/>
  <c r="E77" i="3"/>
  <c r="L52" i="3" s="1"/>
  <c r="E52" i="3" s="1"/>
  <c r="G77" i="3"/>
  <c r="B78" i="3"/>
  <c r="J53" i="3" s="1"/>
  <c r="B53" i="3" s="1"/>
  <c r="C78" i="3"/>
  <c r="G53" i="3" s="1"/>
  <c r="D78" i="3"/>
  <c r="K53" i="3" s="1"/>
  <c r="D53" i="3" s="1"/>
  <c r="E78" i="3"/>
  <c r="L53" i="3" s="1"/>
  <c r="E53" i="3" s="1"/>
  <c r="G78" i="3"/>
  <c r="B79" i="3"/>
  <c r="J54" i="3" s="1"/>
  <c r="B54" i="3" s="1"/>
  <c r="C79" i="3"/>
  <c r="G54" i="3" s="1"/>
  <c r="D79" i="3"/>
  <c r="K54" i="3" s="1"/>
  <c r="D54" i="3" s="1"/>
  <c r="E79" i="3"/>
  <c r="L54" i="3" s="1"/>
  <c r="G79" i="3"/>
  <c r="B80" i="3"/>
  <c r="J55" i="3" s="1"/>
  <c r="B55" i="3" s="1"/>
  <c r="C80" i="3"/>
  <c r="G55" i="3" s="1"/>
  <c r="D80" i="3"/>
  <c r="K55" i="3" s="1"/>
  <c r="D55" i="3" s="1"/>
  <c r="E80" i="3"/>
  <c r="L55" i="3" s="1"/>
  <c r="G80" i="3"/>
  <c r="B82" i="3"/>
  <c r="J57" i="3" s="1"/>
  <c r="B57" i="3" s="1"/>
  <c r="C82" i="3"/>
  <c r="G57" i="3" s="1"/>
  <c r="D82" i="3"/>
  <c r="K57" i="3" s="1"/>
  <c r="D57" i="3" s="1"/>
  <c r="E82" i="3"/>
  <c r="L57" i="3" s="1"/>
  <c r="G82" i="3"/>
  <c r="B83" i="3"/>
  <c r="J58" i="3" s="1"/>
  <c r="B58" i="3" s="1"/>
  <c r="C83" i="3"/>
  <c r="G58" i="3" s="1"/>
  <c r="D83" i="3"/>
  <c r="K58" i="3" s="1"/>
  <c r="D58" i="3" s="1"/>
  <c r="E83" i="3"/>
  <c r="L58" i="3" s="1"/>
  <c r="G83" i="3"/>
  <c r="B84" i="3"/>
  <c r="J59" i="3" s="1"/>
  <c r="B59" i="3" s="1"/>
  <c r="C84" i="3"/>
  <c r="G59" i="3" s="1"/>
  <c r="D84" i="3"/>
  <c r="K59" i="3" s="1"/>
  <c r="D59" i="3" s="1"/>
  <c r="E84" i="3"/>
  <c r="L59" i="3" s="1"/>
  <c r="G84" i="3"/>
  <c r="B85" i="3"/>
  <c r="J60" i="3" s="1"/>
  <c r="B60" i="3" s="1"/>
  <c r="C85" i="3"/>
  <c r="G60" i="3" s="1"/>
  <c r="D85" i="3"/>
  <c r="K60" i="3" s="1"/>
  <c r="D60" i="3" s="1"/>
  <c r="E85" i="3"/>
  <c r="L60" i="3" s="1"/>
  <c r="G85" i="3"/>
  <c r="B86" i="3"/>
  <c r="J61" i="3" s="1"/>
  <c r="B61" i="3" s="1"/>
  <c r="C86" i="3"/>
  <c r="G61" i="3" s="1"/>
  <c r="D86" i="3"/>
  <c r="K61" i="3" s="1"/>
  <c r="D61" i="3" s="1"/>
  <c r="E86" i="3"/>
  <c r="L61" i="3" s="1"/>
  <c r="G86" i="3"/>
  <c r="B87" i="3"/>
  <c r="J62" i="3" s="1"/>
  <c r="B62" i="3" s="1"/>
  <c r="C87" i="3"/>
  <c r="G62" i="3" s="1"/>
  <c r="D87" i="3"/>
  <c r="K62" i="3" s="1"/>
  <c r="D62" i="3" s="1"/>
  <c r="E87" i="3"/>
  <c r="L62" i="3" s="1"/>
  <c r="E62" i="3" s="1"/>
  <c r="G87" i="3"/>
  <c r="F110" i="3"/>
  <c r="F70" i="3" s="1"/>
  <c r="F111" i="3"/>
  <c r="F71" i="3" s="1"/>
  <c r="F112" i="3"/>
  <c r="F72" i="3" s="1"/>
  <c r="F113" i="3"/>
  <c r="F73" i="3" s="1"/>
  <c r="F114" i="3"/>
  <c r="F74" i="3" s="1"/>
  <c r="F115" i="3"/>
  <c r="F75" i="3" s="1"/>
  <c r="F116" i="3"/>
  <c r="F76" i="3" s="1"/>
  <c r="F117" i="3"/>
  <c r="F77" i="3" s="1"/>
  <c r="F118" i="3"/>
  <c r="F78" i="3" s="1"/>
  <c r="F119" i="3"/>
  <c r="F79" i="3" s="1"/>
  <c r="F120" i="3"/>
  <c r="F80" i="3" s="1"/>
  <c r="F122" i="3"/>
  <c r="F82" i="3" s="1"/>
  <c r="F123" i="3"/>
  <c r="F83" i="3" s="1"/>
  <c r="F124" i="3"/>
  <c r="F84" i="3" s="1"/>
  <c r="F125" i="3"/>
  <c r="F85" i="3" s="1"/>
  <c r="F126" i="3"/>
  <c r="F86" i="3" s="1"/>
  <c r="F127" i="3"/>
  <c r="F87" i="3" s="1"/>
  <c r="F108" i="3"/>
  <c r="F68" i="3" s="1"/>
  <c r="F109" i="3"/>
  <c r="F69" i="3" s="1"/>
  <c r="F107" i="3"/>
  <c r="F67" i="3" s="1"/>
  <c r="B126" i="3"/>
  <c r="C126" i="3"/>
  <c r="D126" i="3"/>
  <c r="E126" i="3"/>
  <c r="G126" i="3"/>
  <c r="B109" i="3"/>
  <c r="C109" i="3"/>
  <c r="D109" i="3"/>
  <c r="E109" i="3"/>
  <c r="G109" i="3"/>
  <c r="B110" i="3"/>
  <c r="C110" i="3"/>
  <c r="D110" i="3"/>
  <c r="E110" i="3"/>
  <c r="G110" i="3"/>
  <c r="B111" i="3"/>
  <c r="C111" i="3"/>
  <c r="D111" i="3"/>
  <c r="E111" i="3"/>
  <c r="G111" i="3"/>
  <c r="B112" i="3"/>
  <c r="C112" i="3"/>
  <c r="D112" i="3"/>
  <c r="E112" i="3"/>
  <c r="G112" i="3"/>
  <c r="B113" i="3"/>
  <c r="C113" i="3"/>
  <c r="D113" i="3"/>
  <c r="E113" i="3"/>
  <c r="G113" i="3"/>
  <c r="B114" i="3"/>
  <c r="C114" i="3"/>
  <c r="D114" i="3"/>
  <c r="E114" i="3"/>
  <c r="G114" i="3"/>
  <c r="B115" i="3"/>
  <c r="C115" i="3"/>
  <c r="D115" i="3"/>
  <c r="E115" i="3"/>
  <c r="G115" i="3"/>
  <c r="B116" i="3"/>
  <c r="C116" i="3"/>
  <c r="D116" i="3"/>
  <c r="E116" i="3"/>
  <c r="G116" i="3"/>
  <c r="B117" i="3"/>
  <c r="C117" i="3"/>
  <c r="D117" i="3"/>
  <c r="E117" i="3"/>
  <c r="G117" i="3"/>
  <c r="B118" i="3"/>
  <c r="C118" i="3"/>
  <c r="D118" i="3"/>
  <c r="E118" i="3"/>
  <c r="G118" i="3"/>
  <c r="B127" i="3"/>
  <c r="C127" i="3"/>
  <c r="D127" i="3"/>
  <c r="E127" i="3"/>
  <c r="G127" i="3"/>
  <c r="B119" i="3"/>
  <c r="C119" i="3"/>
  <c r="D119" i="3"/>
  <c r="E119" i="3"/>
  <c r="G119" i="3"/>
  <c r="B120" i="3"/>
  <c r="C120" i="3"/>
  <c r="D120" i="3"/>
  <c r="E120" i="3"/>
  <c r="G120" i="3"/>
  <c r="B122" i="3"/>
  <c r="C122" i="3"/>
  <c r="D122" i="3"/>
  <c r="E122" i="3"/>
  <c r="G122" i="3"/>
  <c r="B123" i="3"/>
  <c r="C123" i="3"/>
  <c r="D123" i="3"/>
  <c r="E123" i="3"/>
  <c r="G123" i="3"/>
  <c r="B124" i="3"/>
  <c r="C124" i="3"/>
  <c r="D124" i="3"/>
  <c r="E124" i="3"/>
  <c r="G124" i="3"/>
  <c r="B125" i="3"/>
  <c r="C125" i="3"/>
  <c r="D125" i="3"/>
  <c r="E125" i="3"/>
  <c r="G125" i="3"/>
  <c r="I22" i="4"/>
  <c r="L28" i="3" l="1"/>
  <c r="J28" i="3"/>
  <c r="B28" i="3" s="1"/>
  <c r="K28" i="3"/>
  <c r="G56" i="3"/>
  <c r="I70" i="3"/>
  <c r="K69" i="3"/>
  <c r="I79" i="3"/>
  <c r="I85" i="3"/>
  <c r="I71" i="3"/>
  <c r="I74" i="3"/>
  <c r="I78" i="3"/>
  <c r="I82" i="3"/>
  <c r="I86" i="3"/>
  <c r="K73" i="3"/>
  <c r="I80" i="3"/>
  <c r="I76" i="3"/>
  <c r="I84" i="3"/>
  <c r="I72" i="3"/>
  <c r="I69" i="3"/>
  <c r="I75" i="3"/>
  <c r="I77" i="3"/>
  <c r="I83" i="3"/>
  <c r="G29" i="3"/>
  <c r="J22" i="3"/>
  <c r="B22" i="3" s="1"/>
  <c r="G33" i="3"/>
  <c r="J26" i="3"/>
  <c r="B26" i="3" s="1"/>
  <c r="L19" i="3"/>
  <c r="E19" i="3" s="1"/>
  <c r="L15" i="3"/>
  <c r="E15" i="3" s="1"/>
  <c r="G32" i="3"/>
  <c r="J25" i="3"/>
  <c r="B25" i="3" s="1"/>
  <c r="K19" i="3"/>
  <c r="D19" i="3" s="1"/>
  <c r="K15" i="3"/>
  <c r="D15" i="3" s="1"/>
  <c r="J29" i="3"/>
  <c r="B29" i="3" s="1"/>
  <c r="K23" i="3"/>
  <c r="D23" i="3" s="1"/>
  <c r="L18" i="3"/>
  <c r="E18" i="3" s="1"/>
  <c r="K25" i="3"/>
  <c r="D25" i="3" s="1"/>
  <c r="J35" i="3"/>
  <c r="B35" i="3" s="1"/>
  <c r="J31" i="3"/>
  <c r="B31" i="3" s="1"/>
  <c r="L20" i="3"/>
  <c r="E20" i="3" s="1"/>
  <c r="J33" i="3"/>
  <c r="B33" i="3" s="1"/>
  <c r="J30" i="3"/>
  <c r="B30" i="3" s="1"/>
  <c r="K27" i="3"/>
  <c r="D27" i="3" s="1"/>
  <c r="K24" i="3"/>
  <c r="D24" i="3" s="1"/>
  <c r="K20" i="3"/>
  <c r="D20" i="3" s="1"/>
  <c r="L16" i="3"/>
  <c r="G35" i="3"/>
  <c r="J27" i="3"/>
  <c r="B27" i="3" s="1"/>
  <c r="J23" i="3"/>
  <c r="B23" i="3" s="1"/>
  <c r="K21" i="3"/>
  <c r="D21" i="3" s="1"/>
  <c r="L35" i="3"/>
  <c r="E35" i="3" s="1"/>
  <c r="L33" i="3"/>
  <c r="L32" i="3"/>
  <c r="L31" i="3"/>
  <c r="L30" i="3"/>
  <c r="L29" i="3"/>
  <c r="G27" i="3"/>
  <c r="G26" i="3"/>
  <c r="G25" i="3"/>
  <c r="G24" i="3"/>
  <c r="G23" i="3"/>
  <c r="G22" i="3"/>
  <c r="J21" i="3"/>
  <c r="B21" i="3" s="1"/>
  <c r="J20" i="3"/>
  <c r="B20" i="3" s="1"/>
  <c r="J19" i="3"/>
  <c r="B19" i="3" s="1"/>
  <c r="J18" i="3"/>
  <c r="B18" i="3" s="1"/>
  <c r="J16" i="3"/>
  <c r="B16" i="3" s="1"/>
  <c r="J32" i="3"/>
  <c r="B32" i="3" s="1"/>
  <c r="K26" i="3"/>
  <c r="D26" i="3" s="1"/>
  <c r="K22" i="3"/>
  <c r="D22" i="3" s="1"/>
  <c r="L21" i="3"/>
  <c r="E21" i="3" s="1"/>
  <c r="G31" i="3"/>
  <c r="G30" i="3"/>
  <c r="J24" i="3"/>
  <c r="B24" i="3" s="1"/>
  <c r="K18" i="3"/>
  <c r="D18" i="3" s="1"/>
  <c r="K35" i="3"/>
  <c r="D35" i="3" s="1"/>
  <c r="K33" i="3"/>
  <c r="K32" i="3"/>
  <c r="K31" i="3"/>
  <c r="K30" i="3"/>
  <c r="K29" i="3"/>
  <c r="L27" i="3"/>
  <c r="E27" i="3" s="1"/>
  <c r="L26" i="3"/>
  <c r="E26" i="3" s="1"/>
  <c r="L25" i="3"/>
  <c r="E25" i="3" s="1"/>
  <c r="L24" i="3"/>
  <c r="E24" i="3" s="1"/>
  <c r="L23" i="3"/>
  <c r="E23" i="3" s="1"/>
  <c r="L22" i="3"/>
  <c r="E22" i="3" s="1"/>
  <c r="G21" i="3"/>
  <c r="G20" i="3"/>
  <c r="G19" i="3"/>
  <c r="G18" i="3"/>
  <c r="G16" i="3"/>
  <c r="G15" i="3"/>
  <c r="B68" i="3"/>
  <c r="C68" i="3"/>
  <c r="G14" i="3" s="1"/>
  <c r="D68" i="3"/>
  <c r="K43" i="3" s="1"/>
  <c r="D43" i="3" s="1"/>
  <c r="E68" i="3"/>
  <c r="L43" i="3" s="1"/>
  <c r="G68" i="3"/>
  <c r="B108" i="3"/>
  <c r="C108" i="3"/>
  <c r="D108" i="3"/>
  <c r="E108" i="3"/>
  <c r="G108" i="3"/>
  <c r="I68" i="3" l="1"/>
  <c r="I88" i="3" s="1"/>
  <c r="K68" i="3"/>
  <c r="K88" i="3" s="1"/>
  <c r="K14" i="3"/>
  <c r="D14" i="3" s="1"/>
  <c r="L14" i="3"/>
  <c r="B43" i="3"/>
  <c r="B14" i="3"/>
  <c r="G43" i="3"/>
  <c r="I90" i="3" l="1"/>
  <c r="I91" i="3" s="1"/>
  <c r="I92" i="3" s="1"/>
  <c r="I93" i="3" s="1"/>
  <c r="O5" i="3" l="1"/>
  <c r="N5" i="3" l="1"/>
  <c r="M5" i="3"/>
  <c r="L5" i="3"/>
  <c r="C101" i="3" l="1"/>
  <c r="C7" i="3"/>
  <c r="D99" i="3"/>
  <c r="D5" i="3"/>
  <c r="D101" i="3"/>
  <c r="D7" i="3"/>
  <c r="D98" i="3"/>
  <c r="D4" i="3"/>
</calcChain>
</file>

<file path=xl/sharedStrings.xml><?xml version="1.0" encoding="utf-8"?>
<sst xmlns="http://schemas.openxmlformats.org/spreadsheetml/2006/main" count="320" uniqueCount="159">
  <si>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</si>
  <si>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</si>
  <si>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</si>
  <si>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</si>
  <si>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</si>
  <si>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</si>
  <si>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</si>
  <si>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</si>
  <si>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</si>
  <si>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</si>
  <si>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</si>
  <si>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</si>
  <si>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</si>
  <si>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</si>
  <si>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</si>
  <si>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</si>
  <si>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</si>
  <si>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</si>
  <si>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</si>
  <si>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</si>
  <si>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</si>
  <si>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</si>
  <si>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</si>
  <si>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</si>
  <si>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</si>
  <si>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</si>
  <si>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</si>
  <si>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</si>
  <si>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</si>
  <si>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</si>
  <si>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</si>
  <si>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</si>
  <si>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</si>
  <si>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</si>
  <si>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</si>
  <si>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</si>
  <si>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</si>
  <si>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</si>
  <si>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</si>
  <si>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</si>
  <si>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</si>
  <si>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</si>
  <si>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</si>
  <si>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</si>
  <si>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</si>
  <si>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</si>
  <si>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</si>
  <si>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</si>
  <si>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</si>
  <si>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</si>
  <si>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</si>
  <si>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</si>
  <si>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</si>
  <si>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</si>
  <si>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</si>
  <si>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</si>
  <si>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</si>
  <si>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</si>
  <si>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</si>
  <si>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</si>
  <si>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</si>
  <si>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</si>
  <si>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</si>
  <si>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</si>
  <si>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</si>
  <si>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</si>
  <si>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</si>
  <si>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</si>
  <si>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</si>
  <si>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</si>
  <si>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</si>
  <si>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</si>
  <si>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</si>
  <si>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</si>
  <si>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</si>
  <si>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</si>
  <si>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</si>
  <si>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</si>
  <si>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</si>
  <si>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</si>
  <si>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</si>
  <si>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</si>
  <si>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</si>
  <si>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</si>
  <si>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</si>
  <si>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</si>
  <si>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</si>
  <si>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</si>
  <si>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</si>
  <si>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</si>
  <si>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</si>
  <si>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</si>
  <si>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</si>
  <si>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</si>
  <si>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</si>
  <si>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</si>
  <si>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</si>
  <si>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</si>
  <si>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</si>
  <si>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</si>
  <si>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</si>
  <si>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</si>
  <si>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</si>
  <si>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</si>
  <si>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</si>
  <si>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</si>
  <si>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</si>
  <si>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</si>
  <si>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</si>
  <si>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</si>
  <si>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</si>
  <si>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</si>
  <si>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</si>
  <si>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</si>
  <si>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</si>
  <si>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</si>
  <si>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</si>
  <si>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</si>
  <si>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</si>
  <si>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</si>
  <si>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</si>
  <si>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</si>
  <si>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</si>
  <si>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</si>
  <si>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</si>
  <si>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</si>
  <si>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</si>
  <si>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</si>
  <si>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</si>
  <si>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</si>
  <si>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</si>
  <si>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MDF18MM</t>
  </si>
  <si>
    <t>CORREO:</t>
  </si>
  <si>
    <t>OBRA:</t>
  </si>
  <si>
    <t xml:space="preserve">CUENTA CORRIENTE BANCO SANATNDER N° 87316181 A NOMBRE DE </t>
  </si>
  <si>
    <t>"MUEBLES SANTA FE SPA." - RUT : 77.054.606-0, CORREO: FRANCODONOSO@TOPMOBILI.CL</t>
  </si>
  <si>
    <t>CONTADO</t>
  </si>
  <si>
    <t>N° 11758</t>
  </si>
  <si>
    <t>FABRICACION DE MUEBLES</t>
  </si>
  <si>
    <t>CONSTRUCTORA HALTRA</t>
  </si>
  <si>
    <t>77.641.901-3</t>
  </si>
  <si>
    <t>CRISTIAN SUAZO</t>
  </si>
  <si>
    <t>+569 9230 4650</t>
  </si>
  <si>
    <t>FASHION GREY 21371 SF</t>
  </si>
  <si>
    <t>SILVER LEGNO OAK 10879 SF</t>
  </si>
  <si>
    <t>CANTOS PVC</t>
  </si>
  <si>
    <t>2L 1A</t>
  </si>
  <si>
    <t>1L</t>
  </si>
  <si>
    <t>2L</t>
  </si>
  <si>
    <t>1A</t>
  </si>
  <si>
    <t>FRENTES</t>
  </si>
  <si>
    <t>MELAMIL 18MM</t>
  </si>
  <si>
    <t>MDF30MM</t>
  </si>
  <si>
    <t>CUB FRENTE RECTO 2 LADOS</t>
  </si>
  <si>
    <t>REGRUESO DE MELAMINA BLANCA</t>
  </si>
  <si>
    <t>FALDON</t>
  </si>
  <si>
    <t>E/R 2 CARAS MDF 30MM FRONTAL</t>
  </si>
  <si>
    <t>E/R 1 CARA MDF 30MM COSTADOS</t>
  </si>
  <si>
    <t xml:space="preserve">E/R 1 CARA MDF 18MM FALDON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</si>
</sst>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Segoe UI"/>
      <family val="2"/>
    </font>
    <font>
      <b/>
      <i/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/>
      <top/>
      <bottom style="thin">
        <color theme="1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36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16" fillId="3" borderId="0" xfId="0" applyFont="1" applyFill="1"/>
    <xf numFmtId="0" fontId="6" fillId="3" borderId="0" xfId="2" applyFill="1"/>
    <xf numFmtId="0" fontId="18" fillId="0" borderId="9" xfId="2" applyFont="1" applyFill="1" applyBorder="1" applyAlignment="1">
      <alignment horizontal="left"/>
    </xf>
    <xf numFmtId="0" fontId="19" fillId="3" borderId="0" xfId="0" applyFont="1" applyFill="1"/>
    <xf numFmtId="0" fontId="20" fillId="0" borderId="18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2" fillId="3" borderId="0" xfId="0" applyFont="1" applyFill="1"/>
    <xf numFmtId="0" fontId="17" fillId="0" borderId="0" xfId="0" quotePrefix="1" applyFont="1"/>
    <xf numFmtId="0" fontId="21" fillId="0" borderId="2" xfId="0" applyFont="1" applyBorder="1" applyAlignment="1">
      <alignment horizontal="center" vertical="center"/>
    </xf>
    <xf numFmtId="3" fontId="16" fillId="0" borderId="0" xfId="0" applyNumberFormat="1" applyFont="1" applyAlignment="1">
      <alignment horizontal="left"/>
    </xf>
    <xf numFmtId="0" fontId="0" fillId="0" borderId="2" xfId="0" applyBorder="1"/>
    <xf numFmtId="0" fontId="20" fillId="0" borderId="0" xfId="0" applyFont="1" applyAlignment="1">
      <alignment horizontal="center"/>
    </xf>
    <xf numFmtId="0" fontId="1" fillId="8" borderId="32" xfId="0" applyFont="1" applyFill="1" applyBorder="1" applyAlignment="1">
      <alignment horizontal="center" vertical="center" shrinkToFit="1"/>
    </xf>
    <xf numFmtId="0" fontId="9" fillId="0" borderId="1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23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3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18" xfId="0" applyBorder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125730</xdr:colOff>
      <xdr:row>46</xdr:row>
      <xdr:rowOff>55245</xdr:rowOff>
    </xdr:from>
    <xdr:to>
      <xdr:col>6</xdr:col>
      <xdr:colOff>1504950</xdr:colOff>
      <xdr:row>50</xdr:row>
      <xdr:rowOff>100965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23850" y="9549765"/>
          <a:ext cx="5318760" cy="8382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6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37</xdr:row>
      <xdr:rowOff>76200</xdr:rowOff>
    </xdr:from>
    <xdr:to>
      <xdr:col>6</xdr:col>
      <xdr:colOff>1676399</xdr:colOff>
      <xdr:row>39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6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102</xdr:row>
      <xdr:rowOff>171450</xdr:rowOff>
    </xdr:from>
    <xdr:to>
      <xdr:col>6</xdr:col>
      <xdr:colOff>1685924</xdr:colOff>
      <xdr:row>104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100</xdr:row>
      <xdr:rowOff>0</xdr:rowOff>
    </xdr:from>
    <xdr:to>
      <xdr:col>7</xdr:col>
      <xdr:colOff>0</xdr:colOff>
      <xdr:row>101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98</xdr:row>
      <xdr:rowOff>38100</xdr:rowOff>
    </xdr:from>
    <xdr:to>
      <xdr:col>7</xdr:col>
      <xdr:colOff>0</xdr:colOff>
      <xdr:row>99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97</xdr:row>
      <xdr:rowOff>0</xdr:rowOff>
    </xdr:from>
    <xdr:to>
      <xdr:col>7</xdr:col>
      <xdr:colOff>0</xdr:colOff>
      <xdr:row>98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129</xdr:row>
      <xdr:rowOff>0</xdr:rowOff>
    </xdr:from>
    <xdr:to>
      <xdr:col>2</xdr:col>
      <xdr:colOff>38100</xdr:colOff>
      <xdr:row>130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129</xdr:row>
      <xdr:rowOff>0</xdr:rowOff>
    </xdr:from>
    <xdr:to>
      <xdr:col>2</xdr:col>
      <xdr:colOff>1019175</xdr:colOff>
      <xdr:row>129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129</xdr:row>
      <xdr:rowOff>0</xdr:rowOff>
    </xdr:from>
    <xdr:to>
      <xdr:col>3</xdr:col>
      <xdr:colOff>352425</xdr:colOff>
      <xdr:row>130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129</xdr:row>
      <xdr:rowOff>0</xdr:rowOff>
    </xdr:from>
    <xdr:to>
      <xdr:col>4</xdr:col>
      <xdr:colOff>257175</xdr:colOff>
      <xdr:row>130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129</xdr:row>
      <xdr:rowOff>0</xdr:rowOff>
    </xdr:from>
    <xdr:to>
      <xdr:col>6</xdr:col>
      <xdr:colOff>447675</xdr:colOff>
      <xdr:row>129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129</xdr:row>
      <xdr:rowOff>0</xdr:rowOff>
    </xdr:from>
    <xdr:to>
      <xdr:col>7</xdr:col>
      <xdr:colOff>0</xdr:colOff>
      <xdr:row>129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129</xdr:row>
      <xdr:rowOff>190500</xdr:rowOff>
    </xdr:from>
    <xdr:to>
      <xdr:col>2</xdr:col>
      <xdr:colOff>304800</xdr:colOff>
      <xdr:row>131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129</xdr:row>
      <xdr:rowOff>190500</xdr:rowOff>
    </xdr:from>
    <xdr:to>
      <xdr:col>2</xdr:col>
      <xdr:colOff>1276350</xdr:colOff>
      <xdr:row>131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129</xdr:row>
      <xdr:rowOff>190500</xdr:rowOff>
    </xdr:from>
    <xdr:to>
      <xdr:col>3</xdr:col>
      <xdr:colOff>619125</xdr:colOff>
      <xdr:row>131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129</xdr:row>
      <xdr:rowOff>190500</xdr:rowOff>
    </xdr:from>
    <xdr:to>
      <xdr:col>4</xdr:col>
      <xdr:colOff>523875</xdr:colOff>
      <xdr:row>131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129</xdr:row>
      <xdr:rowOff>190500</xdr:rowOff>
    </xdr:from>
    <xdr:to>
      <xdr:col>6</xdr:col>
      <xdr:colOff>723900</xdr:colOff>
      <xdr:row>131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129</xdr:row>
      <xdr:rowOff>190500</xdr:rowOff>
    </xdr:from>
    <xdr:to>
      <xdr:col>7</xdr:col>
      <xdr:colOff>0</xdr:colOff>
      <xdr:row>131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89</xdr:row>
      <xdr:rowOff>15239</xdr:rowOff>
    </xdr:from>
    <xdr:to>
      <xdr:col>7</xdr:col>
      <xdr:colOff>68580</xdr:colOff>
      <xdr:row>93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SON PARA PROYECTO CON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INSTALACION, VAN ENCHAPADAS CON TAPACANTO PVC 0,45MM COLOR CARBON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63</xdr:row>
      <xdr:rowOff>200025</xdr:rowOff>
    </xdr:from>
    <xdr:to>
      <xdr:col>7</xdr:col>
      <xdr:colOff>19049</xdr:colOff>
      <xdr:row>65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132</xdr:row>
      <xdr:rowOff>32385</xdr:rowOff>
    </xdr:from>
    <xdr:to>
      <xdr:col>7</xdr:col>
      <xdr:colOff>19050</xdr:colOff>
      <xdr:row>136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 SON PARA PROYECTO HOSPITAL DE CARABINEROS, CANTOS VAN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ENCHAPADOS CON TAPACANTO PVC COLOR CARBON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96</xdr:row>
      <xdr:rowOff>41910</xdr:rowOff>
    </xdr:from>
    <xdr:to>
      <xdr:col>1</xdr:col>
      <xdr:colOff>801763</xdr:colOff>
      <xdr:row>102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55"/>
  <sheetViews>
    <sheetView tabSelected="1" workbookViewId="0">
      <selection activeCell="H9" sqref="H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88671875" customWidth="1"/>
    <col min="4" max="6" width="9.109375" customWidth="1"/>
    <col min="7" max="7" width="27.44140625" customWidth="1"/>
    <col min="8" max="8" width="15.44140625" customWidth="1"/>
    <col min="9" max="9" width="13.21875" customWidth="1"/>
  </cols>
  <sheetData>
    <row r="1" spans="1:18" ht="15.6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8" ht="15.6" x14ac:dyDescent="0.3">
      <c r="A2" s="1"/>
      <c r="B2" s="1"/>
      <c r="C2" s="1"/>
      <c r="D2" s="1"/>
      <c r="E2" s="1"/>
      <c r="F2" s="1"/>
      <c r="G2" s="7" t="s">
        <v>119</v>
      </c>
      <c r="H2" s="1"/>
      <c r="I2" s="1"/>
      <c r="J2" s="1"/>
    </row>
    <row r="3" spans="1:18" ht="15.6" x14ac:dyDescent="0.3">
      <c r="A3" s="1"/>
      <c r="B3" s="1"/>
      <c r="C3" s="1"/>
      <c r="D3" s="1"/>
      <c r="E3" s="1"/>
      <c r="F3" s="1"/>
      <c r="G3" s="1" t="s">
        <v>120</v>
      </c>
      <c r="H3" s="1"/>
      <c r="I3" s="1"/>
      <c r="J3" s="1"/>
    </row>
    <row r="4" spans="1:18" ht="15.6" x14ac:dyDescent="0.3">
      <c r="A4" s="1"/>
      <c r="B4" s="1"/>
      <c r="C4" s="1"/>
      <c r="D4" s="1"/>
      <c r="E4" s="1"/>
      <c r="F4" s="1"/>
      <c r="G4" s="1" t="s">
        <v>121</v>
      </c>
      <c r="H4" s="1"/>
      <c r="I4" s="1"/>
      <c r="J4" s="1"/>
    </row>
    <row r="5" spans="1:18" ht="15.6" x14ac:dyDescent="0.3">
      <c r="A5" s="1"/>
      <c r="B5" s="1"/>
      <c r="C5" s="1"/>
      <c r="D5" s="1"/>
      <c r="E5" s="1"/>
      <c r="F5" s="1"/>
      <c r="G5" s="1" t="s">
        <v>0</v>
      </c>
      <c r="H5" s="1"/>
      <c r="I5" s="1"/>
      <c r="J5" s="1"/>
    </row>
    <row r="6" spans="1:18" ht="15.6" x14ac:dyDescent="0.3">
      <c r="A6" s="1"/>
      <c r="B6" s="1"/>
      <c r="C6" s="1"/>
      <c r="D6" s="1"/>
      <c r="E6" s="1"/>
      <c r="F6" s="1"/>
      <c r="G6" s="1" t="s">
        <v>15</v>
      </c>
      <c r="H6" s="1"/>
      <c r="I6" s="1"/>
      <c r="J6" s="1"/>
    </row>
    <row r="7" spans="1:18" ht="16.2" thickBot="1" x14ac:dyDescent="0.35">
      <c r="A7" s="1"/>
      <c r="B7" s="1"/>
      <c r="C7" s="1"/>
      <c r="D7" s="1"/>
      <c r="E7" s="1"/>
      <c r="F7" s="1"/>
      <c r="G7" s="1" t="s">
        <v>13</v>
      </c>
      <c r="H7" s="1"/>
      <c r="I7" s="1"/>
      <c r="J7" s="1"/>
    </row>
    <row r="8" spans="1:18" ht="16.2" thickBot="1" x14ac:dyDescent="0.35">
      <c r="A8" s="1"/>
      <c r="B8" s="90" t="s">
        <v>16</v>
      </c>
      <c r="C8" s="91"/>
      <c r="D8" s="92" t="s">
        <v>137</v>
      </c>
      <c r="E8" s="1"/>
      <c r="F8" s="1"/>
      <c r="G8" s="93" t="s">
        <v>27</v>
      </c>
      <c r="H8" s="94">
        <v>7329</v>
      </c>
      <c r="I8" s="1"/>
      <c r="J8" s="1"/>
    </row>
    <row r="9" spans="1:18" ht="16.2" thickBot="1" x14ac:dyDescent="0.35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8" ht="16.2" thickBot="1" x14ac:dyDescent="0.35">
      <c r="A10" s="1"/>
      <c r="B10" s="54" t="s">
        <v>127</v>
      </c>
      <c r="C10" s="85" t="s">
        <v>139</v>
      </c>
      <c r="D10" s="55"/>
      <c r="E10" s="55"/>
      <c r="F10" s="55"/>
      <c r="G10" s="56" t="s">
        <v>28</v>
      </c>
      <c r="H10" s="57">
        <v>45987</v>
      </c>
      <c r="I10" s="58"/>
      <c r="J10" s="1"/>
      <c r="K10" s="1"/>
      <c r="L10" s="1"/>
      <c r="M10" s="1"/>
      <c r="N10" s="1"/>
      <c r="O10" s="1"/>
      <c r="P10" s="1"/>
      <c r="Q10" s="1"/>
      <c r="R10" s="1"/>
    </row>
    <row r="11" spans="1:18" ht="17.399999999999999" thickBot="1" x14ac:dyDescent="0.45">
      <c r="A11" s="1"/>
      <c r="B11" s="59" t="s">
        <v>2</v>
      </c>
      <c r="C11" s="110" t="s">
        <v>140</v>
      </c>
      <c r="D11" s="60"/>
      <c r="E11" s="60"/>
      <c r="F11" s="60"/>
      <c r="G11" s="60" t="s">
        <v>122</v>
      </c>
      <c r="H11" s="61">
        <v>45996</v>
      </c>
      <c r="I11" s="62"/>
      <c r="J11" s="1"/>
    </row>
    <row r="12" spans="1:18" ht="15.6" x14ac:dyDescent="0.3">
      <c r="A12" s="1"/>
      <c r="B12" s="63" t="s">
        <v>128</v>
      </c>
      <c r="C12" s="107" t="s">
        <v>138</v>
      </c>
      <c r="D12" s="43"/>
      <c r="E12" s="43"/>
      <c r="F12" s="43"/>
      <c r="G12" s="43" t="s">
        <v>30</v>
      </c>
      <c r="H12" s="64"/>
      <c r="I12" s="65"/>
      <c r="J12" s="1"/>
    </row>
    <row r="13" spans="1:18" ht="15.6" x14ac:dyDescent="0.3">
      <c r="A13" s="1"/>
      <c r="B13" s="63" t="s">
        <v>130</v>
      </c>
      <c r="C13" t="s">
        <v>141</v>
      </c>
      <c r="D13" s="43"/>
      <c r="E13" s="43"/>
      <c r="F13" s="43"/>
      <c r="G13" s="43" t="s">
        <v>126</v>
      </c>
      <c r="H13" s="64"/>
      <c r="I13" s="65"/>
      <c r="J13" s="1"/>
    </row>
    <row r="14" spans="1:18" ht="15.6" x14ac:dyDescent="0.3">
      <c r="A14" s="1"/>
      <c r="B14" s="63" t="s">
        <v>132</v>
      </c>
      <c r="C14" s="102"/>
      <c r="D14" s="43"/>
      <c r="E14" s="43"/>
      <c r="F14" s="43"/>
      <c r="G14" s="43" t="s">
        <v>133</v>
      </c>
      <c r="H14" s="64"/>
      <c r="I14" s="65"/>
      <c r="J14" s="1"/>
    </row>
    <row r="15" spans="1:18" ht="15.6" x14ac:dyDescent="0.3">
      <c r="A15" s="1"/>
      <c r="B15" s="59" t="s">
        <v>17</v>
      </c>
      <c r="C15" s="108" t="s">
        <v>142</v>
      </c>
      <c r="D15" s="66"/>
      <c r="E15" s="60"/>
      <c r="F15" s="60"/>
      <c r="G15" s="60" t="s">
        <v>29</v>
      </c>
      <c r="H15" s="60"/>
      <c r="I15" s="62"/>
      <c r="J15" s="1"/>
    </row>
    <row r="16" spans="1:18" ht="16.8" x14ac:dyDescent="0.4">
      <c r="A16" s="1"/>
      <c r="B16" s="63" t="s">
        <v>1</v>
      </c>
      <c r="C16" s="101"/>
      <c r="D16" s="43"/>
      <c r="E16" s="43"/>
      <c r="F16" s="43"/>
      <c r="G16" s="67" t="s">
        <v>75</v>
      </c>
      <c r="H16" s="104" t="s">
        <v>136</v>
      </c>
      <c r="I16" s="65"/>
      <c r="J16" s="1"/>
    </row>
    <row r="17" spans="1:17" ht="16.2" thickBot="1" x14ac:dyDescent="0.35">
      <c r="A17" s="1"/>
      <c r="B17" s="68" t="s">
        <v>3</v>
      </c>
      <c r="C17" s="103" t="s">
        <v>129</v>
      </c>
      <c r="D17" s="69"/>
      <c r="E17" s="70"/>
      <c r="F17" s="70"/>
      <c r="G17" s="123" t="s">
        <v>18</v>
      </c>
      <c r="H17" s="123"/>
      <c r="I17" s="124"/>
      <c r="J17" s="1"/>
    </row>
    <row r="18" spans="1:17" ht="15.6" x14ac:dyDescent="0.3">
      <c r="A18" s="1"/>
      <c r="B18" s="1"/>
      <c r="D18" s="1"/>
      <c r="E18" s="1"/>
      <c r="F18" s="1"/>
      <c r="G18" s="1"/>
      <c r="H18" s="1"/>
      <c r="I18" s="1"/>
      <c r="J18" s="1"/>
    </row>
    <row r="19" spans="1:17" ht="16.2" thickBo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7" ht="16.2" thickBot="1" x14ac:dyDescent="0.35">
      <c r="A20" s="1"/>
      <c r="B20" s="125" t="s">
        <v>19</v>
      </c>
      <c r="C20" s="126"/>
      <c r="D20" s="126"/>
      <c r="E20" s="126"/>
      <c r="F20" s="126"/>
      <c r="G20" s="126"/>
      <c r="H20" s="126"/>
      <c r="I20" s="127"/>
      <c r="J20" s="1"/>
    </row>
    <row r="21" spans="1:17" ht="15.6" x14ac:dyDescent="0.3">
      <c r="A21" s="1"/>
      <c r="B21" s="71" t="s">
        <v>20</v>
      </c>
      <c r="C21" s="72" t="s">
        <v>21</v>
      </c>
      <c r="D21" s="72" t="s">
        <v>22</v>
      </c>
      <c r="E21" s="72" t="s">
        <v>8</v>
      </c>
      <c r="F21" s="113" t="s">
        <v>145</v>
      </c>
      <c r="G21" s="73" t="s">
        <v>23</v>
      </c>
      <c r="H21" s="71" t="s">
        <v>24</v>
      </c>
      <c r="I21" s="73" t="s">
        <v>4</v>
      </c>
      <c r="J21" s="1"/>
    </row>
    <row r="22" spans="1:17" ht="18" customHeight="1" x14ac:dyDescent="0.3">
      <c r="A22" s="1"/>
      <c r="B22" s="98">
        <v>3</v>
      </c>
      <c r="C22" s="109" t="s">
        <v>156</v>
      </c>
      <c r="D22" s="100">
        <v>1500</v>
      </c>
      <c r="E22" s="100">
        <v>800</v>
      </c>
      <c r="F22" s="100" t="s">
        <v>146</v>
      </c>
      <c r="G22" s="98" t="s">
        <v>144</v>
      </c>
      <c r="H22" s="99">
        <v>123982</v>
      </c>
      <c r="I22" s="99">
        <f>H22*B22</f>
        <v>371946</v>
      </c>
      <c r="J22" s="1"/>
      <c r="L22" s="17"/>
      <c r="M22" s="26"/>
      <c r="N22" s="17"/>
      <c r="O22" s="17"/>
      <c r="P22" s="26"/>
      <c r="Q22" s="33"/>
    </row>
    <row r="23" spans="1:17" ht="18" customHeight="1" x14ac:dyDescent="0.3">
      <c r="A23" s="1"/>
      <c r="B23" s="98">
        <v>2</v>
      </c>
      <c r="C23" s="109" t="s">
        <v>156</v>
      </c>
      <c r="D23" s="100">
        <v>1500</v>
      </c>
      <c r="E23" s="100">
        <v>1100</v>
      </c>
      <c r="F23" s="100" t="s">
        <v>146</v>
      </c>
      <c r="G23" s="98" t="s">
        <v>144</v>
      </c>
      <c r="H23" s="99"/>
      <c r="I23" s="99"/>
      <c r="J23" s="1"/>
      <c r="L23" s="17"/>
      <c r="M23" s="26"/>
      <c r="N23" s="17"/>
      <c r="O23" s="17"/>
      <c r="P23" s="26"/>
      <c r="Q23" s="33"/>
    </row>
    <row r="24" spans="1:17" ht="18" customHeight="1" x14ac:dyDescent="0.3">
      <c r="A24" s="1"/>
      <c r="B24" s="98">
        <v>13</v>
      </c>
      <c r="C24" s="109" t="s">
        <v>157</v>
      </c>
      <c r="D24" s="100">
        <v>750</v>
      </c>
      <c r="E24" s="100">
        <v>460</v>
      </c>
      <c r="F24" s="100" t="s">
        <v>147</v>
      </c>
      <c r="G24" s="98" t="s">
        <v>144</v>
      </c>
      <c r="H24" s="99"/>
      <c r="I24" s="99"/>
      <c r="J24" s="1">
        <v>11</v>
      </c>
      <c r="L24" s="17"/>
      <c r="M24" s="26"/>
      <c r="N24" s="17"/>
      <c r="O24" s="17"/>
      <c r="P24" s="26"/>
      <c r="Q24" s="33"/>
    </row>
    <row r="25" spans="1:17" ht="18" customHeight="1" x14ac:dyDescent="0.3">
      <c r="A25" s="1"/>
      <c r="B25" s="98">
        <v>4</v>
      </c>
      <c r="C25" s="109" t="s">
        <v>157</v>
      </c>
      <c r="D25" s="100">
        <v>700</v>
      </c>
      <c r="E25" s="100">
        <v>520</v>
      </c>
      <c r="F25" s="100" t="s">
        <v>147</v>
      </c>
      <c r="G25" s="98" t="s">
        <v>144</v>
      </c>
      <c r="H25" s="99"/>
      <c r="I25" s="99"/>
      <c r="J25" s="1"/>
      <c r="L25" s="17"/>
      <c r="M25" s="26"/>
      <c r="N25" s="17"/>
      <c r="O25" s="17"/>
      <c r="P25" s="26"/>
      <c r="Q25" s="33"/>
    </row>
    <row r="26" spans="1:17" ht="18" customHeight="1" x14ac:dyDescent="0.3">
      <c r="A26" s="1"/>
      <c r="B26" s="98">
        <v>1</v>
      </c>
      <c r="C26" s="109" t="s">
        <v>153</v>
      </c>
      <c r="D26" s="100">
        <v>1430</v>
      </c>
      <c r="E26" s="100">
        <v>700</v>
      </c>
      <c r="F26" s="100" t="s">
        <v>148</v>
      </c>
      <c r="G26" s="98" t="s">
        <v>143</v>
      </c>
      <c r="H26" s="99"/>
      <c r="I26" s="99"/>
      <c r="J26" s="1"/>
      <c r="L26" s="17"/>
      <c r="M26" s="26"/>
      <c r="N26" s="17"/>
      <c r="O26" s="17"/>
      <c r="P26" s="26"/>
      <c r="Q26" s="33"/>
    </row>
    <row r="27" spans="1:17" ht="18" customHeight="1" x14ac:dyDescent="0.3">
      <c r="A27" s="1"/>
      <c r="B27" s="98">
        <v>1</v>
      </c>
      <c r="C27" s="109" t="s">
        <v>153</v>
      </c>
      <c r="D27" s="100">
        <v>1460</v>
      </c>
      <c r="E27" s="100">
        <v>700</v>
      </c>
      <c r="F27" s="100" t="s">
        <v>148</v>
      </c>
      <c r="G27" s="98" t="s">
        <v>143</v>
      </c>
      <c r="H27" s="99"/>
      <c r="I27" s="99"/>
      <c r="J27" s="1"/>
      <c r="L27" s="17"/>
      <c r="M27" s="26"/>
      <c r="N27" s="17"/>
      <c r="O27" s="17"/>
      <c r="P27" s="26"/>
      <c r="Q27" s="33"/>
    </row>
    <row r="28" spans="1:17" ht="18" customHeight="1" x14ac:dyDescent="0.3">
      <c r="A28" s="1"/>
      <c r="B28" s="98">
        <v>2</v>
      </c>
      <c r="C28" s="109" t="s">
        <v>153</v>
      </c>
      <c r="D28" s="100">
        <v>620</v>
      </c>
      <c r="E28" s="100">
        <v>500</v>
      </c>
      <c r="F28" s="100" t="s">
        <v>149</v>
      </c>
      <c r="G28" s="98" t="s">
        <v>143</v>
      </c>
      <c r="H28" s="99"/>
      <c r="I28" s="99"/>
      <c r="J28" s="1"/>
      <c r="L28" s="17"/>
      <c r="M28" s="26"/>
      <c r="N28" s="17"/>
      <c r="O28" s="17"/>
      <c r="P28" s="26"/>
      <c r="Q28" s="33"/>
    </row>
    <row r="29" spans="1:17" ht="18" customHeight="1" x14ac:dyDescent="0.3">
      <c r="A29" s="1"/>
      <c r="B29" s="98">
        <v>2</v>
      </c>
      <c r="C29" s="109" t="s">
        <v>153</v>
      </c>
      <c r="D29" s="100">
        <v>1280</v>
      </c>
      <c r="E29" s="100">
        <v>700</v>
      </c>
      <c r="F29" s="100" t="s">
        <v>148</v>
      </c>
      <c r="G29" s="98" t="s">
        <v>143</v>
      </c>
      <c r="H29" s="99"/>
      <c r="I29" s="99"/>
      <c r="J29" s="1"/>
      <c r="L29" s="17"/>
      <c r="M29" s="26"/>
      <c r="N29" s="17"/>
      <c r="O29" s="17"/>
      <c r="P29" s="26"/>
      <c r="Q29" s="33"/>
    </row>
    <row r="30" spans="1:17" ht="18" customHeight="1" x14ac:dyDescent="0.3">
      <c r="A30" s="1"/>
      <c r="B30" s="98">
        <v>1</v>
      </c>
      <c r="C30" s="109" t="s">
        <v>153</v>
      </c>
      <c r="D30" s="100">
        <v>1310</v>
      </c>
      <c r="E30" s="100">
        <v>700</v>
      </c>
      <c r="F30" s="100" t="s">
        <v>148</v>
      </c>
      <c r="G30" s="98" t="s">
        <v>143</v>
      </c>
      <c r="H30" s="99"/>
      <c r="I30" s="99"/>
      <c r="J30" s="1"/>
      <c r="L30" s="17"/>
      <c r="M30" s="26"/>
      <c r="N30" s="17"/>
      <c r="O30" s="17"/>
      <c r="P30" s="26"/>
      <c r="Q30" s="33"/>
    </row>
    <row r="31" spans="1:17" ht="18" customHeight="1" x14ac:dyDescent="0.3">
      <c r="A31" s="1"/>
      <c r="B31" s="98">
        <v>1</v>
      </c>
      <c r="C31" s="109" t="s">
        <v>153</v>
      </c>
      <c r="D31" s="100">
        <v>1860</v>
      </c>
      <c r="E31" s="100">
        <v>700</v>
      </c>
      <c r="F31" s="100" t="s">
        <v>148</v>
      </c>
      <c r="G31" s="98" t="s">
        <v>143</v>
      </c>
      <c r="H31" s="99"/>
      <c r="I31" s="99"/>
      <c r="J31" s="1"/>
      <c r="L31" s="17"/>
      <c r="M31" s="26"/>
      <c r="N31" s="17"/>
      <c r="O31" s="17"/>
      <c r="P31" s="26"/>
      <c r="Q31" s="33"/>
    </row>
    <row r="32" spans="1:17" ht="18" customHeight="1" x14ac:dyDescent="0.3">
      <c r="A32" s="1"/>
      <c r="B32" s="98">
        <v>2</v>
      </c>
      <c r="C32" s="109" t="s">
        <v>153</v>
      </c>
      <c r="D32" s="100">
        <v>1580</v>
      </c>
      <c r="E32" s="100">
        <v>700</v>
      </c>
      <c r="F32" s="100" t="s">
        <v>148</v>
      </c>
      <c r="G32" s="98" t="s">
        <v>143</v>
      </c>
      <c r="H32" s="99"/>
      <c r="I32" s="99"/>
      <c r="J32" s="1"/>
      <c r="L32" s="17"/>
      <c r="M32" s="26"/>
      <c r="N32" s="17"/>
      <c r="O32" s="17"/>
      <c r="P32" s="26"/>
      <c r="Q32" s="33"/>
    </row>
    <row r="33" spans="1:17" ht="18" customHeight="1" x14ac:dyDescent="0.3">
      <c r="A33" s="1"/>
      <c r="B33" s="98">
        <v>1</v>
      </c>
      <c r="C33" s="109" t="s">
        <v>153</v>
      </c>
      <c r="D33" s="100">
        <v>1670</v>
      </c>
      <c r="E33" s="100">
        <v>700</v>
      </c>
      <c r="F33" s="100" t="s">
        <v>148</v>
      </c>
      <c r="G33" s="98" t="s">
        <v>143</v>
      </c>
      <c r="H33" s="99"/>
      <c r="I33" s="99"/>
      <c r="J33" s="1"/>
      <c r="L33" s="17"/>
      <c r="M33" s="26"/>
      <c r="N33" s="17"/>
      <c r="O33" s="17"/>
      <c r="P33" s="26"/>
      <c r="Q33" s="33"/>
    </row>
    <row r="34" spans="1:17" ht="18" customHeight="1" x14ac:dyDescent="0.3">
      <c r="A34" s="1"/>
      <c r="B34" s="98">
        <v>1</v>
      </c>
      <c r="C34" s="109" t="s">
        <v>158</v>
      </c>
      <c r="D34" s="100">
        <v>1430</v>
      </c>
      <c r="E34" s="100">
        <v>700</v>
      </c>
      <c r="F34" s="100"/>
      <c r="G34" s="98" t="s">
        <v>143</v>
      </c>
      <c r="H34" s="99"/>
      <c r="I34" s="99"/>
      <c r="J34" s="1"/>
      <c r="L34" s="17"/>
      <c r="M34" s="26"/>
      <c r="N34" s="17"/>
      <c r="O34" s="17"/>
      <c r="P34" s="26"/>
      <c r="Q34" s="33"/>
    </row>
    <row r="35" spans="1:17" ht="18" customHeight="1" x14ac:dyDescent="0.3">
      <c r="A35" s="1"/>
      <c r="B35" s="98">
        <v>1</v>
      </c>
      <c r="C35" s="109" t="s">
        <v>158</v>
      </c>
      <c r="D35" s="100">
        <v>1460</v>
      </c>
      <c r="E35" s="100">
        <v>700</v>
      </c>
      <c r="F35" s="100"/>
      <c r="G35" s="98" t="s">
        <v>143</v>
      </c>
      <c r="H35" s="99"/>
      <c r="I35" s="99"/>
      <c r="J35" s="1"/>
      <c r="L35" s="17"/>
      <c r="M35" s="26"/>
      <c r="N35" s="17"/>
      <c r="O35" s="17"/>
      <c r="P35" s="26"/>
      <c r="Q35" s="33"/>
    </row>
    <row r="36" spans="1:17" ht="18" customHeight="1" x14ac:dyDescent="0.3">
      <c r="A36" s="1"/>
      <c r="B36" s="98">
        <v>2</v>
      </c>
      <c r="C36" s="109" t="s">
        <v>158</v>
      </c>
      <c r="D36" s="100">
        <v>620</v>
      </c>
      <c r="E36" s="100">
        <v>350</v>
      </c>
      <c r="F36" s="100" t="s">
        <v>147</v>
      </c>
      <c r="G36" s="98" t="s">
        <v>143</v>
      </c>
      <c r="H36" s="99"/>
      <c r="I36" s="99"/>
      <c r="J36" s="1"/>
      <c r="L36" s="17"/>
      <c r="M36" s="26"/>
      <c r="N36" s="17"/>
      <c r="O36" s="17"/>
      <c r="P36" s="26"/>
      <c r="Q36" s="33"/>
    </row>
    <row r="37" spans="1:17" ht="18" customHeight="1" x14ac:dyDescent="0.3">
      <c r="A37" s="1"/>
      <c r="B37" s="98">
        <v>2</v>
      </c>
      <c r="C37" s="109" t="s">
        <v>158</v>
      </c>
      <c r="D37" s="100">
        <v>1280</v>
      </c>
      <c r="E37" s="100">
        <v>700</v>
      </c>
      <c r="F37" s="100"/>
      <c r="G37" s="98" t="s">
        <v>143</v>
      </c>
      <c r="H37" s="99"/>
      <c r="I37" s="99"/>
      <c r="J37" s="1"/>
      <c r="L37" s="17"/>
      <c r="M37" s="26"/>
      <c r="N37" s="17"/>
      <c r="O37" s="17"/>
      <c r="P37" s="26"/>
      <c r="Q37" s="33"/>
    </row>
    <row r="38" spans="1:17" ht="18" customHeight="1" x14ac:dyDescent="0.3">
      <c r="A38" s="1"/>
      <c r="B38" s="98">
        <v>1</v>
      </c>
      <c r="C38" s="109" t="s">
        <v>158</v>
      </c>
      <c r="D38" s="100">
        <v>1310</v>
      </c>
      <c r="E38" s="100">
        <v>700</v>
      </c>
      <c r="F38" s="100"/>
      <c r="G38" s="98" t="s">
        <v>143</v>
      </c>
      <c r="H38" s="99"/>
      <c r="I38" s="99"/>
      <c r="J38" s="1"/>
      <c r="L38" s="17"/>
      <c r="M38" s="26"/>
      <c r="N38" s="17"/>
      <c r="O38" s="17"/>
      <c r="P38" s="26"/>
      <c r="Q38" s="33"/>
    </row>
    <row r="39" spans="1:17" ht="18" customHeight="1" x14ac:dyDescent="0.3">
      <c r="A39" s="1"/>
      <c r="B39" s="98">
        <v>1</v>
      </c>
      <c r="C39" s="109" t="s">
        <v>158</v>
      </c>
      <c r="D39" s="100">
        <v>1860</v>
      </c>
      <c r="E39" s="100">
        <v>700</v>
      </c>
      <c r="F39" s="100"/>
      <c r="G39" s="98" t="s">
        <v>143</v>
      </c>
      <c r="H39" s="99"/>
      <c r="I39" s="99"/>
      <c r="J39" s="1"/>
      <c r="L39" s="17"/>
      <c r="M39" s="26"/>
      <c r="N39" s="17"/>
      <c r="O39" s="17"/>
      <c r="P39" s="26"/>
      <c r="Q39" s="33"/>
    </row>
    <row r="40" spans="1:17" ht="18" customHeight="1" x14ac:dyDescent="0.3">
      <c r="A40" s="1"/>
      <c r="B40" s="98">
        <v>2</v>
      </c>
      <c r="C40" s="109" t="s">
        <v>158</v>
      </c>
      <c r="D40" s="100">
        <v>1580</v>
      </c>
      <c r="E40" s="100">
        <v>700</v>
      </c>
      <c r="F40" s="100"/>
      <c r="G40" s="98" t="s">
        <v>143</v>
      </c>
      <c r="H40" s="99"/>
      <c r="I40" s="99"/>
      <c r="J40" s="1"/>
      <c r="L40" s="17"/>
      <c r="M40" s="26"/>
      <c r="N40" s="17"/>
      <c r="O40" s="17"/>
      <c r="P40" s="26"/>
      <c r="Q40" s="33"/>
    </row>
    <row r="41" spans="1:17" ht="18" customHeight="1" x14ac:dyDescent="0.3">
      <c r="A41" s="1"/>
      <c r="B41" s="98">
        <v>1</v>
      </c>
      <c r="C41" s="109" t="s">
        <v>158</v>
      </c>
      <c r="D41" s="100">
        <v>1670</v>
      </c>
      <c r="E41" s="100">
        <v>700</v>
      </c>
      <c r="F41" s="100"/>
      <c r="G41" s="98" t="s">
        <v>143</v>
      </c>
      <c r="H41" s="111"/>
      <c r="I41" s="111"/>
      <c r="J41" s="1"/>
      <c r="L41" s="17"/>
      <c r="M41" s="26"/>
      <c r="N41" s="17"/>
      <c r="O41" s="17"/>
      <c r="P41" s="26"/>
      <c r="Q41" s="33"/>
    </row>
    <row r="42" spans="1:17" ht="18" customHeight="1" x14ac:dyDescent="0.3">
      <c r="A42" s="1"/>
      <c r="B42" s="98">
        <v>9</v>
      </c>
      <c r="C42" s="109" t="s">
        <v>63</v>
      </c>
      <c r="D42" s="100">
        <v>550</v>
      </c>
      <c r="E42" s="100">
        <v>398</v>
      </c>
      <c r="F42" s="100" t="s">
        <v>150</v>
      </c>
      <c r="G42" s="98" t="s">
        <v>143</v>
      </c>
      <c r="H42" s="111"/>
      <c r="I42" s="111"/>
      <c r="J42" s="1"/>
    </row>
    <row r="43" spans="1:17" ht="18" customHeight="1" x14ac:dyDescent="0.3">
      <c r="A43" s="1"/>
      <c r="J43" s="1"/>
    </row>
    <row r="44" spans="1:17" ht="15.6" x14ac:dyDescent="0.3">
      <c r="A44" s="1"/>
      <c r="J44" s="1"/>
    </row>
    <row r="45" spans="1:17" ht="16.2" thickBot="1" x14ac:dyDescent="0.35">
      <c r="A45" s="1"/>
      <c r="B45" s="1"/>
      <c r="C45" s="1"/>
      <c r="D45" s="1"/>
      <c r="E45" s="1"/>
      <c r="F45" s="1"/>
      <c r="G45" s="1"/>
      <c r="J45" s="1"/>
    </row>
    <row r="46" spans="1:17" ht="15.6" x14ac:dyDescent="0.3">
      <c r="A46" s="1"/>
      <c r="B46" s="1"/>
      <c r="C46" s="1"/>
      <c r="D46" s="1"/>
      <c r="E46" s="1"/>
      <c r="F46" s="1"/>
      <c r="G46" s="1"/>
      <c r="H46" s="75" t="s">
        <v>5</v>
      </c>
      <c r="I46" s="76"/>
      <c r="J46" s="1"/>
    </row>
    <row r="47" spans="1:17" ht="15.6" x14ac:dyDescent="0.3">
      <c r="A47" s="1"/>
      <c r="B47" s="1"/>
      <c r="C47" s="1"/>
      <c r="D47" s="1"/>
      <c r="E47" s="1"/>
      <c r="F47" s="1"/>
      <c r="G47" s="1"/>
      <c r="H47" s="77" t="s">
        <v>6</v>
      </c>
      <c r="I47" s="78"/>
      <c r="J47" s="1"/>
    </row>
    <row r="48" spans="1:17" ht="16.2" thickBot="1" x14ac:dyDescent="0.35">
      <c r="A48" s="1"/>
      <c r="C48" s="82"/>
      <c r="D48" s="83"/>
      <c r="E48" s="83"/>
      <c r="F48" s="83"/>
      <c r="G48" s="74"/>
      <c r="H48" s="79" t="s">
        <v>4</v>
      </c>
      <c r="I48" s="80"/>
      <c r="J48" s="1"/>
    </row>
    <row r="49" spans="1:10" ht="15.6" x14ac:dyDescent="0.3">
      <c r="A49" s="1"/>
      <c r="C49" s="82"/>
      <c r="D49" s="83"/>
      <c r="E49" s="83"/>
      <c r="F49" s="83"/>
      <c r="G49" s="74"/>
      <c r="H49" s="1"/>
      <c r="I49" s="1"/>
      <c r="J49" s="1"/>
    </row>
    <row r="50" spans="1:10" ht="15.6" x14ac:dyDescent="0.3">
      <c r="A50" s="1"/>
      <c r="C50" s="1"/>
      <c r="D50" s="1"/>
      <c r="E50" s="84" t="s">
        <v>26</v>
      </c>
      <c r="F50" s="84"/>
      <c r="G50" s="1"/>
      <c r="H50" s="1"/>
      <c r="I50" s="1"/>
      <c r="J50" s="1"/>
    </row>
    <row r="51" spans="1:10" ht="15.6" x14ac:dyDescent="0.3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5.6" x14ac:dyDescent="0.3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5.6" x14ac:dyDescent="0.3">
      <c r="B53" s="81" t="s">
        <v>134</v>
      </c>
    </row>
    <row r="54" spans="1:10" ht="15.6" x14ac:dyDescent="0.3">
      <c r="B54" s="81" t="s">
        <v>135</v>
      </c>
    </row>
    <row r="55" spans="1:10" ht="15.6" x14ac:dyDescent="0.3">
      <c r="B55" s="1" t="s">
        <v>25</v>
      </c>
    </row>
  </sheetData>
  <sortState xmlns:xlrd2="http://schemas.microsoft.com/office/spreadsheetml/2017/richdata2" ref="B54">
    <sortCondition sortBy="fontColor" ref="B54" dxfId="0"/>
  </sortState>
  <mergeCells count="2">
    <mergeCell ref="G17:I17"/>
    <mergeCell ref="B20:I20"/>
  </mergeCells>
  <phoneticPr fontId="10" type="noConversion"/>
  <hyperlinks>
    <hyperlink ref="E50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8" t="s">
        <v>31</v>
      </c>
      <c r="C2" s="128"/>
      <c r="D2" s="128"/>
      <c r="E2" s="18"/>
      <c r="G2" s="128" t="s">
        <v>70</v>
      </c>
      <c r="H2" s="128"/>
      <c r="I2" s="128"/>
      <c r="P2" s="129" t="s">
        <v>58</v>
      </c>
      <c r="Q2" s="129"/>
      <c r="R2" s="129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9" t="s">
        <v>58</v>
      </c>
      <c r="M8" s="129"/>
      <c r="N8" s="129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125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140"/>
  <sheetViews>
    <sheetView zoomScaleNormal="100" workbookViewId="0">
      <selection sqref="A1:G63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1.5546875" customWidth="1"/>
    <col min="4" max="4" width="13.77734375" customWidth="1"/>
    <col min="5" max="6" width="11" customWidth="1"/>
    <col min="7" max="7" width="34.33203125" customWidth="1"/>
    <col min="10" max="10" width="5.44140625" customWidth="1"/>
    <col min="11" max="11" width="9.33203125" customWidth="1"/>
    <col min="12" max="12" width="8.6640625" customWidth="1"/>
  </cols>
  <sheetData>
    <row r="1" spans="1:15" ht="15.6" x14ac:dyDescent="0.3">
      <c r="A1" s="1"/>
      <c r="B1" s="1"/>
      <c r="C1" s="1"/>
      <c r="D1" s="1"/>
      <c r="E1" s="1"/>
      <c r="F1" s="1"/>
      <c r="G1" s="1"/>
      <c r="H1" s="1"/>
    </row>
    <row r="2" spans="1:15" ht="16.5" customHeight="1" x14ac:dyDescent="0.3">
      <c r="A2" s="1"/>
      <c r="B2" s="1"/>
      <c r="C2" s="1"/>
      <c r="D2" s="1"/>
      <c r="E2" s="1"/>
      <c r="F2" s="1"/>
      <c r="G2" s="1"/>
      <c r="H2" s="1"/>
      <c r="L2" s="34" t="s">
        <v>124</v>
      </c>
      <c r="M2" s="34"/>
      <c r="N2" s="34"/>
    </row>
    <row r="3" spans="1:15" ht="15.6" x14ac:dyDescent="0.3">
      <c r="A3" s="1"/>
      <c r="B3" s="1"/>
      <c r="C3" s="1"/>
      <c r="D3" s="1"/>
      <c r="E3" s="1"/>
      <c r="F3" s="1"/>
      <c r="G3" s="1"/>
      <c r="H3" s="1"/>
      <c r="L3" s="130" t="s">
        <v>61</v>
      </c>
      <c r="M3" s="130"/>
      <c r="N3" s="130" t="s">
        <v>14</v>
      </c>
      <c r="O3" s="130"/>
    </row>
    <row r="4" spans="1:15" ht="15.75" customHeight="1" x14ac:dyDescent="0.3">
      <c r="A4" s="1"/>
      <c r="B4" s="1"/>
      <c r="C4" s="40" t="s">
        <v>27</v>
      </c>
      <c r="D4" s="14">
        <f>'4637'!H8</f>
        <v>7329</v>
      </c>
      <c r="E4" s="1"/>
      <c r="F4" s="1"/>
      <c r="G4" s="1"/>
      <c r="H4" s="1"/>
      <c r="L4" t="s">
        <v>7</v>
      </c>
      <c r="M4" t="s">
        <v>8</v>
      </c>
      <c r="N4" t="s">
        <v>7</v>
      </c>
      <c r="O4" t="s">
        <v>8</v>
      </c>
    </row>
    <row r="5" spans="1:15" ht="18" customHeight="1" x14ac:dyDescent="0.3">
      <c r="A5" s="1"/>
      <c r="B5" s="1"/>
      <c r="C5" s="41" t="s">
        <v>67</v>
      </c>
      <c r="D5" s="42" t="str">
        <f>'4637'!C10</f>
        <v>CONSTRUCTORA HALTRA</v>
      </c>
      <c r="E5" s="43"/>
      <c r="F5" s="43"/>
      <c r="G5" s="43"/>
      <c r="H5" s="1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">
      <c r="A6" s="1"/>
      <c r="B6" s="1"/>
      <c r="C6" s="44"/>
      <c r="D6" s="45"/>
      <c r="E6" s="1"/>
      <c r="F6" s="1"/>
      <c r="G6" s="1"/>
      <c r="H6" s="1"/>
    </row>
    <row r="7" spans="1:15" ht="15.6" x14ac:dyDescent="0.3">
      <c r="A7" s="1"/>
      <c r="B7" s="1"/>
      <c r="C7" s="86" t="str">
        <f>'4637'!G11</f>
        <v>FECHA LIMITE :</v>
      </c>
      <c r="D7" s="13">
        <f>'4637'!H11</f>
        <v>45996</v>
      </c>
      <c r="E7" s="1"/>
      <c r="F7" s="1"/>
      <c r="G7" s="1"/>
      <c r="H7" s="1"/>
    </row>
    <row r="8" spans="1:15" ht="15.6" x14ac:dyDescent="0.3">
      <c r="A8" s="1"/>
      <c r="B8" s="1"/>
      <c r="C8" s="53" t="s">
        <v>123</v>
      </c>
      <c r="D8" s="1"/>
      <c r="E8" s="1"/>
      <c r="F8" s="1"/>
      <c r="G8" s="1"/>
      <c r="H8" s="1"/>
    </row>
    <row r="9" spans="1:15" ht="15.6" x14ac:dyDescent="0.3">
      <c r="A9" s="1"/>
      <c r="B9" s="1"/>
      <c r="C9" s="1"/>
      <c r="D9" s="1"/>
      <c r="E9" s="1"/>
      <c r="F9" s="1"/>
      <c r="G9" s="1"/>
      <c r="H9" s="1"/>
    </row>
    <row r="10" spans="1:15" ht="15" customHeight="1" x14ac:dyDescent="0.3">
      <c r="A10" s="131" t="s">
        <v>61</v>
      </c>
      <c r="B10" s="131"/>
      <c r="C10" s="131"/>
      <c r="D10" s="131"/>
      <c r="E10" s="131"/>
      <c r="F10" s="131"/>
      <c r="G10" s="131"/>
      <c r="H10" s="1"/>
    </row>
    <row r="11" spans="1:15" ht="15.6" x14ac:dyDescent="0.3">
      <c r="A11" s="1"/>
      <c r="B11" s="1"/>
      <c r="C11" s="12"/>
      <c r="D11" s="1"/>
      <c r="E11" s="1"/>
      <c r="F11" s="1"/>
      <c r="G11" s="1"/>
      <c r="H11" s="1"/>
    </row>
    <row r="12" spans="1:15" ht="15.6" x14ac:dyDescent="0.3">
      <c r="A12" s="1"/>
      <c r="B12" s="1"/>
      <c r="C12" s="1"/>
      <c r="D12" s="52" t="s">
        <v>7</v>
      </c>
      <c r="E12" s="52" t="s">
        <v>8</v>
      </c>
      <c r="F12" s="52"/>
      <c r="G12" s="1"/>
      <c r="H12" s="1"/>
    </row>
    <row r="13" spans="1:15" ht="15.6" x14ac:dyDescent="0.3">
      <c r="A13" s="52" t="s">
        <v>9</v>
      </c>
      <c r="B13" s="37" t="s">
        <v>10</v>
      </c>
      <c r="C13" s="37" t="s">
        <v>11</v>
      </c>
      <c r="D13" s="32"/>
      <c r="E13" s="32"/>
      <c r="F13" s="32"/>
      <c r="G13" s="37" t="s">
        <v>110</v>
      </c>
      <c r="H13" s="1"/>
      <c r="K13" s="5" t="s">
        <v>7</v>
      </c>
      <c r="L13" s="5" t="s">
        <v>8</v>
      </c>
    </row>
    <row r="14" spans="1:15" ht="16.2" customHeight="1" x14ac:dyDescent="0.3">
      <c r="A14" s="95" t="s">
        <v>152</v>
      </c>
      <c r="B14" s="25">
        <f t="shared" ref="B14" si="0">J14</f>
        <v>3</v>
      </c>
      <c r="C14" s="25"/>
      <c r="D14" s="25">
        <f>K14+D$13</f>
        <v>1500</v>
      </c>
      <c r="E14" s="35">
        <v>810</v>
      </c>
      <c r="F14" s="35"/>
      <c r="G14" s="96" t="str">
        <f>C68</f>
        <v>E/R 2 CARAS MDF 30MM FRONTAL</v>
      </c>
      <c r="H14" s="1"/>
      <c r="J14" s="3">
        <v>3</v>
      </c>
      <c r="K14" s="4">
        <f>K43</f>
        <v>1500</v>
      </c>
      <c r="L14" s="4">
        <f>E68</f>
        <v>800</v>
      </c>
    </row>
    <row r="15" spans="1:15" ht="16.2" customHeight="1" x14ac:dyDescent="0.3">
      <c r="A15" s="95"/>
      <c r="B15" s="25">
        <f t="shared" ref="B15:B35" si="1">J15</f>
        <v>2</v>
      </c>
      <c r="C15" s="25"/>
      <c r="D15" s="25">
        <f t="shared" ref="D15" si="2">K15+D$13</f>
        <v>1500</v>
      </c>
      <c r="E15" s="35">
        <f t="shared" ref="E15" si="3">L15+E$13</f>
        <v>1100</v>
      </c>
      <c r="F15" s="35"/>
      <c r="G15" s="96" t="str">
        <f>C69</f>
        <v>E/R 2 CARAS MDF 30MM FRONTAL</v>
      </c>
      <c r="H15" s="1"/>
      <c r="J15" s="3">
        <v>2</v>
      </c>
      <c r="K15" s="4">
        <f>K44</f>
        <v>1500</v>
      </c>
      <c r="L15" s="4">
        <f>E69</f>
        <v>1100</v>
      </c>
    </row>
    <row r="16" spans="1:15" ht="16.2" customHeight="1" x14ac:dyDescent="0.3">
      <c r="A16" s="95"/>
      <c r="B16" s="25">
        <f t="shared" si="1"/>
        <v>13</v>
      </c>
      <c r="C16" s="25"/>
      <c r="D16" s="25">
        <v>770</v>
      </c>
      <c r="E16" s="35">
        <v>480</v>
      </c>
      <c r="F16" s="35"/>
      <c r="G16" s="96" t="str">
        <f>C70</f>
        <v>E/R 1 CARA MDF 30MM COSTADOS</v>
      </c>
      <c r="H16" s="1"/>
      <c r="J16" s="3">
        <f t="shared" ref="J16:K16" si="4">J45</f>
        <v>13</v>
      </c>
      <c r="K16" s="4">
        <f t="shared" si="4"/>
        <v>750</v>
      </c>
      <c r="L16" s="4">
        <f>E70</f>
        <v>460</v>
      </c>
    </row>
    <row r="17" spans="1:12" ht="16.2" customHeight="1" x14ac:dyDescent="0.3">
      <c r="A17" s="52" t="s">
        <v>9</v>
      </c>
      <c r="B17" s="37" t="s">
        <v>10</v>
      </c>
      <c r="C17" s="37" t="s">
        <v>11</v>
      </c>
      <c r="D17" s="32">
        <v>20</v>
      </c>
      <c r="E17" s="32">
        <v>20</v>
      </c>
      <c r="F17" s="32"/>
      <c r="G17" s="37" t="s">
        <v>110</v>
      </c>
      <c r="H17" s="1"/>
      <c r="J17" s="3"/>
      <c r="K17" s="4"/>
      <c r="L17" s="4"/>
    </row>
    <row r="18" spans="1:12" ht="16.2" customHeight="1" x14ac:dyDescent="0.3">
      <c r="A18" s="95" t="s">
        <v>131</v>
      </c>
      <c r="B18" s="25">
        <f t="shared" si="1"/>
        <v>1</v>
      </c>
      <c r="C18" s="25"/>
      <c r="D18" s="25">
        <f>K18+D$17</f>
        <v>1450</v>
      </c>
      <c r="E18" s="35">
        <f>L18+E$17</f>
        <v>720</v>
      </c>
      <c r="F18" s="35"/>
      <c r="G18" s="96" t="str">
        <f t="shared" ref="G18:G27" si="5">C71</f>
        <v>CUB FRENTE RECTO 2 LADOS</v>
      </c>
      <c r="H18" s="1"/>
      <c r="J18" s="3">
        <f t="shared" ref="J18:K18" si="6">J46</f>
        <v>1</v>
      </c>
      <c r="K18" s="4">
        <f t="shared" si="6"/>
        <v>1430</v>
      </c>
      <c r="L18" s="4">
        <f t="shared" ref="L18:L27" si="7">E71</f>
        <v>700</v>
      </c>
    </row>
    <row r="19" spans="1:12" ht="16.2" customHeight="1" x14ac:dyDescent="0.3">
      <c r="A19" s="95"/>
      <c r="B19" s="25">
        <f t="shared" si="1"/>
        <v>1</v>
      </c>
      <c r="C19" s="25"/>
      <c r="D19" s="25">
        <f t="shared" ref="D19:D33" si="8">K19+D$17</f>
        <v>1480</v>
      </c>
      <c r="E19" s="35">
        <f t="shared" ref="E19:E33" si="9">L19+E$17</f>
        <v>720</v>
      </c>
      <c r="F19" s="35"/>
      <c r="G19" s="96" t="str">
        <f t="shared" si="5"/>
        <v>CUB FRENTE RECTO 2 LADOS</v>
      </c>
      <c r="H19" s="1"/>
      <c r="J19" s="3">
        <f t="shared" ref="J19:K19" si="10">J47</f>
        <v>1</v>
      </c>
      <c r="K19" s="4">
        <f t="shared" si="10"/>
        <v>1460</v>
      </c>
      <c r="L19" s="4">
        <f t="shared" si="7"/>
        <v>700</v>
      </c>
    </row>
    <row r="20" spans="1:12" ht="16.2" customHeight="1" x14ac:dyDescent="0.3">
      <c r="A20" s="95"/>
      <c r="B20" s="25">
        <f t="shared" si="1"/>
        <v>2</v>
      </c>
      <c r="C20" s="25"/>
      <c r="D20" s="25">
        <f t="shared" si="8"/>
        <v>640</v>
      </c>
      <c r="E20" s="35">
        <f t="shared" si="9"/>
        <v>520</v>
      </c>
      <c r="F20" s="35"/>
      <c r="G20" s="96" t="str">
        <f t="shared" si="5"/>
        <v>CUB FRENTE RECTO 2 LADOS</v>
      </c>
      <c r="H20" s="1"/>
      <c r="J20" s="3">
        <f t="shared" ref="J20:K20" si="11">J48</f>
        <v>2</v>
      </c>
      <c r="K20" s="4">
        <f t="shared" si="11"/>
        <v>620</v>
      </c>
      <c r="L20" s="4">
        <f t="shared" si="7"/>
        <v>500</v>
      </c>
    </row>
    <row r="21" spans="1:12" ht="16.2" customHeight="1" x14ac:dyDescent="0.3">
      <c r="A21" s="95"/>
      <c r="B21" s="25">
        <f t="shared" si="1"/>
        <v>2</v>
      </c>
      <c r="C21" s="25"/>
      <c r="D21" s="25">
        <f t="shared" si="8"/>
        <v>1300</v>
      </c>
      <c r="E21" s="35">
        <f t="shared" si="9"/>
        <v>720</v>
      </c>
      <c r="F21" s="35"/>
      <c r="G21" s="96" t="str">
        <f t="shared" si="5"/>
        <v>CUB FRENTE RECTO 2 LADOS</v>
      </c>
      <c r="H21" s="1"/>
      <c r="J21" s="3">
        <f t="shared" ref="J21:K21" si="12">J49</f>
        <v>2</v>
      </c>
      <c r="K21" s="4">
        <f t="shared" si="12"/>
        <v>1280</v>
      </c>
      <c r="L21" s="4">
        <f t="shared" si="7"/>
        <v>700</v>
      </c>
    </row>
    <row r="22" spans="1:12" ht="16.2" customHeight="1" x14ac:dyDescent="0.3">
      <c r="A22" s="95"/>
      <c r="B22" s="25">
        <f t="shared" si="1"/>
        <v>1</v>
      </c>
      <c r="C22" s="25"/>
      <c r="D22" s="25">
        <f t="shared" si="8"/>
        <v>1330</v>
      </c>
      <c r="E22" s="35">
        <f t="shared" si="9"/>
        <v>720</v>
      </c>
      <c r="F22" s="35"/>
      <c r="G22" s="96" t="str">
        <f t="shared" si="5"/>
        <v>CUB FRENTE RECTO 2 LADOS</v>
      </c>
      <c r="H22" s="1"/>
      <c r="J22" s="3">
        <f t="shared" ref="J22:K22" si="13">J50</f>
        <v>1</v>
      </c>
      <c r="K22" s="4">
        <f t="shared" si="13"/>
        <v>1310</v>
      </c>
      <c r="L22" s="4">
        <f t="shared" si="7"/>
        <v>700</v>
      </c>
    </row>
    <row r="23" spans="1:12" ht="16.2" customHeight="1" x14ac:dyDescent="0.3">
      <c r="A23" s="95"/>
      <c r="B23" s="25">
        <f t="shared" si="1"/>
        <v>1</v>
      </c>
      <c r="C23" s="25"/>
      <c r="D23" s="25">
        <f t="shared" si="8"/>
        <v>1880</v>
      </c>
      <c r="E23" s="35">
        <f t="shared" si="9"/>
        <v>720</v>
      </c>
      <c r="F23" s="35"/>
      <c r="G23" s="96" t="str">
        <f t="shared" si="5"/>
        <v>CUB FRENTE RECTO 2 LADOS</v>
      </c>
      <c r="H23" s="1"/>
      <c r="J23" s="3">
        <f t="shared" ref="J23:K23" si="14">J51</f>
        <v>1</v>
      </c>
      <c r="K23" s="4">
        <f t="shared" si="14"/>
        <v>1860</v>
      </c>
      <c r="L23" s="4">
        <f t="shared" si="7"/>
        <v>700</v>
      </c>
    </row>
    <row r="24" spans="1:12" ht="16.2" customHeight="1" x14ac:dyDescent="0.3">
      <c r="A24" s="95"/>
      <c r="B24" s="25">
        <f t="shared" si="1"/>
        <v>2</v>
      </c>
      <c r="C24" s="25"/>
      <c r="D24" s="25">
        <f t="shared" si="8"/>
        <v>1600</v>
      </c>
      <c r="E24" s="35">
        <f t="shared" si="9"/>
        <v>720</v>
      </c>
      <c r="F24" s="35"/>
      <c r="G24" s="96" t="str">
        <f t="shared" si="5"/>
        <v>CUB FRENTE RECTO 2 LADOS</v>
      </c>
      <c r="H24" s="1"/>
      <c r="J24" s="3">
        <f t="shared" ref="J24:K24" si="15">J52</f>
        <v>2</v>
      </c>
      <c r="K24" s="4">
        <f t="shared" si="15"/>
        <v>1580</v>
      </c>
      <c r="L24" s="4">
        <f t="shared" si="7"/>
        <v>700</v>
      </c>
    </row>
    <row r="25" spans="1:12" ht="16.2" customHeight="1" x14ac:dyDescent="0.3">
      <c r="A25" s="95"/>
      <c r="B25" s="25">
        <f t="shared" si="1"/>
        <v>1</v>
      </c>
      <c r="C25" s="25"/>
      <c r="D25" s="25">
        <f t="shared" si="8"/>
        <v>1690</v>
      </c>
      <c r="E25" s="35">
        <f t="shared" si="9"/>
        <v>720</v>
      </c>
      <c r="F25" s="35"/>
      <c r="G25" s="96" t="str">
        <f t="shared" si="5"/>
        <v>CUB FRENTE RECTO 2 LADOS</v>
      </c>
      <c r="H25" s="1"/>
      <c r="J25" s="3">
        <f t="shared" ref="J25:K25" si="16">J53</f>
        <v>1</v>
      </c>
      <c r="K25" s="4">
        <f t="shared" si="16"/>
        <v>1670</v>
      </c>
      <c r="L25" s="4">
        <f t="shared" si="7"/>
        <v>700</v>
      </c>
    </row>
    <row r="26" spans="1:12" ht="16.2" customHeight="1" x14ac:dyDescent="0.3">
      <c r="A26" s="95"/>
      <c r="B26" s="25">
        <f t="shared" si="1"/>
        <v>1</v>
      </c>
      <c r="C26" s="25"/>
      <c r="D26" s="25">
        <f t="shared" si="8"/>
        <v>1450</v>
      </c>
      <c r="E26" s="35">
        <f t="shared" si="9"/>
        <v>720</v>
      </c>
      <c r="F26" s="35"/>
      <c r="G26" s="96" t="str">
        <f t="shared" si="5"/>
        <v xml:space="preserve">E/R 1 CARA MDF 18MM FALDON </v>
      </c>
      <c r="H26" s="1"/>
      <c r="J26" s="3">
        <f t="shared" ref="J26:K26" si="17">J54</f>
        <v>1</v>
      </c>
      <c r="K26" s="4">
        <f t="shared" si="17"/>
        <v>1430</v>
      </c>
      <c r="L26" s="4">
        <f t="shared" si="7"/>
        <v>700</v>
      </c>
    </row>
    <row r="27" spans="1:12" ht="16.2" customHeight="1" x14ac:dyDescent="0.3">
      <c r="A27" s="95"/>
      <c r="B27" s="25">
        <f t="shared" si="1"/>
        <v>1</v>
      </c>
      <c r="C27" s="25"/>
      <c r="D27" s="25">
        <f t="shared" si="8"/>
        <v>1480</v>
      </c>
      <c r="E27" s="35">
        <f t="shared" si="9"/>
        <v>720</v>
      </c>
      <c r="F27" s="35"/>
      <c r="G27" s="96" t="str">
        <f t="shared" si="5"/>
        <v xml:space="preserve">E/R 1 CARA MDF 18MM FALDON </v>
      </c>
      <c r="H27" s="1"/>
      <c r="J27" s="3">
        <f t="shared" ref="J27:K27" si="18">J55</f>
        <v>1</v>
      </c>
      <c r="K27" s="4">
        <f t="shared" si="18"/>
        <v>1460</v>
      </c>
      <c r="L27" s="4">
        <f t="shared" si="7"/>
        <v>700</v>
      </c>
    </row>
    <row r="28" spans="1:12" ht="16.2" customHeight="1" x14ac:dyDescent="0.3">
      <c r="A28" s="95"/>
      <c r="B28" s="25">
        <f t="shared" ref="B28" si="19">J28</f>
        <v>2</v>
      </c>
      <c r="C28" s="25" t="s">
        <v>155</v>
      </c>
      <c r="D28" s="25">
        <f t="shared" si="8"/>
        <v>640</v>
      </c>
      <c r="E28" s="35">
        <f t="shared" si="9"/>
        <v>370</v>
      </c>
      <c r="F28" s="35"/>
      <c r="G28" s="96" t="str">
        <f t="shared" ref="G28" si="20">C81</f>
        <v xml:space="preserve">E/R 1 CARA MDF 18MM FALDON </v>
      </c>
      <c r="H28" s="1"/>
      <c r="J28" s="3">
        <f>J56</f>
        <v>2</v>
      </c>
      <c r="K28" s="4">
        <f>K56</f>
        <v>620</v>
      </c>
      <c r="L28" s="4">
        <f t="shared" ref="L28" si="21">E81</f>
        <v>350</v>
      </c>
    </row>
    <row r="29" spans="1:12" ht="16.2" customHeight="1" x14ac:dyDescent="0.3">
      <c r="A29" s="95"/>
      <c r="B29" s="25">
        <f t="shared" si="1"/>
        <v>2</v>
      </c>
      <c r="C29" s="25"/>
      <c r="D29" s="25">
        <f t="shared" si="8"/>
        <v>1300</v>
      </c>
      <c r="E29" s="35">
        <f t="shared" si="9"/>
        <v>720</v>
      </c>
      <c r="F29" s="35"/>
      <c r="G29" s="96" t="str">
        <f>C82</f>
        <v xml:space="preserve">E/R 1 CARA MDF 18MM FALDON </v>
      </c>
      <c r="H29" s="1"/>
      <c r="J29" s="3">
        <f t="shared" ref="J29:K29" si="22">J57</f>
        <v>2</v>
      </c>
      <c r="K29" s="4">
        <f t="shared" si="22"/>
        <v>1280</v>
      </c>
      <c r="L29" s="4">
        <f>E82</f>
        <v>700</v>
      </c>
    </row>
    <row r="30" spans="1:12" ht="16.2" customHeight="1" x14ac:dyDescent="0.3">
      <c r="A30" s="95"/>
      <c r="B30" s="25">
        <f t="shared" si="1"/>
        <v>1</v>
      </c>
      <c r="C30" s="25"/>
      <c r="D30" s="25">
        <f t="shared" si="8"/>
        <v>1330</v>
      </c>
      <c r="E30" s="35">
        <f t="shared" si="9"/>
        <v>720</v>
      </c>
      <c r="F30" s="35"/>
      <c r="G30" s="96" t="str">
        <f>C83</f>
        <v xml:space="preserve">E/R 1 CARA MDF 18MM FALDON </v>
      </c>
      <c r="H30" s="1"/>
      <c r="J30" s="3">
        <f t="shared" ref="J30:K30" si="23">J58</f>
        <v>1</v>
      </c>
      <c r="K30" s="4">
        <f t="shared" si="23"/>
        <v>1310</v>
      </c>
      <c r="L30" s="4">
        <f>E83</f>
        <v>700</v>
      </c>
    </row>
    <row r="31" spans="1:12" ht="16.2" customHeight="1" x14ac:dyDescent="0.3">
      <c r="A31" s="95"/>
      <c r="B31" s="25">
        <f t="shared" si="1"/>
        <v>1</v>
      </c>
      <c r="C31" s="25"/>
      <c r="D31" s="25">
        <f t="shared" si="8"/>
        <v>1880</v>
      </c>
      <c r="E31" s="35">
        <f t="shared" si="9"/>
        <v>720</v>
      </c>
      <c r="F31" s="35"/>
      <c r="G31" s="96" t="str">
        <f>C84</f>
        <v xml:space="preserve">E/R 1 CARA MDF 18MM FALDON </v>
      </c>
      <c r="H31" s="1"/>
      <c r="J31" s="3">
        <f t="shared" ref="J31:K31" si="24">J59</f>
        <v>1</v>
      </c>
      <c r="K31" s="4">
        <f t="shared" si="24"/>
        <v>1860</v>
      </c>
      <c r="L31" s="4">
        <f>E84</f>
        <v>700</v>
      </c>
    </row>
    <row r="32" spans="1:12" ht="16.2" customHeight="1" x14ac:dyDescent="0.3">
      <c r="A32" s="95"/>
      <c r="B32" s="25">
        <f t="shared" si="1"/>
        <v>2</v>
      </c>
      <c r="C32" s="25"/>
      <c r="D32" s="25">
        <f t="shared" si="8"/>
        <v>1600</v>
      </c>
      <c r="E32" s="35">
        <f t="shared" si="9"/>
        <v>720</v>
      </c>
      <c r="F32" s="35"/>
      <c r="G32" s="96" t="str">
        <f>C85</f>
        <v xml:space="preserve">E/R 1 CARA MDF 18MM FALDON </v>
      </c>
      <c r="H32" s="1"/>
      <c r="J32" s="3">
        <f t="shared" ref="J32:K32" si="25">J60</f>
        <v>2</v>
      </c>
      <c r="K32" s="4">
        <f t="shared" si="25"/>
        <v>1580</v>
      </c>
      <c r="L32" s="4">
        <f>E85</f>
        <v>700</v>
      </c>
    </row>
    <row r="33" spans="1:14" ht="16.2" customHeight="1" x14ac:dyDescent="0.3">
      <c r="A33" s="95"/>
      <c r="B33" s="25">
        <f t="shared" si="1"/>
        <v>1</v>
      </c>
      <c r="C33" s="25"/>
      <c r="D33" s="25">
        <f t="shared" si="8"/>
        <v>1690</v>
      </c>
      <c r="E33" s="35">
        <f t="shared" si="9"/>
        <v>720</v>
      </c>
      <c r="F33" s="35"/>
      <c r="G33" s="96" t="str">
        <f>C86</f>
        <v xml:space="preserve">E/R 1 CARA MDF 18MM FALDON </v>
      </c>
      <c r="H33" s="1"/>
      <c r="J33" s="3">
        <f t="shared" ref="J33:K33" si="26">J61</f>
        <v>1</v>
      </c>
      <c r="K33" s="4">
        <f t="shared" si="26"/>
        <v>1670</v>
      </c>
      <c r="L33" s="4">
        <f>E86</f>
        <v>700</v>
      </c>
    </row>
    <row r="34" spans="1:14" ht="16.2" customHeight="1" x14ac:dyDescent="0.3">
      <c r="A34" s="52" t="s">
        <v>9</v>
      </c>
      <c r="B34" s="37" t="s">
        <v>10</v>
      </c>
      <c r="C34" s="37" t="s">
        <v>11</v>
      </c>
      <c r="D34" s="32">
        <v>50</v>
      </c>
      <c r="E34" s="32">
        <v>-2</v>
      </c>
      <c r="F34" s="32"/>
      <c r="G34" s="37" t="s">
        <v>110</v>
      </c>
      <c r="H34" s="1"/>
      <c r="J34" s="3"/>
      <c r="K34" s="4"/>
      <c r="L34" s="4"/>
    </row>
    <row r="35" spans="1:14" ht="16.2" customHeight="1" x14ac:dyDescent="0.3">
      <c r="A35" s="95" t="s">
        <v>151</v>
      </c>
      <c r="B35" s="25">
        <f t="shared" si="1"/>
        <v>9</v>
      </c>
      <c r="C35" s="25"/>
      <c r="D35" s="25">
        <f>K35+D34</f>
        <v>600</v>
      </c>
      <c r="E35" s="35">
        <f>L35+E34</f>
        <v>396</v>
      </c>
      <c r="F35" s="35"/>
      <c r="G35" s="96" t="str">
        <f>C87</f>
        <v>PR6</v>
      </c>
      <c r="H35" s="1"/>
      <c r="J35" s="3">
        <f t="shared" ref="J35:K35" si="27">J62</f>
        <v>9</v>
      </c>
      <c r="K35" s="4">
        <f t="shared" si="27"/>
        <v>550</v>
      </c>
      <c r="L35" s="4">
        <f>E87</f>
        <v>398</v>
      </c>
    </row>
    <row r="36" spans="1:14" ht="16.2" customHeight="1" x14ac:dyDescent="0.3">
      <c r="A36" s="95"/>
      <c r="B36" s="6"/>
      <c r="C36" s="6"/>
      <c r="D36" s="6"/>
      <c r="E36" s="88"/>
      <c r="F36" s="88"/>
      <c r="G36" s="121"/>
      <c r="H36" s="1"/>
      <c r="J36" s="89"/>
      <c r="K36" s="2"/>
      <c r="L36" s="2"/>
    </row>
    <row r="37" spans="1:14" ht="15.6" x14ac:dyDescent="0.3">
      <c r="A37" s="52"/>
      <c r="B37" s="6"/>
      <c r="C37" s="6"/>
      <c r="D37" s="6"/>
      <c r="E37" s="88"/>
      <c r="F37" s="88"/>
      <c r="G37" s="6"/>
      <c r="H37" s="1"/>
      <c r="J37" s="89"/>
      <c r="K37" s="2"/>
      <c r="L37" s="2"/>
    </row>
    <row r="38" spans="1:14" ht="6.75" customHeight="1" x14ac:dyDescent="0.3">
      <c r="A38" s="1"/>
      <c r="B38" s="1"/>
      <c r="C38" s="1"/>
      <c r="D38" s="1"/>
      <c r="E38" s="1"/>
      <c r="F38" s="1"/>
      <c r="G38" s="1"/>
      <c r="H38" s="1"/>
    </row>
    <row r="39" spans="1:14" ht="15.6" x14ac:dyDescent="0.3">
      <c r="A39" s="131" t="s">
        <v>14</v>
      </c>
      <c r="B39" s="131"/>
      <c r="C39" s="131"/>
      <c r="D39" s="131"/>
      <c r="E39" s="131"/>
      <c r="F39" s="131"/>
      <c r="G39" s="131"/>
      <c r="H39" s="1"/>
    </row>
    <row r="40" spans="1:14" ht="10.5" customHeight="1" x14ac:dyDescent="0.3">
      <c r="A40" s="1"/>
      <c r="B40" s="1"/>
      <c r="C40" s="12"/>
      <c r="D40" s="1"/>
      <c r="E40" s="1"/>
      <c r="F40" s="1"/>
      <c r="G40" s="1"/>
      <c r="H40" s="1"/>
    </row>
    <row r="41" spans="1:14" ht="15.6" x14ac:dyDescent="0.3">
      <c r="A41" s="1"/>
      <c r="B41" s="1"/>
      <c r="C41" s="1"/>
      <c r="D41" s="52" t="s">
        <v>7</v>
      </c>
      <c r="E41" s="52" t="s">
        <v>8</v>
      </c>
      <c r="F41" s="52"/>
      <c r="G41" s="1"/>
      <c r="H41" s="1"/>
    </row>
    <row r="42" spans="1:14" ht="15.6" x14ac:dyDescent="0.3">
      <c r="A42" s="52" t="s">
        <v>9</v>
      </c>
      <c r="B42" s="36" t="s">
        <v>10</v>
      </c>
      <c r="C42" s="36" t="s">
        <v>11</v>
      </c>
      <c r="D42" s="21">
        <v>20</v>
      </c>
      <c r="E42" s="21">
        <v>20</v>
      </c>
      <c r="F42" s="21"/>
      <c r="G42" s="36" t="s">
        <v>110</v>
      </c>
      <c r="H42" s="1"/>
      <c r="K42" s="5" t="s">
        <v>7</v>
      </c>
      <c r="L42" s="5" t="s">
        <v>8</v>
      </c>
    </row>
    <row r="43" spans="1:14" ht="15.6" x14ac:dyDescent="0.3">
      <c r="A43" s="95"/>
      <c r="B43" s="16">
        <f t="shared" ref="B43" si="28">J43</f>
        <v>6</v>
      </c>
      <c r="C43" s="16"/>
      <c r="D43" s="16">
        <f>K43+D$42</f>
        <v>1520</v>
      </c>
      <c r="E43" s="16">
        <v>810</v>
      </c>
      <c r="F43" s="16"/>
      <c r="G43" s="97" t="str">
        <f>C68</f>
        <v>E/R 2 CARAS MDF 30MM FRONTAL</v>
      </c>
      <c r="H43" s="1"/>
      <c r="J43" s="3">
        <v>6</v>
      </c>
      <c r="K43" s="4">
        <f>D68</f>
        <v>1500</v>
      </c>
      <c r="L43" s="4">
        <f t="shared" ref="L43" si="29">E68</f>
        <v>800</v>
      </c>
      <c r="N43">
        <v>185</v>
      </c>
    </row>
    <row r="44" spans="1:14" ht="15.6" x14ac:dyDescent="0.3">
      <c r="A44" s="95"/>
      <c r="B44" s="16">
        <f t="shared" ref="B44:B59" si="30">J44</f>
        <v>4</v>
      </c>
      <c r="C44" s="16"/>
      <c r="D44" s="16">
        <f>K44+D$42</f>
        <v>1520</v>
      </c>
      <c r="E44" s="16">
        <f>L44+E$42</f>
        <v>1120</v>
      </c>
      <c r="F44" s="16"/>
      <c r="G44" s="97" t="str">
        <f t="shared" ref="G44:G45" si="31">C69</f>
        <v>E/R 2 CARAS MDF 30MM FRONTAL</v>
      </c>
      <c r="H44" s="1"/>
      <c r="J44" s="3">
        <v>4</v>
      </c>
      <c r="K44" s="4">
        <f t="shared" ref="K44:K45" si="32">D69</f>
        <v>1500</v>
      </c>
      <c r="L44" s="4">
        <f t="shared" ref="L44:L45" si="33">E69</f>
        <v>1100</v>
      </c>
    </row>
    <row r="45" spans="1:14" ht="15.6" x14ac:dyDescent="0.3">
      <c r="A45" s="95"/>
      <c r="B45" s="16">
        <f t="shared" si="30"/>
        <v>13</v>
      </c>
      <c r="C45" s="16"/>
      <c r="D45" s="16">
        <v>760</v>
      </c>
      <c r="E45" s="16">
        <v>480</v>
      </c>
      <c r="F45" s="16"/>
      <c r="G45" s="97" t="str">
        <f t="shared" si="31"/>
        <v>E/R 1 CARA MDF 30MM COSTADOS</v>
      </c>
      <c r="H45" s="1"/>
      <c r="J45" s="3">
        <f t="shared" ref="J45" si="34">B70</f>
        <v>13</v>
      </c>
      <c r="K45" s="4">
        <f t="shared" si="32"/>
        <v>750</v>
      </c>
      <c r="L45" s="4">
        <f t="shared" si="33"/>
        <v>460</v>
      </c>
    </row>
    <row r="46" spans="1:14" ht="15.6" x14ac:dyDescent="0.3">
      <c r="A46" s="95"/>
      <c r="B46" s="16">
        <f t="shared" si="30"/>
        <v>1</v>
      </c>
      <c r="C46" s="122" t="s">
        <v>154</v>
      </c>
      <c r="D46" s="16">
        <f t="shared" ref="D46:E55" si="35">K46+D$42</f>
        <v>1450</v>
      </c>
      <c r="E46" s="16">
        <f t="shared" si="35"/>
        <v>720</v>
      </c>
      <c r="F46" s="16"/>
      <c r="G46" s="97" t="str">
        <f t="shared" ref="G46:G59" si="36">C71</f>
        <v>CUB FRENTE RECTO 2 LADOS</v>
      </c>
      <c r="H46" s="1"/>
      <c r="J46" s="3">
        <f t="shared" ref="J46:J59" si="37">B71</f>
        <v>1</v>
      </c>
      <c r="K46" s="4">
        <f t="shared" ref="K46:K59" si="38">D71</f>
        <v>1430</v>
      </c>
      <c r="L46" s="4">
        <f t="shared" ref="L46:L59" si="39">E71</f>
        <v>700</v>
      </c>
    </row>
    <row r="47" spans="1:14" ht="15.6" x14ac:dyDescent="0.3">
      <c r="A47" s="95"/>
      <c r="B47" s="16">
        <f t="shared" si="30"/>
        <v>1</v>
      </c>
      <c r="C47" s="122" t="s">
        <v>154</v>
      </c>
      <c r="D47" s="16">
        <f t="shared" si="35"/>
        <v>1480</v>
      </c>
      <c r="E47" s="16">
        <f t="shared" si="35"/>
        <v>720</v>
      </c>
      <c r="F47" s="16"/>
      <c r="G47" s="97" t="str">
        <f t="shared" si="36"/>
        <v>CUB FRENTE RECTO 2 LADOS</v>
      </c>
      <c r="H47" s="1"/>
      <c r="J47" s="3">
        <f t="shared" si="37"/>
        <v>1</v>
      </c>
      <c r="K47" s="4">
        <f t="shared" si="38"/>
        <v>1460</v>
      </c>
      <c r="L47" s="4">
        <f t="shared" si="39"/>
        <v>700</v>
      </c>
    </row>
    <row r="48" spans="1:14" ht="15.6" x14ac:dyDescent="0.3">
      <c r="A48" s="95"/>
      <c r="B48" s="16">
        <f t="shared" si="30"/>
        <v>2</v>
      </c>
      <c r="C48" s="122" t="s">
        <v>154</v>
      </c>
      <c r="D48" s="16">
        <f t="shared" si="35"/>
        <v>640</v>
      </c>
      <c r="E48" s="16">
        <f t="shared" si="35"/>
        <v>520</v>
      </c>
      <c r="F48" s="16"/>
      <c r="G48" s="97" t="str">
        <f t="shared" si="36"/>
        <v>CUB FRENTE RECTO 2 LADOS</v>
      </c>
      <c r="H48" s="1"/>
      <c r="J48" s="3">
        <f t="shared" si="37"/>
        <v>2</v>
      </c>
      <c r="K48" s="4">
        <f t="shared" si="38"/>
        <v>620</v>
      </c>
      <c r="L48" s="4">
        <f t="shared" si="39"/>
        <v>500</v>
      </c>
    </row>
    <row r="49" spans="1:12" ht="15.6" x14ac:dyDescent="0.3">
      <c r="A49" s="95"/>
      <c r="B49" s="16">
        <f t="shared" si="30"/>
        <v>2</v>
      </c>
      <c r="C49" s="122" t="s">
        <v>154</v>
      </c>
      <c r="D49" s="16">
        <f t="shared" si="35"/>
        <v>1300</v>
      </c>
      <c r="E49" s="16">
        <f t="shared" si="35"/>
        <v>720</v>
      </c>
      <c r="F49" s="16"/>
      <c r="G49" s="97" t="str">
        <f t="shared" si="36"/>
        <v>CUB FRENTE RECTO 2 LADOS</v>
      </c>
      <c r="H49" s="1"/>
      <c r="J49" s="3">
        <f t="shared" si="37"/>
        <v>2</v>
      </c>
      <c r="K49" s="4">
        <f t="shared" si="38"/>
        <v>1280</v>
      </c>
      <c r="L49" s="4">
        <f t="shared" si="39"/>
        <v>700</v>
      </c>
    </row>
    <row r="50" spans="1:12" ht="15.6" x14ac:dyDescent="0.3">
      <c r="A50" s="95"/>
      <c r="B50" s="16">
        <f t="shared" si="30"/>
        <v>1</v>
      </c>
      <c r="C50" s="122" t="s">
        <v>154</v>
      </c>
      <c r="D50" s="16">
        <f t="shared" si="35"/>
        <v>1330</v>
      </c>
      <c r="E50" s="16">
        <f t="shared" si="35"/>
        <v>720</v>
      </c>
      <c r="F50" s="16"/>
      <c r="G50" s="97" t="str">
        <f t="shared" si="36"/>
        <v>CUB FRENTE RECTO 2 LADOS</v>
      </c>
      <c r="H50" s="1"/>
      <c r="J50" s="3">
        <f t="shared" si="37"/>
        <v>1</v>
      </c>
      <c r="K50" s="4">
        <f t="shared" si="38"/>
        <v>1310</v>
      </c>
      <c r="L50" s="4">
        <f t="shared" si="39"/>
        <v>700</v>
      </c>
    </row>
    <row r="51" spans="1:12" ht="15.6" x14ac:dyDescent="0.3">
      <c r="A51" s="95"/>
      <c r="B51" s="16">
        <f t="shared" si="30"/>
        <v>1</v>
      </c>
      <c r="C51" s="122" t="s">
        <v>154</v>
      </c>
      <c r="D51" s="16">
        <f t="shared" si="35"/>
        <v>1880</v>
      </c>
      <c r="E51" s="16">
        <f t="shared" si="35"/>
        <v>720</v>
      </c>
      <c r="F51" s="16"/>
      <c r="G51" s="97" t="str">
        <f t="shared" si="36"/>
        <v>CUB FRENTE RECTO 2 LADOS</v>
      </c>
      <c r="H51" s="1"/>
      <c r="J51" s="3">
        <f t="shared" si="37"/>
        <v>1</v>
      </c>
      <c r="K51" s="4">
        <f t="shared" si="38"/>
        <v>1860</v>
      </c>
      <c r="L51" s="4">
        <f t="shared" si="39"/>
        <v>700</v>
      </c>
    </row>
    <row r="52" spans="1:12" ht="15.6" x14ac:dyDescent="0.3">
      <c r="A52" s="95"/>
      <c r="B52" s="16">
        <f t="shared" si="30"/>
        <v>2</v>
      </c>
      <c r="C52" s="122" t="s">
        <v>154</v>
      </c>
      <c r="D52" s="16">
        <f t="shared" si="35"/>
        <v>1600</v>
      </c>
      <c r="E52" s="16">
        <f t="shared" si="35"/>
        <v>720</v>
      </c>
      <c r="F52" s="16"/>
      <c r="G52" s="97" t="str">
        <f t="shared" si="36"/>
        <v>CUB FRENTE RECTO 2 LADOS</v>
      </c>
      <c r="H52" s="1"/>
      <c r="J52" s="3">
        <f t="shared" si="37"/>
        <v>2</v>
      </c>
      <c r="K52" s="4">
        <f t="shared" si="38"/>
        <v>1580</v>
      </c>
      <c r="L52" s="4">
        <f t="shared" si="39"/>
        <v>700</v>
      </c>
    </row>
    <row r="53" spans="1:12" ht="15.6" x14ac:dyDescent="0.3">
      <c r="A53" s="95"/>
      <c r="B53" s="16">
        <f t="shared" si="30"/>
        <v>1</v>
      </c>
      <c r="C53" s="122" t="s">
        <v>154</v>
      </c>
      <c r="D53" s="16">
        <f t="shared" si="35"/>
        <v>1690</v>
      </c>
      <c r="E53" s="16">
        <f t="shared" si="35"/>
        <v>720</v>
      </c>
      <c r="F53" s="16"/>
      <c r="G53" s="97" t="str">
        <f t="shared" si="36"/>
        <v>CUB FRENTE RECTO 2 LADOS</v>
      </c>
      <c r="H53" s="1"/>
      <c r="J53" s="3">
        <f t="shared" si="37"/>
        <v>1</v>
      </c>
      <c r="K53" s="4">
        <f t="shared" si="38"/>
        <v>1670</v>
      </c>
      <c r="L53" s="4">
        <f t="shared" si="39"/>
        <v>700</v>
      </c>
    </row>
    <row r="54" spans="1:12" ht="15.6" x14ac:dyDescent="0.3">
      <c r="A54" s="95"/>
      <c r="B54" s="16">
        <f t="shared" si="30"/>
        <v>1</v>
      </c>
      <c r="C54" s="16"/>
      <c r="D54" s="16">
        <f t="shared" ref="D54:D59" si="40">K54+D$42</f>
        <v>1450</v>
      </c>
      <c r="E54" s="16">
        <f t="shared" si="35"/>
        <v>720</v>
      </c>
      <c r="F54" s="16"/>
      <c r="G54" s="97" t="str">
        <f t="shared" si="36"/>
        <v xml:space="preserve">E/R 1 CARA MDF 18MM FALDON </v>
      </c>
      <c r="H54" s="1"/>
      <c r="J54" s="3">
        <f t="shared" si="37"/>
        <v>1</v>
      </c>
      <c r="K54" s="4">
        <f t="shared" si="38"/>
        <v>1430</v>
      </c>
      <c r="L54" s="4">
        <f t="shared" si="39"/>
        <v>700</v>
      </c>
    </row>
    <row r="55" spans="1:12" ht="15.6" x14ac:dyDescent="0.3">
      <c r="A55" s="95"/>
      <c r="B55" s="16">
        <f t="shared" si="30"/>
        <v>1</v>
      </c>
      <c r="C55" s="16"/>
      <c r="D55" s="16">
        <f t="shared" si="40"/>
        <v>1480</v>
      </c>
      <c r="E55" s="16">
        <f t="shared" si="35"/>
        <v>720</v>
      </c>
      <c r="F55" s="16"/>
      <c r="G55" s="97" t="str">
        <f t="shared" si="36"/>
        <v xml:space="preserve">E/R 1 CARA MDF 18MM FALDON </v>
      </c>
      <c r="H55" s="1"/>
      <c r="J55" s="3">
        <f t="shared" si="37"/>
        <v>1</v>
      </c>
      <c r="K55" s="4">
        <f t="shared" si="38"/>
        <v>1460</v>
      </c>
      <c r="L55" s="4">
        <f t="shared" si="39"/>
        <v>700</v>
      </c>
    </row>
    <row r="56" spans="1:12" ht="15.6" x14ac:dyDescent="0.3">
      <c r="A56" s="95"/>
      <c r="B56" s="16">
        <f t="shared" ref="B56" si="41">J56</f>
        <v>2</v>
      </c>
      <c r="C56" s="16"/>
      <c r="D56" s="16">
        <f t="shared" ref="D56" si="42">K56+D$42</f>
        <v>640</v>
      </c>
      <c r="E56" s="16">
        <f>L56+20</f>
        <v>370</v>
      </c>
      <c r="F56" s="16"/>
      <c r="G56" s="97" t="str">
        <f t="shared" si="36"/>
        <v xml:space="preserve">E/R 1 CARA MDF 18MM FALDON </v>
      </c>
      <c r="H56" s="1"/>
      <c r="J56" s="3">
        <f t="shared" si="37"/>
        <v>2</v>
      </c>
      <c r="K56" s="4">
        <f t="shared" si="38"/>
        <v>620</v>
      </c>
      <c r="L56" s="4">
        <f t="shared" si="39"/>
        <v>350</v>
      </c>
    </row>
    <row r="57" spans="1:12" ht="15.6" x14ac:dyDescent="0.3">
      <c r="A57" s="95"/>
      <c r="B57" s="16">
        <f t="shared" si="30"/>
        <v>2</v>
      </c>
      <c r="C57" s="16"/>
      <c r="D57" s="16">
        <f t="shared" si="40"/>
        <v>1300</v>
      </c>
      <c r="E57" s="16">
        <f>E55</f>
        <v>720</v>
      </c>
      <c r="F57" s="16"/>
      <c r="G57" s="97" t="str">
        <f t="shared" si="36"/>
        <v xml:space="preserve">E/R 1 CARA MDF 18MM FALDON </v>
      </c>
      <c r="H57" s="1"/>
      <c r="J57" s="3">
        <f t="shared" si="37"/>
        <v>2</v>
      </c>
      <c r="K57" s="4">
        <f t="shared" si="38"/>
        <v>1280</v>
      </c>
      <c r="L57" s="4">
        <f t="shared" si="39"/>
        <v>700</v>
      </c>
    </row>
    <row r="58" spans="1:12" ht="15.6" x14ac:dyDescent="0.3">
      <c r="A58" s="95"/>
      <c r="B58" s="16">
        <f t="shared" si="30"/>
        <v>1</v>
      </c>
      <c r="C58" s="16"/>
      <c r="D58" s="16">
        <f t="shared" si="40"/>
        <v>1330</v>
      </c>
      <c r="E58" s="16">
        <v>720</v>
      </c>
      <c r="F58" s="16"/>
      <c r="G58" s="97" t="str">
        <f t="shared" si="36"/>
        <v xml:space="preserve">E/R 1 CARA MDF 18MM FALDON </v>
      </c>
      <c r="H58" s="1"/>
      <c r="J58" s="3">
        <f t="shared" si="37"/>
        <v>1</v>
      </c>
      <c r="K58" s="4">
        <f t="shared" si="38"/>
        <v>1310</v>
      </c>
      <c r="L58" s="4">
        <f t="shared" si="39"/>
        <v>700</v>
      </c>
    </row>
    <row r="59" spans="1:12" ht="15.6" x14ac:dyDescent="0.3">
      <c r="A59" s="95"/>
      <c r="B59" s="16">
        <f t="shared" si="30"/>
        <v>1</v>
      </c>
      <c r="C59" s="16"/>
      <c r="D59" s="16">
        <f t="shared" si="40"/>
        <v>1880</v>
      </c>
      <c r="E59" s="16">
        <f t="shared" ref="E59:E61" si="43">E57</f>
        <v>720</v>
      </c>
      <c r="F59" s="16"/>
      <c r="G59" s="97" t="str">
        <f t="shared" si="36"/>
        <v xml:space="preserve">E/R 1 CARA MDF 18MM FALDON </v>
      </c>
      <c r="H59" s="1"/>
      <c r="J59" s="3">
        <f t="shared" si="37"/>
        <v>1</v>
      </c>
      <c r="K59" s="4">
        <f t="shared" si="38"/>
        <v>1860</v>
      </c>
      <c r="L59" s="4">
        <f t="shared" si="39"/>
        <v>700</v>
      </c>
    </row>
    <row r="60" spans="1:12" ht="15.6" x14ac:dyDescent="0.3">
      <c r="A60" s="95"/>
      <c r="B60" s="16">
        <f t="shared" ref="B60" si="44">J60</f>
        <v>2</v>
      </c>
      <c r="C60" s="16"/>
      <c r="D60" s="16">
        <f t="shared" ref="D60" si="45">K60+D$42</f>
        <v>1600</v>
      </c>
      <c r="E60" s="16">
        <f t="shared" si="43"/>
        <v>720</v>
      </c>
      <c r="F60" s="16"/>
      <c r="G60" s="97" t="str">
        <f t="shared" ref="G60" si="46">C85</f>
        <v xml:space="preserve">E/R 1 CARA MDF 18MM FALDON </v>
      </c>
      <c r="H60" s="1"/>
      <c r="J60" s="3">
        <f t="shared" ref="J60" si="47">B85</f>
        <v>2</v>
      </c>
      <c r="K60" s="4">
        <f t="shared" ref="K60" si="48">D85</f>
        <v>1580</v>
      </c>
      <c r="L60" s="4">
        <f t="shared" ref="L60" si="49">E85</f>
        <v>700</v>
      </c>
    </row>
    <row r="61" spans="1:12" ht="15.6" x14ac:dyDescent="0.3">
      <c r="A61" s="95"/>
      <c r="B61" s="16">
        <f t="shared" ref="B61:B62" si="50">J61</f>
        <v>1</v>
      </c>
      <c r="C61" s="16"/>
      <c r="D61" s="16">
        <f t="shared" ref="D61" si="51">K61+D$42</f>
        <v>1690</v>
      </c>
      <c r="E61" s="16">
        <f t="shared" si="43"/>
        <v>720</v>
      </c>
      <c r="F61" s="16"/>
      <c r="G61" s="97" t="str">
        <f t="shared" ref="G61:G62" si="52">C86</f>
        <v xml:space="preserve">E/R 1 CARA MDF 18MM FALDON </v>
      </c>
      <c r="H61" s="1"/>
      <c r="J61" s="3">
        <f t="shared" ref="J61:J62" si="53">B86</f>
        <v>1</v>
      </c>
      <c r="K61" s="4">
        <f t="shared" ref="K61:K62" si="54">D86</f>
        <v>1670</v>
      </c>
      <c r="L61" s="4">
        <f t="shared" ref="L61:L62" si="55">E86</f>
        <v>700</v>
      </c>
    </row>
    <row r="62" spans="1:12" ht="15.6" x14ac:dyDescent="0.3">
      <c r="A62" s="95"/>
      <c r="B62" s="16">
        <f t="shared" si="50"/>
        <v>9</v>
      </c>
      <c r="C62" s="16"/>
      <c r="D62" s="16">
        <f>K62+40</f>
        <v>590</v>
      </c>
      <c r="E62" s="16">
        <f>L62+90</f>
        <v>488</v>
      </c>
      <c r="F62" s="16"/>
      <c r="G62" s="97" t="str">
        <f t="shared" si="52"/>
        <v>PR6</v>
      </c>
      <c r="H62" s="1"/>
      <c r="J62" s="3">
        <f t="shared" si="53"/>
        <v>9</v>
      </c>
      <c r="K62" s="4">
        <f t="shared" si="54"/>
        <v>550</v>
      </c>
      <c r="L62" s="4">
        <f t="shared" si="55"/>
        <v>398</v>
      </c>
    </row>
    <row r="63" spans="1:12" ht="15.6" x14ac:dyDescent="0.3">
      <c r="A63" s="95"/>
      <c r="B63" s="6"/>
      <c r="C63" s="6"/>
      <c r="D63" s="6"/>
      <c r="E63" s="6"/>
      <c r="F63" s="6"/>
      <c r="G63" s="121"/>
      <c r="H63" s="1"/>
      <c r="J63" s="89"/>
      <c r="K63" s="2"/>
      <c r="L63" s="2"/>
    </row>
    <row r="64" spans="1:12" ht="16.2" thickBot="1" x14ac:dyDescent="0.35">
      <c r="A64" s="52"/>
      <c r="B64" s="6"/>
      <c r="C64" s="6"/>
      <c r="D64" s="6"/>
      <c r="E64" s="6"/>
      <c r="F64" s="6"/>
      <c r="G64" s="6"/>
      <c r="H64" s="1"/>
      <c r="J64" s="2"/>
      <c r="K64" s="2"/>
      <c r="L64" s="2"/>
    </row>
    <row r="65" spans="1:12" ht="16.2" thickBot="1" x14ac:dyDescent="0.35">
      <c r="A65" s="52"/>
      <c r="B65" s="22" t="s">
        <v>107</v>
      </c>
      <c r="C65" s="23"/>
      <c r="D65" s="23"/>
      <c r="E65" s="23"/>
      <c r="F65" s="23"/>
      <c r="G65" s="24"/>
      <c r="H65" s="1"/>
      <c r="J65" s="2"/>
      <c r="K65" s="2"/>
      <c r="L65" s="2"/>
    </row>
    <row r="66" spans="1:12" ht="10.5" customHeight="1" x14ac:dyDescent="0.3">
      <c r="A66" s="1"/>
      <c r="B66" s="1"/>
      <c r="C66" s="1"/>
      <c r="D66" s="1"/>
      <c r="E66" s="1"/>
      <c r="F66" s="1"/>
      <c r="G66" s="1"/>
      <c r="H66" s="1"/>
    </row>
    <row r="67" spans="1:12" ht="15.6" x14ac:dyDescent="0.3">
      <c r="A67" s="52" t="s">
        <v>9</v>
      </c>
      <c r="B67" s="87" t="s">
        <v>10</v>
      </c>
      <c r="C67" s="87" t="s">
        <v>110</v>
      </c>
      <c r="D67" s="87" t="s">
        <v>7</v>
      </c>
      <c r="E67" s="87" t="s">
        <v>8</v>
      </c>
      <c r="F67" s="118" t="str">
        <f>F107</f>
        <v>CANTOS PVC</v>
      </c>
      <c r="G67" s="87" t="s">
        <v>23</v>
      </c>
      <c r="H67" s="1"/>
    </row>
    <row r="68" spans="1:12" ht="15.6" x14ac:dyDescent="0.3">
      <c r="A68" s="95"/>
      <c r="B68" s="25">
        <f>'4637'!B22</f>
        <v>3</v>
      </c>
      <c r="C68" s="106" t="str">
        <f>'4637'!C22</f>
        <v>E/R 2 CARAS MDF 30MM FRONTAL</v>
      </c>
      <c r="D68" s="25">
        <f>'4637'!D22</f>
        <v>1500</v>
      </c>
      <c r="E68" s="25">
        <f>'4637'!E22</f>
        <v>800</v>
      </c>
      <c r="F68" s="118" t="str">
        <f>F108</f>
        <v>2L 1A</v>
      </c>
      <c r="G68" s="25" t="str">
        <f>'4637'!G22</f>
        <v>SILVER LEGNO OAK 10879 SF</v>
      </c>
      <c r="H68" s="1"/>
      <c r="I68">
        <f>D68*2*B68</f>
        <v>9000</v>
      </c>
      <c r="K68">
        <f>E68*B68</f>
        <v>2400</v>
      </c>
    </row>
    <row r="69" spans="1:12" ht="15.6" x14ac:dyDescent="0.3">
      <c r="A69" s="95"/>
      <c r="B69" s="25">
        <f>'4637'!B23</f>
        <v>2</v>
      </c>
      <c r="C69" s="106" t="str">
        <f>'4637'!C23</f>
        <v>E/R 2 CARAS MDF 30MM FRONTAL</v>
      </c>
      <c r="D69" s="25">
        <f>'4637'!D23</f>
        <v>1500</v>
      </c>
      <c r="E69" s="25">
        <f>'4637'!E23</f>
        <v>1100</v>
      </c>
      <c r="F69" s="118" t="str">
        <f t="shared" ref="F69:F70" si="56">F109</f>
        <v>2L 1A</v>
      </c>
      <c r="G69" s="25" t="str">
        <f>'4637'!G23</f>
        <v>SILVER LEGNO OAK 10879 SF</v>
      </c>
      <c r="H69" s="1"/>
      <c r="I69">
        <f>D69*2*B69</f>
        <v>6000</v>
      </c>
      <c r="K69">
        <f>E69*B69</f>
        <v>2200</v>
      </c>
    </row>
    <row r="70" spans="1:12" ht="15.6" x14ac:dyDescent="0.3">
      <c r="A70" s="95"/>
      <c r="B70" s="25">
        <f>'4637'!B24</f>
        <v>13</v>
      </c>
      <c r="C70" s="106" t="str">
        <f>'4637'!C24</f>
        <v>E/R 1 CARA MDF 30MM COSTADOS</v>
      </c>
      <c r="D70" s="25">
        <f>'4637'!D24</f>
        <v>750</v>
      </c>
      <c r="E70" s="25">
        <f>'4637'!E24</f>
        <v>460</v>
      </c>
      <c r="F70" s="118" t="str">
        <f t="shared" si="56"/>
        <v>1L</v>
      </c>
      <c r="G70" s="25" t="str">
        <f>'4637'!G24</f>
        <v>SILVER LEGNO OAK 10879 SF</v>
      </c>
      <c r="H70" s="1"/>
      <c r="I70">
        <f>D70*B70</f>
        <v>9750</v>
      </c>
    </row>
    <row r="71" spans="1:12" ht="15.6" x14ac:dyDescent="0.3">
      <c r="A71" s="95"/>
      <c r="B71" s="25">
        <f>'4637'!B26</f>
        <v>1</v>
      </c>
      <c r="C71" s="106" t="str">
        <f>'4637'!C26</f>
        <v>CUB FRENTE RECTO 2 LADOS</v>
      </c>
      <c r="D71" s="25">
        <f>'4637'!D26</f>
        <v>1430</v>
      </c>
      <c r="E71" s="25">
        <f>'4637'!E26</f>
        <v>700</v>
      </c>
      <c r="F71" s="118" t="str">
        <f t="shared" ref="F71:F87" si="57">F111</f>
        <v>2L</v>
      </c>
      <c r="G71" s="25" t="str">
        <f>'4637'!G26</f>
        <v>FASHION GREY 21371 SF</v>
      </c>
      <c r="H71" s="1"/>
      <c r="I71">
        <f>D71*2</f>
        <v>2860</v>
      </c>
    </row>
    <row r="72" spans="1:12" ht="15.6" x14ac:dyDescent="0.3">
      <c r="A72" s="95"/>
      <c r="B72" s="25">
        <f>'4637'!B27</f>
        <v>1</v>
      </c>
      <c r="C72" s="106" t="str">
        <f>'4637'!C27</f>
        <v>CUB FRENTE RECTO 2 LADOS</v>
      </c>
      <c r="D72" s="25">
        <f>'4637'!D27</f>
        <v>1460</v>
      </c>
      <c r="E72" s="25">
        <f>'4637'!E27</f>
        <v>700</v>
      </c>
      <c r="F72" s="118" t="str">
        <f t="shared" si="57"/>
        <v>2L</v>
      </c>
      <c r="G72" s="25" t="str">
        <f>'4637'!G27</f>
        <v>FASHION GREY 21371 SF</v>
      </c>
      <c r="H72" s="1"/>
      <c r="I72">
        <f>D72*2</f>
        <v>2920</v>
      </c>
    </row>
    <row r="73" spans="1:12" ht="15.6" x14ac:dyDescent="0.3">
      <c r="A73" s="95"/>
      <c r="B73" s="25">
        <f>'4637'!B28</f>
        <v>2</v>
      </c>
      <c r="C73" s="106" t="str">
        <f>'4637'!C28</f>
        <v>CUB FRENTE RECTO 2 LADOS</v>
      </c>
      <c r="D73" s="25">
        <f>'4637'!D28</f>
        <v>620</v>
      </c>
      <c r="E73" s="25">
        <f>'4637'!E28</f>
        <v>500</v>
      </c>
      <c r="F73" s="118" t="str">
        <f t="shared" si="57"/>
        <v>1A</v>
      </c>
      <c r="G73" s="25" t="str">
        <f>'4637'!G28</f>
        <v>FASHION GREY 21371 SF</v>
      </c>
      <c r="H73" s="1"/>
      <c r="K73">
        <f>E73*B73</f>
        <v>1000</v>
      </c>
    </row>
    <row r="74" spans="1:12" ht="15.6" x14ac:dyDescent="0.3">
      <c r="A74" s="95"/>
      <c r="B74" s="25">
        <f>'4637'!B29</f>
        <v>2</v>
      </c>
      <c r="C74" s="106" t="str">
        <f>'4637'!C29</f>
        <v>CUB FRENTE RECTO 2 LADOS</v>
      </c>
      <c r="D74" s="25">
        <f>'4637'!D29</f>
        <v>1280</v>
      </c>
      <c r="E74" s="25">
        <f>'4637'!E29</f>
        <v>700</v>
      </c>
      <c r="F74" s="118" t="str">
        <f t="shared" si="57"/>
        <v>2L</v>
      </c>
      <c r="G74" s="25" t="str">
        <f>'4637'!G29</f>
        <v>FASHION GREY 21371 SF</v>
      </c>
      <c r="H74" s="1"/>
      <c r="I74">
        <f>D74*2*B74</f>
        <v>5120</v>
      </c>
    </row>
    <row r="75" spans="1:12" ht="15.6" x14ac:dyDescent="0.3">
      <c r="A75" s="95"/>
      <c r="B75" s="25">
        <f>'4637'!B30</f>
        <v>1</v>
      </c>
      <c r="C75" s="106" t="str">
        <f>'4637'!C30</f>
        <v>CUB FRENTE RECTO 2 LADOS</v>
      </c>
      <c r="D75" s="25">
        <f>'4637'!D30</f>
        <v>1310</v>
      </c>
      <c r="E75" s="25">
        <f>'4637'!E30</f>
        <v>700</v>
      </c>
      <c r="F75" s="118" t="str">
        <f t="shared" si="57"/>
        <v>2L</v>
      </c>
      <c r="G75" s="25" t="str">
        <f>'4637'!G30</f>
        <v>FASHION GREY 21371 SF</v>
      </c>
      <c r="H75" s="1"/>
      <c r="I75">
        <f>D75*2*B75</f>
        <v>2620</v>
      </c>
    </row>
    <row r="76" spans="1:12" ht="15.6" x14ac:dyDescent="0.3">
      <c r="A76" s="95"/>
      <c r="B76" s="25">
        <f>'4637'!B31</f>
        <v>1</v>
      </c>
      <c r="C76" s="106" t="str">
        <f>'4637'!C31</f>
        <v>CUB FRENTE RECTO 2 LADOS</v>
      </c>
      <c r="D76" s="25">
        <f>'4637'!D31</f>
        <v>1860</v>
      </c>
      <c r="E76" s="25">
        <f>'4637'!E31</f>
        <v>700</v>
      </c>
      <c r="F76" s="118" t="str">
        <f t="shared" si="57"/>
        <v>2L</v>
      </c>
      <c r="G76" s="25" t="str">
        <f>'4637'!G31</f>
        <v>FASHION GREY 21371 SF</v>
      </c>
      <c r="H76" s="1"/>
      <c r="I76">
        <f t="shared" ref="I76:I80" si="58">D76*2*B76</f>
        <v>3720</v>
      </c>
    </row>
    <row r="77" spans="1:12" ht="15.6" x14ac:dyDescent="0.3">
      <c r="A77" s="95"/>
      <c r="B77" s="25">
        <f>'4637'!B32</f>
        <v>2</v>
      </c>
      <c r="C77" s="106" t="str">
        <f>'4637'!C32</f>
        <v>CUB FRENTE RECTO 2 LADOS</v>
      </c>
      <c r="D77" s="25">
        <f>'4637'!D32</f>
        <v>1580</v>
      </c>
      <c r="E77" s="25">
        <f>'4637'!E32</f>
        <v>700</v>
      </c>
      <c r="F77" s="118" t="str">
        <f t="shared" si="57"/>
        <v>2L</v>
      </c>
      <c r="G77" s="25" t="str">
        <f>'4637'!G32</f>
        <v>FASHION GREY 21371 SF</v>
      </c>
      <c r="H77" s="1"/>
      <c r="I77">
        <f t="shared" si="58"/>
        <v>6320</v>
      </c>
    </row>
    <row r="78" spans="1:12" ht="15.6" x14ac:dyDescent="0.3">
      <c r="A78" s="95"/>
      <c r="B78" s="25">
        <f>'4637'!B33</f>
        <v>1</v>
      </c>
      <c r="C78" s="106" t="str">
        <f>'4637'!C33</f>
        <v>CUB FRENTE RECTO 2 LADOS</v>
      </c>
      <c r="D78" s="25">
        <f>'4637'!D33</f>
        <v>1670</v>
      </c>
      <c r="E78" s="25">
        <f>'4637'!E33</f>
        <v>700</v>
      </c>
      <c r="F78" s="118" t="str">
        <f t="shared" si="57"/>
        <v>2L</v>
      </c>
      <c r="G78" s="25" t="str">
        <f>'4637'!G33</f>
        <v>FASHION GREY 21371 SF</v>
      </c>
      <c r="H78" s="1"/>
      <c r="I78">
        <f t="shared" si="58"/>
        <v>3340</v>
      </c>
    </row>
    <row r="79" spans="1:12" ht="15.6" x14ac:dyDescent="0.3">
      <c r="A79" s="95"/>
      <c r="B79" s="25">
        <f>'4637'!B34</f>
        <v>1</v>
      </c>
      <c r="C79" s="106" t="str">
        <f>'4637'!C34</f>
        <v xml:space="preserve">E/R 1 CARA MDF 18MM FALDON </v>
      </c>
      <c r="D79" s="25">
        <f>'4637'!D34</f>
        <v>1430</v>
      </c>
      <c r="E79" s="25">
        <f>'4637'!E34</f>
        <v>700</v>
      </c>
      <c r="F79" s="118">
        <f t="shared" si="57"/>
        <v>0</v>
      </c>
      <c r="G79" s="25" t="str">
        <f>'4637'!G34</f>
        <v>FASHION GREY 21371 SF</v>
      </c>
      <c r="H79" s="1"/>
      <c r="I79">
        <f t="shared" si="58"/>
        <v>2860</v>
      </c>
    </row>
    <row r="80" spans="1:12" ht="15.6" x14ac:dyDescent="0.3">
      <c r="A80" s="95"/>
      <c r="B80" s="25">
        <f>'4637'!B35</f>
        <v>1</v>
      </c>
      <c r="C80" s="106" t="str">
        <f>'4637'!C35</f>
        <v xml:space="preserve">E/R 1 CARA MDF 18MM FALDON </v>
      </c>
      <c r="D80" s="25">
        <f>'4637'!D35</f>
        <v>1460</v>
      </c>
      <c r="E80" s="25">
        <f>'4637'!E35</f>
        <v>700</v>
      </c>
      <c r="F80" s="118">
        <f t="shared" si="57"/>
        <v>0</v>
      </c>
      <c r="G80" s="25" t="str">
        <f>'4637'!G35</f>
        <v>FASHION GREY 21371 SF</v>
      </c>
      <c r="H80" s="1"/>
      <c r="I80">
        <f t="shared" si="58"/>
        <v>2920</v>
      </c>
    </row>
    <row r="81" spans="1:11" ht="15.6" x14ac:dyDescent="0.3">
      <c r="A81" s="95"/>
      <c r="B81" s="25">
        <f>'4637'!B36</f>
        <v>2</v>
      </c>
      <c r="C81" s="106" t="str">
        <f>'4637'!C36</f>
        <v xml:space="preserve">E/R 1 CARA MDF 18MM FALDON </v>
      </c>
      <c r="D81" s="25">
        <f>'4637'!D36</f>
        <v>620</v>
      </c>
      <c r="E81" s="25">
        <f>'4637'!E36</f>
        <v>350</v>
      </c>
      <c r="F81" s="118" t="str">
        <f t="shared" si="57"/>
        <v>1L</v>
      </c>
      <c r="G81" s="25" t="str">
        <f>'4637'!G36</f>
        <v>FASHION GREY 21371 SF</v>
      </c>
      <c r="H81" s="1"/>
    </row>
    <row r="82" spans="1:11" ht="15.6" x14ac:dyDescent="0.3">
      <c r="A82" s="95"/>
      <c r="B82" s="25">
        <f>'4637'!B37</f>
        <v>2</v>
      </c>
      <c r="C82" s="106" t="str">
        <f>'4637'!C37</f>
        <v xml:space="preserve">E/R 1 CARA MDF 18MM FALDON </v>
      </c>
      <c r="D82" s="25">
        <f>'4637'!D37</f>
        <v>1280</v>
      </c>
      <c r="E82" s="25">
        <f>'4637'!E37</f>
        <v>700</v>
      </c>
      <c r="F82" s="118">
        <f t="shared" si="57"/>
        <v>0</v>
      </c>
      <c r="G82" s="25" t="str">
        <f>'4637'!G37</f>
        <v>FASHION GREY 21371 SF</v>
      </c>
      <c r="H82" s="1"/>
      <c r="I82">
        <f>D82*2*B82</f>
        <v>5120</v>
      </c>
    </row>
    <row r="83" spans="1:11" ht="15.6" x14ac:dyDescent="0.3">
      <c r="A83" s="95"/>
      <c r="B83" s="25">
        <f>'4637'!B38</f>
        <v>1</v>
      </c>
      <c r="C83" s="106" t="str">
        <f>'4637'!C38</f>
        <v xml:space="preserve">E/R 1 CARA MDF 18MM FALDON </v>
      </c>
      <c r="D83" s="25">
        <f>'4637'!D38</f>
        <v>1310</v>
      </c>
      <c r="E83" s="25">
        <f>'4637'!E38</f>
        <v>700</v>
      </c>
      <c r="F83" s="118">
        <f t="shared" si="57"/>
        <v>0</v>
      </c>
      <c r="G83" s="25" t="str">
        <f>'4637'!G38</f>
        <v>FASHION GREY 21371 SF</v>
      </c>
      <c r="H83" s="1"/>
      <c r="I83">
        <f>D83*B83</f>
        <v>1310</v>
      </c>
    </row>
    <row r="84" spans="1:11" ht="15.6" x14ac:dyDescent="0.3">
      <c r="A84" s="95"/>
      <c r="B84" s="25">
        <f>'4637'!B39</f>
        <v>1</v>
      </c>
      <c r="C84" s="106" t="str">
        <f>'4637'!C39</f>
        <v xml:space="preserve">E/R 1 CARA MDF 18MM FALDON </v>
      </c>
      <c r="D84" s="25">
        <f>'4637'!D39</f>
        <v>1860</v>
      </c>
      <c r="E84" s="25">
        <f>'4637'!E39</f>
        <v>700</v>
      </c>
      <c r="F84" s="118">
        <f t="shared" si="57"/>
        <v>0</v>
      </c>
      <c r="G84" s="25" t="str">
        <f>'4637'!G39</f>
        <v>FASHION GREY 21371 SF</v>
      </c>
      <c r="H84" s="1"/>
      <c r="I84">
        <f>D84*B84</f>
        <v>1860</v>
      </c>
    </row>
    <row r="85" spans="1:11" ht="15.6" x14ac:dyDescent="0.3">
      <c r="A85" s="95"/>
      <c r="B85" s="25">
        <f>'4637'!B40</f>
        <v>2</v>
      </c>
      <c r="C85" s="106" t="str">
        <f>'4637'!C40</f>
        <v xml:space="preserve">E/R 1 CARA MDF 18MM FALDON </v>
      </c>
      <c r="D85" s="25">
        <f>'4637'!D40</f>
        <v>1580</v>
      </c>
      <c r="E85" s="25">
        <f>'4637'!E40</f>
        <v>700</v>
      </c>
      <c r="F85" s="118">
        <f t="shared" si="57"/>
        <v>0</v>
      </c>
      <c r="G85" s="25" t="str">
        <f>'4637'!G40</f>
        <v>FASHION GREY 21371 SF</v>
      </c>
      <c r="H85" s="1"/>
      <c r="I85">
        <f>D85*B85</f>
        <v>3160</v>
      </c>
    </row>
    <row r="86" spans="1:11" ht="15.6" x14ac:dyDescent="0.3">
      <c r="A86" s="95"/>
      <c r="B86" s="25">
        <f>'4637'!B41</f>
        <v>1</v>
      </c>
      <c r="C86" s="106" t="str">
        <f>'4637'!C41</f>
        <v xml:space="preserve">E/R 1 CARA MDF 18MM FALDON </v>
      </c>
      <c r="D86" s="25">
        <f>'4637'!D41</f>
        <v>1670</v>
      </c>
      <c r="E86" s="25">
        <f>'4637'!E41</f>
        <v>700</v>
      </c>
      <c r="F86" s="118">
        <f t="shared" si="57"/>
        <v>0</v>
      </c>
      <c r="G86" s="25" t="str">
        <f>'4637'!G41</f>
        <v>FASHION GREY 21371 SF</v>
      </c>
      <c r="H86" s="1"/>
      <c r="I86">
        <f>D86*B86</f>
        <v>1670</v>
      </c>
    </row>
    <row r="87" spans="1:11" ht="15.6" x14ac:dyDescent="0.3">
      <c r="A87" s="95"/>
      <c r="B87" s="25">
        <f>'4637'!B42</f>
        <v>9</v>
      </c>
      <c r="C87" s="106" t="str">
        <f>'4637'!C42</f>
        <v>PR6</v>
      </c>
      <c r="D87" s="25">
        <f>'4637'!D42</f>
        <v>550</v>
      </c>
      <c r="E87" s="25">
        <f>'4637'!E42</f>
        <v>398</v>
      </c>
      <c r="F87" s="118" t="str">
        <f t="shared" si="57"/>
        <v>FRENTES</v>
      </c>
      <c r="G87" s="25" t="str">
        <f>'4637'!G42</f>
        <v>FASHION GREY 21371 SF</v>
      </c>
      <c r="H87" s="1"/>
    </row>
    <row r="88" spans="1:11" ht="15.6" x14ac:dyDescent="0.3">
      <c r="A88" s="95"/>
      <c r="B88" s="6"/>
      <c r="C88" s="119"/>
      <c r="D88" s="6"/>
      <c r="E88" s="6"/>
      <c r="F88" s="120"/>
      <c r="G88" s="6"/>
      <c r="H88" s="1"/>
      <c r="I88">
        <f>SUM(I68:I87)</f>
        <v>70550</v>
      </c>
      <c r="K88">
        <f>SUM(K68:K87)</f>
        <v>5600</v>
      </c>
    </row>
    <row r="89" spans="1:11" ht="15.6" x14ac:dyDescent="0.3">
      <c r="A89" s="1"/>
      <c r="B89" s="6"/>
      <c r="C89" s="6"/>
      <c r="D89" s="6"/>
      <c r="E89" s="6"/>
      <c r="F89" s="6"/>
      <c r="G89" s="6"/>
      <c r="H89" s="1"/>
    </row>
    <row r="90" spans="1:11" ht="15.6" x14ac:dyDescent="0.3">
      <c r="A90" s="1"/>
      <c r="B90" s="6"/>
      <c r="C90" s="6"/>
      <c r="D90" s="6"/>
      <c r="E90" s="6"/>
      <c r="F90" s="6"/>
      <c r="G90" s="6"/>
      <c r="H90" s="1"/>
      <c r="I90">
        <f>I88+K88</f>
        <v>76150</v>
      </c>
    </row>
    <row r="91" spans="1:11" ht="15.6" x14ac:dyDescent="0.3">
      <c r="A91" s="1"/>
      <c r="B91" s="6"/>
      <c r="C91" s="6"/>
      <c r="D91" s="6"/>
      <c r="E91" s="6"/>
      <c r="F91" s="6"/>
      <c r="G91" s="6"/>
      <c r="H91" s="1"/>
      <c r="I91">
        <f>I90*20%</f>
        <v>15230</v>
      </c>
    </row>
    <row r="92" spans="1:11" ht="15.6" x14ac:dyDescent="0.3">
      <c r="A92" s="1"/>
      <c r="B92" s="6"/>
      <c r="C92" s="6"/>
      <c r="D92" s="6"/>
      <c r="E92" s="6"/>
      <c r="F92" s="6"/>
      <c r="G92" s="6"/>
      <c r="H92" s="1"/>
      <c r="I92">
        <f>I90+I91</f>
        <v>91380</v>
      </c>
    </row>
    <row r="93" spans="1:11" ht="15.6" x14ac:dyDescent="0.3">
      <c r="A93" s="1"/>
      <c r="B93" s="6"/>
      <c r="C93" s="6"/>
      <c r="D93" s="6"/>
      <c r="E93" s="6"/>
      <c r="F93" s="6"/>
      <c r="G93" s="6"/>
      <c r="H93" s="1"/>
      <c r="I93">
        <f>I92/1000</f>
        <v>91.38</v>
      </c>
    </row>
    <row r="94" spans="1:11" ht="15.6" x14ac:dyDescent="0.3">
      <c r="A94" s="1"/>
      <c r="B94" s="6"/>
      <c r="C94" s="6"/>
      <c r="D94" s="6"/>
      <c r="E94" s="6"/>
      <c r="F94" s="6"/>
      <c r="G94" s="6"/>
      <c r="H94" s="1"/>
    </row>
    <row r="95" spans="1:11" ht="15.6" x14ac:dyDescent="0.3">
      <c r="A95" s="1"/>
      <c r="B95" s="6"/>
      <c r="C95" s="6"/>
      <c r="D95" s="6"/>
      <c r="E95" s="6"/>
      <c r="F95" s="6"/>
      <c r="G95" s="6"/>
      <c r="H95" s="1"/>
    </row>
    <row r="96" spans="1:11" ht="15.6" x14ac:dyDescent="0.3">
      <c r="A96" s="1"/>
      <c r="B96" s="6"/>
      <c r="C96" s="6"/>
      <c r="D96" s="6"/>
      <c r="E96" s="6"/>
      <c r="F96" s="6"/>
      <c r="G96" s="6"/>
      <c r="H96" s="1"/>
    </row>
    <row r="97" spans="1:8" ht="15.6" x14ac:dyDescent="0.3">
      <c r="A97" s="1"/>
      <c r="B97" s="1"/>
      <c r="C97" s="1"/>
      <c r="D97" s="1"/>
      <c r="E97" s="1"/>
      <c r="F97" s="1"/>
      <c r="G97" s="1"/>
      <c r="H97" s="1"/>
    </row>
    <row r="98" spans="1:8" ht="15.6" x14ac:dyDescent="0.3">
      <c r="A98" s="1"/>
      <c r="B98" s="1"/>
      <c r="C98" s="40" t="s">
        <v>27</v>
      </c>
      <c r="D98" s="14">
        <f>'4637'!H8</f>
        <v>7329</v>
      </c>
      <c r="E98" s="1"/>
      <c r="F98" s="1"/>
      <c r="G98" s="1"/>
      <c r="H98" s="1"/>
    </row>
    <row r="99" spans="1:8" ht="17.25" customHeight="1" x14ac:dyDescent="0.3">
      <c r="A99" s="1"/>
      <c r="B99" s="1"/>
      <c r="C99" s="41" t="s">
        <v>67</v>
      </c>
      <c r="D99" s="42" t="str">
        <f>'4637'!C10</f>
        <v>CONSTRUCTORA HALTRA</v>
      </c>
      <c r="E99" s="43"/>
      <c r="F99" s="43"/>
      <c r="G99" s="43"/>
      <c r="H99" s="1"/>
    </row>
    <row r="100" spans="1:8" ht="4.5" customHeight="1" x14ac:dyDescent="0.3">
      <c r="A100" s="1"/>
      <c r="B100" s="1"/>
      <c r="C100" s="44"/>
      <c r="D100" s="45"/>
      <c r="E100" s="1"/>
      <c r="F100" s="1"/>
      <c r="G100" s="1"/>
      <c r="H100" s="1"/>
    </row>
    <row r="101" spans="1:8" ht="15.6" x14ac:dyDescent="0.3">
      <c r="A101" s="1"/>
      <c r="B101" s="1"/>
      <c r="C101" s="46" t="str">
        <f>'4637'!G11</f>
        <v>FECHA LIMITE :</v>
      </c>
      <c r="D101" s="13">
        <f>'4637'!H11</f>
        <v>45996</v>
      </c>
      <c r="E101" s="1"/>
      <c r="F101" s="1"/>
      <c r="G101" s="1"/>
      <c r="H101" s="1"/>
    </row>
    <row r="102" spans="1:8" ht="15.6" x14ac:dyDescent="0.3">
      <c r="A102" s="1"/>
      <c r="B102" s="1"/>
      <c r="C102" s="1"/>
      <c r="D102" s="1"/>
      <c r="E102" s="1"/>
      <c r="F102" s="1"/>
      <c r="G102" s="1"/>
      <c r="H102" s="1"/>
    </row>
    <row r="103" spans="1:8" ht="15.6" x14ac:dyDescent="0.3">
      <c r="A103" s="1"/>
      <c r="B103" s="1"/>
      <c r="C103" s="1"/>
      <c r="D103" s="1"/>
      <c r="E103" s="1"/>
      <c r="F103" s="1"/>
      <c r="G103" s="1"/>
      <c r="H103" s="1"/>
    </row>
    <row r="104" spans="1:8" ht="15.6" x14ac:dyDescent="0.3">
      <c r="A104" s="131" t="s">
        <v>68</v>
      </c>
      <c r="B104" s="131"/>
      <c r="C104" s="131"/>
      <c r="D104" s="131"/>
      <c r="E104" s="131"/>
      <c r="F104" s="131"/>
      <c r="G104" s="131"/>
      <c r="H104" s="1"/>
    </row>
    <row r="105" spans="1:8" ht="15.6" x14ac:dyDescent="0.3">
      <c r="A105" s="1"/>
      <c r="B105" s="1"/>
      <c r="C105" s="1"/>
      <c r="D105" s="1"/>
      <c r="E105" s="1"/>
      <c r="F105" s="1"/>
      <c r="G105" s="1"/>
      <c r="H105" s="1"/>
    </row>
    <row r="106" spans="1:8" ht="15.75" customHeight="1" x14ac:dyDescent="0.3">
      <c r="A106" s="1"/>
      <c r="B106" s="132" t="s">
        <v>69</v>
      </c>
      <c r="C106" s="133"/>
      <c r="D106" s="134"/>
      <c r="E106" s="134"/>
      <c r="F106" s="134"/>
      <c r="G106" s="135"/>
      <c r="H106" s="1"/>
    </row>
    <row r="107" spans="1:8" s="15" customFormat="1" ht="12.75" customHeight="1" x14ac:dyDescent="0.3">
      <c r="A107" s="1"/>
      <c r="B107" s="36" t="s">
        <v>10</v>
      </c>
      <c r="C107" s="47" t="s">
        <v>11</v>
      </c>
      <c r="D107" s="48" t="s">
        <v>7</v>
      </c>
      <c r="E107" s="114" t="s">
        <v>8</v>
      </c>
      <c r="F107" s="117" t="str">
        <f>'4637'!F21</f>
        <v>CANTOS PVC</v>
      </c>
      <c r="G107" s="49" t="s">
        <v>12</v>
      </c>
      <c r="H107" s="1"/>
    </row>
    <row r="108" spans="1:8" s="15" customFormat="1" ht="15" customHeight="1" x14ac:dyDescent="0.3">
      <c r="A108" s="95"/>
      <c r="B108" s="38">
        <f>'4637'!B22</f>
        <v>3</v>
      </c>
      <c r="C108" s="105" t="str">
        <f>'4637'!C22</f>
        <v>E/R 2 CARAS MDF 30MM FRONTAL</v>
      </c>
      <c r="D108" s="39">
        <f>'4637'!D22</f>
        <v>1500</v>
      </c>
      <c r="E108" s="115">
        <f>'4637'!E22</f>
        <v>800</v>
      </c>
      <c r="F108" s="117" t="str">
        <f>'4637'!F22</f>
        <v>2L 1A</v>
      </c>
      <c r="G108" s="116" t="str">
        <f>'4637'!G22</f>
        <v>SILVER LEGNO OAK 10879 SF</v>
      </c>
      <c r="H108" s="1"/>
    </row>
    <row r="109" spans="1:8" s="15" customFormat="1" ht="15" customHeight="1" x14ac:dyDescent="0.3">
      <c r="A109" s="95"/>
      <c r="B109" s="38">
        <f>'4637'!B23</f>
        <v>2</v>
      </c>
      <c r="C109" s="105" t="str">
        <f>'4637'!C23</f>
        <v>E/R 2 CARAS MDF 30MM FRONTAL</v>
      </c>
      <c r="D109" s="39">
        <f>'4637'!D23</f>
        <v>1500</v>
      </c>
      <c r="E109" s="115">
        <f>'4637'!E23</f>
        <v>1100</v>
      </c>
      <c r="F109" s="117" t="str">
        <f>'4637'!F23</f>
        <v>2L 1A</v>
      </c>
      <c r="G109" s="116" t="str">
        <f>'4637'!G23</f>
        <v>SILVER LEGNO OAK 10879 SF</v>
      </c>
      <c r="H109" s="1"/>
    </row>
    <row r="110" spans="1:8" s="15" customFormat="1" ht="15" customHeight="1" x14ac:dyDescent="0.3">
      <c r="A110" s="95"/>
      <c r="B110" s="38">
        <f>'4637'!B24</f>
        <v>13</v>
      </c>
      <c r="C110" s="105" t="str">
        <f>'4637'!C24</f>
        <v>E/R 1 CARA MDF 30MM COSTADOS</v>
      </c>
      <c r="D110" s="39">
        <f>'4637'!D24</f>
        <v>750</v>
      </c>
      <c r="E110" s="115">
        <f>'4637'!E24</f>
        <v>460</v>
      </c>
      <c r="F110" s="117" t="str">
        <f>'4637'!F24</f>
        <v>1L</v>
      </c>
      <c r="G110" s="116" t="str">
        <f>'4637'!G24</f>
        <v>SILVER LEGNO OAK 10879 SF</v>
      </c>
      <c r="H110" s="1"/>
    </row>
    <row r="111" spans="1:8" s="15" customFormat="1" ht="15" customHeight="1" x14ac:dyDescent="0.3">
      <c r="A111" s="95"/>
      <c r="B111" s="38">
        <f>'4637'!B26</f>
        <v>1</v>
      </c>
      <c r="C111" s="105" t="str">
        <f>'4637'!C26</f>
        <v>CUB FRENTE RECTO 2 LADOS</v>
      </c>
      <c r="D111" s="39">
        <f>'4637'!D26</f>
        <v>1430</v>
      </c>
      <c r="E111" s="115">
        <f>'4637'!E26</f>
        <v>700</v>
      </c>
      <c r="F111" s="117" t="str">
        <f>'4637'!F26</f>
        <v>2L</v>
      </c>
      <c r="G111" s="116" t="str">
        <f>'4637'!G26</f>
        <v>FASHION GREY 21371 SF</v>
      </c>
      <c r="H111" s="1"/>
    </row>
    <row r="112" spans="1:8" s="15" customFormat="1" ht="15" customHeight="1" x14ac:dyDescent="0.3">
      <c r="A112" s="95"/>
      <c r="B112" s="38">
        <f>'4637'!B27</f>
        <v>1</v>
      </c>
      <c r="C112" s="105" t="str">
        <f>'4637'!C27</f>
        <v>CUB FRENTE RECTO 2 LADOS</v>
      </c>
      <c r="D112" s="39">
        <f>'4637'!D27</f>
        <v>1460</v>
      </c>
      <c r="E112" s="115">
        <f>'4637'!E27</f>
        <v>700</v>
      </c>
      <c r="F112" s="117" t="str">
        <f>'4637'!F27</f>
        <v>2L</v>
      </c>
      <c r="G112" s="116" t="str">
        <f>'4637'!G27</f>
        <v>FASHION GREY 21371 SF</v>
      </c>
      <c r="H112" s="1"/>
    </row>
    <row r="113" spans="1:8" s="15" customFormat="1" ht="15" customHeight="1" x14ac:dyDescent="0.3">
      <c r="A113" s="95"/>
      <c r="B113" s="38">
        <f>'4637'!B28</f>
        <v>2</v>
      </c>
      <c r="C113" s="105" t="str">
        <f>'4637'!C28</f>
        <v>CUB FRENTE RECTO 2 LADOS</v>
      </c>
      <c r="D113" s="39">
        <f>'4637'!D28</f>
        <v>620</v>
      </c>
      <c r="E113" s="115">
        <f>'4637'!E28</f>
        <v>500</v>
      </c>
      <c r="F113" s="117" t="str">
        <f>'4637'!F28</f>
        <v>1A</v>
      </c>
      <c r="G113" s="116" t="str">
        <f>'4637'!G28</f>
        <v>FASHION GREY 21371 SF</v>
      </c>
      <c r="H113" s="1"/>
    </row>
    <row r="114" spans="1:8" s="15" customFormat="1" ht="15" customHeight="1" x14ac:dyDescent="0.3">
      <c r="A114" s="95"/>
      <c r="B114" s="38">
        <f>'4637'!B29</f>
        <v>2</v>
      </c>
      <c r="C114" s="105" t="str">
        <f>'4637'!C29</f>
        <v>CUB FRENTE RECTO 2 LADOS</v>
      </c>
      <c r="D114" s="39">
        <f>'4637'!D29</f>
        <v>1280</v>
      </c>
      <c r="E114" s="115">
        <f>'4637'!E29</f>
        <v>700</v>
      </c>
      <c r="F114" s="117" t="str">
        <f>'4637'!F29</f>
        <v>2L</v>
      </c>
      <c r="G114" s="116" t="str">
        <f>'4637'!G29</f>
        <v>FASHION GREY 21371 SF</v>
      </c>
      <c r="H114" s="1"/>
    </row>
    <row r="115" spans="1:8" s="15" customFormat="1" ht="15" customHeight="1" x14ac:dyDescent="0.3">
      <c r="A115" s="95"/>
      <c r="B115" s="38">
        <f>'4637'!B30</f>
        <v>1</v>
      </c>
      <c r="C115" s="105" t="str">
        <f>'4637'!C30</f>
        <v>CUB FRENTE RECTO 2 LADOS</v>
      </c>
      <c r="D115" s="39">
        <f>'4637'!D30</f>
        <v>1310</v>
      </c>
      <c r="E115" s="115">
        <f>'4637'!E30</f>
        <v>700</v>
      </c>
      <c r="F115" s="117" t="str">
        <f>'4637'!F30</f>
        <v>2L</v>
      </c>
      <c r="G115" s="116" t="str">
        <f>'4637'!G30</f>
        <v>FASHION GREY 21371 SF</v>
      </c>
      <c r="H115" s="1"/>
    </row>
    <row r="116" spans="1:8" s="15" customFormat="1" ht="15" customHeight="1" x14ac:dyDescent="0.3">
      <c r="A116" s="95"/>
      <c r="B116" s="38">
        <f>'4637'!B31</f>
        <v>1</v>
      </c>
      <c r="C116" s="105" t="str">
        <f>'4637'!C31</f>
        <v>CUB FRENTE RECTO 2 LADOS</v>
      </c>
      <c r="D116" s="39">
        <f>'4637'!D31</f>
        <v>1860</v>
      </c>
      <c r="E116" s="115">
        <f>'4637'!E31</f>
        <v>700</v>
      </c>
      <c r="F116" s="117" t="str">
        <f>'4637'!F31</f>
        <v>2L</v>
      </c>
      <c r="G116" s="116" t="str">
        <f>'4637'!G31</f>
        <v>FASHION GREY 21371 SF</v>
      </c>
      <c r="H116" s="1"/>
    </row>
    <row r="117" spans="1:8" s="15" customFormat="1" ht="15" customHeight="1" x14ac:dyDescent="0.3">
      <c r="A117" s="95"/>
      <c r="B117" s="38">
        <f>'4637'!B32</f>
        <v>2</v>
      </c>
      <c r="C117" s="105" t="str">
        <f>'4637'!C32</f>
        <v>CUB FRENTE RECTO 2 LADOS</v>
      </c>
      <c r="D117" s="39">
        <f>'4637'!D32</f>
        <v>1580</v>
      </c>
      <c r="E117" s="115">
        <f>'4637'!E32</f>
        <v>700</v>
      </c>
      <c r="F117" s="117" t="str">
        <f>'4637'!F32</f>
        <v>2L</v>
      </c>
      <c r="G117" s="116" t="str">
        <f>'4637'!G32</f>
        <v>FASHION GREY 21371 SF</v>
      </c>
      <c r="H117" s="1"/>
    </row>
    <row r="118" spans="1:8" s="15" customFormat="1" ht="15" customHeight="1" x14ac:dyDescent="0.3">
      <c r="A118" s="95"/>
      <c r="B118" s="38">
        <f>'4637'!B33</f>
        <v>1</v>
      </c>
      <c r="C118" s="105" t="str">
        <f>'4637'!C33</f>
        <v>CUB FRENTE RECTO 2 LADOS</v>
      </c>
      <c r="D118" s="39">
        <f>'4637'!D33</f>
        <v>1670</v>
      </c>
      <c r="E118" s="115">
        <f>'4637'!E33</f>
        <v>700</v>
      </c>
      <c r="F118" s="117" t="str">
        <f>'4637'!F33</f>
        <v>2L</v>
      </c>
      <c r="G118" s="116" t="str">
        <f>'4637'!G33</f>
        <v>FASHION GREY 21371 SF</v>
      </c>
      <c r="H118" s="1"/>
    </row>
    <row r="119" spans="1:8" s="15" customFormat="1" ht="15" customHeight="1" x14ac:dyDescent="0.3">
      <c r="A119" s="95"/>
      <c r="B119" s="38">
        <f>'4637'!B34</f>
        <v>1</v>
      </c>
      <c r="C119" s="105" t="str">
        <f>'4637'!C34</f>
        <v xml:space="preserve">E/R 1 CARA MDF 18MM FALDON </v>
      </c>
      <c r="D119" s="39">
        <f>'4637'!D34</f>
        <v>1430</v>
      </c>
      <c r="E119" s="115">
        <f>'4637'!E34</f>
        <v>700</v>
      </c>
      <c r="F119" s="117">
        <f>'4637'!F34</f>
        <v>0</v>
      </c>
      <c r="G119" s="116" t="str">
        <f>'4637'!G34</f>
        <v>FASHION GREY 21371 SF</v>
      </c>
      <c r="H119" s="1"/>
    </row>
    <row r="120" spans="1:8" s="15" customFormat="1" ht="15" customHeight="1" x14ac:dyDescent="0.3">
      <c r="A120" s="95"/>
      <c r="B120" s="38">
        <f>'4637'!B35</f>
        <v>1</v>
      </c>
      <c r="C120" s="105" t="str">
        <f>'4637'!C35</f>
        <v xml:space="preserve">E/R 1 CARA MDF 18MM FALDON </v>
      </c>
      <c r="D120" s="39">
        <f>'4637'!D35</f>
        <v>1460</v>
      </c>
      <c r="E120" s="115">
        <f>'4637'!E35</f>
        <v>700</v>
      </c>
      <c r="F120" s="117">
        <f>'4637'!F35</f>
        <v>0</v>
      </c>
      <c r="G120" s="116" t="str">
        <f>'4637'!G35</f>
        <v>FASHION GREY 21371 SF</v>
      </c>
      <c r="H120" s="1"/>
    </row>
    <row r="121" spans="1:8" s="15" customFormat="1" ht="15" customHeight="1" x14ac:dyDescent="0.3">
      <c r="A121" s="95"/>
      <c r="B121" s="38">
        <f>'4637'!B36</f>
        <v>2</v>
      </c>
      <c r="C121" s="105" t="str">
        <f>'4637'!C36</f>
        <v xml:space="preserve">E/R 1 CARA MDF 18MM FALDON </v>
      </c>
      <c r="D121" s="39">
        <f>'4637'!D36</f>
        <v>620</v>
      </c>
      <c r="E121" s="115">
        <f>'4637'!E36</f>
        <v>350</v>
      </c>
      <c r="F121" s="117" t="str">
        <f>'4637'!F36</f>
        <v>1L</v>
      </c>
      <c r="G121" s="116" t="str">
        <f>'4637'!G36</f>
        <v>FASHION GREY 21371 SF</v>
      </c>
      <c r="H121" s="1"/>
    </row>
    <row r="122" spans="1:8" s="15" customFormat="1" ht="15" customHeight="1" x14ac:dyDescent="0.3">
      <c r="A122" s="95"/>
      <c r="B122" s="38">
        <f>'4637'!B37</f>
        <v>2</v>
      </c>
      <c r="C122" s="105" t="str">
        <f>'4637'!C37</f>
        <v xml:space="preserve">E/R 1 CARA MDF 18MM FALDON </v>
      </c>
      <c r="D122" s="39">
        <f>'4637'!D37</f>
        <v>1280</v>
      </c>
      <c r="E122" s="115">
        <f>'4637'!E37</f>
        <v>700</v>
      </c>
      <c r="F122" s="117">
        <f>'4637'!F37</f>
        <v>0</v>
      </c>
      <c r="G122" s="116" t="str">
        <f>'4637'!G37</f>
        <v>FASHION GREY 21371 SF</v>
      </c>
      <c r="H122" s="1"/>
    </row>
    <row r="123" spans="1:8" s="15" customFormat="1" ht="15" customHeight="1" x14ac:dyDescent="0.3">
      <c r="A123" s="95"/>
      <c r="B123" s="38">
        <f>'4637'!B38</f>
        <v>1</v>
      </c>
      <c r="C123" s="105" t="str">
        <f>'4637'!C38</f>
        <v xml:space="preserve">E/R 1 CARA MDF 18MM FALDON </v>
      </c>
      <c r="D123" s="39">
        <f>'4637'!D38</f>
        <v>1310</v>
      </c>
      <c r="E123" s="115">
        <f>'4637'!E38</f>
        <v>700</v>
      </c>
      <c r="F123" s="117">
        <f>'4637'!F38</f>
        <v>0</v>
      </c>
      <c r="G123" s="116" t="str">
        <f>'4637'!G38</f>
        <v>FASHION GREY 21371 SF</v>
      </c>
      <c r="H123" s="1"/>
    </row>
    <row r="124" spans="1:8" s="15" customFormat="1" ht="15" customHeight="1" x14ac:dyDescent="0.3">
      <c r="A124" s="95"/>
      <c r="B124" s="38">
        <f>'4637'!B39</f>
        <v>1</v>
      </c>
      <c r="C124" s="105" t="str">
        <f>'4637'!C39</f>
        <v xml:space="preserve">E/R 1 CARA MDF 18MM FALDON </v>
      </c>
      <c r="D124" s="39">
        <f>'4637'!D39</f>
        <v>1860</v>
      </c>
      <c r="E124" s="115">
        <f>'4637'!E39</f>
        <v>700</v>
      </c>
      <c r="F124" s="117">
        <f>'4637'!F39</f>
        <v>0</v>
      </c>
      <c r="G124" s="116" t="str">
        <f>'4637'!G39</f>
        <v>FASHION GREY 21371 SF</v>
      </c>
      <c r="H124" s="1"/>
    </row>
    <row r="125" spans="1:8" s="15" customFormat="1" ht="15" customHeight="1" x14ac:dyDescent="0.3">
      <c r="A125" s="95"/>
      <c r="B125" s="38">
        <f>'4637'!B40</f>
        <v>2</v>
      </c>
      <c r="C125" s="105" t="str">
        <f>'4637'!C40</f>
        <v xml:space="preserve">E/R 1 CARA MDF 18MM FALDON </v>
      </c>
      <c r="D125" s="39">
        <f>'4637'!D40</f>
        <v>1580</v>
      </c>
      <c r="E125" s="115">
        <f>'4637'!E40</f>
        <v>700</v>
      </c>
      <c r="F125" s="117">
        <f>'4637'!F40</f>
        <v>0</v>
      </c>
      <c r="G125" s="116" t="str">
        <f>'4637'!G40</f>
        <v>FASHION GREY 21371 SF</v>
      </c>
      <c r="H125" s="1"/>
    </row>
    <row r="126" spans="1:8" s="15" customFormat="1" ht="15" customHeight="1" x14ac:dyDescent="0.3">
      <c r="A126" s="95"/>
      <c r="B126" s="38">
        <f>'4637'!B41</f>
        <v>1</v>
      </c>
      <c r="C126" s="105" t="str">
        <f>'4637'!C41</f>
        <v xml:space="preserve">E/R 1 CARA MDF 18MM FALDON </v>
      </c>
      <c r="D126" s="39">
        <f>'4637'!D41</f>
        <v>1670</v>
      </c>
      <c r="E126" s="115">
        <f>'4637'!E41</f>
        <v>700</v>
      </c>
      <c r="F126" s="117">
        <f>'4637'!F41</f>
        <v>0</v>
      </c>
      <c r="G126" s="116" t="str">
        <f>'4637'!G41</f>
        <v>FASHION GREY 21371 SF</v>
      </c>
      <c r="H126" s="1"/>
    </row>
    <row r="127" spans="1:8" s="15" customFormat="1" ht="15" customHeight="1" x14ac:dyDescent="0.3">
      <c r="A127" s="95"/>
      <c r="B127" s="38">
        <f>'4637'!B42</f>
        <v>9</v>
      </c>
      <c r="C127" s="105" t="str">
        <f>'4637'!C42</f>
        <v>PR6</v>
      </c>
      <c r="D127" s="39">
        <f>'4637'!D42</f>
        <v>550</v>
      </c>
      <c r="E127" s="115">
        <f>'4637'!E42</f>
        <v>398</v>
      </c>
      <c r="F127" s="117" t="str">
        <f>'4637'!F42</f>
        <v>FRENTES</v>
      </c>
      <c r="G127" s="116" t="str">
        <f>'4637'!G42</f>
        <v>FASHION GREY 21371 SF</v>
      </c>
      <c r="H127" s="1"/>
    </row>
    <row r="128" spans="1:8" s="15" customFormat="1" ht="15" customHeight="1" x14ac:dyDescent="0.3">
      <c r="A128" s="95"/>
      <c r="B128" s="52"/>
      <c r="C128" s="112"/>
      <c r="D128" s="52"/>
      <c r="E128" s="52"/>
      <c r="F128" s="52"/>
      <c r="G128" s="52"/>
      <c r="H128" s="1"/>
    </row>
    <row r="129" spans="1:8" s="15" customFormat="1" ht="15" customHeight="1" x14ac:dyDescent="0.3">
      <c r="A129" s="50"/>
      <c r="B129" s="52"/>
      <c r="C129" s="52"/>
      <c r="D129" s="52"/>
      <c r="E129" s="52"/>
      <c r="F129" s="52"/>
      <c r="G129" s="52"/>
      <c r="H129" s="1"/>
    </row>
    <row r="130" spans="1:8" ht="15.6" x14ac:dyDescent="0.3">
      <c r="A130" s="6"/>
      <c r="B130" s="6"/>
      <c r="C130" s="1"/>
      <c r="D130" s="6"/>
      <c r="E130" s="6"/>
      <c r="F130" s="6"/>
      <c r="G130" s="44"/>
      <c r="H130" s="1"/>
    </row>
    <row r="131" spans="1:8" ht="15.6" x14ac:dyDescent="0.3">
      <c r="A131" s="6"/>
      <c r="B131" s="6"/>
      <c r="C131" s="1"/>
      <c r="D131" s="6"/>
      <c r="E131" s="6"/>
      <c r="F131" s="6"/>
      <c r="G131" s="6"/>
      <c r="H131" s="1"/>
    </row>
    <row r="132" spans="1:8" ht="15.6" x14ac:dyDescent="0.3">
      <c r="A132" s="1"/>
      <c r="B132" s="1"/>
      <c r="C132" s="1"/>
      <c r="D132" s="1"/>
      <c r="E132" s="1"/>
      <c r="F132" s="1"/>
      <c r="G132" s="1"/>
      <c r="H132" s="1"/>
    </row>
    <row r="133" spans="1:8" ht="15.6" x14ac:dyDescent="0.3">
      <c r="A133" s="1"/>
      <c r="B133" s="1"/>
      <c r="C133" s="1"/>
      <c r="D133" s="1"/>
      <c r="E133" s="1"/>
      <c r="F133" s="1"/>
      <c r="G133" s="1"/>
      <c r="H133" s="1"/>
    </row>
    <row r="134" spans="1:8" ht="15.6" x14ac:dyDescent="0.3">
      <c r="A134" s="1"/>
      <c r="B134" s="1"/>
      <c r="C134" s="1"/>
      <c r="D134" s="1"/>
      <c r="E134" s="1"/>
      <c r="F134" s="1"/>
      <c r="G134" s="1"/>
      <c r="H134" s="1"/>
    </row>
    <row r="135" spans="1:8" ht="15" customHeight="1" x14ac:dyDescent="0.3">
      <c r="A135" s="1"/>
      <c r="B135" s="1"/>
      <c r="C135" s="1"/>
      <c r="D135" s="1"/>
      <c r="E135" s="1"/>
      <c r="F135" s="1"/>
      <c r="G135" s="1"/>
      <c r="H135" s="1"/>
    </row>
    <row r="136" spans="1:8" ht="15.6" x14ac:dyDescent="0.3">
      <c r="A136" s="1"/>
      <c r="B136" s="1"/>
      <c r="C136" s="1"/>
      <c r="D136" s="1"/>
      <c r="E136" s="1"/>
      <c r="F136" s="1"/>
      <c r="G136" s="1"/>
      <c r="H136" s="1"/>
    </row>
    <row r="137" spans="1:8" ht="15.6" x14ac:dyDescent="0.3">
      <c r="A137" s="6"/>
      <c r="B137" s="51"/>
      <c r="C137" s="1"/>
      <c r="D137" s="1"/>
      <c r="E137" s="1"/>
      <c r="F137" s="1"/>
      <c r="G137" s="1"/>
      <c r="H137" s="1"/>
    </row>
    <row r="138" spans="1:8" ht="15.6" x14ac:dyDescent="0.3">
      <c r="A138" s="1"/>
      <c r="B138" s="1"/>
      <c r="C138" s="1"/>
      <c r="D138" s="1"/>
      <c r="E138" s="1"/>
      <c r="F138" s="1"/>
      <c r="G138" s="1"/>
      <c r="H138" s="1"/>
    </row>
    <row r="139" spans="1:8" x14ac:dyDescent="0.3">
      <c r="B139" s="20"/>
      <c r="C139" s="20"/>
      <c r="D139" s="20"/>
      <c r="E139" s="20"/>
      <c r="F139" s="20"/>
      <c r="G139" s="20"/>
    </row>
    <row r="140" spans="1:8" x14ac:dyDescent="0.3">
      <c r="B140" s="20"/>
      <c r="C140" s="20"/>
      <c r="E140" s="20"/>
      <c r="F140" s="20"/>
      <c r="G140" s="20"/>
    </row>
  </sheetData>
  <mergeCells count="6">
    <mergeCell ref="N3:O3"/>
    <mergeCell ref="A39:G39"/>
    <mergeCell ref="A10:G10"/>
    <mergeCell ref="A104:G104"/>
    <mergeCell ref="B106:G106"/>
    <mergeCell ref="L3:M3"/>
  </mergeCells>
  <phoneticPr fontId="10" type="noConversion"/>
  <pageMargins left="0.70866141732283472" right="0.70866141732283472" top="0.74803149606299213" bottom="0.74803149606299213" header="0.31496062992125984" footer="0.31496062992125984"/>
  <pageSetup scale="6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2025-12-04T20:01:10Z</cp:lastPrinted>
  <dcterms:created xsi:type="dcterms:W3CDTF">2013-03-19T12:54:14Z</dcterms:created>
  <dcterms:modified xsi:type="dcterms:W3CDTF">2025-12-04T20:09:31Z</dcterms:modified>
</cp:coreProperties>
</file>