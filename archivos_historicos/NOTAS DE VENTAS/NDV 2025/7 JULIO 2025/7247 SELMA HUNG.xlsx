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7 JULIO 2025\"/>
    </mc:Choice>
  </mc:AlternateContent>
  <xr:revisionPtr revIDLastSave="0" documentId="13_ncr:1_{4BFE925F-9370-48D7-94AE-3EC9AE0F42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CUBIERTA!$A$47:$F$76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16" i="3"/>
  <c r="H26" i="4"/>
  <c r="H25" i="4"/>
  <c r="H24" i="4"/>
  <c r="H23" i="4"/>
  <c r="H28" i="4" s="1"/>
  <c r="H29" i="4" s="1"/>
  <c r="H22" i="4"/>
  <c r="H21" i="4"/>
  <c r="B33" i="3"/>
  <c r="I24" i="3" s="1"/>
  <c r="C33" i="3"/>
  <c r="D33" i="3"/>
  <c r="E33" i="3"/>
  <c r="F33" i="3"/>
  <c r="B34" i="3"/>
  <c r="C34" i="3"/>
  <c r="D34" i="3"/>
  <c r="E34" i="3"/>
  <c r="F34" i="3"/>
  <c r="B35" i="3"/>
  <c r="I25" i="3" s="1"/>
  <c r="C35" i="3"/>
  <c r="D35" i="3"/>
  <c r="E35" i="3"/>
  <c r="F35" i="3"/>
  <c r="B36" i="3"/>
  <c r="I26" i="3" s="1"/>
  <c r="B26" i="3" s="1"/>
  <c r="C36" i="3"/>
  <c r="F26" i="3" s="1"/>
  <c r="D36" i="3"/>
  <c r="J26" i="3" s="1"/>
  <c r="D26" i="3" s="1"/>
  <c r="E36" i="3"/>
  <c r="K26" i="3" s="1"/>
  <c r="F36" i="3"/>
  <c r="B60" i="3"/>
  <c r="C60" i="3"/>
  <c r="D60" i="3"/>
  <c r="E60" i="3"/>
  <c r="F60" i="3"/>
  <c r="B61" i="3"/>
  <c r="C61" i="3"/>
  <c r="D61" i="3"/>
  <c r="E61" i="3"/>
  <c r="F61" i="3"/>
  <c r="B62" i="3"/>
  <c r="C62" i="3"/>
  <c r="D62" i="3"/>
  <c r="E62" i="3"/>
  <c r="F62" i="3"/>
  <c r="B63" i="3"/>
  <c r="C63" i="3"/>
  <c r="D63" i="3"/>
  <c r="E63" i="3"/>
  <c r="F63" i="3"/>
  <c r="B32" i="3"/>
  <c r="I23" i="3" s="1"/>
  <c r="C32" i="3"/>
  <c r="F14" i="3" s="1"/>
  <c r="D32" i="3"/>
  <c r="J14" i="3" s="1"/>
  <c r="D14" i="3" s="1"/>
  <c r="E32" i="3"/>
  <c r="K23" i="3" s="1"/>
  <c r="E23" i="3" s="1"/>
  <c r="F32" i="3"/>
  <c r="B59" i="3"/>
  <c r="C59" i="3"/>
  <c r="D59" i="3"/>
  <c r="E59" i="3"/>
  <c r="F59" i="3"/>
  <c r="F25" i="3" l="1"/>
  <c r="F16" i="3"/>
  <c r="K25" i="3"/>
  <c r="K16" i="3"/>
  <c r="F24" i="3"/>
  <c r="F15" i="3"/>
  <c r="K24" i="3"/>
  <c r="E24" i="3" s="1"/>
  <c r="K15" i="3"/>
  <c r="E15" i="3" s="1"/>
  <c r="B25" i="3"/>
  <c r="I16" i="3"/>
  <c r="B16" i="3" s="1"/>
  <c r="D24" i="3"/>
  <c r="D15" i="3"/>
  <c r="J25" i="3"/>
  <c r="J16" i="3"/>
  <c r="B24" i="3"/>
  <c r="I15" i="3"/>
  <c r="B15" i="3" s="1"/>
  <c r="J23" i="3"/>
  <c r="D23" i="3" s="1"/>
  <c r="K14" i="3"/>
  <c r="E14" i="3" s="1"/>
  <c r="B23" i="3"/>
  <c r="I14" i="3"/>
  <c r="B14" i="3" s="1"/>
  <c r="F23" i="3"/>
  <c r="H30" i="4" l="1"/>
  <c r="N5" i="3" l="1"/>
  <c r="M5" i="3" l="1"/>
  <c r="L5" i="3"/>
  <c r="K5" i="3"/>
  <c r="C52" i="3" l="1"/>
  <c r="C7" i="3"/>
  <c r="D50" i="3"/>
  <c r="D5" i="3"/>
  <c r="D52" i="3"/>
  <c r="D7" i="3"/>
  <c r="D49" i="3"/>
  <c r="D4" i="3"/>
</calcChain>
</file>

<file path=xl/sharedStrings.xml><?xml version="1.0" encoding="utf-8"?>
<sst xmlns="http://schemas.openxmlformats.org/spreadsheetml/2006/main" count="257" uniqueCount="149">
  <si>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</si>
  <si>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</si>
  <si>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</si>
  <si>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</si>
  <si>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</si>
  <si>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</si>
  <si>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</si>
  <si>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</si>
  <si>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</si>
  <si>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</si>
  <si>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</si>
  <si>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</si>
  <si>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</si>
  <si>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</si>
  <si>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</si>
  <si>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</si>
  <si>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</si>
  <si>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</si>
  <si>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</si>
  <si>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</si>
  <si>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</si>
  <si>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</si>
  <si>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</si>
  <si>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</si>
  <si>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</si>
  <si>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</si>
  <si>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</si>
  <si>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</si>
  <si>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</si>
  <si>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</si>
  <si>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</si>
  <si>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</si>
  <si>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</si>
  <si>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</si>
  <si>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</si>
  <si>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</si>
  <si>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</si>
  <si>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</si>
  <si>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</si>
  <si>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</si>
  <si>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</si>
  <si>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</si>
  <si>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</si>
  <si>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</si>
  <si>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</si>
  <si>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</si>
  <si>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</si>
  <si>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</si>
  <si>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</si>
  <si>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</si>
  <si>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</si>
  <si>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</si>
  <si>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</si>
  <si>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</si>
  <si>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</si>
  <si>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</si>
  <si>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</si>
  <si>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</si>
  <si>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</si>
  <si>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</si>
  <si>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</si>
  <si>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</si>
  <si>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</si>
  <si>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</si>
  <si>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</si>
  <si>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</si>
  <si>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</si>
  <si>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</si>
  <si>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</si>
  <si>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</si>
  <si>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</si>
  <si>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</si>
  <si>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</si>
  <si>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</si>
  <si>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</si>
  <si>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</si>
  <si>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</si>
  <si>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</si>
  <si>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</si>
  <si>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</si>
  <si>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</si>
  <si>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</si>
  <si>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</si>
  <si>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</si>
  <si>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</si>
  <si>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</si>
  <si>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</si>
  <si>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</si>
  <si>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</si>
  <si>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</si>
  <si>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</si>
  <si>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</si>
  <si>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</si>
  <si>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</si>
  <si>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</si>
  <si>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</si>
  <si>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</si>
  <si>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</si>
  <si>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</si>
  <si>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</si>
  <si>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</si>
  <si>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</si>
  <si>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</si>
  <si>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</si>
  <si>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</si>
  <si>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</si>
  <si>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</si>
  <si>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</si>
  <si>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</si>
  <si>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</si>
  <si>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</si>
  <si>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</si>
  <si>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</si>
  <si>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</si>
  <si>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</si>
  <si>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</si>
  <si>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</si>
  <si>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</si>
  <si>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</si>
  <si>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</si>
  <si>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</si>
  <si>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</si>
  <si>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</si>
  <si>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</si>
  <si>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</si>
  <si>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</si>
  <si>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</si>
  <si>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</si>
  <si>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</si>
  <si>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</si>
  <si>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</si>
  <si>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</si>
  <si>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</si>
  <si>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</si>
  <si>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</si>
  <si>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</si>
  <si>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SELMA HUNG</t>
  </si>
  <si>
    <t>N° 11540</t>
  </si>
  <si>
    <t xml:space="preserve">CUB CON RESPALDO Y FRENTE 90°  Y  RECTO </t>
  </si>
  <si>
    <t>GRANITINO NEGRO MT</t>
  </si>
  <si>
    <t>CUB CON RESPALDO FRENTE 90°</t>
  </si>
  <si>
    <t>TROZO MELAMINA 15MM LAVAPLATOS</t>
  </si>
  <si>
    <t>BLANCO</t>
  </si>
  <si>
    <t>TROZO DE LAMINA DEBAJO LAVAPLATOS</t>
  </si>
  <si>
    <t>SERVICIO DE DESPACHO MAS INSTALACION</t>
  </si>
  <si>
    <t>CORTAR A 1300 Y 68 MM</t>
  </si>
  <si>
    <t>RESPALDO DE 4 CMS</t>
  </si>
  <si>
    <t>RESPALDO 4 CMS</t>
  </si>
  <si>
    <t>MELAMINA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</si>
</sst>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4" xfId="0" applyFill="1" applyBorder="1"/>
    <xf numFmtId="0" fontId="15" fillId="0" borderId="2" xfId="0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20" fillId="0" borderId="0" xfId="0" quotePrefix="1" applyFont="1" applyAlignment="1">
      <alignment horizontal="left" vertical="top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66" fontId="3" fillId="0" borderId="22" xfId="1" applyNumberFormat="1" applyFont="1" applyFill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22" xfId="0" applyNumberFormat="1" applyFont="1" applyBorder="1" applyAlignment="1">
      <alignment horizontal="center" vertical="center"/>
    </xf>
    <xf numFmtId="1" fontId="15" fillId="0" borderId="35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30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$150.000.-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2392680</xdr:colOff>
      <xdr:row>19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53</xdr:row>
      <xdr:rowOff>171450</xdr:rowOff>
    </xdr:from>
    <xdr:to>
      <xdr:col>5</xdr:col>
      <xdr:colOff>1685924</xdr:colOff>
      <xdr:row>55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38100</xdr:rowOff>
    </xdr:from>
    <xdr:to>
      <xdr:col>6</xdr:col>
      <xdr:colOff>0</xdr:colOff>
      <xdr:row>50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1019175</xdr:colOff>
      <xdr:row>65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0</xdr:rowOff>
    </xdr:from>
    <xdr:to>
      <xdr:col>3</xdr:col>
      <xdr:colOff>352425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447675</xdr:colOff>
      <xdr:row>65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190500</xdr:rowOff>
    </xdr:from>
    <xdr:to>
      <xdr:col>2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190500</xdr:rowOff>
    </xdr:from>
    <xdr:to>
      <xdr:col>2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190500</xdr:rowOff>
    </xdr:from>
    <xdr:to>
      <xdr:col>3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190500</xdr:rowOff>
    </xdr:from>
    <xdr:to>
      <xdr:col>4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190500</xdr:rowOff>
    </xdr:from>
    <xdr:to>
      <xdr:col>5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190500</xdr:rowOff>
    </xdr:from>
    <xdr:to>
      <xdr:col>6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129540</xdr:colOff>
      <xdr:row>39</xdr:row>
      <xdr:rowOff>7619</xdr:rowOff>
    </xdr:from>
    <xdr:to>
      <xdr:col>5</xdr:col>
      <xdr:colOff>2354580</xdr:colOff>
      <xdr:row>44</xdr:row>
      <xdr:rowOff>45720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29540" y="5402579"/>
          <a:ext cx="8496300" cy="10287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CUBIERTA LLEVA CORTE SEGUN DIBUJO, CORTAR A LA MEDIDA Y REGRUESO, SON PARA INSTALACION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68</xdr:row>
      <xdr:rowOff>32385</xdr:rowOff>
    </xdr:from>
    <xdr:to>
      <xdr:col>6</xdr:col>
      <xdr:colOff>19050</xdr:colOff>
      <xdr:row>72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LLEVAN CORTE DSEGUN DIBUJO, SON PARA INSTALACION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47</xdr:row>
      <xdr:rowOff>41910</xdr:rowOff>
    </xdr:from>
    <xdr:to>
      <xdr:col>1</xdr:col>
      <xdr:colOff>801763</xdr:colOff>
      <xdr:row>53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11" workbookViewId="0">
      <selection activeCell="I28" sqref="I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137</v>
      </c>
      <c r="E8" s="1"/>
      <c r="F8" s="90" t="s">
        <v>27</v>
      </c>
      <c r="G8" s="91">
        <v>7247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102" t="s">
        <v>136</v>
      </c>
      <c r="D10" s="54"/>
      <c r="E10" s="54"/>
      <c r="F10" s="55" t="s">
        <v>28</v>
      </c>
      <c r="G10" s="56">
        <v>45862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97"/>
      <c r="D11" s="59"/>
      <c r="E11" s="59"/>
      <c r="F11" s="59" t="s">
        <v>124</v>
      </c>
      <c r="G11" s="60">
        <v>45867</v>
      </c>
      <c r="H11" s="61"/>
      <c r="I11" s="1"/>
    </row>
    <row r="12" spans="1:17" ht="16.8" x14ac:dyDescent="0.4">
      <c r="A12" s="1"/>
      <c r="B12" s="62" t="s">
        <v>130</v>
      </c>
      <c r="C12" s="98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06">
        <v>56985450362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98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99" t="s">
        <v>135</v>
      </c>
      <c r="D16" s="68"/>
      <c r="E16" s="69"/>
      <c r="F16" s="126" t="s">
        <v>18</v>
      </c>
      <c r="G16" s="126"/>
      <c r="H16" s="12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8" t="s">
        <v>19</v>
      </c>
      <c r="C19" s="129"/>
      <c r="D19" s="129"/>
      <c r="E19" s="129"/>
      <c r="F19" s="129"/>
      <c r="G19" s="129"/>
      <c r="H19" s="130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7">
        <v>1</v>
      </c>
      <c r="C21" s="119" t="s">
        <v>138</v>
      </c>
      <c r="D21" s="123">
        <v>2700</v>
      </c>
      <c r="E21" s="123">
        <v>500</v>
      </c>
      <c r="F21" s="108" t="s">
        <v>139</v>
      </c>
      <c r="G21" s="109">
        <v>70237</v>
      </c>
      <c r="H21" s="110">
        <f>G21*B21</f>
        <v>70237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1">
        <v>1</v>
      </c>
      <c r="C22" s="120" t="s">
        <v>140</v>
      </c>
      <c r="D22" s="124">
        <v>1300</v>
      </c>
      <c r="E22" s="124">
        <v>500</v>
      </c>
      <c r="F22" s="112" t="s">
        <v>139</v>
      </c>
      <c r="G22" s="113">
        <v>34866</v>
      </c>
      <c r="H22" s="114">
        <f>G22*B22</f>
        <v>34866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15">
        <v>1</v>
      </c>
      <c r="C23" s="121" t="s">
        <v>140</v>
      </c>
      <c r="D23" s="125">
        <v>68</v>
      </c>
      <c r="E23" s="125">
        <v>500</v>
      </c>
      <c r="F23" s="116" t="s">
        <v>139</v>
      </c>
      <c r="G23" s="117">
        <v>4865</v>
      </c>
      <c r="H23" s="118">
        <f>G23*B23</f>
        <v>4865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15">
        <v>1</v>
      </c>
      <c r="C24" s="121" t="s">
        <v>141</v>
      </c>
      <c r="D24" s="125">
        <v>710</v>
      </c>
      <c r="E24" s="125">
        <v>460</v>
      </c>
      <c r="F24" s="116" t="s">
        <v>142</v>
      </c>
      <c r="G24" s="117">
        <v>6800</v>
      </c>
      <c r="H24" s="118">
        <f t="shared" ref="H24:H25" si="0">G24*B24</f>
        <v>6800</v>
      </c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15">
        <v>1</v>
      </c>
      <c r="C25" s="121" t="s">
        <v>143</v>
      </c>
      <c r="D25" s="125">
        <v>1500</v>
      </c>
      <c r="E25" s="125">
        <v>20</v>
      </c>
      <c r="F25" s="116" t="s">
        <v>139</v>
      </c>
      <c r="G25" s="117">
        <v>3500</v>
      </c>
      <c r="H25" s="118">
        <f t="shared" si="0"/>
        <v>3500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3">
        <v>1</v>
      </c>
      <c r="C26" s="122" t="s">
        <v>144</v>
      </c>
      <c r="D26" s="104"/>
      <c r="E26" s="104"/>
      <c r="F26" s="103"/>
      <c r="G26" s="105">
        <v>135000</v>
      </c>
      <c r="H26" s="105">
        <f>G26*B26</f>
        <v>135000</v>
      </c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SUM(H21:H27)</f>
        <v>255268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48500.92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303768.92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3"/>
      <c r="I31" s="1"/>
    </row>
    <row r="32" spans="1:16" ht="15.6" x14ac:dyDescent="0.3">
      <c r="A32" s="1"/>
      <c r="B32" s="81" t="s">
        <v>123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81" t="s">
        <v>122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4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1" t="s">
        <v>31</v>
      </c>
      <c r="C2" s="131"/>
      <c r="D2" s="131"/>
      <c r="E2" s="18"/>
      <c r="G2" s="131" t="s">
        <v>70</v>
      </c>
      <c r="H2" s="131"/>
      <c r="I2" s="131"/>
      <c r="P2" s="132" t="s">
        <v>58</v>
      </c>
      <c r="Q2" s="132"/>
      <c r="R2" s="13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2" t="s">
        <v>58</v>
      </c>
      <c r="M8" s="132"/>
      <c r="N8" s="13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6"/>
  <sheetViews>
    <sheetView tabSelected="1" topLeftCell="A35" zoomScaleNormal="100" workbookViewId="0">
      <selection activeCell="A47" sqref="A47:F7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3" t="s">
        <v>61</v>
      </c>
      <c r="L3" s="133"/>
      <c r="M3" s="133" t="s">
        <v>14</v>
      </c>
      <c r="N3" s="133"/>
    </row>
    <row r="4" spans="1:14" ht="15.75" customHeight="1" x14ac:dyDescent="0.3">
      <c r="A4" s="1"/>
      <c r="B4" s="1"/>
      <c r="C4" s="40" t="s">
        <v>27</v>
      </c>
      <c r="D4" s="14">
        <f>'4637'!G8</f>
        <v>7247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SELMA HUNG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45867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4" t="s">
        <v>61</v>
      </c>
      <c r="B10" s="134"/>
      <c r="C10" s="134"/>
      <c r="D10" s="134"/>
      <c r="E10" s="134"/>
      <c r="F10" s="13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129</v>
      </c>
      <c r="B14" s="25">
        <f t="shared" ref="B14" si="0">I14</f>
        <v>1</v>
      </c>
      <c r="C14" s="25" t="s">
        <v>147</v>
      </c>
      <c r="D14" s="25">
        <f>J14+D$13</f>
        <v>2780</v>
      </c>
      <c r="E14" s="35">
        <f>K14+E$13</f>
        <v>470</v>
      </c>
      <c r="F14" s="95" t="str">
        <f>C32</f>
        <v xml:space="preserve">CUB CON RESPALDO Y FRENTE 90°  Y  RECTO </v>
      </c>
      <c r="G14" s="1"/>
      <c r="I14" s="3">
        <f>I23</f>
        <v>1</v>
      </c>
      <c r="J14" s="4">
        <f>D32</f>
        <v>2700</v>
      </c>
      <c r="K14" s="4">
        <f>E32</f>
        <v>500</v>
      </c>
    </row>
    <row r="15" spans="1:14" ht="15.6" x14ac:dyDescent="0.3">
      <c r="A15" s="92"/>
      <c r="B15" s="25">
        <f t="shared" ref="B15:B16" si="1">I15</f>
        <v>1</v>
      </c>
      <c r="C15" s="25" t="s">
        <v>147</v>
      </c>
      <c r="D15" s="25">
        <f t="shared" ref="D15" si="2">J15+D$13</f>
        <v>1480</v>
      </c>
      <c r="E15" s="35">
        <f t="shared" ref="E15" si="3">K15+E$13</f>
        <v>470</v>
      </c>
      <c r="F15" s="95" t="str">
        <f>C33</f>
        <v>CUB CON RESPALDO FRENTE 90°</v>
      </c>
      <c r="G15" s="1"/>
      <c r="I15" s="3">
        <f>I24</f>
        <v>1</v>
      </c>
      <c r="J15" s="4">
        <v>1400</v>
      </c>
      <c r="K15" s="4">
        <f t="shared" ref="K15" si="4">E33</f>
        <v>500</v>
      </c>
    </row>
    <row r="16" spans="1:14" ht="15.6" x14ac:dyDescent="0.3">
      <c r="A16" s="92" t="s">
        <v>148</v>
      </c>
      <c r="B16" s="25">
        <f t="shared" si="1"/>
        <v>1</v>
      </c>
      <c r="C16" s="25"/>
      <c r="D16" s="25">
        <f>J16</f>
        <v>710</v>
      </c>
      <c r="E16" s="35">
        <f>K16</f>
        <v>460</v>
      </c>
      <c r="F16" s="95" t="str">
        <f>C35</f>
        <v>TROZO MELAMINA 15MM LAVAPLATOS</v>
      </c>
      <c r="G16" s="1"/>
      <c r="I16" s="3">
        <f>I25</f>
        <v>1</v>
      </c>
      <c r="J16" s="4">
        <f t="shared" ref="J16:K16" si="5">D35</f>
        <v>710</v>
      </c>
      <c r="K16" s="4">
        <f t="shared" si="5"/>
        <v>460</v>
      </c>
    </row>
    <row r="17" spans="1:11" ht="15.6" x14ac:dyDescent="0.3">
      <c r="A17" s="92"/>
      <c r="B17" s="6"/>
      <c r="C17" s="6"/>
      <c r="D17" s="6"/>
      <c r="E17" s="6"/>
      <c r="F17" s="101"/>
      <c r="G17" s="1"/>
      <c r="I17" s="2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34" t="s">
        <v>14</v>
      </c>
      <c r="B19" s="134"/>
      <c r="C19" s="134"/>
      <c r="D19" s="134"/>
      <c r="E19" s="134"/>
      <c r="F19" s="134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110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2" t="s">
        <v>129</v>
      </c>
      <c r="B23" s="16">
        <f t="shared" ref="B23" si="6">I23</f>
        <v>1</v>
      </c>
      <c r="C23" s="16"/>
      <c r="D23" s="16">
        <f>J23+$D$22</f>
        <v>2740</v>
      </c>
      <c r="E23" s="16">
        <f>K23+$E$22</f>
        <v>610</v>
      </c>
      <c r="F23" s="96" t="str">
        <f>C32</f>
        <v xml:space="preserve">CUB CON RESPALDO Y FRENTE 90°  Y  RECTO </v>
      </c>
      <c r="G23" s="1"/>
      <c r="I23" s="3">
        <f>B32</f>
        <v>1</v>
      </c>
      <c r="J23" s="4">
        <f t="shared" ref="J23:K23" si="7">D32</f>
        <v>2700</v>
      </c>
      <c r="K23" s="4">
        <f t="shared" si="7"/>
        <v>500</v>
      </c>
    </row>
    <row r="24" spans="1:11" ht="15.6" x14ac:dyDescent="0.3">
      <c r="A24" s="92"/>
      <c r="B24" s="16">
        <f t="shared" ref="B24:B25" si="8">I24</f>
        <v>1</v>
      </c>
      <c r="C24" s="16" t="s">
        <v>145</v>
      </c>
      <c r="D24" s="16">
        <f>J24+$D$22</f>
        <v>1440</v>
      </c>
      <c r="E24" s="16">
        <f>K24+$E$22</f>
        <v>610</v>
      </c>
      <c r="F24" s="96" t="str">
        <f>C33</f>
        <v>CUB CON RESPALDO FRENTE 90°</v>
      </c>
      <c r="G24" s="1"/>
      <c r="I24" s="3">
        <f>B33</f>
        <v>1</v>
      </c>
      <c r="J24" s="4">
        <v>1400</v>
      </c>
      <c r="K24" s="4">
        <f>E33</f>
        <v>500</v>
      </c>
    </row>
    <row r="25" spans="1:11" ht="15.6" x14ac:dyDescent="0.3">
      <c r="A25" s="92"/>
      <c r="B25" s="16">
        <f t="shared" si="8"/>
        <v>1</v>
      </c>
      <c r="C25" s="16"/>
      <c r="D25" s="16">
        <v>710</v>
      </c>
      <c r="E25" s="16">
        <v>460</v>
      </c>
      <c r="F25" s="96" t="str">
        <f>C35</f>
        <v>TROZO MELAMINA 15MM LAVAPLATOS</v>
      </c>
      <c r="G25" s="1"/>
      <c r="I25" s="3">
        <f>B35</f>
        <v>1</v>
      </c>
      <c r="J25" s="4">
        <f t="shared" ref="J25:K25" si="9">D35</f>
        <v>710</v>
      </c>
      <c r="K25" s="4">
        <f t="shared" si="9"/>
        <v>460</v>
      </c>
    </row>
    <row r="26" spans="1:11" ht="15.6" x14ac:dyDescent="0.3">
      <c r="A26" s="92"/>
      <c r="B26" s="16">
        <f t="shared" ref="B26" si="10">I26</f>
        <v>1</v>
      </c>
      <c r="C26" s="16" t="s">
        <v>146</v>
      </c>
      <c r="D26" s="16">
        <f>J26+$D$22</f>
        <v>1540</v>
      </c>
      <c r="E26" s="16">
        <v>20</v>
      </c>
      <c r="F26" s="96" t="str">
        <f>C36</f>
        <v>TROZO DE LAMINA DEBAJO LAVAPLATOS</v>
      </c>
      <c r="G26" s="1"/>
      <c r="I26" s="3">
        <f>B36</f>
        <v>1</v>
      </c>
      <c r="J26" s="4">
        <f t="shared" ref="J26" si="11">D36</f>
        <v>1500</v>
      </c>
      <c r="K26" s="4">
        <f t="shared" ref="K26" si="12">E36</f>
        <v>20</v>
      </c>
    </row>
    <row r="27" spans="1:11" ht="15.6" x14ac:dyDescent="0.3">
      <c r="A27" s="92"/>
      <c r="B27" s="6"/>
      <c r="C27" s="6"/>
      <c r="D27" s="6"/>
      <c r="E27" s="6"/>
      <c r="F27" s="101"/>
      <c r="G27" s="1"/>
      <c r="I27" s="2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6" t="s">
        <v>10</v>
      </c>
      <c r="C31" s="86" t="s">
        <v>110</v>
      </c>
      <c r="D31" s="86" t="s">
        <v>7</v>
      </c>
      <c r="E31" s="86" t="s">
        <v>8</v>
      </c>
      <c r="F31" s="86" t="s">
        <v>23</v>
      </c>
      <c r="G31" s="1"/>
    </row>
    <row r="32" spans="1:11" ht="15.6" x14ac:dyDescent="0.3">
      <c r="A32" s="92" t="s">
        <v>132</v>
      </c>
      <c r="B32" s="25">
        <f>'4637'!B21</f>
        <v>1</v>
      </c>
      <c r="C32" s="95" t="str">
        <f>'4637'!C21</f>
        <v xml:space="preserve">CUB CON RESPALDO Y FRENTE 90°  Y  RECTO </v>
      </c>
      <c r="D32" s="25">
        <f>'4637'!D21</f>
        <v>2700</v>
      </c>
      <c r="E32" s="25">
        <f>'4637'!E21</f>
        <v>500</v>
      </c>
      <c r="F32" s="25" t="str">
        <f>'4637'!F21</f>
        <v>GRANITINO NEGRO MT</v>
      </c>
      <c r="G32" s="1"/>
    </row>
    <row r="33" spans="1:7" ht="15.6" x14ac:dyDescent="0.3">
      <c r="A33" s="92"/>
      <c r="B33" s="25">
        <f>'4637'!B22</f>
        <v>1</v>
      </c>
      <c r="C33" s="95" t="str">
        <f>'4637'!C22</f>
        <v>CUB CON RESPALDO FRENTE 90°</v>
      </c>
      <c r="D33" s="25">
        <f>'4637'!D22</f>
        <v>1300</v>
      </c>
      <c r="E33" s="25">
        <f>'4637'!E22</f>
        <v>500</v>
      </c>
      <c r="F33" s="25" t="str">
        <f>'4637'!F22</f>
        <v>GRANITINO NEGRO MT</v>
      </c>
      <c r="G33" s="1"/>
    </row>
    <row r="34" spans="1:7" ht="15.6" x14ac:dyDescent="0.3">
      <c r="A34" s="92"/>
      <c r="B34" s="25">
        <f>'4637'!B23</f>
        <v>1</v>
      </c>
      <c r="C34" s="95" t="str">
        <f>'4637'!C23</f>
        <v>CUB CON RESPALDO FRENTE 90°</v>
      </c>
      <c r="D34" s="25">
        <f>'4637'!D23</f>
        <v>68</v>
      </c>
      <c r="E34" s="25">
        <f>'4637'!E23</f>
        <v>500</v>
      </c>
      <c r="F34" s="25" t="str">
        <f>'4637'!F23</f>
        <v>GRANITINO NEGRO MT</v>
      </c>
      <c r="G34" s="1"/>
    </row>
    <row r="35" spans="1:7" ht="15.6" x14ac:dyDescent="0.3">
      <c r="A35" s="92"/>
      <c r="B35" s="25">
        <f>'4637'!B24</f>
        <v>1</v>
      </c>
      <c r="C35" s="95" t="str">
        <f>'4637'!C24</f>
        <v>TROZO MELAMINA 15MM LAVAPLATOS</v>
      </c>
      <c r="D35" s="25">
        <f>'4637'!D24</f>
        <v>710</v>
      </c>
      <c r="E35" s="25">
        <f>'4637'!E24</f>
        <v>460</v>
      </c>
      <c r="F35" s="25" t="str">
        <f>'4637'!F24</f>
        <v>BLANCO</v>
      </c>
      <c r="G35" s="1"/>
    </row>
    <row r="36" spans="1:7" ht="15.6" x14ac:dyDescent="0.3">
      <c r="A36" s="92"/>
      <c r="B36" s="25">
        <f>'4637'!B25</f>
        <v>1</v>
      </c>
      <c r="C36" s="95" t="str">
        <f>'4637'!C25</f>
        <v>TROZO DE LAMINA DEBAJO LAVAPLATOS</v>
      </c>
      <c r="D36" s="25">
        <f>'4637'!D25</f>
        <v>1500</v>
      </c>
      <c r="E36" s="25">
        <f>'4637'!E25</f>
        <v>20</v>
      </c>
      <c r="F36" s="25" t="str">
        <f>'4637'!F25</f>
        <v>GRANITINO NEGRO MT</v>
      </c>
      <c r="G36" s="1"/>
    </row>
    <row r="37" spans="1:7" ht="15.6" x14ac:dyDescent="0.3">
      <c r="A37" s="92"/>
      <c r="B37" s="6"/>
      <c r="C37" s="101"/>
      <c r="D37" s="6"/>
      <c r="E37" s="6"/>
      <c r="F37" s="6"/>
      <c r="G37" s="1"/>
    </row>
    <row r="38" spans="1:7" ht="15.6" x14ac:dyDescent="0.3">
      <c r="A38" s="92"/>
      <c r="B38" s="6"/>
      <c r="C38" s="101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40" t="s">
        <v>27</v>
      </c>
      <c r="D49" s="14">
        <f>'4637'!G8</f>
        <v>7247</v>
      </c>
      <c r="E49" s="1"/>
      <c r="F49" s="1"/>
      <c r="G49" s="1"/>
    </row>
    <row r="50" spans="1:7" ht="17.25" customHeight="1" x14ac:dyDescent="0.3">
      <c r="A50" s="1"/>
      <c r="B50" s="1"/>
      <c r="C50" s="41" t="s">
        <v>67</v>
      </c>
      <c r="D50" s="42" t="str">
        <f>'4637'!C10</f>
        <v>SELMA HUNG</v>
      </c>
      <c r="E50" s="43"/>
      <c r="F50" s="43"/>
      <c r="G50" s="1"/>
    </row>
    <row r="51" spans="1:7" ht="4.5" customHeight="1" x14ac:dyDescent="0.3">
      <c r="A51" s="1"/>
      <c r="B51" s="1"/>
      <c r="C51" s="44"/>
      <c r="D51" s="45"/>
      <c r="E51" s="1"/>
      <c r="F51" s="1"/>
      <c r="G51" s="1"/>
    </row>
    <row r="52" spans="1:7" ht="15.6" x14ac:dyDescent="0.3">
      <c r="A52" s="1"/>
      <c r="B52" s="1"/>
      <c r="C52" s="46" t="str">
        <f>'4637'!F11</f>
        <v>FECHA LIMITE :</v>
      </c>
      <c r="D52" s="13">
        <f>'4637'!G11</f>
        <v>45867</v>
      </c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34" t="s">
        <v>68</v>
      </c>
      <c r="B55" s="134"/>
      <c r="C55" s="134"/>
      <c r="D55" s="134"/>
      <c r="E55" s="134"/>
      <c r="F55" s="134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75" customHeight="1" x14ac:dyDescent="0.3">
      <c r="A57" s="1"/>
      <c r="B57" s="135" t="s">
        <v>69</v>
      </c>
      <c r="C57" s="136"/>
      <c r="D57" s="137"/>
      <c r="E57" s="137"/>
      <c r="F57" s="138"/>
      <c r="G57" s="1"/>
    </row>
    <row r="58" spans="1:7" s="15" customFormat="1" ht="12.75" customHeight="1" x14ac:dyDescent="0.3">
      <c r="A58" s="1"/>
      <c r="B58" s="36" t="s">
        <v>10</v>
      </c>
      <c r="C58" s="47" t="s">
        <v>11</v>
      </c>
      <c r="D58" s="48" t="s">
        <v>7</v>
      </c>
      <c r="E58" s="48" t="s">
        <v>8</v>
      </c>
      <c r="F58" s="49" t="s">
        <v>12</v>
      </c>
      <c r="G58" s="1"/>
    </row>
    <row r="59" spans="1:7" s="15" customFormat="1" ht="15" customHeight="1" x14ac:dyDescent="0.3">
      <c r="A59" s="92" t="s">
        <v>132</v>
      </c>
      <c r="B59" s="38">
        <f>'4637'!B21</f>
        <v>1</v>
      </c>
      <c r="C59" s="94" t="str">
        <f>'4637'!C21</f>
        <v xml:space="preserve">CUB CON RESPALDO Y FRENTE 90°  Y  RECTO </v>
      </c>
      <c r="D59" s="39">
        <f>'4637'!D21</f>
        <v>2700</v>
      </c>
      <c r="E59" s="39">
        <f>'4637'!E21</f>
        <v>500</v>
      </c>
      <c r="F59" s="38" t="str">
        <f>'4637'!F21</f>
        <v>GRANITINO NEGRO MT</v>
      </c>
      <c r="G59" s="1"/>
    </row>
    <row r="60" spans="1:7" s="15" customFormat="1" ht="15" customHeight="1" x14ac:dyDescent="0.3">
      <c r="A60" s="92"/>
      <c r="B60" s="38">
        <f>'4637'!B22</f>
        <v>1</v>
      </c>
      <c r="C60" s="94" t="str">
        <f>'4637'!C22</f>
        <v>CUB CON RESPALDO FRENTE 90°</v>
      </c>
      <c r="D60" s="39">
        <f>'4637'!D22</f>
        <v>1300</v>
      </c>
      <c r="E60" s="39">
        <f>'4637'!E22</f>
        <v>500</v>
      </c>
      <c r="F60" s="38" t="str">
        <f>'4637'!F22</f>
        <v>GRANITINO NEGRO MT</v>
      </c>
      <c r="G60" s="1"/>
    </row>
    <row r="61" spans="1:7" s="15" customFormat="1" ht="15" customHeight="1" x14ac:dyDescent="0.3">
      <c r="A61" s="92"/>
      <c r="B61" s="38">
        <f>'4637'!B23</f>
        <v>1</v>
      </c>
      <c r="C61" s="94" t="str">
        <f>'4637'!C23</f>
        <v>CUB CON RESPALDO FRENTE 90°</v>
      </c>
      <c r="D61" s="39">
        <f>'4637'!D23</f>
        <v>68</v>
      </c>
      <c r="E61" s="39">
        <f>'4637'!E23</f>
        <v>500</v>
      </c>
      <c r="F61" s="38" t="str">
        <f>'4637'!F23</f>
        <v>GRANITINO NEGRO MT</v>
      </c>
      <c r="G61" s="1"/>
    </row>
    <row r="62" spans="1:7" s="15" customFormat="1" ht="15" customHeight="1" x14ac:dyDescent="0.3">
      <c r="A62" s="92"/>
      <c r="B62" s="38">
        <f>'4637'!B24</f>
        <v>1</v>
      </c>
      <c r="C62" s="94" t="str">
        <f>'4637'!C24</f>
        <v>TROZO MELAMINA 15MM LAVAPLATOS</v>
      </c>
      <c r="D62" s="39">
        <f>'4637'!D24</f>
        <v>710</v>
      </c>
      <c r="E62" s="39">
        <f>'4637'!E24</f>
        <v>460</v>
      </c>
      <c r="F62" s="38" t="str">
        <f>'4637'!F24</f>
        <v>BLANCO</v>
      </c>
      <c r="G62" s="1"/>
    </row>
    <row r="63" spans="1:7" s="15" customFormat="1" ht="15" customHeight="1" x14ac:dyDescent="0.3">
      <c r="A63" s="92"/>
      <c r="B63" s="38">
        <f>'4637'!B25</f>
        <v>1</v>
      </c>
      <c r="C63" s="94" t="str">
        <f>'4637'!C25</f>
        <v>TROZO DE LAMINA DEBAJO LAVAPLATOS</v>
      </c>
      <c r="D63" s="39">
        <f>'4637'!D25</f>
        <v>1500</v>
      </c>
      <c r="E63" s="39">
        <f>'4637'!E25</f>
        <v>20</v>
      </c>
      <c r="F63" s="38" t="str">
        <f>'4637'!F25</f>
        <v>GRANITINO NEGRO MT</v>
      </c>
      <c r="G63" s="1"/>
    </row>
    <row r="64" spans="1:7" s="15" customFormat="1" ht="15" customHeight="1" x14ac:dyDescent="0.3">
      <c r="A64" s="92"/>
      <c r="B64" s="52"/>
      <c r="C64" s="100"/>
      <c r="D64" s="52"/>
      <c r="E64" s="52"/>
      <c r="F64" s="52"/>
      <c r="G64" s="1"/>
    </row>
    <row r="65" spans="1:7" s="15" customFormat="1" ht="15" customHeight="1" x14ac:dyDescent="0.3">
      <c r="A65" s="50"/>
      <c r="B65" s="52"/>
      <c r="C65" s="52"/>
      <c r="D65" s="52"/>
      <c r="E65" s="52"/>
      <c r="F65" s="52"/>
      <c r="G65" s="1"/>
    </row>
    <row r="66" spans="1:7" ht="15.6" x14ac:dyDescent="0.3">
      <c r="A66" s="6"/>
      <c r="B66" s="6"/>
      <c r="C66" s="1"/>
      <c r="D66" s="6"/>
      <c r="E66" s="6"/>
      <c r="F66" s="44"/>
      <c r="G66" s="1"/>
    </row>
    <row r="67" spans="1:7" ht="15.6" x14ac:dyDescent="0.3">
      <c r="A67" s="6"/>
      <c r="B67" s="6"/>
      <c r="C67" s="1"/>
      <c r="D67" s="6"/>
      <c r="E67" s="6"/>
      <c r="F67" s="6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" customHeight="1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6"/>
      <c r="B73" s="5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x14ac:dyDescent="0.3">
      <c r="B75" s="20"/>
      <c r="C75" s="20"/>
      <c r="D75" s="20"/>
      <c r="E75" s="20"/>
      <c r="F75" s="20"/>
    </row>
    <row r="76" spans="1:7" x14ac:dyDescent="0.3">
      <c r="B76" s="20"/>
      <c r="C76" s="20"/>
      <c r="E76" s="20"/>
      <c r="F76" s="20"/>
    </row>
  </sheetData>
  <mergeCells count="6">
    <mergeCell ref="M3:N3"/>
    <mergeCell ref="A19:F19"/>
    <mergeCell ref="A10:F10"/>
    <mergeCell ref="A55:F55"/>
    <mergeCell ref="B57:F5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2025-07-31T12:53:20Z</cp:lastPrinted>
  <dcterms:created xsi:type="dcterms:W3CDTF">2013-03-19T12:54:14Z</dcterms:created>
  <dcterms:modified xsi:type="dcterms:W3CDTF">2025-07-31T13:21:14Z</dcterms:modified>
</cp:coreProperties>
</file>