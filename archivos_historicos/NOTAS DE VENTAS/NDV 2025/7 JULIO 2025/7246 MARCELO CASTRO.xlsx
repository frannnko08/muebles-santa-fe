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5904C713-2A80-493F-9AE0-754AA53220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3" l="1"/>
  <c r="I25" i="3" s="1"/>
  <c r="C34" i="3"/>
  <c r="D34" i="3"/>
  <c r="E34" i="3"/>
  <c r="F34" i="3"/>
  <c r="B35" i="3"/>
  <c r="I26" i="3" s="1"/>
  <c r="C35" i="3"/>
  <c r="D35" i="3"/>
  <c r="E35" i="3"/>
  <c r="F35" i="3"/>
  <c r="B36" i="3"/>
  <c r="I27" i="3" s="1"/>
  <c r="C36" i="3"/>
  <c r="D36" i="3"/>
  <c r="E36" i="3"/>
  <c r="F36" i="3"/>
  <c r="B37" i="3"/>
  <c r="C37" i="3"/>
  <c r="D37" i="3"/>
  <c r="E37" i="3"/>
  <c r="F37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H25" i="4"/>
  <c r="H24" i="4"/>
  <c r="H23" i="4"/>
  <c r="H22" i="4"/>
  <c r="H28" i="4" s="1"/>
  <c r="H29" i="4" s="1"/>
  <c r="H21" i="4"/>
  <c r="B33" i="3"/>
  <c r="I24" i="3" s="1"/>
  <c r="C33" i="3"/>
  <c r="F14" i="3" s="1"/>
  <c r="D33" i="3"/>
  <c r="J14" i="3" s="1"/>
  <c r="D14" i="3" s="1"/>
  <c r="E33" i="3"/>
  <c r="K24" i="3" s="1"/>
  <c r="E24" i="3" s="1"/>
  <c r="F33" i="3"/>
  <c r="B60" i="3"/>
  <c r="C60" i="3"/>
  <c r="D60" i="3"/>
  <c r="E60" i="3"/>
  <c r="F60" i="3"/>
  <c r="F27" i="3" l="1"/>
  <c r="F17" i="3"/>
  <c r="F26" i="3"/>
  <c r="F16" i="3"/>
  <c r="K27" i="3"/>
  <c r="E27" i="3" s="1"/>
  <c r="K17" i="3"/>
  <c r="E17" i="3" s="1"/>
  <c r="B26" i="3"/>
  <c r="I16" i="3"/>
  <c r="B16" i="3" s="1"/>
  <c r="F25" i="3"/>
  <c r="F15" i="3"/>
  <c r="J26" i="3"/>
  <c r="D26" i="3" s="1"/>
  <c r="J16" i="3"/>
  <c r="D16" i="3" s="1"/>
  <c r="K25" i="3"/>
  <c r="E25" i="3" s="1"/>
  <c r="K15" i="3"/>
  <c r="E15" i="3" s="1"/>
  <c r="B27" i="3"/>
  <c r="I17" i="3"/>
  <c r="B17" i="3" s="1"/>
  <c r="J25" i="3"/>
  <c r="D25" i="3" s="1"/>
  <c r="J15" i="3"/>
  <c r="D15" i="3" s="1"/>
  <c r="J27" i="3"/>
  <c r="D27" i="3" s="1"/>
  <c r="J17" i="3"/>
  <c r="D17" i="3" s="1"/>
  <c r="K26" i="3"/>
  <c r="E26" i="3" s="1"/>
  <c r="K16" i="3"/>
  <c r="E16" i="3" s="1"/>
  <c r="B25" i="3"/>
  <c r="I15" i="3"/>
  <c r="B15" i="3" s="1"/>
  <c r="J24" i="3"/>
  <c r="D24" i="3" s="1"/>
  <c r="K14" i="3"/>
  <c r="E14" i="3" s="1"/>
  <c r="B24" i="3"/>
  <c r="I14" i="3"/>
  <c r="B14" i="3" s="1"/>
  <c r="F24" i="3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<sst xmlns="http://schemas.openxmlformats.org/spreadsheetml/2006/main" count="252" uniqueCount="143">
  <si>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</si>
  <si>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</si>
  <si>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</si>
  <si>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</si>
  <si>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</si>
  <si>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</si>
  <si>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</si>
  <si>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</si>
  <si>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</si>
  <si>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</si>
  <si>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</si>
  <si>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</si>
  <si>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</si>
  <si>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</si>
  <si>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</si>
  <si>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</si>
  <si>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</si>
  <si>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</si>
  <si>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</si>
  <si>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</si>
  <si>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</si>
  <si>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</si>
  <si>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</si>
  <si>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</si>
  <si>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</si>
  <si>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</si>
  <si>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</si>
  <si>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</si>
  <si>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</si>
  <si>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</si>
  <si>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</si>
  <si>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</si>
  <si>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</si>
  <si>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</si>
  <si>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</si>
  <si>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</si>
  <si>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</si>
  <si>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</si>
  <si>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</si>
  <si>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</si>
  <si>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</si>
  <si>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</si>
  <si>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</si>
  <si>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</si>
  <si>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</si>
  <si>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</si>
  <si>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</si>
  <si>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</si>
  <si>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</si>
  <si>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</si>
  <si>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</si>
  <si>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</si>
  <si>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</si>
  <si>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</si>
  <si>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</si>
  <si>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</si>
  <si>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</si>
  <si>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</si>
  <si>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</si>
  <si>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</si>
  <si>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</si>
  <si>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</si>
  <si>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</si>
  <si>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</si>
  <si>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</si>
  <si>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</si>
  <si>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</si>
  <si>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</si>
  <si>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</si>
  <si>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</si>
  <si>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</si>
  <si>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</si>
  <si>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</si>
  <si>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</si>
  <si>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</si>
  <si>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</si>
  <si>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</si>
  <si>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</si>
  <si>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</si>
  <si>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</si>
  <si>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</si>
  <si>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</si>
  <si>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</si>
  <si>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</si>
  <si>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</si>
  <si>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</si>
  <si>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</si>
  <si>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</si>
  <si>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</si>
  <si>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</si>
  <si>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</si>
  <si>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</si>
  <si>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</si>
  <si>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</si>
  <si>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</si>
  <si>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</si>
  <si>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</si>
  <si>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</si>
  <si>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</si>
  <si>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</si>
  <si>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</si>
  <si>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</si>
  <si>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</si>
  <si>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</si>
  <si>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</si>
  <si>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</si>
  <si>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</si>
  <si>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</si>
  <si>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</si>
  <si>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</si>
  <si>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</si>
  <si>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</si>
  <si>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</si>
  <si>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</si>
  <si>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</si>
  <si>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</si>
  <si>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</si>
  <si>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</si>
  <si>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</si>
  <si>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</si>
  <si>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</si>
  <si>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</si>
  <si>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</si>
  <si>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</si>
  <si>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</si>
  <si>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</si>
  <si>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</si>
  <si>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</si>
  <si>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</si>
  <si>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</si>
  <si>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</si>
  <si>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</si>
  <si>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</si>
  <si>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</si>
  <si>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</si>
  <si>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</si>
  <si>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 xml:space="preserve">MARCELO CASTRO </t>
  </si>
  <si>
    <t>569 7137 9100</t>
  </si>
  <si>
    <t>CUB C/R FRENTE ESPAÑOL 180°</t>
  </si>
  <si>
    <t>SERVICIO INSTALACION INCLUYE TRASLADO Y CORTE 45°</t>
  </si>
  <si>
    <t>BLANCO BRILLO MERINO</t>
  </si>
  <si>
    <t>N° 11507</t>
  </si>
  <si>
    <t>FRENTE ESPAÑOL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</si>
</sst>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4" xfId="0" applyFill="1" applyBorder="1"/>
    <xf numFmtId="0" fontId="20" fillId="0" borderId="0" xfId="0" quotePrefix="1" applyFont="1"/>
    <xf numFmtId="0" fontId="15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$ 532.299.-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2392680</xdr:colOff>
      <xdr:row>20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1019175</xdr:colOff>
      <xdr:row>66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0</xdr:rowOff>
    </xdr:from>
    <xdr:to>
      <xdr:col>3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447675</xdr:colOff>
      <xdr:row>66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66</xdr:row>
      <xdr:rowOff>190500</xdr:rowOff>
    </xdr:from>
    <xdr:to>
      <xdr:col>2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66</xdr:row>
      <xdr:rowOff>190500</xdr:rowOff>
    </xdr:from>
    <xdr:to>
      <xdr:col>2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190500</xdr:rowOff>
    </xdr:from>
    <xdr:to>
      <xdr:col>3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190500</xdr:rowOff>
    </xdr:from>
    <xdr:to>
      <xdr:col>4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190500</xdr:rowOff>
    </xdr:from>
    <xdr:to>
      <xdr:col>5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190500</xdr:rowOff>
    </xdr:from>
    <xdr:to>
      <xdr:col>6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129540</xdr:colOff>
      <xdr:row>40</xdr:row>
      <xdr:rowOff>7619</xdr:rowOff>
    </xdr:from>
    <xdr:to>
      <xdr:col>5</xdr:col>
      <xdr:colOff>2354580</xdr:colOff>
      <xdr:row>45</xdr:row>
      <xdr:rowOff>45720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9540" y="5402579"/>
          <a:ext cx="8496300" cy="10287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llevan corte 45°, son para instalación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69</xdr:row>
      <xdr:rowOff>32385</xdr:rowOff>
    </xdr:from>
    <xdr:to>
      <xdr:col>6</xdr:col>
      <xdr:colOff>19050</xdr:colOff>
      <xdr:row>73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LLEVAN CORTE DE 45°, SON CON INSTALACION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48</xdr:row>
      <xdr:rowOff>41910</xdr:rowOff>
    </xdr:from>
    <xdr:to>
      <xdr:col>1</xdr:col>
      <xdr:colOff>801763</xdr:colOff>
      <xdr:row>54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141</v>
      </c>
      <c r="E8" s="1"/>
      <c r="F8" s="90" t="s">
        <v>27</v>
      </c>
      <c r="G8" s="91">
        <v>7246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05" t="s">
        <v>136</v>
      </c>
      <c r="D10" s="54"/>
      <c r="E10" s="54"/>
      <c r="F10" s="55" t="s">
        <v>28</v>
      </c>
      <c r="G10" s="56">
        <v>45862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0"/>
      <c r="D11" s="59"/>
      <c r="E11" s="59"/>
      <c r="F11" s="59" t="s">
        <v>124</v>
      </c>
      <c r="G11" s="60">
        <v>45867</v>
      </c>
      <c r="H11" s="61"/>
      <c r="I11" s="1"/>
    </row>
    <row r="12" spans="1:17" ht="16.8" x14ac:dyDescent="0.4">
      <c r="A12" s="1"/>
      <c r="B12" s="62" t="s">
        <v>130</v>
      </c>
      <c r="C12" s="101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6" t="s">
        <v>137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1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2" t="s">
        <v>135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7">
        <v>2</v>
      </c>
      <c r="C21" s="107" t="s">
        <v>138</v>
      </c>
      <c r="D21" s="111">
        <v>2555</v>
      </c>
      <c r="E21" s="111">
        <v>650</v>
      </c>
      <c r="F21" s="107" t="s">
        <v>140</v>
      </c>
      <c r="G21" s="109">
        <v>143648</v>
      </c>
      <c r="H21" s="109">
        <f>G21*B21</f>
        <v>287296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>
        <v>2</v>
      </c>
      <c r="C22" s="107" t="s">
        <v>138</v>
      </c>
      <c r="D22" s="111">
        <v>2585</v>
      </c>
      <c r="E22" s="111">
        <v>650</v>
      </c>
      <c r="F22" s="107" t="s">
        <v>140</v>
      </c>
      <c r="G22" s="109">
        <v>143158</v>
      </c>
      <c r="H22" s="109">
        <f t="shared" ref="H22:H25" si="0">G22*B22</f>
        <v>286316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7">
        <v>1</v>
      </c>
      <c r="C23" s="107" t="s">
        <v>138</v>
      </c>
      <c r="D23" s="111">
        <v>1615</v>
      </c>
      <c r="E23" s="111">
        <v>650</v>
      </c>
      <c r="F23" s="107" t="s">
        <v>140</v>
      </c>
      <c r="G23" s="109">
        <v>93328</v>
      </c>
      <c r="H23" s="109">
        <f t="shared" si="0"/>
        <v>93328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7">
        <v>1</v>
      </c>
      <c r="C24" s="107" t="s">
        <v>138</v>
      </c>
      <c r="D24" s="111">
        <v>3070</v>
      </c>
      <c r="E24" s="111">
        <v>650</v>
      </c>
      <c r="F24" s="107" t="s">
        <v>140</v>
      </c>
      <c r="G24" s="109">
        <v>166574</v>
      </c>
      <c r="H24" s="109">
        <f t="shared" si="0"/>
        <v>166574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>
        <v>1</v>
      </c>
      <c r="C25" s="110" t="s">
        <v>139</v>
      </c>
      <c r="D25" s="108"/>
      <c r="E25" s="108"/>
      <c r="F25" s="107"/>
      <c r="G25" s="109">
        <v>285000</v>
      </c>
      <c r="H25" s="109">
        <f t="shared" si="0"/>
        <v>285000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3"/>
      <c r="C26" s="93"/>
      <c r="D26" s="93"/>
      <c r="E26" s="93"/>
      <c r="F26" s="94"/>
      <c r="G26" s="95"/>
      <c r="H26" s="95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1118514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212517.66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1331031.6599999999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6"/>
      <c r="I31" s="1"/>
    </row>
    <row r="32" spans="1:16" ht="15.6" x14ac:dyDescent="0.3">
      <c r="A32" s="1"/>
      <c r="B32" s="81" t="s">
        <v>123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122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4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7"/>
  <sheetViews>
    <sheetView tabSelected="1" zoomScaleNormal="100" workbookViewId="0">
      <selection sqref="A1:F4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7246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 xml:space="preserve">MARCELO CASTRO 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45867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129</v>
      </c>
      <c r="B14" s="25">
        <f t="shared" ref="B14" si="0">I14</f>
        <v>2</v>
      </c>
      <c r="C14" s="25"/>
      <c r="D14" s="25">
        <f>J14+D$13</f>
        <v>2635</v>
      </c>
      <c r="E14" s="35">
        <f>K14+E$13</f>
        <v>620</v>
      </c>
      <c r="F14" s="98" t="str">
        <f>C33</f>
        <v>CUB C/R FRENTE ESPAÑOL 180°</v>
      </c>
      <c r="G14" s="1"/>
      <c r="I14" s="3">
        <f>I24</f>
        <v>2</v>
      </c>
      <c r="J14" s="4">
        <f>D33</f>
        <v>2555</v>
      </c>
      <c r="K14" s="4">
        <f>E33</f>
        <v>650</v>
      </c>
    </row>
    <row r="15" spans="1:14" ht="15.6" x14ac:dyDescent="0.3">
      <c r="A15" s="92"/>
      <c r="B15" s="25">
        <f t="shared" ref="B15:B17" si="1">I15</f>
        <v>2</v>
      </c>
      <c r="C15" s="25"/>
      <c r="D15" s="25">
        <f t="shared" ref="D15:D17" si="2">J15+D$13</f>
        <v>2665</v>
      </c>
      <c r="E15" s="35">
        <f t="shared" ref="E15:E17" si="3">K15+E$13</f>
        <v>620</v>
      </c>
      <c r="F15" s="98" t="str">
        <f>C34</f>
        <v>CUB C/R FRENTE ESPAÑOL 180°</v>
      </c>
      <c r="G15" s="1"/>
      <c r="I15" s="3">
        <f>I25</f>
        <v>2</v>
      </c>
      <c r="J15" s="4">
        <f t="shared" ref="J15:K15" si="4">D34</f>
        <v>2585</v>
      </c>
      <c r="K15" s="4">
        <f t="shared" si="4"/>
        <v>650</v>
      </c>
    </row>
    <row r="16" spans="1:14" ht="15.6" x14ac:dyDescent="0.3">
      <c r="A16" s="92"/>
      <c r="B16" s="25">
        <f t="shared" si="1"/>
        <v>1</v>
      </c>
      <c r="C16" s="25"/>
      <c r="D16" s="25">
        <f t="shared" si="2"/>
        <v>1695</v>
      </c>
      <c r="E16" s="35">
        <f t="shared" si="3"/>
        <v>620</v>
      </c>
      <c r="F16" s="98" t="str">
        <f>C35</f>
        <v>CUB C/R FRENTE ESPAÑOL 180°</v>
      </c>
      <c r="G16" s="1"/>
      <c r="I16" s="3">
        <f>I26</f>
        <v>1</v>
      </c>
      <c r="J16" s="4">
        <f t="shared" ref="J16:K16" si="5">D35</f>
        <v>1615</v>
      </c>
      <c r="K16" s="4">
        <f t="shared" si="5"/>
        <v>650</v>
      </c>
    </row>
    <row r="17" spans="1:11" ht="15.6" x14ac:dyDescent="0.3">
      <c r="A17" s="92"/>
      <c r="B17" s="25">
        <f t="shared" si="1"/>
        <v>1</v>
      </c>
      <c r="C17" s="25"/>
      <c r="D17" s="25">
        <f t="shared" si="2"/>
        <v>3150</v>
      </c>
      <c r="E17" s="35">
        <f t="shared" si="3"/>
        <v>620</v>
      </c>
      <c r="F17" s="98" t="str">
        <f>C36</f>
        <v>CUB C/R FRENTE ESPAÑOL 180°</v>
      </c>
      <c r="G17" s="1"/>
      <c r="I17" s="3">
        <f>I27</f>
        <v>1</v>
      </c>
      <c r="J17" s="4">
        <f t="shared" ref="J17:K17" si="6">D36</f>
        <v>3070</v>
      </c>
      <c r="K17" s="4">
        <f t="shared" si="6"/>
        <v>650</v>
      </c>
    </row>
    <row r="18" spans="1:11" ht="15.6" x14ac:dyDescent="0.3">
      <c r="A18" s="92"/>
      <c r="B18" s="6"/>
      <c r="C18" s="6"/>
      <c r="D18" s="6"/>
      <c r="E18" s="6"/>
      <c r="F18" s="104"/>
      <c r="G18" s="1"/>
      <c r="I18" s="2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0" t="s">
        <v>14</v>
      </c>
      <c r="B20" s="120"/>
      <c r="C20" s="120"/>
      <c r="D20" s="120"/>
      <c r="E20" s="120"/>
      <c r="F20" s="12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150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2" t="s">
        <v>129</v>
      </c>
      <c r="B24" s="16">
        <f t="shared" ref="B24" si="7">I24</f>
        <v>2</v>
      </c>
      <c r="C24" s="16" t="s">
        <v>142</v>
      </c>
      <c r="D24" s="16">
        <f>J24+$D$23</f>
        <v>2595</v>
      </c>
      <c r="E24" s="16">
        <f>K24+$E$23</f>
        <v>800</v>
      </c>
      <c r="F24" s="99" t="str">
        <f>C33</f>
        <v>CUB C/R FRENTE ESPAÑOL 180°</v>
      </c>
      <c r="G24" s="1"/>
      <c r="I24" s="3">
        <f>B33</f>
        <v>2</v>
      </c>
      <c r="J24" s="4">
        <f t="shared" ref="J24:K24" si="8">D33</f>
        <v>2555</v>
      </c>
      <c r="K24" s="4">
        <f t="shared" si="8"/>
        <v>650</v>
      </c>
    </row>
    <row r="25" spans="1:11" ht="15.6" x14ac:dyDescent="0.3">
      <c r="A25" s="92"/>
      <c r="B25" s="16">
        <f t="shared" ref="B25:B27" si="9">I25</f>
        <v>2</v>
      </c>
      <c r="C25" s="16"/>
      <c r="D25" s="16">
        <f>J25+$D$23</f>
        <v>2625</v>
      </c>
      <c r="E25" s="16">
        <f>K25+$E$23</f>
        <v>800</v>
      </c>
      <c r="F25" s="99" t="str">
        <f>C34</f>
        <v>CUB C/R FRENTE ESPAÑOL 180°</v>
      </c>
      <c r="G25" s="1"/>
      <c r="I25" s="3">
        <f>B34</f>
        <v>2</v>
      </c>
      <c r="J25" s="4">
        <f>D34</f>
        <v>2585</v>
      </c>
      <c r="K25" s="4">
        <f>E34</f>
        <v>650</v>
      </c>
    </row>
    <row r="26" spans="1:11" ht="15.6" x14ac:dyDescent="0.3">
      <c r="A26" s="92"/>
      <c r="B26" s="16">
        <f t="shared" si="9"/>
        <v>1</v>
      </c>
      <c r="C26" s="16"/>
      <c r="D26" s="16">
        <f>J26+$D$23</f>
        <v>1655</v>
      </c>
      <c r="E26" s="16">
        <f>K26+$E$23</f>
        <v>800</v>
      </c>
      <c r="F26" s="99" t="str">
        <f>C35</f>
        <v>CUB C/R FRENTE ESPAÑOL 180°</v>
      </c>
      <c r="G26" s="1"/>
      <c r="I26" s="3">
        <f>B35</f>
        <v>1</v>
      </c>
      <c r="J26" s="4">
        <f>D35</f>
        <v>1615</v>
      </c>
      <c r="K26" s="4">
        <f>E35</f>
        <v>650</v>
      </c>
    </row>
    <row r="27" spans="1:11" ht="15.6" x14ac:dyDescent="0.3">
      <c r="A27" s="92"/>
      <c r="B27" s="16">
        <f t="shared" si="9"/>
        <v>1</v>
      </c>
      <c r="C27" s="16"/>
      <c r="D27" s="16">
        <f>J27+$D$23</f>
        <v>3110</v>
      </c>
      <c r="E27" s="16">
        <f>K27+$E$23</f>
        <v>800</v>
      </c>
      <c r="F27" s="99" t="str">
        <f>C36</f>
        <v>CUB C/R FRENTE ESPAÑOL 180°</v>
      </c>
      <c r="G27" s="1"/>
      <c r="I27" s="3">
        <f>B36</f>
        <v>1</v>
      </c>
      <c r="J27" s="4">
        <f>D36</f>
        <v>3070</v>
      </c>
      <c r="K27" s="4">
        <f>E36</f>
        <v>650</v>
      </c>
    </row>
    <row r="28" spans="1:11" ht="15.6" x14ac:dyDescent="0.3">
      <c r="A28" s="92"/>
      <c r="B28" s="6"/>
      <c r="C28" s="6"/>
      <c r="D28" s="6"/>
      <c r="E28" s="6"/>
      <c r="F28" s="104"/>
      <c r="G28" s="1"/>
      <c r="I28" s="2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6" t="s">
        <v>10</v>
      </c>
      <c r="C32" s="86" t="s">
        <v>110</v>
      </c>
      <c r="D32" s="86" t="s">
        <v>7</v>
      </c>
      <c r="E32" s="86" t="s">
        <v>8</v>
      </c>
      <c r="F32" s="86" t="s">
        <v>23</v>
      </c>
      <c r="G32" s="1"/>
    </row>
    <row r="33" spans="1:7" ht="15.6" x14ac:dyDescent="0.3">
      <c r="A33" s="92" t="s">
        <v>132</v>
      </c>
      <c r="B33" s="25">
        <f>'4637'!B21</f>
        <v>2</v>
      </c>
      <c r="C33" s="98" t="str">
        <f>'4637'!C21</f>
        <v>CUB C/R FRENTE ESPAÑOL 180°</v>
      </c>
      <c r="D33" s="25">
        <f>'4637'!D21</f>
        <v>2555</v>
      </c>
      <c r="E33" s="25">
        <f>'4637'!E21</f>
        <v>650</v>
      </c>
      <c r="F33" s="25" t="str">
        <f>'4637'!F21</f>
        <v>BLANCO BRILLO MERINO</v>
      </c>
      <c r="G33" s="1"/>
    </row>
    <row r="34" spans="1:7" ht="15.6" x14ac:dyDescent="0.3">
      <c r="A34" s="92"/>
      <c r="B34" s="25">
        <f>'4637'!B22</f>
        <v>2</v>
      </c>
      <c r="C34" s="98" t="str">
        <f>'4637'!C22</f>
        <v>CUB C/R FRENTE ESPAÑOL 180°</v>
      </c>
      <c r="D34" s="25">
        <f>'4637'!D22</f>
        <v>2585</v>
      </c>
      <c r="E34" s="25">
        <f>'4637'!E22</f>
        <v>650</v>
      </c>
      <c r="F34" s="25" t="str">
        <f>'4637'!F22</f>
        <v>BLANCO BRILLO MERINO</v>
      </c>
      <c r="G34" s="1"/>
    </row>
    <row r="35" spans="1:7" ht="15.6" x14ac:dyDescent="0.3">
      <c r="A35" s="92"/>
      <c r="B35" s="25">
        <f>'4637'!B23</f>
        <v>1</v>
      </c>
      <c r="C35" s="98" t="str">
        <f>'4637'!C23</f>
        <v>CUB C/R FRENTE ESPAÑOL 180°</v>
      </c>
      <c r="D35" s="25">
        <f>'4637'!D23</f>
        <v>1615</v>
      </c>
      <c r="E35" s="25">
        <f>'4637'!E23</f>
        <v>650</v>
      </c>
      <c r="F35" s="25" t="str">
        <f>'4637'!F23</f>
        <v>BLANCO BRILLO MERINO</v>
      </c>
      <c r="G35" s="1"/>
    </row>
    <row r="36" spans="1:7" ht="15.6" x14ac:dyDescent="0.3">
      <c r="A36" s="92"/>
      <c r="B36" s="25">
        <f>'4637'!B24</f>
        <v>1</v>
      </c>
      <c r="C36" s="98" t="str">
        <f>'4637'!C24</f>
        <v>CUB C/R FRENTE ESPAÑOL 180°</v>
      </c>
      <c r="D36" s="25">
        <f>'4637'!D24</f>
        <v>3070</v>
      </c>
      <c r="E36" s="25">
        <f>'4637'!E24</f>
        <v>650</v>
      </c>
      <c r="F36" s="25" t="str">
        <f>'4637'!F24</f>
        <v>BLANCO BRILLO MERINO</v>
      </c>
      <c r="G36" s="1"/>
    </row>
    <row r="37" spans="1:7" ht="15.6" x14ac:dyDescent="0.3">
      <c r="A37" s="92"/>
      <c r="B37" s="25">
        <f>'4637'!B25</f>
        <v>1</v>
      </c>
      <c r="C37" s="98" t="str">
        <f>'4637'!C25</f>
        <v>SERVICIO INSTALACION INCLUYE TRASLADO Y CORTE 45°</v>
      </c>
      <c r="D37" s="25">
        <f>'4637'!D25</f>
        <v>0</v>
      </c>
      <c r="E37" s="25">
        <f>'4637'!E25</f>
        <v>0</v>
      </c>
      <c r="F37" s="25">
        <f>'4637'!F25</f>
        <v>0</v>
      </c>
      <c r="G37" s="1"/>
    </row>
    <row r="38" spans="1:7" ht="15.6" x14ac:dyDescent="0.3">
      <c r="A38" s="92"/>
      <c r="B38" s="6"/>
      <c r="C38" s="104"/>
      <c r="D38" s="6"/>
      <c r="E38" s="6"/>
      <c r="F38" s="6"/>
      <c r="G38" s="1"/>
    </row>
    <row r="39" spans="1:7" ht="15.6" x14ac:dyDescent="0.3">
      <c r="A39" s="92"/>
      <c r="B39" s="6"/>
      <c r="C39" s="104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7246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 xml:space="preserve">MARCELO CASTRO 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45867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20" t="s">
        <v>68</v>
      </c>
      <c r="B56" s="120"/>
      <c r="C56" s="120"/>
      <c r="D56" s="120"/>
      <c r="E56" s="120"/>
      <c r="F56" s="120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21" t="s">
        <v>69</v>
      </c>
      <c r="C58" s="122"/>
      <c r="D58" s="123"/>
      <c r="E58" s="123"/>
      <c r="F58" s="124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2" t="s">
        <v>132</v>
      </c>
      <c r="B60" s="38">
        <f>'4637'!B21</f>
        <v>2</v>
      </c>
      <c r="C60" s="97" t="str">
        <f>'4637'!C21</f>
        <v>CUB C/R FRENTE ESPAÑOL 180°</v>
      </c>
      <c r="D60" s="39">
        <f>'4637'!D21</f>
        <v>2555</v>
      </c>
      <c r="E60" s="39">
        <f>'4637'!E21</f>
        <v>650</v>
      </c>
      <c r="F60" s="38" t="str">
        <f>'4637'!F21</f>
        <v>BLANCO BRILLO MERINO</v>
      </c>
      <c r="G60" s="1"/>
    </row>
    <row r="61" spans="1:7" s="15" customFormat="1" ht="15" customHeight="1" x14ac:dyDescent="0.3">
      <c r="A61" s="92"/>
      <c r="B61" s="38">
        <f>'4637'!B22</f>
        <v>2</v>
      </c>
      <c r="C61" s="97" t="str">
        <f>'4637'!C22</f>
        <v>CUB C/R FRENTE ESPAÑOL 180°</v>
      </c>
      <c r="D61" s="39">
        <f>'4637'!D22</f>
        <v>2585</v>
      </c>
      <c r="E61" s="39">
        <f>'4637'!E22</f>
        <v>650</v>
      </c>
      <c r="F61" s="38" t="str">
        <f>'4637'!F22</f>
        <v>BLANCO BRILLO MERINO</v>
      </c>
      <c r="G61" s="1"/>
    </row>
    <row r="62" spans="1:7" s="15" customFormat="1" ht="15" customHeight="1" x14ac:dyDescent="0.3">
      <c r="A62" s="92"/>
      <c r="B62" s="38">
        <f>'4637'!B23</f>
        <v>1</v>
      </c>
      <c r="C62" s="97" t="str">
        <f>'4637'!C23</f>
        <v>CUB C/R FRENTE ESPAÑOL 180°</v>
      </c>
      <c r="D62" s="39">
        <f>'4637'!D23</f>
        <v>1615</v>
      </c>
      <c r="E62" s="39">
        <f>'4637'!E23</f>
        <v>650</v>
      </c>
      <c r="F62" s="38" t="str">
        <f>'4637'!F23</f>
        <v>BLANCO BRILLO MERINO</v>
      </c>
      <c r="G62" s="1"/>
    </row>
    <row r="63" spans="1:7" s="15" customFormat="1" ht="15" customHeight="1" x14ac:dyDescent="0.3">
      <c r="A63" s="92"/>
      <c r="B63" s="38">
        <f>'4637'!B24</f>
        <v>1</v>
      </c>
      <c r="C63" s="97" t="str">
        <f>'4637'!C24</f>
        <v>CUB C/R FRENTE ESPAÑOL 180°</v>
      </c>
      <c r="D63" s="39">
        <f>'4637'!D24</f>
        <v>3070</v>
      </c>
      <c r="E63" s="39">
        <f>'4637'!E24</f>
        <v>650</v>
      </c>
      <c r="F63" s="38" t="str">
        <f>'4637'!F24</f>
        <v>BLANCO BRILLO MERINO</v>
      </c>
      <c r="G63" s="1"/>
    </row>
    <row r="64" spans="1:7" s="15" customFormat="1" ht="15" customHeight="1" x14ac:dyDescent="0.3">
      <c r="A64" s="92"/>
      <c r="B64" s="38">
        <f>'4637'!B25</f>
        <v>1</v>
      </c>
      <c r="C64" s="97" t="str">
        <f>'4637'!C25</f>
        <v>SERVICIO INSTALACION INCLUYE TRASLADO Y CORTE 45°</v>
      </c>
      <c r="D64" s="39">
        <f>'4637'!D25</f>
        <v>0</v>
      </c>
      <c r="E64" s="39">
        <f>'4637'!E25</f>
        <v>0</v>
      </c>
      <c r="F64" s="38">
        <f>'4637'!F25</f>
        <v>0</v>
      </c>
      <c r="G64" s="1"/>
    </row>
    <row r="65" spans="1:7" s="15" customFormat="1" ht="15" customHeight="1" x14ac:dyDescent="0.3">
      <c r="A65" s="92"/>
      <c r="B65" s="52"/>
      <c r="C65" s="103"/>
      <c r="D65" s="52"/>
      <c r="E65" s="52"/>
      <c r="F65" s="52"/>
      <c r="G65" s="1"/>
    </row>
    <row r="66" spans="1:7" s="15" customFormat="1" ht="15" customHeight="1" x14ac:dyDescent="0.3">
      <c r="A66" s="50"/>
      <c r="B66" s="52"/>
      <c r="C66" s="52"/>
      <c r="D66" s="52"/>
      <c r="E66" s="52"/>
      <c r="F66" s="52"/>
      <c r="G66" s="1"/>
    </row>
    <row r="67" spans="1:7" ht="15.6" x14ac:dyDescent="0.3">
      <c r="A67" s="6"/>
      <c r="B67" s="6"/>
      <c r="C67" s="1"/>
      <c r="D67" s="6"/>
      <c r="E67" s="6"/>
      <c r="F67" s="44"/>
      <c r="G67" s="1"/>
    </row>
    <row r="68" spans="1:7" ht="15.6" x14ac:dyDescent="0.3">
      <c r="A68" s="6"/>
      <c r="B68" s="6"/>
      <c r="C68" s="1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" customHeight="1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6"/>
      <c r="B74" s="5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x14ac:dyDescent="0.3">
      <c r="B76" s="20"/>
      <c r="C76" s="20"/>
      <c r="D76" s="20"/>
      <c r="E76" s="20"/>
      <c r="F76" s="20"/>
    </row>
    <row r="77" spans="1:7" x14ac:dyDescent="0.3">
      <c r="B77" s="20"/>
      <c r="C77" s="20"/>
      <c r="E77" s="20"/>
      <c r="F77" s="20"/>
    </row>
  </sheetData>
  <mergeCells count="6">
    <mergeCell ref="M3:N3"/>
    <mergeCell ref="A20:F20"/>
    <mergeCell ref="A10:F10"/>
    <mergeCell ref="A56:F56"/>
    <mergeCell ref="B58:F5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2025-07-28T13:31:14Z</cp:lastPrinted>
  <dcterms:created xsi:type="dcterms:W3CDTF">2013-03-19T12:54:14Z</dcterms:created>
  <dcterms:modified xsi:type="dcterms:W3CDTF">2025-07-28T13:32:52Z</dcterms:modified>
</cp:coreProperties>
</file>