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7 JULIO 2025\"/>
    </mc:Choice>
  </mc:AlternateContent>
  <xr:revisionPtr revIDLastSave="0" documentId="13_ncr:1_{C8F822C8-9509-43EC-BD7B-B74C31906F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B23" i="3" s="1"/>
  <c r="C30" i="3"/>
  <c r="F15" i="3" s="1"/>
  <c r="D30" i="3"/>
  <c r="J23" i="3" s="1"/>
  <c r="E30" i="3"/>
  <c r="K23" i="3" s="1"/>
  <c r="F30" i="3"/>
  <c r="B57" i="3"/>
  <c r="C57" i="3"/>
  <c r="D57" i="3"/>
  <c r="E57" i="3"/>
  <c r="F57" i="3"/>
  <c r="H22" i="4"/>
  <c r="H21" i="4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6" i="3"/>
  <c r="C56" i="3"/>
  <c r="D56" i="3"/>
  <c r="E56" i="3"/>
  <c r="F56" i="3"/>
  <c r="H26" i="4" l="1"/>
  <c r="K15" i="3"/>
  <c r="E15" i="3" s="1"/>
  <c r="F23" i="3"/>
  <c r="J15" i="3"/>
  <c r="D15" i="3" s="1"/>
  <c r="I15" i="3"/>
  <c r="B15" i="3" s="1"/>
  <c r="J22" i="3"/>
  <c r="K14" i="3"/>
  <c r="E14" i="3" s="1"/>
  <c r="B22" i="3"/>
  <c r="I14" i="3"/>
  <c r="B14" i="3" s="1"/>
  <c r="F22" i="3"/>
  <c r="H27" i="4" l="1"/>
  <c r="H28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<sst xmlns="http://schemas.openxmlformats.org/spreadsheetml/2006/main" count="249" uniqueCount="143">
  <si>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</si>
  <si>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</si>
  <si>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</si>
  <si>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</si>
  <si>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</si>
  <si>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</si>
  <si>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</si>
  <si>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</si>
  <si>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</si>
  <si>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</si>
  <si>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</si>
  <si>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</si>
  <si>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</si>
  <si>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</si>
  <si>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</si>
  <si>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</si>
  <si>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</si>
  <si>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</si>
  <si>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</si>
  <si>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</si>
  <si>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</si>
  <si>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</si>
  <si>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</si>
  <si>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</si>
  <si>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</si>
  <si>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</si>
  <si>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</si>
  <si>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</si>
  <si>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</si>
  <si>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</si>
  <si>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</si>
  <si>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</si>
  <si>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</si>
  <si>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</si>
  <si>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</si>
  <si>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</si>
  <si>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</si>
  <si>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</si>
  <si>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</si>
  <si>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</si>
  <si>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</si>
  <si>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</si>
  <si>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</si>
  <si>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</si>
  <si>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</si>
  <si>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</si>
  <si>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</si>
  <si>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</si>
  <si>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</si>
  <si>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</si>
  <si>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</si>
  <si>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</si>
  <si>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</si>
  <si>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</si>
  <si>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</si>
  <si>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</si>
  <si>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</si>
  <si>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</si>
  <si>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</si>
  <si>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</si>
  <si>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</si>
  <si>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</si>
  <si>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</si>
  <si>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</si>
  <si>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</si>
  <si>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</si>
  <si>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</si>
  <si>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</si>
  <si>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</si>
  <si>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</si>
  <si>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</si>
  <si>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</si>
  <si>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</si>
  <si>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</si>
  <si>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</si>
  <si>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</si>
  <si>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</si>
  <si>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</si>
  <si>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</si>
  <si>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</si>
  <si>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</si>
  <si>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</si>
  <si>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</si>
  <si>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</si>
  <si>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</si>
  <si>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</si>
  <si>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</si>
  <si>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</si>
  <si>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</si>
  <si>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</si>
  <si>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</si>
  <si>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</si>
  <si>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</si>
  <si>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</si>
  <si>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</si>
  <si>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</si>
  <si>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</si>
  <si>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</si>
  <si>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</si>
  <si>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</si>
  <si>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</si>
  <si>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</si>
  <si>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</si>
  <si>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</si>
  <si>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</si>
  <si>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</si>
  <si>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</si>
  <si>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</si>
  <si>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</si>
  <si>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</si>
  <si>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</si>
  <si>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</si>
  <si>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</si>
  <si>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</si>
  <si>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</si>
  <si>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</si>
  <si>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</si>
  <si>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</si>
  <si>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</si>
  <si>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</si>
  <si>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</si>
  <si>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</si>
  <si>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</si>
  <si>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</si>
  <si>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</si>
  <si>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</si>
  <si>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</si>
  <si>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</si>
  <si>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</si>
  <si>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</si>
  <si>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</si>
  <si>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</si>
  <si>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</si>
  <si>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</si>
  <si>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</si>
  <si>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</si>
  <si>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>SOBRANTE LAMINADO:</t>
  </si>
  <si>
    <t>CUB MESA 2L 90°</t>
  </si>
  <si>
    <t>FLORENTINO AZUL BR</t>
  </si>
  <si>
    <t>GERARDO ROJAS</t>
  </si>
  <si>
    <t>+569 9917 6675</t>
  </si>
  <si>
    <t>CUB S/R SIN REGRUESO</t>
  </si>
  <si>
    <t>N° 11512A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</si>
</sst>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1" fontId="1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0" fillId="0" borderId="0" xfId="0" quotePrefix="1" applyFont="1"/>
    <xf numFmtId="0" fontId="1" fillId="0" borderId="0" xfId="0" applyFont="1" applyAlignment="1">
      <alignment horizontal="left" indent="3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28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$ 97.000.-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2392680</xdr:colOff>
      <xdr:row>18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182880</xdr:colOff>
      <xdr:row>32</xdr:row>
      <xdr:rowOff>15239</xdr:rowOff>
    </xdr:from>
    <xdr:to>
      <xdr:col>6</xdr:col>
      <xdr:colOff>7620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2880" y="6004559"/>
          <a:ext cx="8496300" cy="5715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7239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139</v>
      </c>
      <c r="D10" s="54"/>
      <c r="E10" s="54"/>
      <c r="F10" s="55" t="s">
        <v>28</v>
      </c>
      <c r="G10" s="56">
        <v>45852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7"/>
      <c r="D11" s="59"/>
      <c r="E11" s="59"/>
      <c r="F11" s="59" t="s">
        <v>124</v>
      </c>
      <c r="G11" s="60">
        <v>45852</v>
      </c>
      <c r="H11" s="61"/>
      <c r="I11" s="1"/>
    </row>
    <row r="12" spans="1:17" ht="16.8" x14ac:dyDescent="0.4">
      <c r="A12" s="1"/>
      <c r="B12" s="62" t="s">
        <v>130</v>
      </c>
      <c r="C12" s="108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2" t="s">
        <v>140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108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109" t="s">
        <v>135</v>
      </c>
      <c r="D16" s="68"/>
      <c r="E16" s="69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3">
        <v>1</v>
      </c>
      <c r="C21" s="103" t="s">
        <v>137</v>
      </c>
      <c r="D21" s="105">
        <v>3000</v>
      </c>
      <c r="E21" s="105">
        <v>600</v>
      </c>
      <c r="F21" s="103" t="s">
        <v>138</v>
      </c>
      <c r="G21" s="104">
        <v>94076</v>
      </c>
      <c r="H21" s="104">
        <f>G21*B21</f>
        <v>94076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>
        <v>1</v>
      </c>
      <c r="C22" s="103" t="s">
        <v>141</v>
      </c>
      <c r="D22" s="105">
        <v>1000</v>
      </c>
      <c r="E22" s="105">
        <v>840</v>
      </c>
      <c r="F22" s="103" t="s">
        <v>138</v>
      </c>
      <c r="G22" s="104">
        <v>68783</v>
      </c>
      <c r="H22" s="104">
        <f t="shared" ref="H22" si="0">G22*B22</f>
        <v>68783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6"/>
      <c r="C23" s="96"/>
      <c r="D23" s="110"/>
      <c r="E23" s="110"/>
      <c r="F23" s="96"/>
      <c r="G23" s="74"/>
      <c r="H23" s="98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6"/>
      <c r="C24" s="96"/>
      <c r="D24" s="96"/>
      <c r="E24" s="96"/>
      <c r="F24" s="97"/>
      <c r="G24" s="98"/>
      <c r="H24" s="98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3"/>
      <c r="C25" s="73"/>
      <c r="D25" s="73"/>
      <c r="E25" s="73"/>
      <c r="F25" s="73"/>
      <c r="G25" s="74"/>
      <c r="H25" s="7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SUM(H21:H25)</f>
        <v>162859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30943.21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193802.21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9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opLeftCell="A53" zoomScaleNormal="100" workbookViewId="0">
      <selection activeCell="C77" sqref="C7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7239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GERARDO ROJAS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45852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129</v>
      </c>
      <c r="B14" s="25">
        <f t="shared" ref="B14" si="0">I14</f>
        <v>1</v>
      </c>
      <c r="C14" s="25"/>
      <c r="D14" s="25">
        <f>J14+D$13</f>
        <v>3050</v>
      </c>
      <c r="E14" s="35">
        <f>K14+E$13</f>
        <v>600</v>
      </c>
      <c r="F14" s="101" t="str">
        <f>C29</f>
        <v>CUB MESA 2L 90°</v>
      </c>
      <c r="G14" s="1"/>
      <c r="I14" s="3">
        <f>I22</f>
        <v>1</v>
      </c>
      <c r="J14" s="4">
        <f>D29</f>
        <v>3000</v>
      </c>
      <c r="K14" s="4">
        <f>E29</f>
        <v>600</v>
      </c>
    </row>
    <row r="15" spans="1:14" ht="15.6" x14ac:dyDescent="0.3">
      <c r="A15" s="95" t="s">
        <v>132</v>
      </c>
      <c r="B15" s="25">
        <f t="shared" ref="B15" si="1">I15</f>
        <v>1</v>
      </c>
      <c r="C15" s="25"/>
      <c r="D15" s="25">
        <f>J15+D$13</f>
        <v>1050</v>
      </c>
      <c r="E15" s="35">
        <f>K15+E$13</f>
        <v>840</v>
      </c>
      <c r="F15" s="101" t="str">
        <f>C30</f>
        <v>CUB S/R SIN REGRUESO</v>
      </c>
      <c r="G15" s="1"/>
      <c r="I15" s="3">
        <f>I23</f>
        <v>1</v>
      </c>
      <c r="J15" s="4">
        <f>D30</f>
        <v>1000</v>
      </c>
      <c r="K15" s="4">
        <f>E30</f>
        <v>840</v>
      </c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100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 t="s">
        <v>129</v>
      </c>
      <c r="B22" s="16">
        <f t="shared" ref="B22" si="2">I22</f>
        <v>1</v>
      </c>
      <c r="C22" s="16"/>
      <c r="D22" s="16">
        <v>3080</v>
      </c>
      <c r="E22" s="16">
        <f>K22+E$21</f>
        <v>700</v>
      </c>
      <c r="F22" s="102" t="str">
        <f>C29</f>
        <v>CUB MESA 2L 90°</v>
      </c>
      <c r="G22" s="1"/>
      <c r="I22" s="3">
        <f>B29</f>
        <v>1</v>
      </c>
      <c r="J22" s="4">
        <f t="shared" ref="J22:K22" si="3">D29</f>
        <v>3000</v>
      </c>
      <c r="K22" s="4">
        <f t="shared" si="3"/>
        <v>600</v>
      </c>
    </row>
    <row r="23" spans="1:11" ht="15.6" x14ac:dyDescent="0.3">
      <c r="A23" s="95"/>
      <c r="B23" s="16">
        <f t="shared" ref="B23" si="4">I23</f>
        <v>1</v>
      </c>
      <c r="C23" s="16"/>
      <c r="D23" s="16">
        <v>1060</v>
      </c>
      <c r="E23" s="16">
        <v>900</v>
      </c>
      <c r="F23" s="102" t="str">
        <f>C30</f>
        <v>CUB S/R SIN REGRUESO</v>
      </c>
      <c r="G23" s="1"/>
      <c r="I23" s="3">
        <f>B30</f>
        <v>1</v>
      </c>
      <c r="J23" s="4">
        <f t="shared" ref="J23" si="5">D30</f>
        <v>1000</v>
      </c>
      <c r="K23" s="4">
        <f t="shared" ref="K23" si="6">E30</f>
        <v>840</v>
      </c>
    </row>
    <row r="24" spans="1:11" ht="15.6" x14ac:dyDescent="0.3">
      <c r="A24" s="95"/>
      <c r="B24" s="6"/>
      <c r="C24" s="6"/>
      <c r="D24" s="6"/>
      <c r="E24" s="6"/>
      <c r="F24" s="106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5" t="s">
        <v>132</v>
      </c>
      <c r="B29" s="25">
        <f>'4637'!B21</f>
        <v>1</v>
      </c>
      <c r="C29" s="101" t="str">
        <f>'4637'!C21</f>
        <v>CUB MESA 2L 90°</v>
      </c>
      <c r="D29" s="25">
        <f>'4637'!D21</f>
        <v>3000</v>
      </c>
      <c r="E29" s="25">
        <f>'4637'!E21</f>
        <v>600</v>
      </c>
      <c r="F29" s="25" t="str">
        <f>'4637'!F21</f>
        <v>FLORENTINO AZUL BR</v>
      </c>
      <c r="G29" s="1"/>
    </row>
    <row r="30" spans="1:11" ht="15.6" x14ac:dyDescent="0.3">
      <c r="A30" s="95" t="s">
        <v>132</v>
      </c>
      <c r="B30" s="25">
        <f>'4637'!B22</f>
        <v>1</v>
      </c>
      <c r="C30" s="101" t="str">
        <f>'4637'!C22</f>
        <v>CUB S/R SIN REGRUESO</v>
      </c>
      <c r="D30" s="25">
        <f>'4637'!D22</f>
        <v>1000</v>
      </c>
      <c r="E30" s="25">
        <f>'4637'!E22</f>
        <v>840</v>
      </c>
      <c r="F30" s="25" t="str">
        <f>'4637'!F22</f>
        <v>FLORENTINO AZUL BR</v>
      </c>
      <c r="G30" s="1"/>
    </row>
    <row r="31" spans="1:11" ht="15.6" x14ac:dyDescent="0.3">
      <c r="A31" s="95"/>
      <c r="B31" s="6"/>
      <c r="C31" s="10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13" t="s">
        <v>136</v>
      </c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7239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GERARDO ROJAS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45852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22" t="s">
        <v>68</v>
      </c>
      <c r="B52" s="122"/>
      <c r="C52" s="122"/>
      <c r="D52" s="122"/>
      <c r="E52" s="122"/>
      <c r="F52" s="122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3" t="s">
        <v>69</v>
      </c>
      <c r="C54" s="124"/>
      <c r="D54" s="125"/>
      <c r="E54" s="125"/>
      <c r="F54" s="126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5" t="s">
        <v>132</v>
      </c>
      <c r="B56" s="38">
        <f>'4637'!B21</f>
        <v>1</v>
      </c>
      <c r="C56" s="100" t="str">
        <f>'4637'!C21</f>
        <v>CUB MESA 2L 90°</v>
      </c>
      <c r="D56" s="39">
        <f>'4637'!D21</f>
        <v>3000</v>
      </c>
      <c r="E56" s="39">
        <f>'4637'!E21</f>
        <v>600</v>
      </c>
      <c r="F56" s="38" t="str">
        <f>'4637'!F21</f>
        <v>FLORENTINO AZUL BR</v>
      </c>
      <c r="G56" s="1"/>
    </row>
    <row r="57" spans="1:7" s="15" customFormat="1" ht="15" customHeight="1" x14ac:dyDescent="0.3">
      <c r="A57" s="95"/>
      <c r="B57" s="38">
        <f>'4637'!B22</f>
        <v>1</v>
      </c>
      <c r="C57" s="100" t="str">
        <f>'4637'!C22</f>
        <v>CUB S/R SIN REGRUESO</v>
      </c>
      <c r="D57" s="39">
        <f>'4637'!D22</f>
        <v>1000</v>
      </c>
      <c r="E57" s="39">
        <f>'4637'!E22</f>
        <v>840</v>
      </c>
      <c r="F57" s="38" t="str">
        <f>'4637'!F22</f>
        <v>FLORENTINO AZUL BR</v>
      </c>
      <c r="G57" s="1"/>
    </row>
    <row r="58" spans="1:7" s="15" customFormat="1" ht="15" customHeight="1" x14ac:dyDescent="0.3">
      <c r="A58" s="95"/>
      <c r="B58" s="52"/>
      <c r="C58" s="111"/>
      <c r="D58" s="52"/>
      <c r="E58" s="52"/>
      <c r="F58" s="52"/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18:F18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2025-07-14T13:41:21Z</cp:lastPrinted>
  <dcterms:created xsi:type="dcterms:W3CDTF">2013-03-19T12:54:14Z</dcterms:created>
  <dcterms:modified xsi:type="dcterms:W3CDTF">2025-07-14T13:42:00Z</dcterms:modified>
</cp:coreProperties>
</file>