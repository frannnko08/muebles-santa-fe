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7 JULIO 2025\"/>
    </mc:Choice>
  </mc:AlternateContent>
  <xr:revisionPtr revIDLastSave="0" documentId="13_ncr:1_{9D792D77-DF9E-47E3-A621-7FC695C502DD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H25" i="4" s="1"/>
  <c r="B27" i="3"/>
  <c r="I21" i="3" s="1"/>
  <c r="C27" i="3"/>
  <c r="F14" i="3" s="1"/>
  <c r="D27" i="3"/>
  <c r="J14" i="3" s="1"/>
  <c r="D14" i="3" s="1"/>
  <c r="E27" i="3"/>
  <c r="K21" i="3" s="1"/>
  <c r="E21" i="3" s="1"/>
  <c r="F27" i="3"/>
  <c r="B53" i="3"/>
  <c r="C53" i="3"/>
  <c r="D53" i="3"/>
  <c r="E53" i="3"/>
  <c r="F53" i="3"/>
  <c r="J21" i="3" l="1"/>
  <c r="D21" i="3" s="1"/>
  <c r="K14" i="3"/>
  <c r="E14" i="3" s="1"/>
  <c r="B21" i="3"/>
  <c r="I14" i="3"/>
  <c r="B14" i="3" s="1"/>
  <c r="F21" i="3"/>
  <c r="H26" i="4" l="1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<sst xmlns="http://schemas.openxmlformats.org/spreadsheetml/2006/main" count="244" uniqueCount="141">
  <si>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</si>
  <si>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</si>
  <si>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</si>
  <si>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</si>
  <si>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</si>
  <si>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</si>
  <si>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</si>
  <si>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</si>
  <si>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</si>
  <si>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</si>
  <si>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</si>
  <si>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</si>
  <si>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</si>
  <si>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</si>
  <si>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</si>
  <si>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</si>
  <si>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</si>
  <si>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</si>
  <si>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</si>
  <si>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</si>
  <si>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</si>
  <si>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</si>
  <si>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</si>
  <si>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</si>
  <si>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</si>
  <si>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</si>
  <si>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</si>
  <si>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</si>
  <si>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</si>
  <si>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</si>
  <si>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</si>
  <si>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</si>
  <si>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</si>
  <si>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</si>
  <si>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</si>
  <si>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</si>
  <si>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</si>
  <si>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</si>
  <si>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</si>
  <si>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</si>
  <si>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</si>
  <si>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</si>
  <si>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</si>
  <si>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</si>
  <si>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</si>
  <si>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</si>
  <si>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</si>
  <si>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</si>
  <si>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</si>
  <si>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</si>
  <si>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</si>
  <si>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</si>
  <si>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</si>
  <si>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</si>
  <si>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</si>
  <si>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</si>
  <si>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</si>
  <si>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</si>
  <si>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</si>
  <si>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</si>
  <si>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</si>
  <si>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</si>
  <si>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</si>
  <si>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</si>
  <si>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</si>
  <si>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</si>
  <si>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</si>
  <si>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</si>
  <si>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</si>
  <si>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</si>
  <si>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</si>
  <si>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</si>
  <si>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</si>
  <si>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</si>
  <si>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</si>
  <si>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</si>
  <si>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</si>
  <si>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</si>
  <si>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</si>
  <si>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</si>
  <si>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</si>
  <si>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</si>
  <si>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</si>
  <si>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</si>
  <si>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</si>
  <si>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</si>
  <si>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</si>
  <si>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</si>
  <si>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</si>
  <si>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</si>
  <si>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</si>
  <si>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</si>
  <si>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</si>
  <si>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</si>
  <si>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</si>
  <si>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</si>
  <si>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</si>
  <si>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</si>
  <si>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</si>
  <si>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</si>
  <si>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</si>
  <si>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</si>
  <si>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</si>
  <si>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</si>
  <si>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</si>
  <si>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</si>
  <si>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</si>
  <si>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</si>
  <si>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</si>
  <si>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</si>
  <si>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</si>
  <si>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</si>
  <si>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</si>
  <si>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</si>
  <si>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</si>
  <si>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</si>
  <si>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</si>
  <si>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</si>
  <si>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</si>
  <si>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</si>
  <si>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</si>
  <si>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</si>
  <si>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</si>
  <si>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</si>
  <si>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</si>
  <si>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</si>
  <si>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</si>
  <si>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</si>
  <si>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</si>
  <si>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</si>
  <si>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</si>
  <si>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</si>
  <si>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</si>
  <si>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</si>
  <si>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</si>
  <si>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</si>
  <si>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</si>
  <si>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N° 11519</t>
  </si>
  <si>
    <t>CUB MESA 2 LADOS</t>
  </si>
  <si>
    <t>GRANITINO NEGRO BR</t>
  </si>
  <si>
    <t>JOHAN 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</si>
</sst>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left" indent="3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0" fillId="0" borderId="0" xfId="0" quotePrefix="1" applyFont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24765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2392680</xdr:colOff>
      <xdr:row>17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29</xdr:row>
      <xdr:rowOff>15239</xdr:rowOff>
    </xdr:from>
    <xdr:to>
      <xdr:col>6</xdr:col>
      <xdr:colOff>7620</xdr:colOff>
      <xdr:row>31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41910</xdr:rowOff>
    </xdr:from>
    <xdr:to>
      <xdr:col>1</xdr:col>
      <xdr:colOff>801763</xdr:colOff>
      <xdr:row>47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tabSelected="1" topLeftCell="A8" workbookViewId="0">
      <selection activeCell="G27" sqref="G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7244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140</v>
      </c>
      <c r="D10" s="54"/>
      <c r="E10" s="54"/>
      <c r="F10" s="55" t="s">
        <v>28</v>
      </c>
      <c r="G10" s="56">
        <v>45853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/>
      <c r="D11" s="59"/>
      <c r="E11" s="59"/>
      <c r="F11" s="59" t="s">
        <v>124</v>
      </c>
      <c r="G11" s="60">
        <v>45860</v>
      </c>
      <c r="H11" s="61"/>
      <c r="I11" s="1"/>
    </row>
    <row r="12" spans="1:17" ht="16.8" x14ac:dyDescent="0.4">
      <c r="A12" s="1"/>
      <c r="B12" s="62" t="s">
        <v>130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2">
        <v>956053029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2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3" t="s">
        <v>135</v>
      </c>
      <c r="D16" s="68"/>
      <c r="E16" s="69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6">
        <v>1</v>
      </c>
      <c r="C21" s="107" t="s">
        <v>138</v>
      </c>
      <c r="D21" s="108">
        <v>3600</v>
      </c>
      <c r="E21" s="108">
        <v>500</v>
      </c>
      <c r="F21" s="107" t="s">
        <v>139</v>
      </c>
      <c r="G21" s="109">
        <v>159422</v>
      </c>
      <c r="H21" s="110">
        <f>G21*B21</f>
        <v>159422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4"/>
      <c r="C22" s="94"/>
      <c r="D22" s="94"/>
      <c r="E22" s="94"/>
      <c r="F22" s="95"/>
      <c r="G22" s="96"/>
      <c r="H22" s="96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SUM(H21:H23)</f>
        <v>159422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30290.18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189712.18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81" t="s">
        <v>123</v>
      </c>
      <c r="C28" s="82"/>
      <c r="D28" s="83"/>
      <c r="E28" s="83"/>
      <c r="F28" s="73"/>
      <c r="G28" s="1"/>
      <c r="H28" s="1"/>
      <c r="I28" s="1"/>
    </row>
    <row r="29" spans="1:16" ht="15.6" x14ac:dyDescent="0.3">
      <c r="A29" s="1"/>
      <c r="B29" s="81" t="s">
        <v>122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1" t="s">
        <v>25</v>
      </c>
      <c r="C30" s="1"/>
      <c r="D30" s="1"/>
      <c r="E30" s="84" t="s">
        <v>26</v>
      </c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</sheetData>
  <sortState xmlns:xlrd2="http://schemas.microsoft.com/office/spreadsheetml/2017/richdata2" ref="B34">
    <sortCondition sortBy="fontColor" ref="B34" dxfId="0"/>
  </sortState>
  <mergeCells count="2">
    <mergeCell ref="F16:H16"/>
    <mergeCell ref="B19:H19"/>
  </mergeCells>
  <phoneticPr fontId="10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opLeftCell="A48" zoomScaleNormal="100" workbookViewId="0">
      <selection activeCell="G42" sqref="A42:G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7244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JOHAN BARRERA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45860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129</v>
      </c>
      <c r="B14" s="25">
        <f t="shared" ref="B14" si="0">I14</f>
        <v>1</v>
      </c>
      <c r="C14" s="25"/>
      <c r="D14" s="25">
        <f>J14+D$13</f>
        <v>3650</v>
      </c>
      <c r="E14" s="35">
        <f>K14+E$13</f>
        <v>500</v>
      </c>
      <c r="F14" s="99" t="str">
        <f>C27</f>
        <v>CUB MESA 2 LADOS</v>
      </c>
      <c r="G14" s="1"/>
      <c r="I14" s="3">
        <f>I21</f>
        <v>1</v>
      </c>
      <c r="J14" s="4">
        <f>D27</f>
        <v>3600</v>
      </c>
      <c r="K14" s="4">
        <f>E27</f>
        <v>500</v>
      </c>
    </row>
    <row r="15" spans="1:14" ht="15.6" x14ac:dyDescent="0.3">
      <c r="A15" s="93"/>
      <c r="B15" s="6"/>
      <c r="C15" s="6"/>
      <c r="D15" s="6"/>
      <c r="E15" s="6"/>
      <c r="F15" s="111"/>
      <c r="G15" s="1"/>
      <c r="I15" s="2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 t="s">
        <v>129</v>
      </c>
      <c r="B21" s="16">
        <f t="shared" ref="B21" si="1">I21</f>
        <v>1</v>
      </c>
      <c r="C21" s="16"/>
      <c r="D21" s="16">
        <f>J21+$D$20</f>
        <v>3640</v>
      </c>
      <c r="E21" s="16">
        <f>K21+$E$20</f>
        <v>600</v>
      </c>
      <c r="F21" s="100" t="str">
        <f>C27</f>
        <v>CUB MESA 2 LADOS</v>
      </c>
      <c r="G21" s="1"/>
      <c r="I21" s="3">
        <f>B27</f>
        <v>1</v>
      </c>
      <c r="J21" s="4">
        <f t="shared" ref="J21:K21" si="2">D27</f>
        <v>3600</v>
      </c>
      <c r="K21" s="4">
        <f t="shared" si="2"/>
        <v>500</v>
      </c>
    </row>
    <row r="22" spans="1:11" ht="15.6" x14ac:dyDescent="0.3">
      <c r="A22" s="93"/>
      <c r="B22" s="6"/>
      <c r="C22" s="6"/>
      <c r="D22" s="6"/>
      <c r="E22" s="6"/>
      <c r="F22" s="111"/>
      <c r="G22" s="1"/>
      <c r="I22" s="2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3" t="s">
        <v>132</v>
      </c>
      <c r="B27" s="25">
        <f>'4637'!B21</f>
        <v>1</v>
      </c>
      <c r="C27" s="99" t="str">
        <f>'4637'!C21</f>
        <v>CUB MESA 2 LADOS</v>
      </c>
      <c r="D27" s="25">
        <f>'4637'!D21</f>
        <v>3600</v>
      </c>
      <c r="E27" s="25">
        <f>'4637'!E21</f>
        <v>500</v>
      </c>
      <c r="F27" s="25" t="str">
        <f>'4637'!F21</f>
        <v>GRANITINO NEGRO BR</v>
      </c>
      <c r="G27" s="1"/>
    </row>
    <row r="28" spans="1:11" ht="15.6" x14ac:dyDescent="0.3">
      <c r="A28" s="93"/>
      <c r="B28" s="6"/>
      <c r="C28" s="111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05" t="s">
        <v>136</v>
      </c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7244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JOHAN BARRERA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45860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1" t="s">
        <v>68</v>
      </c>
      <c r="B49" s="121"/>
      <c r="C49" s="121"/>
      <c r="D49" s="121"/>
      <c r="E49" s="121"/>
      <c r="F49" s="12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2" t="s">
        <v>69</v>
      </c>
      <c r="C51" s="123"/>
      <c r="D51" s="124"/>
      <c r="E51" s="124"/>
      <c r="F51" s="125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93" t="s">
        <v>132</v>
      </c>
      <c r="B53" s="38">
        <f>'4637'!B21</f>
        <v>1</v>
      </c>
      <c r="C53" s="98" t="str">
        <f>'4637'!C21</f>
        <v>CUB MESA 2 LADOS</v>
      </c>
      <c r="D53" s="39">
        <f>'4637'!D21</f>
        <v>3600</v>
      </c>
      <c r="E53" s="39">
        <f>'4637'!E21</f>
        <v>500</v>
      </c>
      <c r="F53" s="38" t="str">
        <f>'4637'!F21</f>
        <v>GRANITINO NEGRO BR</v>
      </c>
      <c r="G53" s="1"/>
    </row>
    <row r="54" spans="1:7" s="15" customFormat="1" ht="15" customHeight="1" x14ac:dyDescent="0.3">
      <c r="A54" s="93"/>
      <c r="B54" s="52"/>
      <c r="C54" s="104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7:F17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2025-07-25T19:37:52Z</cp:lastPrinted>
  <dcterms:created xsi:type="dcterms:W3CDTF">2013-03-19T12:54:14Z</dcterms:created>
  <dcterms:modified xsi:type="dcterms:W3CDTF">2025-07-25T19:43:05Z</dcterms:modified>
</cp:coreProperties>
</file>