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7 JULIO 2025\"/>
    </mc:Choice>
  </mc:AlternateContent>
  <xr:revisionPtr revIDLastSave="0" documentId="13_ncr:1_{A1B27368-BA55-46D2-A786-53987307598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3" l="1"/>
  <c r="C58" i="3"/>
  <c r="D58" i="3"/>
  <c r="E58" i="3"/>
  <c r="F58" i="3"/>
  <c r="B30" i="3"/>
  <c r="I23" i="3" s="1"/>
  <c r="B23" i="3" s="1"/>
  <c r="C30" i="3"/>
  <c r="F15" i="3" s="1"/>
  <c r="D30" i="3"/>
  <c r="J23" i="3" s="1"/>
  <c r="D23" i="3" s="1"/>
  <c r="E30" i="3"/>
  <c r="K23" i="3" s="1"/>
  <c r="E23" i="3" s="1"/>
  <c r="F30" i="3"/>
  <c r="B57" i="3"/>
  <c r="C57" i="3"/>
  <c r="D57" i="3"/>
  <c r="E57" i="3"/>
  <c r="F57" i="3"/>
  <c r="H22" i="4"/>
  <c r="H21" i="4"/>
  <c r="B29" i="3"/>
  <c r="I22" i="3" s="1"/>
  <c r="C29" i="3"/>
  <c r="F14" i="3" s="1"/>
  <c r="D29" i="3"/>
  <c r="J14" i="3" s="1"/>
  <c r="D14" i="3" s="1"/>
  <c r="E29" i="3"/>
  <c r="K22" i="3" s="1"/>
  <c r="E22" i="3" s="1"/>
  <c r="F29" i="3"/>
  <c r="B56" i="3"/>
  <c r="C56" i="3"/>
  <c r="D56" i="3"/>
  <c r="E56" i="3"/>
  <c r="F56" i="3"/>
  <c r="K15" i="3" l="1"/>
  <c r="E15" i="3" s="1"/>
  <c r="F23" i="3"/>
  <c r="J15" i="3"/>
  <c r="D15" i="3" s="1"/>
  <c r="I15" i="3"/>
  <c r="B15" i="3" s="1"/>
  <c r="J22" i="3"/>
  <c r="D22" i="3" s="1"/>
  <c r="K14" i="3"/>
  <c r="E14" i="3" s="1"/>
  <c r="B22" i="3"/>
  <c r="I14" i="3"/>
  <c r="B14" i="3" s="1"/>
  <c r="F22" i="3"/>
  <c r="H28" i="4" l="1"/>
  <c r="N5" i="3" l="1"/>
  <c r="M5" i="3" l="1"/>
  <c r="L5" i="3"/>
  <c r="K5" i="3"/>
  <c r="C49" i="3" l="1"/>
  <c r="C7" i="3"/>
  <c r="D47" i="3"/>
  <c r="D5" i="3"/>
  <c r="D49" i="3"/>
  <c r="D7" i="3"/>
  <c r="D46" i="3"/>
  <c r="D4" i="3"/>
</calcChain>
</file>

<file path=xl/sharedStrings.xml><?xml version="1.0" encoding="utf-8"?>
<sst xmlns="http://schemas.openxmlformats.org/spreadsheetml/2006/main" count="249" uniqueCount="142">
  <si>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</si>
  <si>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</si>
  <si>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</si>
  <si>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</si>
  <si>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</si>
  <si>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</si>
  <si>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</si>
  <si>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</si>
  <si>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</si>
  <si>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</si>
  <si>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</si>
  <si>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</si>
  <si>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</si>
  <si>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</si>
  <si>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</si>
  <si>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</si>
  <si>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</si>
  <si>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</si>
  <si>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</si>
  <si>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</si>
  <si>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</si>
  <si>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</si>
  <si>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</si>
  <si>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</si>
  <si>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</si>
  <si>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</si>
  <si>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</si>
  <si>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</si>
  <si>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</si>
  <si>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</si>
  <si>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</si>
  <si>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</si>
  <si>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</si>
  <si>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</si>
  <si>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</si>
  <si>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</si>
  <si>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</si>
  <si>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</si>
  <si>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</si>
  <si>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</si>
  <si>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</si>
  <si>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</si>
  <si>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</si>
  <si>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</si>
  <si>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</si>
  <si>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</si>
  <si>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</si>
  <si>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</si>
  <si>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</si>
  <si>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</si>
  <si>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</si>
  <si>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</si>
  <si>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</si>
  <si>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</si>
  <si>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</si>
  <si>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</si>
  <si>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</si>
  <si>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</si>
  <si>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</si>
  <si>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</si>
  <si>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</si>
  <si>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</si>
  <si>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</si>
  <si>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</si>
  <si>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</si>
  <si>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</si>
  <si>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</si>
  <si>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</si>
  <si>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</si>
  <si>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</si>
  <si>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</si>
  <si>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</si>
  <si>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</si>
  <si>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</si>
  <si>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</si>
  <si>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</si>
  <si>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</si>
  <si>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</si>
  <si>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</si>
  <si>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</si>
  <si>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</si>
  <si>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</si>
  <si>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</si>
  <si>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</si>
  <si>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</si>
  <si>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</si>
  <si>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</si>
  <si>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</si>
  <si>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</si>
  <si>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</si>
  <si>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</si>
  <si>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</si>
  <si>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</si>
  <si>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</si>
  <si>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</si>
  <si>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</si>
  <si>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</si>
  <si>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</si>
  <si>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</si>
  <si>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</si>
  <si>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</si>
  <si>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</si>
  <si>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</si>
  <si>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</si>
  <si>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</si>
  <si>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</si>
  <si>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</si>
  <si>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</si>
  <si>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</si>
  <si>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</si>
  <si>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</si>
  <si>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</si>
  <si>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</si>
  <si>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</si>
  <si>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</si>
  <si>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</si>
  <si>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</si>
  <si>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</si>
  <si>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</si>
  <si>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</si>
  <si>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</si>
  <si>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</si>
  <si>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</si>
  <si>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</si>
  <si>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</si>
  <si>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</si>
  <si>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</si>
  <si>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</si>
  <si>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</si>
  <si>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</si>
  <si>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</si>
  <si>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CONTACTO:</t>
  </si>
  <si>
    <t>MDF18MM</t>
  </si>
  <si>
    <t>NO</t>
  </si>
  <si>
    <t>CONTADO</t>
  </si>
  <si>
    <t>SANTIAGO</t>
  </si>
  <si>
    <t>SOBRANTE LAMINADO:</t>
  </si>
  <si>
    <t>N° 11519</t>
  </si>
  <si>
    <t>JORGUE VEGUER</t>
  </si>
  <si>
    <t>CUB C/R R8</t>
  </si>
  <si>
    <t>BLANCO MT</t>
  </si>
  <si>
    <t>CORTE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</si>
</sst>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20" fillId="0" borderId="0" xfId="0" quotePrefix="1" applyFont="1"/>
    <xf numFmtId="0" fontId="1" fillId="0" borderId="0" xfId="0" applyFont="1" applyAlignment="1">
      <alignment horizontal="left" indent="3"/>
    </xf>
    <xf numFmtId="42" fontId="3" fillId="0" borderId="2" xfId="3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42" fontId="3" fillId="0" borderId="32" xfId="3" applyFont="1" applyFill="1" applyBorder="1" applyAlignment="1">
      <alignment horizontal="center" vertical="center"/>
    </xf>
    <xf numFmtId="42" fontId="3" fillId="0" borderId="12" xfId="3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42" fontId="3" fillId="0" borderId="31" xfId="3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0" xfId="0" applyFont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 vertical="center"/>
    </xf>
    <xf numFmtId="42" fontId="3" fillId="0" borderId="0" xfId="3" applyFont="1" applyFill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28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092065"/>
          <a:ext cx="5295900" cy="592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$ 150.000.-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922020</xdr:colOff>
      <xdr:row>5</xdr:row>
      <xdr:rowOff>47625</xdr:rowOff>
    </xdr:from>
    <xdr:to>
      <xdr:col>6</xdr:col>
      <xdr:colOff>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74520" y="1076325"/>
          <a:ext cx="679704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5</xdr:col>
      <xdr:colOff>2392680</xdr:colOff>
      <xdr:row>5</xdr:row>
      <xdr:rowOff>7620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76425" y="828675"/>
          <a:ext cx="678751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2392680</xdr:colOff>
      <xdr:row>18</xdr:row>
      <xdr:rowOff>15240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131820"/>
          <a:ext cx="8511540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6</xdr:col>
      <xdr:colOff>7620</xdr:colOff>
      <xdr:row>10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507730" cy="21717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50</xdr:row>
      <xdr:rowOff>171450</xdr:rowOff>
    </xdr:from>
    <xdr:to>
      <xdr:col>5</xdr:col>
      <xdr:colOff>1685924</xdr:colOff>
      <xdr:row>52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38100</xdr:rowOff>
    </xdr:from>
    <xdr:to>
      <xdr:col>6</xdr:col>
      <xdr:colOff>0</xdr:colOff>
      <xdr:row>47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2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59</xdr:row>
      <xdr:rowOff>0</xdr:rowOff>
    </xdr:from>
    <xdr:to>
      <xdr:col>2</xdr:col>
      <xdr:colOff>1019175</xdr:colOff>
      <xdr:row>59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0</xdr:rowOff>
    </xdr:from>
    <xdr:to>
      <xdr:col>3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0</xdr:rowOff>
    </xdr:from>
    <xdr:to>
      <xdr:col>4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0</xdr:rowOff>
    </xdr:from>
    <xdr:to>
      <xdr:col>5</xdr:col>
      <xdr:colOff>447675</xdr:colOff>
      <xdr:row>59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0</xdr:rowOff>
    </xdr:from>
    <xdr:to>
      <xdr:col>6</xdr:col>
      <xdr:colOff>0</xdr:colOff>
      <xdr:row>59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59</xdr:row>
      <xdr:rowOff>190500</xdr:rowOff>
    </xdr:from>
    <xdr:to>
      <xdr:col>2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59</xdr:row>
      <xdr:rowOff>190500</xdr:rowOff>
    </xdr:from>
    <xdr:to>
      <xdr:col>2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190500</xdr:rowOff>
    </xdr:from>
    <xdr:to>
      <xdr:col>3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190500</xdr:rowOff>
    </xdr:from>
    <xdr:to>
      <xdr:col>4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190500</xdr:rowOff>
    </xdr:from>
    <xdr:to>
      <xdr:col>5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190500</xdr:rowOff>
    </xdr:from>
    <xdr:to>
      <xdr:col>6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182880</xdr:colOff>
      <xdr:row>32</xdr:row>
      <xdr:rowOff>15239</xdr:rowOff>
    </xdr:from>
    <xdr:to>
      <xdr:col>6</xdr:col>
      <xdr:colOff>7620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82880" y="6004559"/>
          <a:ext cx="8496300" cy="57150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 DE 2760 VA CORTADA A LA MEDIDA Y ENCHAPADA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EL LADO IZQ MIRANDOLA DESDE EL FRENTE. CUB DE 2730 VA SOBREMEDIDA EN EL LADO DER MIRANDOLA DESDE EL FRENTE. CORTES 45 SEGUN DIBUJO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62</xdr:row>
      <xdr:rowOff>32385</xdr:rowOff>
    </xdr:from>
    <xdr:to>
      <xdr:col>6</xdr:col>
      <xdr:colOff>19050</xdr:colOff>
      <xdr:row>66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 DE 2760 VA CORTADA A LA MEDIDA Y ENCHAPADA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EL LADO IZQ MIRANDOLA DESDE EL FRENTE. CUB DE 2730 VA SOBREMEDIDA EN EL LADO DER MIRANDOLA DESDE EL FRENTE. CORTES 45 SEGUN DIBUJO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44</xdr:row>
      <xdr:rowOff>41910</xdr:rowOff>
    </xdr:from>
    <xdr:to>
      <xdr:col>1</xdr:col>
      <xdr:colOff>801763</xdr:colOff>
      <xdr:row>50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9" workbookViewId="0">
      <selection activeCell="L27" sqref="L2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137</v>
      </c>
      <c r="E8" s="1"/>
      <c r="F8" s="91" t="s">
        <v>27</v>
      </c>
      <c r="G8" s="92">
        <v>7241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85" t="s">
        <v>138</v>
      </c>
      <c r="D10" s="54"/>
      <c r="E10" s="54"/>
      <c r="F10" s="55" t="s">
        <v>28</v>
      </c>
      <c r="G10" s="56">
        <v>45853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3"/>
      <c r="D11" s="59"/>
      <c r="E11" s="59"/>
      <c r="F11" s="59" t="s">
        <v>124</v>
      </c>
      <c r="G11" s="60">
        <v>45859</v>
      </c>
      <c r="H11" s="61"/>
      <c r="I11" s="1"/>
    </row>
    <row r="12" spans="1:17" ht="16.8" x14ac:dyDescent="0.4">
      <c r="A12" s="1"/>
      <c r="B12" s="62" t="s">
        <v>130</v>
      </c>
      <c r="C12" s="104"/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06"/>
      <c r="D14" s="65"/>
      <c r="E14" s="59"/>
      <c r="F14" s="59" t="s">
        <v>29</v>
      </c>
      <c r="G14" s="59" t="s">
        <v>133</v>
      </c>
      <c r="H14" s="61"/>
      <c r="I14" s="1"/>
    </row>
    <row r="15" spans="1:17" ht="16.8" x14ac:dyDescent="0.4">
      <c r="A15" s="1"/>
      <c r="B15" s="62" t="s">
        <v>1</v>
      </c>
      <c r="C15" s="104"/>
      <c r="D15" s="43"/>
      <c r="E15" s="43"/>
      <c r="F15" s="66" t="s">
        <v>75</v>
      </c>
      <c r="G15" s="66" t="s">
        <v>134</v>
      </c>
      <c r="H15" s="64"/>
      <c r="I15" s="1"/>
    </row>
    <row r="16" spans="1:17" ht="16.2" thickBot="1" x14ac:dyDescent="0.35">
      <c r="A16" s="1"/>
      <c r="B16" s="67" t="s">
        <v>3</v>
      </c>
      <c r="C16" s="105" t="s">
        <v>135</v>
      </c>
      <c r="D16" s="68"/>
      <c r="E16" s="69"/>
      <c r="F16" s="117" t="s">
        <v>18</v>
      </c>
      <c r="G16" s="117"/>
      <c r="H16" s="118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9" t="s">
        <v>19</v>
      </c>
      <c r="C19" s="120"/>
      <c r="D19" s="120"/>
      <c r="E19" s="120"/>
      <c r="F19" s="120"/>
      <c r="G19" s="120"/>
      <c r="H19" s="121"/>
      <c r="I19" s="1"/>
    </row>
    <row r="20" spans="1:16" ht="16.2" thickBot="1" x14ac:dyDescent="0.35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9">
        <v>1</v>
      </c>
      <c r="C21" s="110" t="s">
        <v>139</v>
      </c>
      <c r="D21" s="111">
        <v>2760</v>
      </c>
      <c r="E21" s="111">
        <v>600</v>
      </c>
      <c r="F21" s="110" t="s">
        <v>140</v>
      </c>
      <c r="G21" s="112">
        <v>71244</v>
      </c>
      <c r="H21" s="113">
        <f>G21*B21</f>
        <v>71244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14">
        <v>1</v>
      </c>
      <c r="C22" s="101" t="s">
        <v>139</v>
      </c>
      <c r="D22" s="102">
        <v>2730</v>
      </c>
      <c r="E22" s="102">
        <v>600</v>
      </c>
      <c r="F22" s="101" t="s">
        <v>140</v>
      </c>
      <c r="G22" s="108">
        <v>45978</v>
      </c>
      <c r="H22" s="115">
        <f t="shared" ref="H22" si="0">G22*B22</f>
        <v>45978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30">
        <v>2</v>
      </c>
      <c r="C23" s="130" t="s">
        <v>141</v>
      </c>
      <c r="D23" s="131"/>
      <c r="E23" s="131"/>
      <c r="F23" s="130"/>
      <c r="G23" s="132"/>
      <c r="H23" s="132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4"/>
      <c r="C24" s="94"/>
      <c r="D24" s="94"/>
      <c r="E24" s="94"/>
      <c r="F24" s="95"/>
      <c r="G24" s="96"/>
      <c r="H24" s="96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3"/>
      <c r="C25" s="73"/>
      <c r="D25" s="73"/>
      <c r="E25" s="73"/>
      <c r="F25" s="73"/>
      <c r="G25" s="74"/>
      <c r="H25" s="74"/>
      <c r="I25" s="1"/>
    </row>
    <row r="26" spans="1:16" ht="15.6" x14ac:dyDescent="0.3">
      <c r="A26" s="1"/>
      <c r="B26" s="1"/>
      <c r="C26" s="1"/>
      <c r="D26" s="1"/>
      <c r="E26" s="1"/>
      <c r="F26" s="1"/>
      <c r="G26" s="75" t="s">
        <v>5</v>
      </c>
      <c r="H26" s="76">
        <v>250000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7" t="s">
        <v>6</v>
      </c>
      <c r="H27" s="78"/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9" t="s">
        <v>4</v>
      </c>
      <c r="H28" s="80">
        <f>H26+H27</f>
        <v>250000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97"/>
      <c r="I29" s="1"/>
    </row>
    <row r="30" spans="1:16" ht="15.6" x14ac:dyDescent="0.3">
      <c r="A30" s="1"/>
      <c r="B30" s="81" t="s">
        <v>123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81" t="s">
        <v>122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4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2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31</v>
      </c>
      <c r="C2" s="122"/>
      <c r="D2" s="122"/>
      <c r="E2" s="18"/>
      <c r="G2" s="122" t="s">
        <v>70</v>
      </c>
      <c r="H2" s="122"/>
      <c r="I2" s="122"/>
      <c r="P2" s="123" t="s">
        <v>58</v>
      </c>
      <c r="Q2" s="123"/>
      <c r="R2" s="12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3" t="s">
        <v>58</v>
      </c>
      <c r="M8" s="123"/>
      <c r="N8" s="12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0"/>
  <sheetViews>
    <sheetView tabSelected="1" topLeftCell="A41" zoomScaleNormal="100" workbookViewId="0">
      <selection activeCell="G68" sqref="A44:G68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4" t="s">
        <v>61</v>
      </c>
      <c r="L3" s="124"/>
      <c r="M3" s="124" t="s">
        <v>14</v>
      </c>
      <c r="N3" s="124"/>
    </row>
    <row r="4" spans="1:14" ht="15.75" customHeight="1" x14ac:dyDescent="0.3">
      <c r="A4" s="1"/>
      <c r="B4" s="1"/>
      <c r="C4" s="40" t="s">
        <v>27</v>
      </c>
      <c r="D4" s="14">
        <f>'4637'!G8</f>
        <v>7241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JORGUE VEGUER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45859</v>
      </c>
      <c r="E7" s="1"/>
      <c r="F7" s="1"/>
      <c r="G7" s="1"/>
    </row>
    <row r="8" spans="1:14" ht="15.6" x14ac:dyDescent="0.3">
      <c r="A8" s="1"/>
      <c r="B8" s="1"/>
      <c r="C8" s="40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5" t="s">
        <v>61</v>
      </c>
      <c r="B10" s="125"/>
      <c r="C10" s="125"/>
      <c r="D10" s="125"/>
      <c r="E10" s="125"/>
      <c r="F10" s="125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129</v>
      </c>
      <c r="B14" s="25">
        <f t="shared" ref="B14" si="0">I14</f>
        <v>1</v>
      </c>
      <c r="C14" s="25"/>
      <c r="D14" s="25">
        <f>J14+D$13</f>
        <v>2810</v>
      </c>
      <c r="E14" s="35">
        <f>K14+E$13</f>
        <v>570</v>
      </c>
      <c r="F14" s="99" t="str">
        <f>C29</f>
        <v>CUB C/R R8</v>
      </c>
      <c r="G14" s="1"/>
      <c r="I14" s="3">
        <f>I22</f>
        <v>1</v>
      </c>
      <c r="J14" s="4">
        <f>D29</f>
        <v>2760</v>
      </c>
      <c r="K14" s="4">
        <f>E29</f>
        <v>600</v>
      </c>
    </row>
    <row r="15" spans="1:14" ht="15.6" x14ac:dyDescent="0.3">
      <c r="A15" s="93" t="s">
        <v>132</v>
      </c>
      <c r="B15" s="25">
        <f t="shared" ref="B15" si="1">I15</f>
        <v>1</v>
      </c>
      <c r="C15" s="25"/>
      <c r="D15" s="25">
        <f>J15+D$13</f>
        <v>2780</v>
      </c>
      <c r="E15" s="35">
        <f>K15+E$13</f>
        <v>570</v>
      </c>
      <c r="F15" s="99" t="str">
        <f>C30</f>
        <v>CUB C/R R8</v>
      </c>
      <c r="G15" s="1"/>
      <c r="I15" s="3">
        <f>I23</f>
        <v>1</v>
      </c>
      <c r="J15" s="4">
        <f>D30</f>
        <v>2730</v>
      </c>
      <c r="K15" s="4">
        <f>E30</f>
        <v>600</v>
      </c>
    </row>
    <row r="16" spans="1:14" ht="15.6" x14ac:dyDescent="0.3">
      <c r="A16" s="93"/>
      <c r="B16" s="6"/>
      <c r="C16" s="6"/>
      <c r="D16" s="6"/>
      <c r="E16" s="6"/>
      <c r="F16" s="116"/>
      <c r="G16" s="1"/>
      <c r="I16" s="2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5" t="s">
        <v>14</v>
      </c>
      <c r="B18" s="125"/>
      <c r="C18" s="125"/>
      <c r="D18" s="125"/>
      <c r="E18" s="125"/>
      <c r="F18" s="125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3" t="s">
        <v>129</v>
      </c>
      <c r="B22" s="16">
        <f t="shared" ref="B22" si="2">I22</f>
        <v>1</v>
      </c>
      <c r="C22" s="16"/>
      <c r="D22" s="16">
        <f>J22+$D$21</f>
        <v>2800</v>
      </c>
      <c r="E22" s="16">
        <f>K22+$E$21</f>
        <v>730</v>
      </c>
      <c r="F22" s="100" t="str">
        <f>C29</f>
        <v>CUB C/R R8</v>
      </c>
      <c r="G22" s="1"/>
      <c r="I22" s="3">
        <f>B29</f>
        <v>1</v>
      </c>
      <c r="J22" s="4">
        <f t="shared" ref="J22:K22" si="3">D29</f>
        <v>2760</v>
      </c>
      <c r="K22" s="4">
        <f t="shared" si="3"/>
        <v>600</v>
      </c>
    </row>
    <row r="23" spans="1:11" ht="15.6" x14ac:dyDescent="0.3">
      <c r="A23" s="93"/>
      <c r="B23" s="16">
        <f t="shared" ref="B23" si="4">I23</f>
        <v>1</v>
      </c>
      <c r="C23" s="16"/>
      <c r="D23" s="16">
        <f t="shared" ref="D23" si="5">J23+$D$21</f>
        <v>2770</v>
      </c>
      <c r="E23" s="16">
        <f t="shared" ref="E23" si="6">K23+$E$21</f>
        <v>730</v>
      </c>
      <c r="F23" s="100" t="str">
        <f>C30</f>
        <v>CUB C/R R8</v>
      </c>
      <c r="G23" s="1"/>
      <c r="I23" s="3">
        <f>B30</f>
        <v>1</v>
      </c>
      <c r="J23" s="4">
        <f t="shared" ref="J23" si="7">D30</f>
        <v>2730</v>
      </c>
      <c r="K23" s="4">
        <f t="shared" ref="K23" si="8">E30</f>
        <v>600</v>
      </c>
    </row>
    <row r="24" spans="1:11" ht="15.6" x14ac:dyDescent="0.3">
      <c r="A24" s="93"/>
      <c r="B24" s="6"/>
      <c r="C24" s="6"/>
      <c r="D24" s="6"/>
      <c r="E24" s="6"/>
      <c r="F24" s="116"/>
      <c r="G24" s="1"/>
      <c r="I24" s="2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7" t="s">
        <v>10</v>
      </c>
      <c r="C28" s="87" t="s">
        <v>110</v>
      </c>
      <c r="D28" s="87" t="s">
        <v>7</v>
      </c>
      <c r="E28" s="87" t="s">
        <v>8</v>
      </c>
      <c r="F28" s="87" t="s">
        <v>23</v>
      </c>
      <c r="G28" s="1"/>
    </row>
    <row r="29" spans="1:11" ht="15.6" x14ac:dyDescent="0.3">
      <c r="A29" s="93" t="s">
        <v>132</v>
      </c>
      <c r="B29" s="25">
        <f>'4637'!B21</f>
        <v>1</v>
      </c>
      <c r="C29" s="99" t="str">
        <f>'4637'!C21</f>
        <v>CUB C/R R8</v>
      </c>
      <c r="D29" s="25">
        <f>'4637'!D21</f>
        <v>2760</v>
      </c>
      <c r="E29" s="25">
        <f>'4637'!E21</f>
        <v>600</v>
      </c>
      <c r="F29" s="25" t="str">
        <f>'4637'!F21</f>
        <v>BLANCO MT</v>
      </c>
      <c r="G29" s="1"/>
    </row>
    <row r="30" spans="1:11" ht="15.6" x14ac:dyDescent="0.3">
      <c r="A30" s="93" t="s">
        <v>132</v>
      </c>
      <c r="B30" s="25">
        <f>'4637'!B22</f>
        <v>1</v>
      </c>
      <c r="C30" s="99" t="str">
        <f>'4637'!C22</f>
        <v>CUB C/R R8</v>
      </c>
      <c r="D30" s="25">
        <f>'4637'!D22</f>
        <v>2730</v>
      </c>
      <c r="E30" s="25">
        <f>'4637'!E22</f>
        <v>600</v>
      </c>
      <c r="F30" s="25" t="str">
        <f>'4637'!F22</f>
        <v>BLANCO MT</v>
      </c>
      <c r="G30" s="1"/>
    </row>
    <row r="31" spans="1:11" ht="15.6" x14ac:dyDescent="0.3">
      <c r="A31" s="93"/>
      <c r="B31" s="6"/>
      <c r="C31" s="11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07" t="s">
        <v>136</v>
      </c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40" t="s">
        <v>27</v>
      </c>
      <c r="D46" s="14">
        <f>'4637'!G8</f>
        <v>7241</v>
      </c>
      <c r="E46" s="1"/>
      <c r="F46" s="1"/>
      <c r="G46" s="1"/>
    </row>
    <row r="47" spans="1:7" ht="17.25" customHeight="1" x14ac:dyDescent="0.3">
      <c r="A47" s="1"/>
      <c r="B47" s="1"/>
      <c r="C47" s="41" t="s">
        <v>67</v>
      </c>
      <c r="D47" s="42" t="str">
        <f>'4637'!C10</f>
        <v>JORGUE VEGUER</v>
      </c>
      <c r="E47" s="43"/>
      <c r="F47" s="43"/>
      <c r="G47" s="1"/>
    </row>
    <row r="48" spans="1:7" ht="4.5" customHeight="1" x14ac:dyDescent="0.3">
      <c r="A48" s="1"/>
      <c r="B48" s="1"/>
      <c r="C48" s="44"/>
      <c r="D48" s="45"/>
      <c r="E48" s="1"/>
      <c r="F48" s="1"/>
      <c r="G48" s="1"/>
    </row>
    <row r="49" spans="1:7" ht="15.6" x14ac:dyDescent="0.3">
      <c r="A49" s="1"/>
      <c r="B49" s="1"/>
      <c r="C49" s="46" t="str">
        <f>'4637'!F11</f>
        <v>FECHA LIMITE :</v>
      </c>
      <c r="D49" s="13">
        <f>'4637'!G11</f>
        <v>45859</v>
      </c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25" t="s">
        <v>68</v>
      </c>
      <c r="B52" s="125"/>
      <c r="C52" s="125"/>
      <c r="D52" s="125"/>
      <c r="E52" s="125"/>
      <c r="F52" s="125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75" customHeight="1" x14ac:dyDescent="0.3">
      <c r="A54" s="1"/>
      <c r="B54" s="126" t="s">
        <v>69</v>
      </c>
      <c r="C54" s="127"/>
      <c r="D54" s="128"/>
      <c r="E54" s="128"/>
      <c r="F54" s="129"/>
      <c r="G54" s="1"/>
    </row>
    <row r="55" spans="1:7" s="15" customFormat="1" ht="12.75" customHeight="1" x14ac:dyDescent="0.3">
      <c r="A55" s="1"/>
      <c r="B55" s="36" t="s">
        <v>10</v>
      </c>
      <c r="C55" s="47" t="s">
        <v>11</v>
      </c>
      <c r="D55" s="48" t="s">
        <v>7</v>
      </c>
      <c r="E55" s="48" t="s">
        <v>8</v>
      </c>
      <c r="F55" s="49" t="s">
        <v>12</v>
      </c>
      <c r="G55" s="1"/>
    </row>
    <row r="56" spans="1:7" s="15" customFormat="1" ht="15" customHeight="1" x14ac:dyDescent="0.3">
      <c r="A56" s="93" t="s">
        <v>132</v>
      </c>
      <c r="B56" s="38">
        <f>'4637'!B21</f>
        <v>1</v>
      </c>
      <c r="C56" s="98" t="str">
        <f>'4637'!C21</f>
        <v>CUB C/R R8</v>
      </c>
      <c r="D56" s="39">
        <f>'4637'!D21</f>
        <v>2760</v>
      </c>
      <c r="E56" s="39">
        <f>'4637'!E21</f>
        <v>600</v>
      </c>
      <c r="F56" s="38" t="str">
        <f>'4637'!F21</f>
        <v>BLANCO MT</v>
      </c>
      <c r="G56" s="1"/>
    </row>
    <row r="57" spans="1:7" s="15" customFormat="1" ht="15" customHeight="1" x14ac:dyDescent="0.3">
      <c r="A57" s="93"/>
      <c r="B57" s="38">
        <f>'4637'!B22</f>
        <v>1</v>
      </c>
      <c r="C57" s="98" t="str">
        <f>'4637'!C22</f>
        <v>CUB C/R R8</v>
      </c>
      <c r="D57" s="39">
        <f>'4637'!D22</f>
        <v>2730</v>
      </c>
      <c r="E57" s="39">
        <f>'4637'!E22</f>
        <v>600</v>
      </c>
      <c r="F57" s="38" t="str">
        <f>'4637'!F22</f>
        <v>BLANCO MT</v>
      </c>
      <c r="G57" s="1"/>
    </row>
    <row r="58" spans="1:7" s="15" customFormat="1" ht="15" customHeight="1" x14ac:dyDescent="0.3">
      <c r="A58" s="93"/>
      <c r="B58" s="38">
        <f>'4637'!B23</f>
        <v>2</v>
      </c>
      <c r="C58" s="98" t="str">
        <f>'4637'!C23</f>
        <v>CORTE 45</v>
      </c>
      <c r="D58" s="39">
        <f>'4637'!D23</f>
        <v>0</v>
      </c>
      <c r="E58" s="39">
        <f>'4637'!E23</f>
        <v>0</v>
      </c>
      <c r="F58" s="38">
        <f>'4637'!F23</f>
        <v>0</v>
      </c>
      <c r="G58" s="1"/>
    </row>
    <row r="59" spans="1:7" s="15" customFormat="1" ht="15" customHeight="1" x14ac:dyDescent="0.3">
      <c r="A59" s="50"/>
      <c r="B59" s="52"/>
      <c r="C59" s="52"/>
      <c r="D59" s="52"/>
      <c r="E59" s="52"/>
      <c r="F59" s="52"/>
      <c r="G59" s="1"/>
    </row>
    <row r="60" spans="1:7" ht="15.6" x14ac:dyDescent="0.3">
      <c r="A60" s="6"/>
      <c r="B60" s="6"/>
      <c r="C60" s="1"/>
      <c r="D60" s="6"/>
      <c r="E60" s="6"/>
      <c r="F60" s="44"/>
      <c r="G60" s="1"/>
    </row>
    <row r="61" spans="1:7" ht="15.6" x14ac:dyDescent="0.3">
      <c r="A61" s="6"/>
      <c r="B61" s="6"/>
      <c r="C61" s="1"/>
      <c r="D61" s="6"/>
      <c r="E61" s="6"/>
      <c r="F61" s="6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" customHeight="1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6"/>
      <c r="B67" s="5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x14ac:dyDescent="0.3">
      <c r="B69" s="20"/>
      <c r="C69" s="20"/>
      <c r="D69" s="20"/>
      <c r="E69" s="20"/>
      <c r="F69" s="20"/>
    </row>
    <row r="70" spans="1:7" x14ac:dyDescent="0.3">
      <c r="B70" s="20"/>
      <c r="C70" s="20"/>
      <c r="E70" s="20"/>
      <c r="F70" s="20"/>
    </row>
  </sheetData>
  <mergeCells count="6">
    <mergeCell ref="M3:N3"/>
    <mergeCell ref="A18:F18"/>
    <mergeCell ref="A10:F10"/>
    <mergeCell ref="A52:F52"/>
    <mergeCell ref="B54:F5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2025-07-22T12:05:47Z</cp:lastPrinted>
  <dcterms:created xsi:type="dcterms:W3CDTF">2013-03-19T12:54:14Z</dcterms:created>
  <dcterms:modified xsi:type="dcterms:W3CDTF">2025-07-22T12:50:47Z</dcterms:modified>
</cp:coreProperties>
</file>