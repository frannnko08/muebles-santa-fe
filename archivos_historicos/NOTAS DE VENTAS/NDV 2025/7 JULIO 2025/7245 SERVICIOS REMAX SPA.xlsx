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7 JULIO 2025\"/>
    </mc:Choice>
  </mc:AlternateContent>
  <xr:revisionPtr revIDLastSave="0" documentId="13_ncr:1_{C9C285CE-4209-4CB4-92B5-5D60F204E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CUBIERTA!$A$40:$F$64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5" i="4" s="1"/>
  <c r="H21" i="4"/>
  <c r="B27" i="3"/>
  <c r="I21" i="3" s="1"/>
  <c r="C27" i="3"/>
  <c r="F14" i="3" s="1"/>
  <c r="D27" i="3"/>
  <c r="J14" i="3" s="1"/>
  <c r="D14" i="3" s="1"/>
  <c r="E27" i="3"/>
  <c r="K21" i="3" s="1"/>
  <c r="E21" i="3" s="1"/>
  <c r="F27" i="3"/>
  <c r="B53" i="3"/>
  <c r="C53" i="3"/>
  <c r="D53" i="3"/>
  <c r="E53" i="3"/>
  <c r="F53" i="3"/>
  <c r="J21" i="3" l="1"/>
  <c r="D21" i="3" s="1"/>
  <c r="K14" i="3"/>
  <c r="E14" i="3" s="1"/>
  <c r="B21" i="3"/>
  <c r="I14" i="3"/>
  <c r="B14" i="3" s="1"/>
  <c r="F21" i="3"/>
  <c r="H26" i="4" l="1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<sst xmlns="http://schemas.openxmlformats.org/spreadsheetml/2006/main" count="247" uniqueCount="144">
  <si>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</si>
  <si>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</si>
  <si>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</si>
  <si>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</si>
  <si>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</si>
  <si>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</si>
  <si>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</si>
  <si>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</si>
  <si>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</si>
  <si>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</si>
  <si>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</si>
  <si>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</si>
  <si>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</si>
  <si>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</si>
  <si>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</si>
  <si>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</si>
  <si>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</si>
  <si>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</si>
  <si>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</si>
  <si>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</si>
  <si>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</si>
  <si>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</si>
  <si>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</si>
  <si>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</si>
  <si>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</si>
  <si>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</si>
  <si>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</si>
  <si>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</si>
  <si>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</si>
  <si>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</si>
  <si>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</si>
  <si>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</si>
  <si>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</si>
  <si>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</si>
  <si>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</si>
  <si>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</si>
  <si>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</si>
  <si>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</si>
  <si>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</si>
  <si>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</si>
  <si>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</si>
  <si>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</si>
  <si>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</si>
  <si>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</si>
  <si>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</si>
  <si>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</si>
  <si>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</si>
  <si>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</si>
  <si>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</si>
  <si>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</si>
  <si>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</si>
  <si>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</si>
  <si>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</si>
  <si>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</si>
  <si>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</si>
  <si>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</si>
  <si>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</si>
  <si>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</si>
  <si>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</si>
  <si>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</si>
  <si>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</si>
  <si>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</si>
  <si>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</si>
  <si>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</si>
  <si>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</si>
  <si>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</si>
  <si>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</si>
  <si>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</si>
  <si>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</si>
  <si>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</si>
  <si>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</si>
  <si>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</si>
  <si>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</si>
  <si>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</si>
  <si>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</si>
  <si>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</si>
  <si>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</si>
  <si>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</si>
  <si>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</si>
  <si>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</si>
  <si>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</si>
  <si>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</si>
  <si>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</si>
  <si>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</si>
  <si>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</si>
  <si>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</si>
  <si>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</si>
  <si>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</si>
  <si>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</si>
  <si>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</si>
  <si>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</si>
  <si>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</si>
  <si>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</si>
  <si>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</si>
  <si>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</si>
  <si>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</si>
  <si>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</si>
  <si>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</si>
  <si>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</si>
  <si>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</si>
  <si>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</si>
  <si>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</si>
  <si>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</si>
  <si>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</si>
  <si>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</si>
  <si>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</si>
  <si>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</si>
  <si>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</si>
  <si>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</si>
  <si>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</si>
  <si>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</si>
  <si>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</si>
  <si>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</si>
  <si>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</si>
  <si>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</si>
  <si>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</si>
  <si>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</si>
  <si>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</si>
  <si>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</si>
  <si>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</si>
  <si>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</si>
  <si>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</si>
  <si>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</si>
  <si>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</si>
  <si>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</si>
  <si>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</si>
  <si>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</si>
  <si>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</si>
  <si>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</si>
  <si>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</si>
  <si>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</si>
  <si>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</si>
  <si>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</si>
  <si>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</si>
  <si>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</si>
  <si>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</si>
  <si>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SOBRANTE LAMINADO:</t>
  </si>
  <si>
    <t>CUB C/R R8</t>
  </si>
  <si>
    <t>BLANCO BRILLO</t>
  </si>
  <si>
    <t>URGENTE</t>
  </si>
  <si>
    <t>SERVICIOS REMAX SPA</t>
  </si>
  <si>
    <t>78.020.430-7</t>
  </si>
  <si>
    <t>DIEGO MENA</t>
  </si>
  <si>
    <t>N° 11537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</si>
</sst>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left" indent="3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0" fillId="0" borderId="0" xfId="0" quotePrefix="1" applyFont="1" applyAlignment="1">
      <alignment horizontal="left"/>
    </xf>
    <xf numFmtId="0" fontId="0" fillId="3" borderId="4" xfId="0" applyFill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OBSERVACIONES:PAGADO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2392680</xdr:colOff>
      <xdr:row>17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29</xdr:row>
      <xdr:rowOff>15239</xdr:rowOff>
    </xdr:from>
    <xdr:to>
      <xdr:col>6</xdr:col>
      <xdr:colOff>7620</xdr:colOff>
      <xdr:row>31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41910</xdr:rowOff>
    </xdr:from>
    <xdr:to>
      <xdr:col>1</xdr:col>
      <xdr:colOff>801763</xdr:colOff>
      <xdr:row>47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2"/>
  <sheetViews>
    <sheetView tabSelected="1" topLeftCell="A6" workbookViewId="0">
      <selection activeCell="D11" sqref="D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143</v>
      </c>
      <c r="E8" s="1"/>
      <c r="F8" s="90" t="s">
        <v>27</v>
      </c>
      <c r="G8" s="91">
        <v>7245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112" t="s">
        <v>140</v>
      </c>
      <c r="D10" s="54"/>
      <c r="E10" s="54"/>
      <c r="F10" s="55" t="s">
        <v>28</v>
      </c>
      <c r="G10" s="56">
        <v>45862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0" t="s">
        <v>141</v>
      </c>
      <c r="D11" s="59"/>
      <c r="E11" s="59"/>
      <c r="F11" s="59" t="s">
        <v>124</v>
      </c>
      <c r="G11" s="60" t="s">
        <v>139</v>
      </c>
      <c r="H11" s="61"/>
      <c r="I11" s="1"/>
    </row>
    <row r="12" spans="1:17" ht="16.8" x14ac:dyDescent="0.4">
      <c r="A12" s="1"/>
      <c r="B12" s="62" t="s">
        <v>130</v>
      </c>
      <c r="C12" s="101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142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1">
        <v>948547320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1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2" t="s">
        <v>135</v>
      </c>
      <c r="D16" s="68"/>
      <c r="E16" s="69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5">
        <v>1</v>
      </c>
      <c r="C21" s="106" t="s">
        <v>137</v>
      </c>
      <c r="D21" s="107">
        <v>1200</v>
      </c>
      <c r="E21" s="107">
        <v>500</v>
      </c>
      <c r="F21" s="106" t="s">
        <v>138</v>
      </c>
      <c r="G21" s="108">
        <v>28888</v>
      </c>
      <c r="H21" s="109">
        <f>G21*B21</f>
        <v>28888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SUM(H21:H23)</f>
        <v>28888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5488.72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34376.720000000001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81" t="s">
        <v>123</v>
      </c>
      <c r="C28" s="82"/>
      <c r="D28" s="83"/>
      <c r="E28" s="83"/>
      <c r="F28" s="73"/>
      <c r="G28" s="1"/>
      <c r="H28" s="1"/>
      <c r="I28" s="1"/>
    </row>
    <row r="29" spans="1:16" ht="15.6" x14ac:dyDescent="0.3">
      <c r="A29" s="1"/>
      <c r="B29" s="81" t="s">
        <v>122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1" t="s">
        <v>25</v>
      </c>
      <c r="C30" s="1"/>
      <c r="D30" s="1"/>
      <c r="E30" s="84" t="s">
        <v>26</v>
      </c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</sheetData>
  <sortState xmlns:xlrd2="http://schemas.microsoft.com/office/spreadsheetml/2017/richdata2" ref="B34">
    <sortCondition sortBy="fontColor" ref="B34" dxfId="0"/>
  </sortState>
  <mergeCells count="2">
    <mergeCell ref="F16:H16"/>
    <mergeCell ref="B19:H19"/>
  </mergeCells>
  <phoneticPr fontId="10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opLeftCell="A40" zoomScaleNormal="100" workbookViewId="0">
      <selection activeCell="A40" sqref="A40:F6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7245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SERVICIOS REMAX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 t="str">
        <f>'4637'!G11</f>
        <v>URGENTE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129</v>
      </c>
      <c r="B14" s="25">
        <f t="shared" ref="B14" si="0">I14</f>
        <v>1</v>
      </c>
      <c r="C14" s="25"/>
      <c r="D14" s="25">
        <f>J14+D$13</f>
        <v>1250</v>
      </c>
      <c r="E14" s="35">
        <f>K14+E$13</f>
        <v>470</v>
      </c>
      <c r="F14" s="98" t="str">
        <f>C27</f>
        <v>CUB C/R R8</v>
      </c>
      <c r="G14" s="1"/>
      <c r="I14" s="3">
        <f>I21</f>
        <v>1</v>
      </c>
      <c r="J14" s="4">
        <f>D27</f>
        <v>1200</v>
      </c>
      <c r="K14" s="4">
        <f>E27</f>
        <v>500</v>
      </c>
    </row>
    <row r="15" spans="1:14" ht="15.6" x14ac:dyDescent="0.3">
      <c r="A15" s="92"/>
      <c r="B15" s="6"/>
      <c r="C15" s="6"/>
      <c r="D15" s="6"/>
      <c r="E15" s="6"/>
      <c r="F15" s="110"/>
      <c r="G15" s="1"/>
      <c r="I15" s="2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14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2" t="s">
        <v>129</v>
      </c>
      <c r="B21" s="16">
        <f t="shared" ref="B21" si="1">I21</f>
        <v>1</v>
      </c>
      <c r="C21" s="16"/>
      <c r="D21" s="16">
        <f>J21+$D$20</f>
        <v>1240</v>
      </c>
      <c r="E21" s="16">
        <f>K21+$E$20</f>
        <v>630</v>
      </c>
      <c r="F21" s="99" t="str">
        <f>C27</f>
        <v>CUB C/R R8</v>
      </c>
      <c r="G21" s="1"/>
      <c r="I21" s="3">
        <f>B27</f>
        <v>1</v>
      </c>
      <c r="J21" s="4">
        <f t="shared" ref="J21:K21" si="2">D27</f>
        <v>1200</v>
      </c>
      <c r="K21" s="4">
        <f t="shared" si="2"/>
        <v>500</v>
      </c>
    </row>
    <row r="22" spans="1:11" ht="15.6" x14ac:dyDescent="0.3">
      <c r="A22" s="92"/>
      <c r="B22" s="6"/>
      <c r="C22" s="6"/>
      <c r="D22" s="6"/>
      <c r="E22" s="6"/>
      <c r="F22" s="110"/>
      <c r="G22" s="1"/>
      <c r="I22" s="2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2" t="s">
        <v>132</v>
      </c>
      <c r="B27" s="25">
        <f>'4637'!B21</f>
        <v>1</v>
      </c>
      <c r="C27" s="98" t="str">
        <f>'4637'!C21</f>
        <v>CUB C/R R8</v>
      </c>
      <c r="D27" s="25">
        <f>'4637'!D21</f>
        <v>1200</v>
      </c>
      <c r="E27" s="25">
        <f>'4637'!E21</f>
        <v>500</v>
      </c>
      <c r="F27" s="25" t="str">
        <f>'4637'!F21</f>
        <v>BLANCO BRILLO</v>
      </c>
      <c r="G27" s="1"/>
    </row>
    <row r="28" spans="1:11" ht="15.6" x14ac:dyDescent="0.3">
      <c r="A28" s="92"/>
      <c r="B28" s="6"/>
      <c r="C28" s="110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04" t="s">
        <v>136</v>
      </c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>
        <f>'4637'!G8</f>
        <v>7245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42" t="str">
        <f>'4637'!C10</f>
        <v>SERVICIOS REMAX SPA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 t="str">
        <f>'4637'!G11</f>
        <v>URGENTE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1" t="s">
        <v>68</v>
      </c>
      <c r="B49" s="121"/>
      <c r="C49" s="121"/>
      <c r="D49" s="121"/>
      <c r="E49" s="121"/>
      <c r="F49" s="12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2" t="s">
        <v>69</v>
      </c>
      <c r="C51" s="123"/>
      <c r="D51" s="124"/>
      <c r="E51" s="124"/>
      <c r="F51" s="125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92" t="s">
        <v>132</v>
      </c>
      <c r="B53" s="38">
        <f>'4637'!B21</f>
        <v>1</v>
      </c>
      <c r="C53" s="97" t="str">
        <f>'4637'!C21</f>
        <v>CUB C/R R8</v>
      </c>
      <c r="D53" s="39">
        <f>'4637'!D21</f>
        <v>1200</v>
      </c>
      <c r="E53" s="39">
        <f>'4637'!E21</f>
        <v>500</v>
      </c>
      <c r="F53" s="38" t="str">
        <f>'4637'!F21</f>
        <v>BLANCO BRILLO</v>
      </c>
      <c r="G53" s="1"/>
    </row>
    <row r="54" spans="1:7" s="15" customFormat="1" ht="15" customHeight="1" x14ac:dyDescent="0.3">
      <c r="A54" s="92"/>
      <c r="B54" s="52"/>
      <c r="C54" s="103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7:F17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2025-07-24T14:07:20Z</cp:lastPrinted>
  <dcterms:created xsi:type="dcterms:W3CDTF">2013-03-19T12:54:14Z</dcterms:created>
  <dcterms:modified xsi:type="dcterms:W3CDTF">2025-07-24T14:30:05Z</dcterms:modified>
</cp:coreProperties>
</file>