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7 JULIO 2025\"/>
    </mc:Choice>
  </mc:AlternateContent>
  <xr:revisionPtr revIDLastSave="0" documentId="13_ncr:1_{EC14A982-B70E-4CC2-B005-2D50614243C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H25" i="4" s="1"/>
  <c r="B27" i="3"/>
  <c r="I21" i="3" s="1"/>
  <c r="C27" i="3"/>
  <c r="F14" i="3" s="1"/>
  <c r="D27" i="3"/>
  <c r="J14" i="3" s="1"/>
  <c r="D14" i="3" s="1"/>
  <c r="E27" i="3"/>
  <c r="K21" i="3" s="1"/>
  <c r="E21" i="3" s="1"/>
  <c r="F27" i="3"/>
  <c r="B53" i="3"/>
  <c r="C53" i="3"/>
  <c r="D53" i="3"/>
  <c r="E53" i="3"/>
  <c r="F53" i="3"/>
  <c r="J21" i="3" l="1"/>
  <c r="D21" i="3" s="1"/>
  <c r="K14" i="3"/>
  <c r="E14" i="3" s="1"/>
  <c r="B21" i="3"/>
  <c r="I14" i="3"/>
  <c r="B14" i="3" s="1"/>
  <c r="F21" i="3"/>
  <c r="H26" i="4" l="1"/>
  <c r="N5" i="3" l="1"/>
  <c r="M5" i="3" l="1"/>
  <c r="L5" i="3"/>
  <c r="K5" i="3"/>
  <c r="C46" i="3" l="1"/>
  <c r="C7" i="3"/>
  <c r="D44" i="3"/>
  <c r="D5" i="3"/>
  <c r="D46" i="3"/>
  <c r="D7" i="3"/>
  <c r="D43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<sst xmlns="http://schemas.openxmlformats.org/spreadsheetml/2006/main" count="244" uniqueCount="141">
  <si>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</si>
  <si>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</si>
  <si>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</si>
  <si>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</si>
  <si>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</si>
  <si>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</si>
  <si>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</si>
  <si>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</si>
  <si>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</si>
  <si>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</si>
  <si>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</si>
  <si>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</si>
  <si>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</si>
  <si>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</si>
  <si>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</si>
  <si>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</si>
  <si>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</si>
  <si>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</si>
  <si>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</si>
  <si>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</si>
  <si>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</si>
  <si>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</si>
  <si>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</si>
  <si>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</si>
  <si>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</si>
  <si>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</si>
  <si>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</si>
  <si>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</si>
  <si>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</si>
  <si>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</si>
  <si>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</si>
  <si>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</si>
  <si>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</si>
  <si>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</si>
  <si>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</si>
  <si>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</si>
  <si>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</si>
  <si>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</si>
  <si>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</si>
  <si>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</si>
  <si>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</si>
  <si>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</si>
  <si>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</si>
  <si>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</si>
  <si>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</si>
  <si>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</si>
  <si>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</si>
  <si>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</si>
  <si>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</si>
  <si>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</si>
  <si>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</si>
  <si>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</si>
  <si>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</si>
  <si>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</si>
  <si>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</si>
  <si>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</si>
  <si>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</si>
  <si>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</si>
  <si>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</si>
  <si>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</si>
  <si>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</si>
  <si>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</si>
  <si>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</si>
  <si>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</si>
  <si>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</si>
  <si>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</si>
  <si>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</si>
  <si>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</si>
  <si>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</si>
  <si>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</si>
  <si>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</si>
  <si>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</si>
  <si>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</si>
  <si>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</si>
  <si>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</si>
  <si>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</si>
  <si>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</si>
  <si>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</si>
  <si>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</si>
  <si>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</si>
  <si>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</si>
  <si>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</si>
  <si>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</si>
  <si>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</si>
  <si>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</si>
  <si>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</si>
  <si>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</si>
  <si>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</si>
  <si>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</si>
  <si>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</si>
  <si>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</si>
  <si>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</si>
  <si>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</si>
  <si>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</si>
  <si>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</si>
  <si>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</si>
  <si>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</si>
  <si>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</si>
  <si>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</si>
  <si>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</si>
  <si>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</si>
  <si>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</si>
  <si>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</si>
  <si>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</si>
  <si>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</si>
  <si>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</si>
  <si>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</si>
  <si>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</si>
  <si>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</si>
  <si>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</si>
  <si>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</si>
  <si>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</si>
  <si>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</si>
  <si>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</si>
  <si>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</si>
  <si>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</si>
  <si>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</si>
  <si>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</si>
  <si>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</si>
  <si>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</si>
  <si>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</si>
  <si>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</si>
  <si>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</si>
  <si>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</si>
  <si>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</si>
  <si>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</si>
  <si>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</si>
  <si>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</si>
  <si>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</si>
  <si>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</si>
  <si>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</si>
  <si>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</si>
  <si>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</si>
  <si>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</si>
  <si>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</si>
  <si>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SANTIAGO</t>
  </si>
  <si>
    <t>N° 11519</t>
  </si>
  <si>
    <t>CUB MESA 2 LADOS</t>
  </si>
  <si>
    <t>JOHAN BARRERA</t>
  </si>
  <si>
    <t>7244R</t>
  </si>
  <si>
    <t>NEGRO BRILLO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</si>
</sst>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left" indent="3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42" fontId="3" fillId="0" borderId="32" xfId="3" applyFont="1" applyFill="1" applyBorder="1" applyAlignment="1">
      <alignment horizontal="center" vertical="center"/>
    </xf>
    <xf numFmtId="42" fontId="3" fillId="0" borderId="12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0" fillId="0" borderId="0" xfId="0" quotePrefix="1" applyFont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92065"/>
          <a:ext cx="5295900" cy="592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24765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922020</xdr:colOff>
      <xdr:row>5</xdr:row>
      <xdr:rowOff>47625</xdr:rowOff>
    </xdr:from>
    <xdr:to>
      <xdr:col>6</xdr:col>
      <xdr:colOff>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74520" y="1076325"/>
          <a:ext cx="679704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5</xdr:col>
      <xdr:colOff>2392680</xdr:colOff>
      <xdr:row>5</xdr:row>
      <xdr:rowOff>7620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76425" y="828675"/>
          <a:ext cx="678751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2392680</xdr:colOff>
      <xdr:row>17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1154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6</xdr:col>
      <xdr:colOff>7620</xdr:colOff>
      <xdr:row>10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507730" cy="2171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1685924</xdr:colOff>
      <xdr:row>49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38100</xdr:rowOff>
    </xdr:from>
    <xdr:to>
      <xdr:col>6</xdr:col>
      <xdr:colOff>0</xdr:colOff>
      <xdr:row>44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182880</xdr:colOff>
      <xdr:row>29</xdr:row>
      <xdr:rowOff>15239</xdr:rowOff>
    </xdr:from>
    <xdr:to>
      <xdr:col>6</xdr:col>
      <xdr:colOff>7620</xdr:colOff>
      <xdr:row>31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82880" y="6004559"/>
          <a:ext cx="8496300" cy="5715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cortar a la medida y enchapar costados con regrueso de 2cms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 y enchapar los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costados con regrueso de 2cms, union de laminado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41</xdr:row>
      <xdr:rowOff>41910</xdr:rowOff>
    </xdr:from>
    <xdr:to>
      <xdr:col>1</xdr:col>
      <xdr:colOff>801763</xdr:colOff>
      <xdr:row>47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2"/>
  <sheetViews>
    <sheetView topLeftCell="A8"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136</v>
      </c>
      <c r="E8" s="1"/>
      <c r="F8" s="91" t="s">
        <v>27</v>
      </c>
      <c r="G8" s="92" t="s">
        <v>139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138</v>
      </c>
      <c r="D10" s="54"/>
      <c r="E10" s="54"/>
      <c r="F10" s="55" t="s">
        <v>28</v>
      </c>
      <c r="G10" s="56">
        <v>45868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1"/>
      <c r="D11" s="59"/>
      <c r="E11" s="59"/>
      <c r="F11" s="59" t="s">
        <v>124</v>
      </c>
      <c r="G11" s="60"/>
      <c r="H11" s="61"/>
      <c r="I11" s="1"/>
    </row>
    <row r="12" spans="1:17" ht="16.8" x14ac:dyDescent="0.4">
      <c r="A12" s="1"/>
      <c r="B12" s="62" t="s">
        <v>130</v>
      </c>
      <c r="C12" s="102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12">
        <v>956053029</v>
      </c>
      <c r="D14" s="65"/>
      <c r="E14" s="59"/>
      <c r="F14" s="59" t="s">
        <v>29</v>
      </c>
      <c r="G14" s="59" t="s">
        <v>133</v>
      </c>
      <c r="H14" s="61"/>
      <c r="I14" s="1"/>
    </row>
    <row r="15" spans="1:17" ht="16.8" x14ac:dyDescent="0.4">
      <c r="A15" s="1"/>
      <c r="B15" s="62" t="s">
        <v>1</v>
      </c>
      <c r="C15" s="102"/>
      <c r="D15" s="43"/>
      <c r="E15" s="43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103" t="s">
        <v>135</v>
      </c>
      <c r="D16" s="68"/>
      <c r="E16" s="69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6">
        <v>1</v>
      </c>
      <c r="C21" s="107" t="s">
        <v>137</v>
      </c>
      <c r="D21" s="108">
        <v>3600</v>
      </c>
      <c r="E21" s="108">
        <v>500</v>
      </c>
      <c r="F21" s="107" t="s">
        <v>140</v>
      </c>
      <c r="G21" s="109">
        <v>115155</v>
      </c>
      <c r="H21" s="110">
        <f>G21*B21</f>
        <v>115155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4"/>
      <c r="C22" s="94"/>
      <c r="D22" s="94"/>
      <c r="E22" s="94"/>
      <c r="F22" s="95"/>
      <c r="G22" s="96"/>
      <c r="H22" s="96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3"/>
      <c r="C23" s="73"/>
      <c r="D23" s="73"/>
      <c r="E23" s="73"/>
      <c r="F23" s="73"/>
      <c r="G23" s="74"/>
      <c r="H23" s="74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76">
        <f>SUM(H21:H23)</f>
        <v>115155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7" t="s">
        <v>6</v>
      </c>
      <c r="H25" s="78">
        <f>H24*19%</f>
        <v>21879.45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9" t="s">
        <v>4</v>
      </c>
      <c r="H26" s="80">
        <f>H24+H25</f>
        <v>137034.45000000001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81" t="s">
        <v>123</v>
      </c>
      <c r="C28" s="82"/>
      <c r="D28" s="83"/>
      <c r="E28" s="83"/>
      <c r="F28" s="73"/>
      <c r="G28" s="1"/>
      <c r="H28" s="1"/>
      <c r="I28" s="1"/>
    </row>
    <row r="29" spans="1:16" ht="15.6" x14ac:dyDescent="0.3">
      <c r="A29" s="1"/>
      <c r="B29" s="81" t="s">
        <v>122</v>
      </c>
      <c r="C29" s="82"/>
      <c r="D29" s="83"/>
      <c r="E29" s="83"/>
      <c r="F29" s="73"/>
      <c r="G29" s="1"/>
      <c r="H29" s="1"/>
      <c r="I29" s="1"/>
    </row>
    <row r="30" spans="1:16" ht="15.6" x14ac:dyDescent="0.3">
      <c r="A30" s="1"/>
      <c r="B30" s="1" t="s">
        <v>25</v>
      </c>
      <c r="C30" s="1"/>
      <c r="D30" s="1"/>
      <c r="E30" s="84" t="s">
        <v>26</v>
      </c>
      <c r="F30" s="1"/>
      <c r="G30" s="1"/>
      <c r="H30" s="1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</sheetData>
  <sortState xmlns:xlrd2="http://schemas.microsoft.com/office/spreadsheetml/2017/richdata2" ref="B34">
    <sortCondition sortBy="fontColor" ref="B34" dxfId="0"/>
  </sortState>
  <mergeCells count="2">
    <mergeCell ref="F16:H16"/>
    <mergeCell ref="B19:H19"/>
  </mergeCells>
  <phoneticPr fontId="10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topLeftCell="A36" zoomScaleNormal="100" workbookViewId="0">
      <selection activeCell="C37" sqref="C3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 t="str">
        <f>'4637'!G8</f>
        <v>7244R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JOHAN BARRERA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40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129</v>
      </c>
      <c r="B14" s="25">
        <f t="shared" ref="B14" si="0">I14</f>
        <v>1</v>
      </c>
      <c r="C14" s="25"/>
      <c r="D14" s="25">
        <f>J14+D$13</f>
        <v>3650</v>
      </c>
      <c r="E14" s="35">
        <f>K14+E$13</f>
        <v>500</v>
      </c>
      <c r="F14" s="99" t="str">
        <f>C27</f>
        <v>CUB MESA 2 LADOS</v>
      </c>
      <c r="G14" s="1"/>
      <c r="I14" s="3">
        <f>I21</f>
        <v>1</v>
      </c>
      <c r="J14" s="4">
        <f>D27</f>
        <v>3600</v>
      </c>
      <c r="K14" s="4">
        <f>E27</f>
        <v>500</v>
      </c>
    </row>
    <row r="15" spans="1:14" ht="15.6" x14ac:dyDescent="0.3">
      <c r="A15" s="93"/>
      <c r="B15" s="6"/>
      <c r="C15" s="6"/>
      <c r="D15" s="6"/>
      <c r="E15" s="6"/>
      <c r="F15" s="111"/>
      <c r="G15" s="1"/>
      <c r="I15" s="2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1" t="s">
        <v>14</v>
      </c>
      <c r="B17" s="121"/>
      <c r="C17" s="121"/>
      <c r="D17" s="121"/>
      <c r="E17" s="121"/>
      <c r="F17" s="121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100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3" t="s">
        <v>129</v>
      </c>
      <c r="B21" s="16">
        <f t="shared" ref="B21" si="1">I21</f>
        <v>1</v>
      </c>
      <c r="C21" s="16"/>
      <c r="D21" s="16">
        <f>J21+$D$20</f>
        <v>3640</v>
      </c>
      <c r="E21" s="16">
        <f>K21+$E$20</f>
        <v>600</v>
      </c>
      <c r="F21" s="100" t="str">
        <f>C27</f>
        <v>CUB MESA 2 LADOS</v>
      </c>
      <c r="G21" s="1"/>
      <c r="I21" s="3">
        <f>B27</f>
        <v>1</v>
      </c>
      <c r="J21" s="4">
        <f t="shared" ref="J21:K21" si="2">D27</f>
        <v>3600</v>
      </c>
      <c r="K21" s="4">
        <f t="shared" si="2"/>
        <v>500</v>
      </c>
    </row>
    <row r="22" spans="1:11" ht="15.6" x14ac:dyDescent="0.3">
      <c r="A22" s="93"/>
      <c r="B22" s="6"/>
      <c r="C22" s="6"/>
      <c r="D22" s="6"/>
      <c r="E22" s="6"/>
      <c r="F22" s="111"/>
      <c r="G22" s="1"/>
      <c r="I22" s="2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7" t="s">
        <v>10</v>
      </c>
      <c r="C26" s="87" t="s">
        <v>110</v>
      </c>
      <c r="D26" s="87" t="s">
        <v>7</v>
      </c>
      <c r="E26" s="87" t="s">
        <v>8</v>
      </c>
      <c r="F26" s="87" t="s">
        <v>23</v>
      </c>
      <c r="G26" s="1"/>
    </row>
    <row r="27" spans="1:11" ht="15.6" x14ac:dyDescent="0.3">
      <c r="A27" s="93" t="s">
        <v>132</v>
      </c>
      <c r="B27" s="25">
        <f>'4637'!B21</f>
        <v>1</v>
      </c>
      <c r="C27" s="99" t="str">
        <f>'4637'!C21</f>
        <v>CUB MESA 2 LADOS</v>
      </c>
      <c r="D27" s="25">
        <f>'4637'!D21</f>
        <v>3600</v>
      </c>
      <c r="E27" s="25">
        <f>'4637'!E21</f>
        <v>500</v>
      </c>
      <c r="F27" s="25" t="str">
        <f>'4637'!F21</f>
        <v>NEGRO BRILLO MERINO</v>
      </c>
      <c r="G27" s="1"/>
    </row>
    <row r="28" spans="1:11" ht="15.6" x14ac:dyDescent="0.3">
      <c r="A28" s="93"/>
      <c r="B28" s="6"/>
      <c r="C28" s="111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05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40" t="s">
        <v>27</v>
      </c>
      <c r="D43" s="14" t="str">
        <f>'4637'!G8</f>
        <v>7244R</v>
      </c>
      <c r="E43" s="1"/>
      <c r="F43" s="1"/>
      <c r="G43" s="1"/>
    </row>
    <row r="44" spans="1:7" ht="17.25" customHeight="1" x14ac:dyDescent="0.3">
      <c r="A44" s="1"/>
      <c r="B44" s="1"/>
      <c r="C44" s="41" t="s">
        <v>67</v>
      </c>
      <c r="D44" s="42" t="str">
        <f>'4637'!C10</f>
        <v>JOHAN BARRERA</v>
      </c>
      <c r="E44" s="43"/>
      <c r="F44" s="43"/>
      <c r="G44" s="1"/>
    </row>
    <row r="45" spans="1:7" ht="4.5" customHeight="1" x14ac:dyDescent="0.3">
      <c r="A45" s="1"/>
      <c r="B45" s="1"/>
      <c r="C45" s="44"/>
      <c r="D45" s="45"/>
      <c r="E45" s="1"/>
      <c r="F45" s="1"/>
      <c r="G45" s="1"/>
    </row>
    <row r="46" spans="1:7" ht="15.6" x14ac:dyDescent="0.3">
      <c r="A46" s="1"/>
      <c r="B46" s="1"/>
      <c r="C46" s="46" t="str">
        <f>'4637'!F11</f>
        <v>FECHA LIMITE :</v>
      </c>
      <c r="D46" s="13">
        <f>'4637'!G11</f>
        <v>0</v>
      </c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21" t="s">
        <v>68</v>
      </c>
      <c r="B49" s="121"/>
      <c r="C49" s="121"/>
      <c r="D49" s="121"/>
      <c r="E49" s="121"/>
      <c r="F49" s="12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22" t="s">
        <v>69</v>
      </c>
      <c r="C51" s="123"/>
      <c r="D51" s="124"/>
      <c r="E51" s="124"/>
      <c r="F51" s="125"/>
      <c r="G51" s="1"/>
    </row>
    <row r="52" spans="1:7" s="15" customFormat="1" ht="12.75" customHeight="1" x14ac:dyDescent="0.3">
      <c r="A52" s="1"/>
      <c r="B52" s="36" t="s">
        <v>10</v>
      </c>
      <c r="C52" s="47" t="s">
        <v>11</v>
      </c>
      <c r="D52" s="48" t="s">
        <v>7</v>
      </c>
      <c r="E52" s="48" t="s">
        <v>8</v>
      </c>
      <c r="F52" s="49" t="s">
        <v>12</v>
      </c>
      <c r="G52" s="1"/>
    </row>
    <row r="53" spans="1:7" s="15" customFormat="1" ht="15" customHeight="1" x14ac:dyDescent="0.3">
      <c r="A53" s="93" t="s">
        <v>132</v>
      </c>
      <c r="B53" s="38">
        <f>'4637'!B21</f>
        <v>1</v>
      </c>
      <c r="C53" s="98" t="str">
        <f>'4637'!C21</f>
        <v>CUB MESA 2 LADOS</v>
      </c>
      <c r="D53" s="39">
        <f>'4637'!D21</f>
        <v>3600</v>
      </c>
      <c r="E53" s="39">
        <f>'4637'!E21</f>
        <v>500</v>
      </c>
      <c r="F53" s="38" t="str">
        <f>'4637'!F21</f>
        <v>NEGRO BRILLO MERINO</v>
      </c>
      <c r="G53" s="1"/>
    </row>
    <row r="54" spans="1:7" s="15" customFormat="1" ht="15" customHeight="1" x14ac:dyDescent="0.3">
      <c r="A54" s="93"/>
      <c r="B54" s="52"/>
      <c r="C54" s="104"/>
      <c r="D54" s="52"/>
      <c r="E54" s="52"/>
      <c r="F54" s="52"/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7:F17"/>
    <mergeCell ref="A10:F10"/>
    <mergeCell ref="A49:F49"/>
    <mergeCell ref="B51:F5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2025-07-31T15:35:35Z</cp:lastPrinted>
  <dcterms:created xsi:type="dcterms:W3CDTF">2013-03-19T12:54:14Z</dcterms:created>
  <dcterms:modified xsi:type="dcterms:W3CDTF">2025-07-31T16:19:25Z</dcterms:modified>
</cp:coreProperties>
</file>