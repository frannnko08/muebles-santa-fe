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7 JULIO 2025\"/>
    </mc:Choice>
  </mc:AlternateContent>
  <xr:revisionPtr revIDLastSave="0" documentId="13_ncr:1_{773F7D70-1968-4F40-8BE5-75165477B96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  <c r="D22" i="3"/>
  <c r="E23" i="3"/>
  <c r="B30" i="3"/>
  <c r="I23" i="3" s="1"/>
  <c r="B23" i="3" s="1"/>
  <c r="C30" i="3"/>
  <c r="F15" i="3" s="1"/>
  <c r="D30" i="3"/>
  <c r="J23" i="3" s="1"/>
  <c r="E30" i="3"/>
  <c r="K23" i="3" s="1"/>
  <c r="F30" i="3"/>
  <c r="B57" i="3"/>
  <c r="C57" i="3"/>
  <c r="D57" i="3"/>
  <c r="E57" i="3"/>
  <c r="F57" i="3"/>
  <c r="H22" i="4"/>
  <c r="H21" i="4"/>
  <c r="B29" i="3"/>
  <c r="I22" i="3" s="1"/>
  <c r="C29" i="3"/>
  <c r="F14" i="3" s="1"/>
  <c r="D29" i="3"/>
  <c r="J14" i="3" s="1"/>
  <c r="D14" i="3" s="1"/>
  <c r="E29" i="3"/>
  <c r="K22" i="3" s="1"/>
  <c r="E22" i="3" s="1"/>
  <c r="F29" i="3"/>
  <c r="B56" i="3"/>
  <c r="C56" i="3"/>
  <c r="D56" i="3"/>
  <c r="E56" i="3"/>
  <c r="F56" i="3"/>
  <c r="H26" i="4" l="1"/>
  <c r="K15" i="3"/>
  <c r="E15" i="3" s="1"/>
  <c r="F23" i="3"/>
  <c r="J15" i="3"/>
  <c r="D15" i="3" s="1"/>
  <c r="I15" i="3"/>
  <c r="B15" i="3" s="1"/>
  <c r="J22" i="3"/>
  <c r="K14" i="3"/>
  <c r="E14" i="3" s="1"/>
  <c r="B22" i="3"/>
  <c r="I14" i="3"/>
  <c r="B14" i="3" s="1"/>
  <c r="F22" i="3"/>
  <c r="H27" i="4" l="1"/>
  <c r="H28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<sst xmlns="http://schemas.openxmlformats.org/spreadsheetml/2006/main" count="249" uniqueCount="142">
  <si>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</si>
  <si>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</si>
  <si>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</si>
  <si>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</si>
  <si>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</si>
  <si>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</si>
  <si>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</si>
  <si>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</si>
  <si>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</si>
  <si>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</si>
  <si>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</si>
  <si>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</si>
  <si>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</si>
  <si>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</si>
  <si>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</si>
  <si>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</si>
  <si>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</si>
  <si>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</si>
  <si>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</si>
  <si>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</si>
  <si>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</si>
  <si>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</si>
  <si>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</si>
  <si>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</si>
  <si>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</si>
  <si>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</si>
  <si>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</si>
  <si>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</si>
  <si>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</si>
  <si>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</si>
  <si>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</si>
  <si>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</si>
  <si>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</si>
  <si>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</si>
  <si>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</si>
  <si>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</si>
  <si>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</si>
  <si>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</si>
  <si>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</si>
  <si>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</si>
  <si>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</si>
  <si>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</si>
  <si>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</si>
  <si>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</si>
  <si>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</si>
  <si>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</si>
  <si>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</si>
  <si>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</si>
  <si>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</si>
  <si>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</si>
  <si>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</si>
  <si>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</si>
  <si>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</si>
  <si>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</si>
  <si>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</si>
  <si>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</si>
  <si>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</si>
  <si>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</si>
  <si>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</si>
  <si>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</si>
  <si>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</si>
  <si>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</si>
  <si>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</si>
  <si>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</si>
  <si>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</si>
  <si>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</si>
  <si>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</si>
  <si>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</si>
  <si>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</si>
  <si>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</si>
  <si>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</si>
  <si>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</si>
  <si>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</si>
  <si>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</si>
  <si>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</si>
  <si>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</si>
  <si>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</si>
  <si>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</si>
  <si>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</si>
  <si>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</si>
  <si>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</si>
  <si>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</si>
  <si>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</si>
  <si>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</si>
  <si>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</si>
  <si>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</si>
  <si>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</si>
  <si>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</si>
  <si>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</si>
  <si>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</si>
  <si>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</si>
  <si>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</si>
  <si>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</si>
  <si>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</si>
  <si>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</si>
  <si>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</si>
  <si>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</si>
  <si>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</si>
  <si>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</si>
  <si>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</si>
  <si>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</si>
  <si>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</si>
  <si>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</si>
  <si>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</si>
  <si>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</si>
  <si>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</si>
  <si>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</si>
  <si>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</si>
  <si>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</si>
  <si>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</si>
  <si>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</si>
  <si>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</si>
  <si>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</si>
  <si>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</si>
  <si>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</si>
  <si>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</si>
  <si>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</si>
  <si>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</si>
  <si>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</si>
  <si>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</si>
  <si>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</si>
  <si>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</si>
  <si>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</si>
  <si>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</si>
  <si>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</si>
  <si>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</si>
  <si>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</si>
  <si>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</si>
  <si>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</si>
  <si>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</si>
  <si>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</si>
  <si>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</si>
  <si>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</si>
  <si>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</si>
  <si>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</si>
  <si>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</si>
  <si>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SOBRANTE LAMINADO:</t>
  </si>
  <si>
    <t>N° 11518A</t>
  </si>
  <si>
    <t>HECTOR TORRES</t>
  </si>
  <si>
    <t>GRANITO 3012 BR</t>
  </si>
  <si>
    <t>CUB C/R R8</t>
  </si>
  <si>
    <t>+569 8641 1139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</si>
</sst>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1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0" fillId="0" borderId="0" xfId="0" quotePrefix="1" applyFont="1"/>
    <xf numFmtId="0" fontId="1" fillId="0" borderId="0" xfId="0" applyFont="1" applyAlignment="1">
      <alignment horizontal="left" indent="3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7" fillId="0" borderId="17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$ 231.225.-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2392680</xdr:colOff>
      <xdr:row>18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182880</xdr:colOff>
      <xdr:row>32</xdr:row>
      <xdr:rowOff>15239</xdr:rowOff>
    </xdr:from>
    <xdr:to>
      <xdr:col>6</xdr:col>
      <xdr:colOff>7620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2880" y="6004559"/>
          <a:ext cx="8496300" cy="5715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44</xdr:row>
      <xdr:rowOff>41910</xdr:rowOff>
    </xdr:from>
    <xdr:to>
      <xdr:col>1</xdr:col>
      <xdr:colOff>801763</xdr:colOff>
      <xdr:row>50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5" workbookViewId="0">
      <selection activeCell="J14" sqref="J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126" t="s">
        <v>137</v>
      </c>
      <c r="E8" s="1"/>
      <c r="F8" s="92" t="s">
        <v>27</v>
      </c>
      <c r="G8" s="93">
        <v>7242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138</v>
      </c>
      <c r="D10" s="54"/>
      <c r="E10" s="54"/>
      <c r="F10" s="55" t="s">
        <v>28</v>
      </c>
      <c r="G10" s="56">
        <v>45856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6"/>
      <c r="D11" s="59"/>
      <c r="E11" s="59"/>
      <c r="F11" s="59" t="s">
        <v>124</v>
      </c>
      <c r="G11" s="60">
        <v>45862</v>
      </c>
      <c r="H11" s="61"/>
      <c r="I11" s="1"/>
    </row>
    <row r="12" spans="1:17" ht="16.8" x14ac:dyDescent="0.4">
      <c r="A12" s="1"/>
      <c r="B12" s="62" t="s">
        <v>130</v>
      </c>
      <c r="C12" s="107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1" t="s">
        <v>141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7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8" t="s">
        <v>135</v>
      </c>
      <c r="D16" s="68"/>
      <c r="E16" s="69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2">
        <v>1</v>
      </c>
      <c r="C21" s="102" t="s">
        <v>140</v>
      </c>
      <c r="D21" s="104">
        <v>3260</v>
      </c>
      <c r="E21" s="104">
        <v>600</v>
      </c>
      <c r="F21" s="102" t="s">
        <v>139</v>
      </c>
      <c r="G21" s="103">
        <v>154307</v>
      </c>
      <c r="H21" s="103">
        <f>G21*B21</f>
        <v>154307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2">
        <v>1</v>
      </c>
      <c r="C22" s="102" t="s">
        <v>140</v>
      </c>
      <c r="D22" s="104">
        <v>1200</v>
      </c>
      <c r="E22" s="104">
        <v>350</v>
      </c>
      <c r="F22" s="102" t="s">
        <v>139</v>
      </c>
      <c r="G22" s="103">
        <v>40000</v>
      </c>
      <c r="H22" s="103">
        <f t="shared" ref="H22" si="0">G22*B22</f>
        <v>40000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5"/>
      <c r="C23" s="95"/>
      <c r="D23" s="109"/>
      <c r="E23" s="109"/>
      <c r="F23" s="95"/>
      <c r="G23" s="74"/>
      <c r="H23" s="97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5"/>
      <c r="C24" s="95"/>
      <c r="D24" s="95"/>
      <c r="E24" s="95"/>
      <c r="F24" s="96"/>
      <c r="G24" s="97"/>
      <c r="H24" s="97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3"/>
      <c r="C25" s="73"/>
      <c r="D25" s="73"/>
      <c r="E25" s="73"/>
      <c r="F25" s="73"/>
      <c r="G25" s="74"/>
      <c r="H25" s="74"/>
      <c r="I25" s="1"/>
    </row>
    <row r="26" spans="1:16" ht="15.6" x14ac:dyDescent="0.3">
      <c r="A26" s="1"/>
      <c r="B26" s="1"/>
      <c r="C26" s="1"/>
      <c r="D26" s="1"/>
      <c r="E26" s="1"/>
      <c r="F26" s="1"/>
      <c r="G26" s="75" t="s">
        <v>5</v>
      </c>
      <c r="H26" s="76">
        <f>SUM(H21:H25)</f>
        <v>194307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7" t="s">
        <v>6</v>
      </c>
      <c r="H27" s="78">
        <f>H26*19%</f>
        <v>36918.33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9" t="s">
        <v>4</v>
      </c>
      <c r="H28" s="80">
        <f>H26+H27</f>
        <v>231225.33000000002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98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zoomScaleNormal="100" workbookViewId="0">
      <selection sqref="A1:F3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7242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HECTOR TORRES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45862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129</v>
      </c>
      <c r="B14" s="25">
        <f t="shared" ref="B14" si="0">I14</f>
        <v>1</v>
      </c>
      <c r="C14" s="25"/>
      <c r="D14" s="25">
        <f>J14+D$13</f>
        <v>3340</v>
      </c>
      <c r="E14" s="35">
        <f>K14+E$13</f>
        <v>570</v>
      </c>
      <c r="F14" s="100" t="str">
        <f>C29</f>
        <v>CUB C/R R8</v>
      </c>
      <c r="G14" s="1"/>
      <c r="I14" s="3">
        <f>I22</f>
        <v>1</v>
      </c>
      <c r="J14" s="4">
        <f>D29</f>
        <v>3260</v>
      </c>
      <c r="K14" s="4">
        <f>E29</f>
        <v>600</v>
      </c>
    </row>
    <row r="15" spans="1:14" ht="15.6" x14ac:dyDescent="0.3">
      <c r="A15" s="94" t="s">
        <v>132</v>
      </c>
      <c r="B15" s="25">
        <f t="shared" ref="B15" si="1">I15</f>
        <v>1</v>
      </c>
      <c r="C15" s="25"/>
      <c r="D15" s="25">
        <f>J15+D$13</f>
        <v>1280</v>
      </c>
      <c r="E15" s="35">
        <f>K15+E$13</f>
        <v>320</v>
      </c>
      <c r="F15" s="100" t="str">
        <f>C30</f>
        <v>CUB C/R R8</v>
      </c>
      <c r="G15" s="1"/>
      <c r="I15" s="3">
        <f>I23</f>
        <v>1</v>
      </c>
      <c r="J15" s="4">
        <f>D30</f>
        <v>1200</v>
      </c>
      <c r="K15" s="4">
        <f>E30</f>
        <v>350</v>
      </c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1" t="s">
        <v>14</v>
      </c>
      <c r="B18" s="121"/>
      <c r="C18" s="121"/>
      <c r="D18" s="121"/>
      <c r="E18" s="121"/>
      <c r="F18" s="12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4" t="s">
        <v>129</v>
      </c>
      <c r="B22" s="16">
        <f t="shared" ref="B22" si="2">I22</f>
        <v>1</v>
      </c>
      <c r="C22" s="16"/>
      <c r="D22" s="16">
        <f>J22+D$21</f>
        <v>3300</v>
      </c>
      <c r="E22" s="16">
        <f>K22+E$21</f>
        <v>730</v>
      </c>
      <c r="F22" s="101" t="str">
        <f>C29</f>
        <v>CUB C/R R8</v>
      </c>
      <c r="G22" s="1"/>
      <c r="I22" s="3">
        <f>B29</f>
        <v>1</v>
      </c>
      <c r="J22" s="4">
        <f t="shared" ref="J22:K22" si="3">D29</f>
        <v>3260</v>
      </c>
      <c r="K22" s="4">
        <f t="shared" si="3"/>
        <v>600</v>
      </c>
    </row>
    <row r="23" spans="1:11" ht="15.6" x14ac:dyDescent="0.3">
      <c r="A23" s="94"/>
      <c r="B23" s="16">
        <f t="shared" ref="B23" si="4">I23</f>
        <v>1</v>
      </c>
      <c r="C23" s="16"/>
      <c r="D23" s="16">
        <f>J23+D$21</f>
        <v>1240</v>
      </c>
      <c r="E23" s="16">
        <f>K23+E21</f>
        <v>480</v>
      </c>
      <c r="F23" s="101" t="str">
        <f>C30</f>
        <v>CUB C/R R8</v>
      </c>
      <c r="G23" s="1"/>
      <c r="I23" s="3">
        <f>B30</f>
        <v>1</v>
      </c>
      <c r="J23" s="4">
        <f t="shared" ref="J23" si="5">D30</f>
        <v>1200</v>
      </c>
      <c r="K23" s="4">
        <f t="shared" ref="K23" si="6">E30</f>
        <v>350</v>
      </c>
    </row>
    <row r="24" spans="1:11" ht="15.6" x14ac:dyDescent="0.3">
      <c r="A24" s="94"/>
      <c r="B24" s="6"/>
      <c r="C24" s="6"/>
      <c r="D24" s="6"/>
      <c r="E24" s="6"/>
      <c r="F24" s="105"/>
      <c r="G24" s="1"/>
      <c r="I24" s="89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7" t="s">
        <v>10</v>
      </c>
      <c r="C28" s="87" t="s">
        <v>110</v>
      </c>
      <c r="D28" s="87" t="s">
        <v>7</v>
      </c>
      <c r="E28" s="87" t="s">
        <v>8</v>
      </c>
      <c r="F28" s="87" t="s">
        <v>23</v>
      </c>
      <c r="G28" s="1"/>
    </row>
    <row r="29" spans="1:11" ht="15.6" x14ac:dyDescent="0.3">
      <c r="A29" s="94" t="s">
        <v>132</v>
      </c>
      <c r="B29" s="25">
        <f>'4637'!B21</f>
        <v>1</v>
      </c>
      <c r="C29" s="100" t="str">
        <f>'4637'!C21</f>
        <v>CUB C/R R8</v>
      </c>
      <c r="D29" s="25">
        <f>'4637'!D21</f>
        <v>3260</v>
      </c>
      <c r="E29" s="25">
        <f>'4637'!E21</f>
        <v>600</v>
      </c>
      <c r="F29" s="25" t="str">
        <f>'4637'!F21</f>
        <v>GRANITO 3012 BR</v>
      </c>
      <c r="G29" s="1"/>
    </row>
    <row r="30" spans="1:11" ht="15.6" x14ac:dyDescent="0.3">
      <c r="A30" s="94" t="s">
        <v>132</v>
      </c>
      <c r="B30" s="25">
        <f>'4637'!B22</f>
        <v>1</v>
      </c>
      <c r="C30" s="100" t="str">
        <f>'4637'!C22</f>
        <v>CUB C/R R8</v>
      </c>
      <c r="D30" s="25">
        <f>'4637'!D22</f>
        <v>1200</v>
      </c>
      <c r="E30" s="25">
        <f>'4637'!E22</f>
        <v>350</v>
      </c>
      <c r="F30" s="25" t="str">
        <f>'4637'!F22</f>
        <v>GRANITO 3012 BR</v>
      </c>
      <c r="G30" s="1"/>
    </row>
    <row r="31" spans="1:11" ht="15.6" x14ac:dyDescent="0.3">
      <c r="A31" s="94"/>
      <c r="B31" s="6"/>
      <c r="C31" s="105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12" t="s">
        <v>136</v>
      </c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7242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HECTOR TORRES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>
        <f>'4637'!G11</f>
        <v>45862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1" t="s">
        <v>68</v>
      </c>
      <c r="B52" s="121"/>
      <c r="C52" s="121"/>
      <c r="D52" s="121"/>
      <c r="E52" s="121"/>
      <c r="F52" s="12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2" t="s">
        <v>69</v>
      </c>
      <c r="C54" s="123"/>
      <c r="D54" s="124"/>
      <c r="E54" s="124"/>
      <c r="F54" s="125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4" t="s">
        <v>132</v>
      </c>
      <c r="B56" s="38">
        <f>'4637'!B21</f>
        <v>1</v>
      </c>
      <c r="C56" s="99" t="str">
        <f>'4637'!C21</f>
        <v>CUB C/R R8</v>
      </c>
      <c r="D56" s="39">
        <f>'4637'!D21</f>
        <v>3260</v>
      </c>
      <c r="E56" s="39">
        <f>'4637'!E21</f>
        <v>600</v>
      </c>
      <c r="F56" s="38" t="str">
        <f>'4637'!F21</f>
        <v>GRANITO 3012 BR</v>
      </c>
      <c r="G56" s="1"/>
    </row>
    <row r="57" spans="1:7" s="15" customFormat="1" ht="15" customHeight="1" x14ac:dyDescent="0.3">
      <c r="A57" s="94"/>
      <c r="B57" s="38">
        <f>'4637'!B22</f>
        <v>1</v>
      </c>
      <c r="C57" s="99" t="str">
        <f>'4637'!C22</f>
        <v>CUB C/R R8</v>
      </c>
      <c r="D57" s="39">
        <f>'4637'!D22</f>
        <v>1200</v>
      </c>
      <c r="E57" s="39">
        <f>'4637'!E22</f>
        <v>350</v>
      </c>
      <c r="F57" s="38" t="str">
        <f>'4637'!F22</f>
        <v>GRANITO 3012 BR</v>
      </c>
      <c r="G57" s="1"/>
    </row>
    <row r="58" spans="1:7" s="15" customFormat="1" ht="15" customHeight="1" x14ac:dyDescent="0.3">
      <c r="A58" s="94"/>
      <c r="B58" s="52"/>
      <c r="C58" s="110"/>
      <c r="D58" s="52"/>
      <c r="E58" s="52"/>
      <c r="F58" s="52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18:F18"/>
    <mergeCell ref="A10:F10"/>
    <mergeCell ref="A52:F52"/>
    <mergeCell ref="B54:F5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2025-07-18T18:52:13Z</cp:lastPrinted>
  <dcterms:created xsi:type="dcterms:W3CDTF">2013-03-19T12:54:14Z</dcterms:created>
  <dcterms:modified xsi:type="dcterms:W3CDTF">2025-07-18T18:52:16Z</dcterms:modified>
</cp:coreProperties>
</file>