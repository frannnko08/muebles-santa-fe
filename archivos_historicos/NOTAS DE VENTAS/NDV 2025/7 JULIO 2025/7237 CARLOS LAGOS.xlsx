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7 JULIO 2025\"/>
    </mc:Choice>
  </mc:AlternateContent>
  <xr:revisionPtr revIDLastSave="0" documentId="13_ncr:1_{D4A750DF-C121-4779-870C-BAB575F198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CUBIERTA!$A$36:$F$59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B27" i="3"/>
  <c r="I21" i="3" s="1"/>
  <c r="C27" i="3"/>
  <c r="F14" i="3" s="1"/>
  <c r="D27" i="3"/>
  <c r="J14" i="3" s="1"/>
  <c r="D14" i="3" s="1"/>
  <c r="E27" i="3"/>
  <c r="K21" i="3" s="1"/>
  <c r="E21" i="3" s="1"/>
  <c r="F27" i="3"/>
  <c r="B48" i="3"/>
  <c r="C48" i="3"/>
  <c r="D48" i="3"/>
  <c r="E48" i="3"/>
  <c r="F48" i="3"/>
  <c r="H25" i="4"/>
  <c r="J21" i="3" l="1"/>
  <c r="D21" i="3" s="1"/>
  <c r="K14" i="3"/>
  <c r="E14" i="3" s="1"/>
  <c r="B21" i="3"/>
  <c r="I14" i="3"/>
  <c r="B14" i="3" s="1"/>
  <c r="F21" i="3"/>
  <c r="H26" i="4" l="1"/>
  <c r="H27" i="4" l="1"/>
  <c r="N5" i="3" l="1"/>
  <c r="M5" i="3" l="1"/>
  <c r="L5" i="3"/>
  <c r="K5" i="3"/>
  <c r="C41" i="3" l="1"/>
  <c r="C7" i="3"/>
  <c r="D39" i="3"/>
  <c r="D5" i="3"/>
  <c r="D41" i="3"/>
  <c r="D7" i="3"/>
  <c r="D38" i="3"/>
  <c r="D4" i="3"/>
</calcChain>
</file>

<file path=xl/sharedStrings.xml><?xml version="1.0" encoding="utf-8"?>
<sst xmlns="http://schemas.openxmlformats.org/spreadsheetml/2006/main" count="245" uniqueCount="142">
  <si>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</si>
  <si>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</si>
  <si>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</si>
  <si>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</si>
  <si>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</si>
  <si>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</si>
  <si>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</si>
  <si>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</si>
  <si>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</si>
  <si>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</si>
  <si>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</si>
  <si>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</si>
  <si>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</si>
  <si>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</si>
  <si>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</si>
  <si>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</si>
  <si>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</si>
  <si>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</si>
  <si>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</si>
  <si>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</si>
  <si>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</si>
  <si>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</si>
  <si>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</si>
  <si>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</si>
  <si>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</si>
  <si>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</si>
  <si>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</si>
  <si>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</si>
  <si>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</si>
  <si>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</si>
  <si>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</si>
  <si>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</si>
  <si>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</si>
  <si>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</si>
  <si>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</si>
  <si>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</si>
  <si>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</si>
  <si>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</si>
  <si>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</si>
  <si>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</si>
  <si>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</si>
  <si>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</si>
  <si>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</si>
  <si>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</si>
  <si>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</si>
  <si>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</si>
  <si>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</si>
  <si>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</si>
  <si>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</si>
  <si>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</si>
  <si>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</si>
  <si>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</si>
  <si>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</si>
  <si>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</si>
  <si>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</si>
  <si>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</si>
  <si>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</si>
  <si>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</si>
  <si>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</si>
  <si>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</si>
  <si>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</si>
  <si>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</si>
  <si>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</si>
  <si>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</si>
  <si>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</si>
  <si>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</si>
  <si>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</si>
  <si>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</si>
  <si>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</si>
  <si>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</si>
  <si>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</si>
  <si>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</si>
  <si>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</si>
  <si>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</si>
  <si>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</si>
  <si>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</si>
  <si>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</si>
  <si>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</si>
  <si>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</si>
  <si>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</si>
  <si>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</si>
  <si>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</si>
  <si>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</si>
  <si>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</si>
  <si>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</si>
  <si>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</si>
  <si>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</si>
  <si>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</si>
  <si>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</si>
  <si>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</si>
  <si>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</si>
  <si>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</si>
  <si>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</si>
  <si>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</si>
  <si>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</si>
  <si>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</si>
  <si>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</si>
  <si>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</si>
  <si>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</si>
  <si>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</si>
  <si>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</si>
  <si>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</si>
  <si>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</si>
  <si>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</si>
  <si>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</si>
  <si>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</si>
  <si>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</si>
  <si>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</si>
  <si>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</si>
  <si>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</si>
  <si>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</si>
  <si>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</si>
  <si>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</si>
  <si>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</si>
  <si>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</si>
  <si>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</si>
  <si>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</si>
  <si>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</si>
  <si>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</si>
  <si>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</si>
  <si>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</si>
  <si>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</si>
  <si>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</si>
  <si>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</si>
  <si>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</si>
  <si>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</si>
  <si>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</si>
  <si>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</si>
  <si>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</si>
  <si>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</si>
  <si>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</si>
  <si>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 xml:space="preserve">GIRO: </t>
  </si>
  <si>
    <t>CONTACTO:</t>
  </si>
  <si>
    <t>MDF18MM</t>
  </si>
  <si>
    <t>NO</t>
  </si>
  <si>
    <t>CONTADO</t>
  </si>
  <si>
    <t>BLANCO OPACO MERINO</t>
  </si>
  <si>
    <t>CARLOS LAGOS</t>
  </si>
  <si>
    <t>+56959616884</t>
  </si>
  <si>
    <t>RANCAGUA</t>
  </si>
  <si>
    <t>N° 11484</t>
  </si>
  <si>
    <t>CUB C/R 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</si>
</sst>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7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8" fillId="0" borderId="0" xfId="0" applyFont="1"/>
    <xf numFmtId="0" fontId="18" fillId="3" borderId="0" xfId="0" applyFont="1" applyFill="1"/>
    <xf numFmtId="0" fontId="19" fillId="0" borderId="9" xfId="2" applyFont="1" applyFill="1" applyBorder="1" applyAlignment="1">
      <alignment horizontal="left"/>
    </xf>
    <xf numFmtId="1" fontId="15" fillId="0" borderId="0" xfId="0" applyNumberFormat="1" applyFont="1" applyAlignment="1">
      <alignment horizontal="center" vertical="center"/>
    </xf>
    <xf numFmtId="0" fontId="20" fillId="0" borderId="0" xfId="2" quotePrefix="1" applyFont="1" applyFill="1" applyBorder="1"/>
    <xf numFmtId="0" fontId="17" fillId="0" borderId="0" xfId="0" applyFont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$ 81.629.-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42</xdr:row>
      <xdr:rowOff>171450</xdr:rowOff>
    </xdr:from>
    <xdr:to>
      <xdr:col>5</xdr:col>
      <xdr:colOff>1685924</xdr:colOff>
      <xdr:row>44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38100</xdr:rowOff>
    </xdr:from>
    <xdr:to>
      <xdr:col>6</xdr:col>
      <xdr:colOff>0</xdr:colOff>
      <xdr:row>39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38100</xdr:colOff>
      <xdr:row>51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50</xdr:row>
      <xdr:rowOff>0</xdr:rowOff>
    </xdr:from>
    <xdr:to>
      <xdr:col>2</xdr:col>
      <xdr:colOff>1019175</xdr:colOff>
      <xdr:row>50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0</xdr:rowOff>
    </xdr:from>
    <xdr:to>
      <xdr:col>3</xdr:col>
      <xdr:colOff>352425</xdr:colOff>
      <xdr:row>51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0</xdr:rowOff>
    </xdr:from>
    <xdr:to>
      <xdr:col>4</xdr:col>
      <xdr:colOff>257175</xdr:colOff>
      <xdr:row>51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0</xdr:rowOff>
    </xdr:from>
    <xdr:to>
      <xdr:col>5</xdr:col>
      <xdr:colOff>447675</xdr:colOff>
      <xdr:row>50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0</xdr:rowOff>
    </xdr:from>
    <xdr:to>
      <xdr:col>6</xdr:col>
      <xdr:colOff>0</xdr:colOff>
      <xdr:row>50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50</xdr:row>
      <xdr:rowOff>190500</xdr:rowOff>
    </xdr:from>
    <xdr:to>
      <xdr:col>2</xdr:col>
      <xdr:colOff>304800</xdr:colOff>
      <xdr:row>52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50</xdr:row>
      <xdr:rowOff>190500</xdr:rowOff>
    </xdr:from>
    <xdr:to>
      <xdr:col>2</xdr:col>
      <xdr:colOff>1276350</xdr:colOff>
      <xdr:row>52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190500</xdr:rowOff>
    </xdr:from>
    <xdr:to>
      <xdr:col>3</xdr:col>
      <xdr:colOff>619125</xdr:colOff>
      <xdr:row>52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190500</xdr:rowOff>
    </xdr:from>
    <xdr:to>
      <xdr:col>4</xdr:col>
      <xdr:colOff>523875</xdr:colOff>
      <xdr:row>52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190500</xdr:rowOff>
    </xdr:from>
    <xdr:to>
      <xdr:col>5</xdr:col>
      <xdr:colOff>723900</xdr:colOff>
      <xdr:row>52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190500</xdr:rowOff>
    </xdr:from>
    <xdr:to>
      <xdr:col>6</xdr:col>
      <xdr:colOff>0</xdr:colOff>
      <xdr:row>52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29</xdr:row>
      <xdr:rowOff>15239</xdr:rowOff>
    </xdr:from>
    <xdr:to>
      <xdr:col>6</xdr:col>
      <xdr:colOff>68580</xdr:colOff>
      <xdr:row>33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OBSERVACIONES:EMBALAR, MANDAR POR TRANSPORTE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53</xdr:row>
      <xdr:rowOff>32385</xdr:rowOff>
    </xdr:from>
    <xdr:to>
      <xdr:col>6</xdr:col>
      <xdr:colOff>19050</xdr:colOff>
      <xdr:row>57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EMBALAR,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MANDAR POR TRANSPORTE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36</xdr:row>
      <xdr:rowOff>41910</xdr:rowOff>
    </xdr:from>
    <xdr:to>
      <xdr:col>1</xdr:col>
      <xdr:colOff>801763</xdr:colOff>
      <xdr:row>42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abSelected="1" topLeftCell="A4" workbookViewId="0">
      <selection activeCell="C22" sqref="C2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140</v>
      </c>
      <c r="E8" s="1"/>
      <c r="F8" s="94" t="s">
        <v>27</v>
      </c>
      <c r="G8" s="95">
        <v>7237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137</v>
      </c>
      <c r="D10" s="55"/>
      <c r="E10" s="55"/>
      <c r="F10" s="56" t="s">
        <v>28</v>
      </c>
      <c r="G10" s="57">
        <v>45839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9" t="s">
        <v>2</v>
      </c>
      <c r="C11" s="108"/>
      <c r="D11" s="60"/>
      <c r="E11" s="60"/>
      <c r="F11" s="60" t="s">
        <v>124</v>
      </c>
      <c r="G11" s="61"/>
      <c r="H11" s="62"/>
      <c r="I11" s="1"/>
    </row>
    <row r="12" spans="1:17" ht="16.8" x14ac:dyDescent="0.4">
      <c r="A12" s="1"/>
      <c r="B12" s="63" t="s">
        <v>131</v>
      </c>
      <c r="C12" s="109"/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132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12" t="s">
        <v>138</v>
      </c>
      <c r="D14" s="66"/>
      <c r="E14" s="60"/>
      <c r="F14" s="60" t="s">
        <v>29</v>
      </c>
      <c r="G14" s="60" t="s">
        <v>134</v>
      </c>
      <c r="H14" s="62"/>
      <c r="I14" s="1"/>
    </row>
    <row r="15" spans="1:17" ht="16.8" x14ac:dyDescent="0.4">
      <c r="A15" s="1"/>
      <c r="B15" s="63" t="s">
        <v>1</v>
      </c>
      <c r="C15" s="109"/>
      <c r="D15" s="43"/>
      <c r="E15" s="43"/>
      <c r="F15" s="67" t="s">
        <v>75</v>
      </c>
      <c r="G15" s="67" t="s">
        <v>135</v>
      </c>
      <c r="H15" s="65"/>
      <c r="I15" s="1"/>
    </row>
    <row r="16" spans="1:17" ht="16.2" thickBot="1" x14ac:dyDescent="0.35">
      <c r="A16" s="1"/>
      <c r="B16" s="68" t="s">
        <v>3</v>
      </c>
      <c r="C16" s="110" t="s">
        <v>139</v>
      </c>
      <c r="D16" s="69"/>
      <c r="E16" s="70"/>
      <c r="F16" s="114" t="s">
        <v>18</v>
      </c>
      <c r="G16" s="114"/>
      <c r="H16" s="115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6" t="s">
        <v>19</v>
      </c>
      <c r="C19" s="117"/>
      <c r="D19" s="117"/>
      <c r="E19" s="117"/>
      <c r="F19" s="117"/>
      <c r="G19" s="117"/>
      <c r="H19" s="118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4">
        <v>1</v>
      </c>
      <c r="C21" s="104" t="s">
        <v>141</v>
      </c>
      <c r="D21" s="106">
        <v>2500</v>
      </c>
      <c r="E21" s="106">
        <v>820</v>
      </c>
      <c r="F21" s="104" t="s">
        <v>136</v>
      </c>
      <c r="G21" s="105">
        <v>137192</v>
      </c>
      <c r="H21" s="105">
        <f t="shared" ref="H21" si="0">G21*B21</f>
        <v>137192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97"/>
      <c r="C22" s="97"/>
      <c r="D22" s="111"/>
      <c r="E22" s="111"/>
      <c r="F22" s="97"/>
      <c r="G22" s="75"/>
      <c r="H22" s="99"/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7"/>
      <c r="C23" s="97"/>
      <c r="D23" s="97"/>
      <c r="E23" s="97"/>
      <c r="F23" s="98"/>
      <c r="G23" s="99"/>
      <c r="H23" s="99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4"/>
      <c r="C24" s="74"/>
      <c r="D24" s="74"/>
      <c r="E24" s="74"/>
      <c r="F24" s="74"/>
      <c r="G24" s="75"/>
      <c r="H24" s="75"/>
      <c r="I24" s="1"/>
    </row>
    <row r="25" spans="1:16" ht="15.6" x14ac:dyDescent="0.3">
      <c r="A25" s="1"/>
      <c r="B25" s="1"/>
      <c r="C25" s="1"/>
      <c r="D25" s="1"/>
      <c r="E25" s="1"/>
      <c r="F25" s="1"/>
      <c r="G25" s="76" t="s">
        <v>5</v>
      </c>
      <c r="H25" s="77">
        <f>SUM(H21:H24)</f>
        <v>137192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8" t="s">
        <v>6</v>
      </c>
      <c r="H26" s="79">
        <f>H25*19%</f>
        <v>26066.48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80" t="s">
        <v>4</v>
      </c>
      <c r="H27" s="81">
        <f>H25+H26</f>
        <v>163258.48000000001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2"/>
      <c r="H28" s="100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2" t="s">
        <v>123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82" t="s">
        <v>122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5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0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9" t="s">
        <v>31</v>
      </c>
      <c r="C2" s="119"/>
      <c r="D2" s="119"/>
      <c r="E2" s="18"/>
      <c r="G2" s="119" t="s">
        <v>70</v>
      </c>
      <c r="H2" s="119"/>
      <c r="I2" s="119"/>
      <c r="P2" s="120" t="s">
        <v>58</v>
      </c>
      <c r="Q2" s="120"/>
      <c r="R2" s="120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0" t="s">
        <v>58</v>
      </c>
      <c r="M8" s="120"/>
      <c r="N8" s="120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1"/>
  <sheetViews>
    <sheetView topLeftCell="A35" zoomScaleNormal="100" workbookViewId="0">
      <selection activeCell="A36" sqref="A36:F59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1" t="s">
        <v>61</v>
      </c>
      <c r="L3" s="121"/>
      <c r="M3" s="121" t="s">
        <v>14</v>
      </c>
      <c r="N3" s="121"/>
    </row>
    <row r="4" spans="1:14" ht="15.75" customHeight="1" x14ac:dyDescent="0.3">
      <c r="A4" s="1"/>
      <c r="B4" s="1"/>
      <c r="C4" s="40" t="s">
        <v>27</v>
      </c>
      <c r="D4" s="14">
        <f>'4637'!G8</f>
        <v>7237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CARLOS LAGOS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2" t="s">
        <v>61</v>
      </c>
      <c r="B10" s="122"/>
      <c r="C10" s="122"/>
      <c r="D10" s="122"/>
      <c r="E10" s="122"/>
      <c r="F10" s="122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130</v>
      </c>
      <c r="B14" s="25">
        <f t="shared" ref="B14" si="0">I14</f>
        <v>1</v>
      </c>
      <c r="C14" s="25"/>
      <c r="D14" s="25">
        <f>J14+D$13</f>
        <v>2580</v>
      </c>
      <c r="E14" s="35">
        <f>K14+E$13</f>
        <v>790</v>
      </c>
      <c r="F14" s="102" t="str">
        <f>C27</f>
        <v>CUB C/R R8</v>
      </c>
      <c r="G14" s="1"/>
      <c r="I14" s="3">
        <f>I21</f>
        <v>1</v>
      </c>
      <c r="J14" s="4">
        <f>D27</f>
        <v>2500</v>
      </c>
      <c r="K14" s="4">
        <f>E27</f>
        <v>820</v>
      </c>
    </row>
    <row r="15" spans="1:14" ht="15.6" x14ac:dyDescent="0.3">
      <c r="A15" s="52"/>
      <c r="B15" s="6"/>
      <c r="C15" s="6"/>
      <c r="D15" s="6"/>
      <c r="E15" s="89"/>
      <c r="F15" s="6"/>
      <c r="G15" s="1"/>
      <c r="I15" s="90"/>
      <c r="J15" s="2"/>
      <c r="K15" s="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1" ht="15.6" x14ac:dyDescent="0.3">
      <c r="A17" s="122" t="s">
        <v>14</v>
      </c>
      <c r="B17" s="122"/>
      <c r="C17" s="122"/>
      <c r="D17" s="122"/>
      <c r="E17" s="122"/>
      <c r="F17" s="122"/>
      <c r="G17" s="1"/>
    </row>
    <row r="18" spans="1:11" ht="10.5" customHeight="1" x14ac:dyDescent="0.3">
      <c r="A18" s="1"/>
      <c r="B18" s="1"/>
      <c r="C18" s="12"/>
      <c r="D18" s="1"/>
      <c r="E18" s="1"/>
      <c r="F18" s="1"/>
      <c r="G18" s="1"/>
    </row>
    <row r="19" spans="1:11" ht="15.6" x14ac:dyDescent="0.3">
      <c r="A19" s="1"/>
      <c r="B19" s="1"/>
      <c r="C19" s="1"/>
      <c r="D19" s="52" t="s">
        <v>7</v>
      </c>
      <c r="E19" s="52" t="s">
        <v>8</v>
      </c>
      <c r="F19" s="1"/>
      <c r="G19" s="1"/>
    </row>
    <row r="20" spans="1:11" ht="15.6" x14ac:dyDescent="0.3">
      <c r="A20" s="52" t="s">
        <v>9</v>
      </c>
      <c r="B20" s="36" t="s">
        <v>10</v>
      </c>
      <c r="C20" s="36" t="s">
        <v>11</v>
      </c>
      <c r="D20" s="21">
        <v>40</v>
      </c>
      <c r="E20" s="21">
        <v>130</v>
      </c>
      <c r="F20" s="36" t="s">
        <v>110</v>
      </c>
      <c r="G20" s="1"/>
      <c r="J20" s="5" t="s">
        <v>7</v>
      </c>
      <c r="K20" s="5" t="s">
        <v>8</v>
      </c>
    </row>
    <row r="21" spans="1:11" ht="15.6" x14ac:dyDescent="0.3">
      <c r="A21" s="96" t="s">
        <v>130</v>
      </c>
      <c r="B21" s="16">
        <f t="shared" ref="B21" si="1">I21</f>
        <v>1</v>
      </c>
      <c r="C21" s="16"/>
      <c r="D21" s="16">
        <f>J21+D$20</f>
        <v>2540</v>
      </c>
      <c r="E21" s="16">
        <f>K21+E$20</f>
        <v>950</v>
      </c>
      <c r="F21" s="103" t="str">
        <f>C27</f>
        <v>CUB C/R R8</v>
      </c>
      <c r="G21" s="1"/>
      <c r="I21" s="3">
        <f>B27</f>
        <v>1</v>
      </c>
      <c r="J21" s="4">
        <f t="shared" ref="J21:K21" si="2">D27</f>
        <v>2500</v>
      </c>
      <c r="K21" s="4">
        <f t="shared" si="2"/>
        <v>820</v>
      </c>
    </row>
    <row r="22" spans="1:11" ht="15.6" x14ac:dyDescent="0.3">
      <c r="A22" s="96"/>
      <c r="B22" s="6"/>
      <c r="C22" s="6"/>
      <c r="D22" s="6"/>
      <c r="E22" s="6"/>
      <c r="F22" s="107"/>
      <c r="G22" s="1"/>
      <c r="I22" s="90"/>
      <c r="J22" s="2"/>
      <c r="K22" s="2"/>
    </row>
    <row r="23" spans="1:11" ht="16.2" thickBot="1" x14ac:dyDescent="0.35">
      <c r="A23" s="52"/>
      <c r="B23" s="6"/>
      <c r="C23" s="6"/>
      <c r="D23" s="6"/>
      <c r="E23" s="6"/>
      <c r="F23" s="6"/>
      <c r="G23" s="1"/>
      <c r="I23" s="2"/>
      <c r="J23" s="2"/>
      <c r="K23" s="2"/>
    </row>
    <row r="24" spans="1:11" ht="16.2" thickBot="1" x14ac:dyDescent="0.35">
      <c r="A24" s="52"/>
      <c r="B24" s="22" t="s">
        <v>107</v>
      </c>
      <c r="C24" s="23"/>
      <c r="D24" s="23"/>
      <c r="E24" s="23"/>
      <c r="F24" s="24"/>
      <c r="G24" s="1"/>
      <c r="I24" s="2"/>
      <c r="J24" s="2"/>
      <c r="K24" s="2"/>
    </row>
    <row r="25" spans="1:11" ht="10.5" customHeight="1" x14ac:dyDescent="0.3">
      <c r="A25" s="1"/>
      <c r="B25" s="1"/>
      <c r="C25" s="1"/>
      <c r="D25" s="1"/>
      <c r="E25" s="1"/>
      <c r="F25" s="1"/>
      <c r="G25" s="1"/>
    </row>
    <row r="26" spans="1:11" ht="15.6" x14ac:dyDescent="0.3">
      <c r="A26" s="52" t="s">
        <v>9</v>
      </c>
      <c r="B26" s="88" t="s">
        <v>10</v>
      </c>
      <c r="C26" s="88" t="s">
        <v>110</v>
      </c>
      <c r="D26" s="88" t="s">
        <v>7</v>
      </c>
      <c r="E26" s="88" t="s">
        <v>8</v>
      </c>
      <c r="F26" s="88" t="s">
        <v>23</v>
      </c>
      <c r="G26" s="1"/>
    </row>
    <row r="27" spans="1:11" ht="15.6" x14ac:dyDescent="0.3">
      <c r="A27" s="96" t="s">
        <v>133</v>
      </c>
      <c r="B27" s="25">
        <f>'4637'!B21</f>
        <v>1</v>
      </c>
      <c r="C27" s="102" t="str">
        <f>'4637'!C21</f>
        <v>CUB C/R R8</v>
      </c>
      <c r="D27" s="25">
        <f>'4637'!D21</f>
        <v>2500</v>
      </c>
      <c r="E27" s="25">
        <f>'4637'!E21</f>
        <v>820</v>
      </c>
      <c r="F27" s="25" t="str">
        <f>'4637'!F21</f>
        <v>BLANCO OPACO MERINO</v>
      </c>
      <c r="G27" s="1"/>
    </row>
    <row r="28" spans="1:11" ht="15.6" x14ac:dyDescent="0.3">
      <c r="A28" s="96"/>
      <c r="B28" s="6"/>
      <c r="C28" s="107"/>
      <c r="D28" s="6"/>
      <c r="E28" s="6"/>
      <c r="F28" s="6"/>
      <c r="G28" s="1"/>
    </row>
    <row r="29" spans="1:11" ht="15.6" x14ac:dyDescent="0.3">
      <c r="A29" s="1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1"/>
      <c r="C37" s="1"/>
      <c r="D37" s="1"/>
      <c r="E37" s="1"/>
      <c r="F37" s="1"/>
      <c r="G37" s="1"/>
    </row>
    <row r="38" spans="1:7" ht="15.6" x14ac:dyDescent="0.3">
      <c r="A38" s="1"/>
      <c r="B38" s="1"/>
      <c r="C38" s="40" t="s">
        <v>27</v>
      </c>
      <c r="D38" s="14">
        <f>'4637'!G8</f>
        <v>7237</v>
      </c>
      <c r="E38" s="1"/>
      <c r="F38" s="1"/>
      <c r="G38" s="1"/>
    </row>
    <row r="39" spans="1:7" ht="17.25" customHeight="1" x14ac:dyDescent="0.3">
      <c r="A39" s="1"/>
      <c r="B39" s="1"/>
      <c r="C39" s="41" t="s">
        <v>67</v>
      </c>
      <c r="D39" s="42" t="str">
        <f>'4637'!C10</f>
        <v>CARLOS LAGOS</v>
      </c>
      <c r="E39" s="43"/>
      <c r="F39" s="43"/>
      <c r="G39" s="1"/>
    </row>
    <row r="40" spans="1:7" ht="4.5" customHeight="1" x14ac:dyDescent="0.3">
      <c r="A40" s="1"/>
      <c r="B40" s="1"/>
      <c r="C40" s="44"/>
      <c r="D40" s="45"/>
      <c r="E40" s="1"/>
      <c r="F40" s="1"/>
      <c r="G40" s="1"/>
    </row>
    <row r="41" spans="1:7" ht="15.6" x14ac:dyDescent="0.3">
      <c r="A41" s="1"/>
      <c r="B41" s="1"/>
      <c r="C41" s="46" t="str">
        <f>'4637'!F11</f>
        <v>FECHA LIMITE :</v>
      </c>
      <c r="D41" s="13">
        <f>'4637'!G11</f>
        <v>0</v>
      </c>
      <c r="E41" s="1"/>
      <c r="F41" s="1"/>
      <c r="G41" s="1"/>
    </row>
    <row r="42" spans="1:7" ht="15.6" x14ac:dyDescent="0.3">
      <c r="A42" s="1"/>
      <c r="B42" s="1"/>
      <c r="C42" s="1"/>
      <c r="D42" s="1"/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22" t="s">
        <v>68</v>
      </c>
      <c r="B44" s="122"/>
      <c r="C44" s="122"/>
      <c r="D44" s="122"/>
      <c r="E44" s="122"/>
      <c r="F44" s="122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75" customHeight="1" x14ac:dyDescent="0.3">
      <c r="A46" s="1"/>
      <c r="B46" s="123" t="s">
        <v>69</v>
      </c>
      <c r="C46" s="124"/>
      <c r="D46" s="125"/>
      <c r="E46" s="125"/>
      <c r="F46" s="126"/>
      <c r="G46" s="1"/>
    </row>
    <row r="47" spans="1:7" s="15" customFormat="1" ht="12.75" customHeight="1" x14ac:dyDescent="0.3">
      <c r="A47" s="1"/>
      <c r="B47" s="36" t="s">
        <v>10</v>
      </c>
      <c r="C47" s="47" t="s">
        <v>11</v>
      </c>
      <c r="D47" s="48" t="s">
        <v>7</v>
      </c>
      <c r="E47" s="48" t="s">
        <v>8</v>
      </c>
      <c r="F47" s="49" t="s">
        <v>12</v>
      </c>
      <c r="G47" s="1"/>
    </row>
    <row r="48" spans="1:7" s="15" customFormat="1" ht="15" customHeight="1" x14ac:dyDescent="0.3">
      <c r="A48" s="96" t="s">
        <v>133</v>
      </c>
      <c r="B48" s="38">
        <f>'4637'!B21</f>
        <v>1</v>
      </c>
      <c r="C48" s="101" t="str">
        <f>'4637'!C21</f>
        <v>CUB C/R R8</v>
      </c>
      <c r="D48" s="39">
        <f>'4637'!D21</f>
        <v>2500</v>
      </c>
      <c r="E48" s="39">
        <f>'4637'!E21</f>
        <v>820</v>
      </c>
      <c r="F48" s="38" t="str">
        <f>'4637'!F21</f>
        <v>BLANCO OPACO MERINO</v>
      </c>
      <c r="G48" s="1"/>
    </row>
    <row r="49" spans="1:7" s="15" customFormat="1" ht="15" customHeight="1" x14ac:dyDescent="0.3">
      <c r="A49" s="96"/>
      <c r="B49" s="52"/>
      <c r="C49" s="113"/>
      <c r="D49" s="52"/>
      <c r="E49" s="52"/>
      <c r="F49" s="52"/>
      <c r="G49" s="1"/>
    </row>
    <row r="50" spans="1:7" s="15" customFormat="1" ht="15" customHeight="1" x14ac:dyDescent="0.3">
      <c r="A50" s="50"/>
      <c r="B50" s="52"/>
      <c r="C50" s="52"/>
      <c r="D50" s="52"/>
      <c r="E50" s="52"/>
      <c r="F50" s="52"/>
      <c r="G50" s="1"/>
    </row>
    <row r="51" spans="1:7" ht="15.6" x14ac:dyDescent="0.3">
      <c r="A51" s="6"/>
      <c r="B51" s="6"/>
      <c r="C51" s="1"/>
      <c r="D51" s="6"/>
      <c r="E51" s="6"/>
      <c r="F51" s="44"/>
      <c r="G51" s="1"/>
    </row>
    <row r="52" spans="1:7" ht="15.6" x14ac:dyDescent="0.3">
      <c r="A52" s="6"/>
      <c r="B52" s="6"/>
      <c r="C52" s="1"/>
      <c r="D52" s="6"/>
      <c r="E52" s="6"/>
      <c r="F52" s="6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" customHeight="1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6"/>
      <c r="B58" s="5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x14ac:dyDescent="0.3">
      <c r="B60" s="20"/>
      <c r="C60" s="20"/>
      <c r="D60" s="20"/>
      <c r="E60" s="20"/>
      <c r="F60" s="20"/>
    </row>
    <row r="61" spans="1:7" x14ac:dyDescent="0.3">
      <c r="B61" s="20"/>
      <c r="C61" s="20"/>
      <c r="E61" s="20"/>
      <c r="F61" s="20"/>
    </row>
  </sheetData>
  <mergeCells count="6">
    <mergeCell ref="M3:N3"/>
    <mergeCell ref="A17:F17"/>
    <mergeCell ref="A10:F10"/>
    <mergeCell ref="A44:F44"/>
    <mergeCell ref="B46:F46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2025-07-01T16:08:50Z</cp:lastPrinted>
  <dcterms:created xsi:type="dcterms:W3CDTF">2013-03-19T12:54:14Z</dcterms:created>
  <dcterms:modified xsi:type="dcterms:W3CDTF">2025-07-01T16:10:53Z</dcterms:modified>
</cp:coreProperties>
</file>