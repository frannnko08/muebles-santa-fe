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7 JULIO 2025\"/>
    </mc:Choice>
  </mc:AlternateContent>
  <xr:revisionPtr revIDLastSave="0" documentId="13_ncr:1_{D5034353-D321-470B-8E5E-5FCFE5C7294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3" l="1"/>
  <c r="E25" i="3"/>
  <c r="E24" i="3"/>
  <c r="D25" i="3"/>
  <c r="D26" i="3"/>
  <c r="D27" i="3"/>
  <c r="D24" i="3"/>
  <c r="K26" i="3"/>
  <c r="I28" i="3"/>
  <c r="B28" i="3" s="1"/>
  <c r="J28" i="3"/>
  <c r="K29" i="3"/>
  <c r="K16" i="3"/>
  <c r="B68" i="3"/>
  <c r="C68" i="3"/>
  <c r="D68" i="3"/>
  <c r="E68" i="3"/>
  <c r="F68" i="3"/>
  <c r="B69" i="3"/>
  <c r="C69" i="3"/>
  <c r="D69" i="3"/>
  <c r="E69" i="3"/>
  <c r="F69" i="3"/>
  <c r="B70" i="3"/>
  <c r="C70" i="3"/>
  <c r="D70" i="3"/>
  <c r="E70" i="3"/>
  <c r="F70" i="3"/>
  <c r="B71" i="3"/>
  <c r="C71" i="3"/>
  <c r="D71" i="3"/>
  <c r="E71" i="3"/>
  <c r="F71" i="3"/>
  <c r="B37" i="3"/>
  <c r="I26" i="3" s="1"/>
  <c r="C37" i="3"/>
  <c r="F16" i="3" s="1"/>
  <c r="D37" i="3"/>
  <c r="J26" i="3" s="1"/>
  <c r="E37" i="3"/>
  <c r="F37" i="3"/>
  <c r="B38" i="3"/>
  <c r="I27" i="3" s="1"/>
  <c r="C38" i="3"/>
  <c r="F27" i="3" s="1"/>
  <c r="D38" i="3"/>
  <c r="J27" i="3" s="1"/>
  <c r="E38" i="3"/>
  <c r="K27" i="3" s="1"/>
  <c r="F38" i="3"/>
  <c r="B39" i="3"/>
  <c r="C39" i="3"/>
  <c r="F28" i="3" s="1"/>
  <c r="D39" i="3"/>
  <c r="E39" i="3"/>
  <c r="K28" i="3" s="1"/>
  <c r="F39" i="3"/>
  <c r="B40" i="3"/>
  <c r="I29" i="3" s="1"/>
  <c r="B29" i="3" s="1"/>
  <c r="C40" i="3"/>
  <c r="D40" i="3"/>
  <c r="J29" i="3" s="1"/>
  <c r="E40" i="3"/>
  <c r="F40" i="3"/>
  <c r="F26" i="3"/>
  <c r="E16" i="3"/>
  <c r="H26" i="4"/>
  <c r="H25" i="4"/>
  <c r="H24" i="4"/>
  <c r="H23" i="4"/>
  <c r="B36" i="3"/>
  <c r="I25" i="3" s="1"/>
  <c r="B25" i="3" s="1"/>
  <c r="C36" i="3"/>
  <c r="F15" i="3" s="1"/>
  <c r="D36" i="3"/>
  <c r="J25" i="3" s="1"/>
  <c r="E36" i="3"/>
  <c r="K25" i="3" s="1"/>
  <c r="F36" i="3"/>
  <c r="B67" i="3"/>
  <c r="C67" i="3"/>
  <c r="D67" i="3"/>
  <c r="E67" i="3"/>
  <c r="F67" i="3"/>
  <c r="H22" i="4"/>
  <c r="H21" i="4"/>
  <c r="B35" i="3"/>
  <c r="I24" i="3" s="1"/>
  <c r="C35" i="3"/>
  <c r="F14" i="3" s="1"/>
  <c r="D35" i="3"/>
  <c r="J14" i="3" s="1"/>
  <c r="D14" i="3" s="1"/>
  <c r="E35" i="3"/>
  <c r="K24" i="3" s="1"/>
  <c r="F35" i="3"/>
  <c r="B66" i="3"/>
  <c r="C66" i="3"/>
  <c r="D66" i="3"/>
  <c r="E66" i="3"/>
  <c r="F66" i="3"/>
  <c r="I16" i="3" l="1"/>
  <c r="B16" i="3" s="1"/>
  <c r="B26" i="3"/>
  <c r="B27" i="3"/>
  <c r="I17" i="3"/>
  <c r="B17" i="3" s="1"/>
  <c r="K17" i="3"/>
  <c r="J16" i="3"/>
  <c r="D16" i="3" s="1"/>
  <c r="J17" i="3"/>
  <c r="D17" i="3" s="1"/>
  <c r="F17" i="3"/>
  <c r="F29" i="3"/>
  <c r="K15" i="3"/>
  <c r="E15" i="3" s="1"/>
  <c r="F25" i="3"/>
  <c r="J15" i="3"/>
  <c r="D15" i="3" s="1"/>
  <c r="I15" i="3"/>
  <c r="B15" i="3" s="1"/>
  <c r="J24" i="3"/>
  <c r="K14" i="3"/>
  <c r="E14" i="3" s="1"/>
  <c r="B24" i="3"/>
  <c r="I14" i="3"/>
  <c r="B14" i="3" s="1"/>
  <c r="F24" i="3"/>
  <c r="H31" i="4" l="1"/>
  <c r="N5" i="3" l="1"/>
  <c r="M5" i="3" l="1"/>
  <c r="L5" i="3"/>
  <c r="K5" i="3"/>
  <c r="C59" i="3" l="1"/>
  <c r="C7" i="3"/>
  <c r="D57" i="3"/>
  <c r="D5" i="3"/>
  <c r="D59" i="3"/>
  <c r="D7" i="3"/>
  <c r="D56" i="3"/>
  <c r="D4" i="3"/>
</calcChain>
</file>

<file path=xl/sharedStrings.xml><?xml version="1.0" encoding="utf-8"?>
<sst xmlns="http://schemas.openxmlformats.org/spreadsheetml/2006/main" count="257" uniqueCount="143">
  <si>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</si>
  <si>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</si>
  <si>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</si>
  <si>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</si>
  <si>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</si>
  <si>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</si>
  <si>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</si>
  <si>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</si>
  <si>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</si>
  <si>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</si>
  <si>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</si>
  <si>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</si>
  <si>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</si>
  <si>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</si>
  <si>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</si>
  <si>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</si>
  <si>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</si>
  <si>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</si>
  <si>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</si>
  <si>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</si>
  <si>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</si>
  <si>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</si>
  <si>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</si>
  <si>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</si>
  <si>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</si>
  <si>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</si>
  <si>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</si>
  <si>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</si>
  <si>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</si>
  <si>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</si>
  <si>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</si>
  <si>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</si>
  <si>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</si>
  <si>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</si>
  <si>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</si>
  <si>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</si>
  <si>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</si>
  <si>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</si>
  <si>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</si>
  <si>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</si>
  <si>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</si>
  <si>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</si>
  <si>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</si>
  <si>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</si>
  <si>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</si>
  <si>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</si>
  <si>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</si>
  <si>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</si>
  <si>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</si>
  <si>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</si>
  <si>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</si>
  <si>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</si>
  <si>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</si>
  <si>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</si>
  <si>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</si>
  <si>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</si>
  <si>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</si>
  <si>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</si>
  <si>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</si>
  <si>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</si>
  <si>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</si>
  <si>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</si>
  <si>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</si>
  <si>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</si>
  <si>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</si>
  <si>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</si>
  <si>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</si>
  <si>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</si>
  <si>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</si>
  <si>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</si>
  <si>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</si>
  <si>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</si>
  <si>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</si>
  <si>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</si>
  <si>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</si>
  <si>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</si>
  <si>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</si>
  <si>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</si>
  <si>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</si>
  <si>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</si>
  <si>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</si>
  <si>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</si>
  <si>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</si>
  <si>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</si>
  <si>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</si>
  <si>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</si>
  <si>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</si>
  <si>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</si>
  <si>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</si>
  <si>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</si>
  <si>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</si>
  <si>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</si>
  <si>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</si>
  <si>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</si>
  <si>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</si>
  <si>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</si>
  <si>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</si>
  <si>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</si>
  <si>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</si>
  <si>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</si>
  <si>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</si>
  <si>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</si>
  <si>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</si>
  <si>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</si>
  <si>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</si>
  <si>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</si>
  <si>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</si>
  <si>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</si>
  <si>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</si>
  <si>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</si>
  <si>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</si>
  <si>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</si>
  <si>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</si>
  <si>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</si>
  <si>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</si>
  <si>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</si>
  <si>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</si>
  <si>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</si>
  <si>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</si>
  <si>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</si>
  <si>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</si>
  <si>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</si>
  <si>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</si>
  <si>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</si>
  <si>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</si>
  <si>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</si>
  <si>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</si>
  <si>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</si>
  <si>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</si>
  <si>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</si>
  <si>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</si>
  <si>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CONTACTO:</t>
  </si>
  <si>
    <t>MDF18MM</t>
  </si>
  <si>
    <t>NO</t>
  </si>
  <si>
    <t>CONTADO</t>
  </si>
  <si>
    <t>SANTIAGO</t>
  </si>
  <si>
    <t>SOBRANTE LAMINADO:</t>
  </si>
  <si>
    <t>N° 11519</t>
  </si>
  <si>
    <t>CENEFA 1V</t>
  </si>
  <si>
    <t>ZOCALO</t>
  </si>
  <si>
    <t>ASTRAL 3030</t>
  </si>
  <si>
    <t>MARCO MORENO</t>
  </si>
  <si>
    <t>+569 7782 4695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</si>
</sst>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17" fillId="0" borderId="0" xfId="0" applyFont="1" applyAlignment="1">
      <alignment horizontal="center"/>
    </xf>
    <xf numFmtId="0" fontId="20" fillId="0" borderId="0" xfId="0" quotePrefix="1" applyFont="1"/>
    <xf numFmtId="0" fontId="1" fillId="0" borderId="0" xfId="0" applyFont="1" applyAlignment="1">
      <alignment horizontal="left" indent="3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42" fontId="3" fillId="0" borderId="2" xfId="3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42" fontId="3" fillId="0" borderId="32" xfId="3" applyFont="1" applyFill="1" applyBorder="1" applyAlignment="1">
      <alignment horizontal="center" vertical="center"/>
    </xf>
    <xf numFmtId="42" fontId="3" fillId="0" borderId="12" xfId="3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42" fontId="3" fillId="0" borderId="31" xfId="3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42" fontId="3" fillId="0" borderId="33" xfId="3" applyFont="1" applyFill="1" applyBorder="1" applyAlignment="1">
      <alignment horizontal="center" vertical="center"/>
    </xf>
    <xf numFmtId="42" fontId="15" fillId="0" borderId="30" xfId="3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3" fillId="0" borderId="0" xfId="0" applyFont="1" applyFill="1"/>
    <xf numFmtId="0" fontId="0" fillId="0" borderId="0" xfId="0" applyFill="1"/>
    <xf numFmtId="0" fontId="0" fillId="0" borderId="0" xfId="0" applyFill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28</xdr:row>
      <xdr:rowOff>9525</xdr:rowOff>
    </xdr:from>
    <xdr:to>
      <xdr:col>5</xdr:col>
      <xdr:colOff>1390650</xdr:colOff>
      <xdr:row>31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092065"/>
          <a:ext cx="5295900" cy="592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$ 125.000.-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922020</xdr:colOff>
      <xdr:row>5</xdr:row>
      <xdr:rowOff>47625</xdr:rowOff>
    </xdr:from>
    <xdr:to>
      <xdr:col>6</xdr:col>
      <xdr:colOff>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74520" y="1076325"/>
          <a:ext cx="679704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5</xdr:col>
      <xdr:colOff>2392680</xdr:colOff>
      <xdr:row>5</xdr:row>
      <xdr:rowOff>7620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76425" y="828675"/>
          <a:ext cx="6787515" cy="20764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2392680</xdr:colOff>
      <xdr:row>20</xdr:row>
      <xdr:rowOff>15240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131820"/>
          <a:ext cx="8511540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6</xdr:col>
      <xdr:colOff>7620</xdr:colOff>
      <xdr:row>10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507730" cy="21717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60</xdr:row>
      <xdr:rowOff>171450</xdr:rowOff>
    </xdr:from>
    <xdr:to>
      <xdr:col>5</xdr:col>
      <xdr:colOff>1685924</xdr:colOff>
      <xdr:row>62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58</xdr:row>
      <xdr:rowOff>0</xdr:rowOff>
    </xdr:from>
    <xdr:to>
      <xdr:col>6</xdr:col>
      <xdr:colOff>0</xdr:colOff>
      <xdr:row>59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56</xdr:row>
      <xdr:rowOff>38100</xdr:rowOff>
    </xdr:from>
    <xdr:to>
      <xdr:col>6</xdr:col>
      <xdr:colOff>0</xdr:colOff>
      <xdr:row>57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55</xdr:row>
      <xdr:rowOff>0</xdr:rowOff>
    </xdr:from>
    <xdr:to>
      <xdr:col>6</xdr:col>
      <xdr:colOff>0</xdr:colOff>
      <xdr:row>56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73</xdr:row>
      <xdr:rowOff>0</xdr:rowOff>
    </xdr:from>
    <xdr:to>
      <xdr:col>2</xdr:col>
      <xdr:colOff>38100</xdr:colOff>
      <xdr:row>74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73</xdr:row>
      <xdr:rowOff>0</xdr:rowOff>
    </xdr:from>
    <xdr:to>
      <xdr:col>2</xdr:col>
      <xdr:colOff>1019175</xdr:colOff>
      <xdr:row>73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73</xdr:row>
      <xdr:rowOff>0</xdr:rowOff>
    </xdr:from>
    <xdr:to>
      <xdr:col>3</xdr:col>
      <xdr:colOff>352425</xdr:colOff>
      <xdr:row>74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73</xdr:row>
      <xdr:rowOff>0</xdr:rowOff>
    </xdr:from>
    <xdr:to>
      <xdr:col>4</xdr:col>
      <xdr:colOff>257175</xdr:colOff>
      <xdr:row>74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73</xdr:row>
      <xdr:rowOff>0</xdr:rowOff>
    </xdr:from>
    <xdr:to>
      <xdr:col>5</xdr:col>
      <xdr:colOff>447675</xdr:colOff>
      <xdr:row>73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73</xdr:row>
      <xdr:rowOff>0</xdr:rowOff>
    </xdr:from>
    <xdr:to>
      <xdr:col>6</xdr:col>
      <xdr:colOff>0</xdr:colOff>
      <xdr:row>73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73</xdr:row>
      <xdr:rowOff>190500</xdr:rowOff>
    </xdr:from>
    <xdr:to>
      <xdr:col>2</xdr:col>
      <xdr:colOff>304800</xdr:colOff>
      <xdr:row>75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73</xdr:row>
      <xdr:rowOff>190500</xdr:rowOff>
    </xdr:from>
    <xdr:to>
      <xdr:col>2</xdr:col>
      <xdr:colOff>1276350</xdr:colOff>
      <xdr:row>75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73</xdr:row>
      <xdr:rowOff>190500</xdr:rowOff>
    </xdr:from>
    <xdr:to>
      <xdr:col>3</xdr:col>
      <xdr:colOff>619125</xdr:colOff>
      <xdr:row>75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73</xdr:row>
      <xdr:rowOff>190500</xdr:rowOff>
    </xdr:from>
    <xdr:to>
      <xdr:col>4</xdr:col>
      <xdr:colOff>523875</xdr:colOff>
      <xdr:row>75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73</xdr:row>
      <xdr:rowOff>190500</xdr:rowOff>
    </xdr:from>
    <xdr:to>
      <xdr:col>5</xdr:col>
      <xdr:colOff>723900</xdr:colOff>
      <xdr:row>75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73</xdr:row>
      <xdr:rowOff>190500</xdr:rowOff>
    </xdr:from>
    <xdr:to>
      <xdr:col>6</xdr:col>
      <xdr:colOff>0</xdr:colOff>
      <xdr:row>75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182880</xdr:colOff>
      <xdr:row>42</xdr:row>
      <xdr:rowOff>15239</xdr:rowOff>
    </xdr:from>
    <xdr:to>
      <xdr:col>6</xdr:col>
      <xdr:colOff>7620</xdr:colOff>
      <xdr:row>44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82880" y="6004559"/>
          <a:ext cx="8496300" cy="57150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30</xdr:row>
      <xdr:rowOff>200025</xdr:rowOff>
    </xdr:from>
    <xdr:to>
      <xdr:col>6</xdr:col>
      <xdr:colOff>19049</xdr:colOff>
      <xdr:row>32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76</xdr:row>
      <xdr:rowOff>32385</xdr:rowOff>
    </xdr:from>
    <xdr:to>
      <xdr:col>6</xdr:col>
      <xdr:colOff>19050</xdr:colOff>
      <xdr:row>80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54</xdr:row>
      <xdr:rowOff>41910</xdr:rowOff>
    </xdr:from>
    <xdr:to>
      <xdr:col>1</xdr:col>
      <xdr:colOff>801763</xdr:colOff>
      <xdr:row>60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opLeftCell="A12" workbookViewId="0">
      <selection activeCell="L15" sqref="L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137</v>
      </c>
      <c r="E8" s="1"/>
      <c r="F8" s="91" t="s">
        <v>27</v>
      </c>
      <c r="G8" s="92">
        <v>7241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85" t="s">
        <v>141</v>
      </c>
      <c r="D10" s="54"/>
      <c r="E10" s="54"/>
      <c r="F10" s="55" t="s">
        <v>28</v>
      </c>
      <c r="G10" s="56">
        <v>45853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3"/>
      <c r="D11" s="59"/>
      <c r="E11" s="59"/>
      <c r="F11" s="59" t="s">
        <v>124</v>
      </c>
      <c r="G11" s="60">
        <v>45859</v>
      </c>
      <c r="H11" s="61"/>
      <c r="I11" s="1"/>
    </row>
    <row r="12" spans="1:17" ht="16.8" x14ac:dyDescent="0.4">
      <c r="A12" s="1"/>
      <c r="B12" s="62" t="s">
        <v>130</v>
      </c>
      <c r="C12" s="104"/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131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07" t="s">
        <v>142</v>
      </c>
      <c r="D14" s="65"/>
      <c r="E14" s="59"/>
      <c r="F14" s="59" t="s">
        <v>29</v>
      </c>
      <c r="G14" s="59" t="s">
        <v>133</v>
      </c>
      <c r="H14" s="61"/>
      <c r="I14" s="1"/>
    </row>
    <row r="15" spans="1:17" ht="16.8" x14ac:dyDescent="0.4">
      <c r="A15" s="1"/>
      <c r="B15" s="62" t="s">
        <v>1</v>
      </c>
      <c r="C15" s="104"/>
      <c r="D15" s="43"/>
      <c r="E15" s="43"/>
      <c r="F15" s="66" t="s">
        <v>75</v>
      </c>
      <c r="G15" s="66" t="s">
        <v>134</v>
      </c>
      <c r="H15" s="64"/>
      <c r="I15" s="1"/>
    </row>
    <row r="16" spans="1:17" ht="16.2" thickBot="1" x14ac:dyDescent="0.35">
      <c r="A16" s="1"/>
      <c r="B16" s="67" t="s">
        <v>3</v>
      </c>
      <c r="C16" s="105" t="s">
        <v>135</v>
      </c>
      <c r="D16" s="68"/>
      <c r="E16" s="69"/>
      <c r="F16" s="109" t="s">
        <v>18</v>
      </c>
      <c r="G16" s="109"/>
      <c r="H16" s="11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1" t="s">
        <v>19</v>
      </c>
      <c r="C19" s="112"/>
      <c r="D19" s="112"/>
      <c r="E19" s="112"/>
      <c r="F19" s="112"/>
      <c r="G19" s="112"/>
      <c r="H19" s="113"/>
      <c r="I19" s="1"/>
    </row>
    <row r="20" spans="1:16" ht="16.2" thickBot="1" x14ac:dyDescent="0.35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23">
        <v>1</v>
      </c>
      <c r="C21" s="124" t="s">
        <v>126</v>
      </c>
      <c r="D21" s="125">
        <v>1250</v>
      </c>
      <c r="E21" s="125">
        <v>600</v>
      </c>
      <c r="F21" s="124" t="s">
        <v>140</v>
      </c>
      <c r="G21" s="126">
        <v>71244</v>
      </c>
      <c r="H21" s="127">
        <f>G21*B21</f>
        <v>71244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28">
        <v>1</v>
      </c>
      <c r="C22" s="101" t="s">
        <v>126</v>
      </c>
      <c r="D22" s="102">
        <v>950</v>
      </c>
      <c r="E22" s="102">
        <v>500</v>
      </c>
      <c r="F22" s="101" t="s">
        <v>140</v>
      </c>
      <c r="G22" s="122">
        <v>45978</v>
      </c>
      <c r="H22" s="129">
        <f t="shared" ref="H22" si="0">G22*B22</f>
        <v>45978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28">
        <v>1</v>
      </c>
      <c r="C23" s="101" t="s">
        <v>126</v>
      </c>
      <c r="D23" s="102">
        <v>1430</v>
      </c>
      <c r="E23" s="102">
        <v>600</v>
      </c>
      <c r="F23" s="101" t="s">
        <v>140</v>
      </c>
      <c r="G23" s="122">
        <v>80886</v>
      </c>
      <c r="H23" s="129">
        <f>G23*B23</f>
        <v>80886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28">
        <v>2</v>
      </c>
      <c r="C24" s="101" t="s">
        <v>138</v>
      </c>
      <c r="D24" s="102">
        <v>2200</v>
      </c>
      <c r="E24" s="102">
        <v>100</v>
      </c>
      <c r="F24" s="101" t="s">
        <v>140</v>
      </c>
      <c r="G24" s="122">
        <v>20355</v>
      </c>
      <c r="H24" s="129">
        <f>G24*B24</f>
        <v>40710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28">
        <v>3</v>
      </c>
      <c r="C25" s="101" t="s">
        <v>139</v>
      </c>
      <c r="D25" s="102">
        <v>3000</v>
      </c>
      <c r="E25" s="102">
        <v>100</v>
      </c>
      <c r="F25" s="101" t="s">
        <v>140</v>
      </c>
      <c r="G25" s="122">
        <v>3500</v>
      </c>
      <c r="H25" s="129">
        <f>G25*B25</f>
        <v>10500</v>
      </c>
      <c r="I25" s="1"/>
      <c r="K25" s="17"/>
      <c r="L25" s="26"/>
      <c r="M25" s="17"/>
      <c r="N25" s="17"/>
      <c r="O25" s="26"/>
      <c r="P25" s="33"/>
    </row>
    <row r="26" spans="1:16" ht="18" customHeight="1" thickBot="1" x14ac:dyDescent="0.35">
      <c r="A26" s="1"/>
      <c r="B26" s="130">
        <v>1</v>
      </c>
      <c r="C26" s="131" t="s">
        <v>139</v>
      </c>
      <c r="D26" s="132">
        <v>650</v>
      </c>
      <c r="E26" s="132">
        <v>180</v>
      </c>
      <c r="F26" s="131" t="s">
        <v>140</v>
      </c>
      <c r="G26" s="133">
        <v>1000</v>
      </c>
      <c r="H26" s="134">
        <f>G26*B26</f>
        <v>1000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94"/>
      <c r="C27" s="94"/>
      <c r="D27" s="94"/>
      <c r="E27" s="94"/>
      <c r="F27" s="95"/>
      <c r="G27" s="96"/>
      <c r="H27" s="96"/>
      <c r="I27" s="1"/>
      <c r="K27" s="17"/>
      <c r="L27" s="26"/>
      <c r="M27" s="17"/>
      <c r="N27" s="17"/>
      <c r="O27" s="26"/>
      <c r="P27" s="33"/>
    </row>
    <row r="28" spans="1:16" ht="8.25" customHeight="1" thickBot="1" x14ac:dyDescent="0.35">
      <c r="A28" s="1"/>
      <c r="B28" s="73"/>
      <c r="C28" s="73"/>
      <c r="D28" s="73"/>
      <c r="E28" s="73"/>
      <c r="F28" s="73"/>
      <c r="G28" s="74"/>
      <c r="H28" s="74"/>
      <c r="I28" s="1"/>
    </row>
    <row r="29" spans="1:16" ht="15.6" x14ac:dyDescent="0.3">
      <c r="A29" s="1"/>
      <c r="B29" s="1"/>
      <c r="C29" s="1"/>
      <c r="D29" s="1"/>
      <c r="E29" s="1"/>
      <c r="F29" s="1"/>
      <c r="G29" s="75" t="s">
        <v>5</v>
      </c>
      <c r="H29" s="76">
        <v>250000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77" t="s">
        <v>6</v>
      </c>
      <c r="H30" s="78"/>
      <c r="I30" s="1"/>
    </row>
    <row r="31" spans="1:16" ht="16.2" thickBot="1" x14ac:dyDescent="0.35">
      <c r="A31" s="1"/>
      <c r="B31" s="1"/>
      <c r="C31" s="1"/>
      <c r="D31" s="1"/>
      <c r="E31" s="1"/>
      <c r="F31" s="1"/>
      <c r="G31" s="79" t="s">
        <v>4</v>
      </c>
      <c r="H31" s="80">
        <f>H29+H30</f>
        <v>250000</v>
      </c>
      <c r="I31" s="1"/>
    </row>
    <row r="32" spans="1:16" ht="15.6" x14ac:dyDescent="0.3">
      <c r="A32" s="1"/>
      <c r="B32" s="1"/>
      <c r="C32" s="1"/>
      <c r="D32" s="1"/>
      <c r="E32" s="1"/>
      <c r="F32" s="1"/>
      <c r="G32" s="52"/>
      <c r="H32" s="97"/>
      <c r="I32" s="1"/>
    </row>
    <row r="33" spans="1:9" ht="15.6" x14ac:dyDescent="0.3">
      <c r="A33" s="1"/>
      <c r="B33" s="81" t="s">
        <v>123</v>
      </c>
      <c r="C33" s="82"/>
      <c r="D33" s="83"/>
      <c r="E33" s="83"/>
      <c r="F33" s="73"/>
      <c r="G33" s="1"/>
      <c r="H33" s="1"/>
      <c r="I33" s="1"/>
    </row>
    <row r="34" spans="1:9" ht="15.6" x14ac:dyDescent="0.3">
      <c r="A34" s="1"/>
      <c r="B34" s="81" t="s">
        <v>122</v>
      </c>
      <c r="C34" s="82"/>
      <c r="D34" s="83"/>
      <c r="E34" s="83"/>
      <c r="F34" s="73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4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2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4" t="s">
        <v>31</v>
      </c>
      <c r="C2" s="114"/>
      <c r="D2" s="114"/>
      <c r="E2" s="18"/>
      <c r="G2" s="114" t="s">
        <v>70</v>
      </c>
      <c r="H2" s="114"/>
      <c r="I2" s="114"/>
      <c r="P2" s="115" t="s">
        <v>58</v>
      </c>
      <c r="Q2" s="115"/>
      <c r="R2" s="11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5" t="s">
        <v>58</v>
      </c>
      <c r="M8" s="115"/>
      <c r="N8" s="11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4"/>
  <sheetViews>
    <sheetView tabSelected="1" topLeftCell="A55" zoomScaleNormal="100" workbookViewId="0">
      <selection activeCell="E80" sqref="E80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6" t="s">
        <v>61</v>
      </c>
      <c r="L3" s="116"/>
      <c r="M3" s="116" t="s">
        <v>14</v>
      </c>
      <c r="N3" s="116"/>
    </row>
    <row r="4" spans="1:14" ht="15.75" customHeight="1" x14ac:dyDescent="0.3">
      <c r="A4" s="1"/>
      <c r="B4" s="1"/>
      <c r="C4" s="40" t="s">
        <v>27</v>
      </c>
      <c r="D4" s="14">
        <f>'4637'!G8</f>
        <v>7241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MARCO MORENO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45859</v>
      </c>
      <c r="E7" s="1"/>
      <c r="F7" s="1"/>
      <c r="G7" s="1"/>
    </row>
    <row r="8" spans="1:14" ht="15.6" x14ac:dyDescent="0.3">
      <c r="A8" s="1"/>
      <c r="B8" s="1"/>
      <c r="C8" s="40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7" t="s">
        <v>61</v>
      </c>
      <c r="B10" s="117"/>
      <c r="C10" s="117"/>
      <c r="D10" s="117"/>
      <c r="E10" s="117"/>
      <c r="F10" s="11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129</v>
      </c>
      <c r="B14" s="25">
        <f t="shared" ref="B14" si="0">I14</f>
        <v>1</v>
      </c>
      <c r="C14" s="25"/>
      <c r="D14" s="25">
        <f>J14+D$13</f>
        <v>1300</v>
      </c>
      <c r="E14" s="35">
        <f>K14+E$13</f>
        <v>570</v>
      </c>
      <c r="F14" s="99" t="str">
        <f>C35</f>
        <v>CUB C/R R6</v>
      </c>
      <c r="G14" s="1"/>
      <c r="I14" s="3">
        <f>I24</f>
        <v>1</v>
      </c>
      <c r="J14" s="4">
        <f>D35</f>
        <v>1250</v>
      </c>
      <c r="K14" s="4">
        <f>E35</f>
        <v>600</v>
      </c>
    </row>
    <row r="15" spans="1:14" ht="15.6" x14ac:dyDescent="0.3">
      <c r="A15" s="93" t="s">
        <v>132</v>
      </c>
      <c r="B15" s="25">
        <f t="shared" ref="B15" si="1">I15</f>
        <v>1</v>
      </c>
      <c r="C15" s="25"/>
      <c r="D15" s="25">
        <f>J15+D$13</f>
        <v>1000</v>
      </c>
      <c r="E15" s="35">
        <f>K15+E$13</f>
        <v>470</v>
      </c>
      <c r="F15" s="99" t="str">
        <f>C36</f>
        <v>CUB C/R R6</v>
      </c>
      <c r="G15" s="1"/>
      <c r="I15" s="3">
        <f>I25</f>
        <v>1</v>
      </c>
      <c r="J15" s="4">
        <f>D36</f>
        <v>950</v>
      </c>
      <c r="K15" s="4">
        <f>E36</f>
        <v>500</v>
      </c>
    </row>
    <row r="16" spans="1:14" ht="15.6" x14ac:dyDescent="0.3">
      <c r="A16" s="93"/>
      <c r="B16" s="25">
        <f t="shared" ref="B16:B17" si="2">I16</f>
        <v>1</v>
      </c>
      <c r="C16" s="25"/>
      <c r="D16" s="25">
        <f t="shared" ref="D16:D17" si="3">J16+D$13</f>
        <v>1480</v>
      </c>
      <c r="E16" s="35">
        <f t="shared" ref="E16:E17" si="4">K16+E$13</f>
        <v>570</v>
      </c>
      <c r="F16" s="99" t="str">
        <f>C37</f>
        <v>CUB C/R R6</v>
      </c>
      <c r="G16" s="1"/>
      <c r="I16" s="3">
        <f>I26</f>
        <v>1</v>
      </c>
      <c r="J16" s="4">
        <f t="shared" ref="J16:K16" si="5">D37</f>
        <v>1430</v>
      </c>
      <c r="K16" s="4">
        <f t="shared" si="5"/>
        <v>600</v>
      </c>
    </row>
    <row r="17" spans="1:12" ht="15.6" x14ac:dyDescent="0.3">
      <c r="A17" s="93"/>
      <c r="B17" s="25">
        <f t="shared" si="2"/>
        <v>2</v>
      </c>
      <c r="C17" s="25"/>
      <c r="D17" s="25">
        <f t="shared" si="3"/>
        <v>2250</v>
      </c>
      <c r="E17" s="35">
        <v>100</v>
      </c>
      <c r="F17" s="99" t="str">
        <f>C38</f>
        <v>CENEFA 1V</v>
      </c>
      <c r="G17" s="1"/>
      <c r="I17" s="3">
        <f>I27</f>
        <v>2</v>
      </c>
      <c r="J17" s="4">
        <f t="shared" ref="J17:K17" si="6">D38</f>
        <v>2200</v>
      </c>
      <c r="K17" s="4">
        <f t="shared" si="6"/>
        <v>100</v>
      </c>
    </row>
    <row r="18" spans="1:12" ht="15.6" x14ac:dyDescent="0.3">
      <c r="A18" s="93"/>
      <c r="B18" s="135"/>
      <c r="C18" s="135"/>
      <c r="D18" s="135"/>
      <c r="E18" s="138"/>
      <c r="F18" s="139"/>
      <c r="G18" s="140"/>
      <c r="H18" s="141"/>
      <c r="I18" s="142"/>
      <c r="J18" s="142"/>
      <c r="K18" s="142"/>
      <c r="L18" s="141"/>
    </row>
    <row r="19" spans="1:12" ht="6.75" customHeight="1" x14ac:dyDescent="0.3">
      <c r="A19" s="1"/>
      <c r="B19" s="1"/>
      <c r="C19" s="1"/>
      <c r="D19" s="1"/>
      <c r="E19" s="1"/>
      <c r="F19" s="1"/>
      <c r="G19" s="1"/>
    </row>
    <row r="20" spans="1:12" ht="15.6" x14ac:dyDescent="0.3">
      <c r="A20" s="117" t="s">
        <v>14</v>
      </c>
      <c r="B20" s="117"/>
      <c r="C20" s="117"/>
      <c r="D20" s="117"/>
      <c r="E20" s="117"/>
      <c r="F20" s="117"/>
      <c r="G20" s="1"/>
    </row>
    <row r="21" spans="1:12" ht="10.5" customHeight="1" x14ac:dyDescent="0.3">
      <c r="A21" s="1"/>
      <c r="B21" s="1"/>
      <c r="C21" s="12"/>
      <c r="D21" s="1"/>
      <c r="E21" s="1"/>
      <c r="F21" s="1"/>
      <c r="G21" s="1"/>
    </row>
    <row r="22" spans="1:12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2" ht="15.6" x14ac:dyDescent="0.3">
      <c r="A23" s="52" t="s">
        <v>9</v>
      </c>
      <c r="B23" s="36" t="s">
        <v>10</v>
      </c>
      <c r="C23" s="36" t="s">
        <v>11</v>
      </c>
      <c r="D23" s="21">
        <v>40</v>
      </c>
      <c r="E23" s="21">
        <v>130</v>
      </c>
      <c r="F23" s="36" t="s">
        <v>110</v>
      </c>
      <c r="G23" s="1"/>
      <c r="J23" s="5" t="s">
        <v>7</v>
      </c>
      <c r="K23" s="5" t="s">
        <v>8</v>
      </c>
    </row>
    <row r="24" spans="1:12" ht="15.6" x14ac:dyDescent="0.3">
      <c r="A24" s="93" t="s">
        <v>129</v>
      </c>
      <c r="B24" s="16">
        <f t="shared" ref="B24" si="7">I24</f>
        <v>1</v>
      </c>
      <c r="C24" s="16"/>
      <c r="D24" s="16">
        <f>J24+$D$23</f>
        <v>1290</v>
      </c>
      <c r="E24" s="16">
        <f>K24+$E$23</f>
        <v>730</v>
      </c>
      <c r="F24" s="100" t="str">
        <f>C35</f>
        <v>CUB C/R R6</v>
      </c>
      <c r="G24" s="1"/>
      <c r="I24" s="3">
        <f>B35</f>
        <v>1</v>
      </c>
      <c r="J24" s="4">
        <f t="shared" ref="J24:K24" si="8">D35</f>
        <v>1250</v>
      </c>
      <c r="K24" s="4">
        <f t="shared" si="8"/>
        <v>600</v>
      </c>
    </row>
    <row r="25" spans="1:12" ht="15.6" x14ac:dyDescent="0.3">
      <c r="A25" s="93"/>
      <c r="B25" s="16">
        <f t="shared" ref="B25" si="9">I25</f>
        <v>1</v>
      </c>
      <c r="C25" s="16"/>
      <c r="D25" s="16">
        <f t="shared" ref="D25:D29" si="10">J25+$D$23</f>
        <v>990</v>
      </c>
      <c r="E25" s="16">
        <f t="shared" ref="E25:E29" si="11">K25+$E$23</f>
        <v>630</v>
      </c>
      <c r="F25" s="100" t="str">
        <f>C36</f>
        <v>CUB C/R R6</v>
      </c>
      <c r="G25" s="1"/>
      <c r="I25" s="3">
        <f>B36</f>
        <v>1</v>
      </c>
      <c r="J25" s="4">
        <f t="shared" ref="J25" si="12">D36</f>
        <v>950</v>
      </c>
      <c r="K25" s="4">
        <f t="shared" ref="K25" si="13">E36</f>
        <v>500</v>
      </c>
    </row>
    <row r="26" spans="1:12" ht="15.6" x14ac:dyDescent="0.3">
      <c r="A26" s="93"/>
      <c r="B26" s="16">
        <f t="shared" ref="B26:B29" si="14">I26</f>
        <v>1</v>
      </c>
      <c r="C26" s="16"/>
      <c r="D26" s="16">
        <f t="shared" si="10"/>
        <v>1470</v>
      </c>
      <c r="E26" s="16">
        <f t="shared" si="11"/>
        <v>730</v>
      </c>
      <c r="F26" s="100" t="str">
        <f t="shared" ref="F26:F29" si="15">C37</f>
        <v>CUB C/R R6</v>
      </c>
      <c r="G26" s="1"/>
      <c r="I26" s="3">
        <f t="shared" ref="I26:I29" si="16">B37</f>
        <v>1</v>
      </c>
      <c r="J26" s="4">
        <f t="shared" ref="J26:J29" si="17">D37</f>
        <v>1430</v>
      </c>
      <c r="K26" s="4">
        <f t="shared" ref="K26:K29" si="18">E37</f>
        <v>600</v>
      </c>
    </row>
    <row r="27" spans="1:12" ht="15.6" x14ac:dyDescent="0.3">
      <c r="A27" s="93"/>
      <c r="B27" s="16">
        <f t="shared" si="14"/>
        <v>2</v>
      </c>
      <c r="C27" s="16"/>
      <c r="D27" s="16">
        <f t="shared" si="10"/>
        <v>2240</v>
      </c>
      <c r="E27" s="16">
        <v>160</v>
      </c>
      <c r="F27" s="100" t="str">
        <f t="shared" si="15"/>
        <v>CENEFA 1V</v>
      </c>
      <c r="G27" s="1"/>
      <c r="I27" s="3">
        <f t="shared" si="16"/>
        <v>2</v>
      </c>
      <c r="J27" s="4">
        <f t="shared" si="17"/>
        <v>2200</v>
      </c>
      <c r="K27" s="4">
        <f t="shared" si="18"/>
        <v>100</v>
      </c>
    </row>
    <row r="28" spans="1:12" ht="15.6" x14ac:dyDescent="0.3">
      <c r="A28" s="93"/>
      <c r="B28" s="16">
        <f t="shared" si="14"/>
        <v>3</v>
      </c>
      <c r="C28" s="16"/>
      <c r="D28" s="16">
        <v>3000</v>
      </c>
      <c r="E28" s="16">
        <v>100</v>
      </c>
      <c r="F28" s="100" t="str">
        <f t="shared" si="15"/>
        <v>ZOCALO</v>
      </c>
      <c r="G28" s="1"/>
      <c r="I28" s="3">
        <f t="shared" si="16"/>
        <v>3</v>
      </c>
      <c r="J28" s="4">
        <f t="shared" si="17"/>
        <v>3000</v>
      </c>
      <c r="K28" s="4">
        <f t="shared" si="18"/>
        <v>100</v>
      </c>
    </row>
    <row r="29" spans="1:12" ht="15.6" x14ac:dyDescent="0.3">
      <c r="A29" s="93"/>
      <c r="B29" s="16">
        <f t="shared" si="14"/>
        <v>1</v>
      </c>
      <c r="C29" s="16"/>
      <c r="D29" s="16">
        <v>650</v>
      </c>
      <c r="E29" s="16">
        <v>180</v>
      </c>
      <c r="F29" s="100" t="str">
        <f t="shared" si="15"/>
        <v>ZOCALO</v>
      </c>
      <c r="G29" s="1"/>
      <c r="I29" s="3">
        <f t="shared" si="16"/>
        <v>1</v>
      </c>
      <c r="J29" s="4">
        <f t="shared" si="17"/>
        <v>650</v>
      </c>
      <c r="K29" s="4">
        <f t="shared" si="18"/>
        <v>180</v>
      </c>
    </row>
    <row r="30" spans="1:12" ht="15.6" x14ac:dyDescent="0.3">
      <c r="A30" s="93"/>
      <c r="B30" s="135"/>
      <c r="C30" s="135"/>
      <c r="D30" s="135"/>
      <c r="E30" s="135"/>
      <c r="F30" s="136"/>
      <c r="G30" s="1"/>
      <c r="I30" s="142"/>
      <c r="J30" s="137"/>
      <c r="K30" s="137"/>
    </row>
    <row r="31" spans="1:12" ht="16.2" thickBot="1" x14ac:dyDescent="0.35">
      <c r="A31" s="52"/>
      <c r="B31" s="6"/>
      <c r="C31" s="6"/>
      <c r="D31" s="6"/>
      <c r="E31" s="6"/>
      <c r="F31" s="6"/>
      <c r="G31" s="1"/>
      <c r="I31" s="2"/>
      <c r="J31" s="2"/>
      <c r="K31" s="2"/>
    </row>
    <row r="32" spans="1:12" ht="16.2" thickBot="1" x14ac:dyDescent="0.35">
      <c r="A32" s="52"/>
      <c r="B32" s="22" t="s">
        <v>107</v>
      </c>
      <c r="C32" s="23"/>
      <c r="D32" s="23"/>
      <c r="E32" s="23"/>
      <c r="F32" s="24"/>
      <c r="G32" s="1"/>
      <c r="I32" s="2"/>
      <c r="J32" s="2"/>
      <c r="K32" s="2"/>
    </row>
    <row r="33" spans="1:7" ht="10.5" customHeight="1" x14ac:dyDescent="0.3">
      <c r="A33" s="1"/>
      <c r="B33" s="1"/>
      <c r="C33" s="1"/>
      <c r="D33" s="1"/>
      <c r="E33" s="1"/>
      <c r="F33" s="1"/>
      <c r="G33" s="1"/>
    </row>
    <row r="34" spans="1:7" ht="15.6" x14ac:dyDescent="0.3">
      <c r="A34" s="52" t="s">
        <v>9</v>
      </c>
      <c r="B34" s="87" t="s">
        <v>10</v>
      </c>
      <c r="C34" s="87" t="s">
        <v>110</v>
      </c>
      <c r="D34" s="87" t="s">
        <v>7</v>
      </c>
      <c r="E34" s="87" t="s">
        <v>8</v>
      </c>
      <c r="F34" s="87" t="s">
        <v>23</v>
      </c>
      <c r="G34" s="1"/>
    </row>
    <row r="35" spans="1:7" ht="15.6" x14ac:dyDescent="0.3">
      <c r="A35" s="93" t="s">
        <v>132</v>
      </c>
      <c r="B35" s="25">
        <f>'4637'!B21</f>
        <v>1</v>
      </c>
      <c r="C35" s="99" t="str">
        <f>'4637'!C21</f>
        <v>CUB C/R R6</v>
      </c>
      <c r="D35" s="25">
        <f>'4637'!D21</f>
        <v>1250</v>
      </c>
      <c r="E35" s="25">
        <f>'4637'!E21</f>
        <v>600</v>
      </c>
      <c r="F35" s="25" t="str">
        <f>'4637'!F21</f>
        <v>ASTRAL 3030</v>
      </c>
      <c r="G35" s="1"/>
    </row>
    <row r="36" spans="1:7" ht="15.6" x14ac:dyDescent="0.3">
      <c r="A36" s="93" t="s">
        <v>132</v>
      </c>
      <c r="B36" s="25">
        <f>'4637'!B22</f>
        <v>1</v>
      </c>
      <c r="C36" s="99" t="str">
        <f>'4637'!C22</f>
        <v>CUB C/R R6</v>
      </c>
      <c r="D36" s="25">
        <f>'4637'!D22</f>
        <v>950</v>
      </c>
      <c r="E36" s="25">
        <f>'4637'!E22</f>
        <v>500</v>
      </c>
      <c r="F36" s="25" t="str">
        <f>'4637'!F22</f>
        <v>ASTRAL 3030</v>
      </c>
      <c r="G36" s="1"/>
    </row>
    <row r="37" spans="1:7" ht="15.6" x14ac:dyDescent="0.3">
      <c r="A37" s="93"/>
      <c r="B37" s="25">
        <f>'4637'!B23</f>
        <v>1</v>
      </c>
      <c r="C37" s="99" t="str">
        <f>'4637'!C23</f>
        <v>CUB C/R R6</v>
      </c>
      <c r="D37" s="25">
        <f>'4637'!D23</f>
        <v>1430</v>
      </c>
      <c r="E37" s="25">
        <f>'4637'!E23</f>
        <v>600</v>
      </c>
      <c r="F37" s="25" t="str">
        <f>'4637'!F23</f>
        <v>ASTRAL 3030</v>
      </c>
      <c r="G37" s="1"/>
    </row>
    <row r="38" spans="1:7" ht="15.6" x14ac:dyDescent="0.3">
      <c r="A38" s="93"/>
      <c r="B38" s="25">
        <f>'4637'!B24</f>
        <v>2</v>
      </c>
      <c r="C38" s="99" t="str">
        <f>'4637'!C24</f>
        <v>CENEFA 1V</v>
      </c>
      <c r="D38" s="25">
        <f>'4637'!D24</f>
        <v>2200</v>
      </c>
      <c r="E38" s="25">
        <f>'4637'!E24</f>
        <v>100</v>
      </c>
      <c r="F38" s="25" t="str">
        <f>'4637'!F24</f>
        <v>ASTRAL 3030</v>
      </c>
      <c r="G38" s="1"/>
    </row>
    <row r="39" spans="1:7" ht="15.6" x14ac:dyDescent="0.3">
      <c r="A39" s="93"/>
      <c r="B39" s="25">
        <f>'4637'!B25</f>
        <v>3</v>
      </c>
      <c r="C39" s="99" t="str">
        <f>'4637'!C25</f>
        <v>ZOCALO</v>
      </c>
      <c r="D39" s="25">
        <f>'4637'!D25</f>
        <v>3000</v>
      </c>
      <c r="E39" s="25">
        <f>'4637'!E25</f>
        <v>100</v>
      </c>
      <c r="F39" s="25" t="str">
        <f>'4637'!F25</f>
        <v>ASTRAL 3030</v>
      </c>
      <c r="G39" s="1"/>
    </row>
    <row r="40" spans="1:7" ht="15.6" x14ac:dyDescent="0.3">
      <c r="A40" s="93"/>
      <c r="B40" s="25">
        <f>'4637'!B26</f>
        <v>1</v>
      </c>
      <c r="C40" s="99" t="str">
        <f>'4637'!C26</f>
        <v>ZOCALO</v>
      </c>
      <c r="D40" s="25">
        <f>'4637'!D26</f>
        <v>650</v>
      </c>
      <c r="E40" s="25">
        <f>'4637'!E26</f>
        <v>180</v>
      </c>
      <c r="F40" s="25" t="str">
        <f>'4637'!F26</f>
        <v>ASTRAL 3030</v>
      </c>
      <c r="G40" s="1"/>
    </row>
    <row r="41" spans="1:7" ht="15.6" x14ac:dyDescent="0.3">
      <c r="A41" s="93"/>
      <c r="B41" s="135"/>
      <c r="C41" s="136"/>
      <c r="D41" s="135"/>
      <c r="E41" s="135"/>
      <c r="F41" s="135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08" t="s">
        <v>136</v>
      </c>
      <c r="B47" s="6"/>
      <c r="C47" s="6"/>
      <c r="D47" s="6"/>
      <c r="E47" s="6"/>
      <c r="F47" s="6"/>
      <c r="G47" s="1"/>
    </row>
    <row r="48" spans="1:7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6"/>
      <c r="C49" s="6"/>
      <c r="D49" s="6"/>
      <c r="E49" s="6"/>
      <c r="F49" s="6"/>
      <c r="G49" s="1"/>
    </row>
    <row r="50" spans="1:7" ht="15.6" x14ac:dyDescent="0.3">
      <c r="A50" s="1"/>
      <c r="B50" s="6"/>
      <c r="C50" s="6"/>
      <c r="D50" s="6"/>
      <c r="E50" s="6"/>
      <c r="F50" s="6"/>
      <c r="G50" s="1"/>
    </row>
    <row r="51" spans="1:7" ht="15.6" x14ac:dyDescent="0.3">
      <c r="A51" s="1"/>
      <c r="B51" s="6"/>
      <c r="C51" s="6"/>
      <c r="D51" s="6"/>
      <c r="E51" s="6"/>
      <c r="F51" s="6"/>
      <c r="G51" s="1"/>
    </row>
    <row r="52" spans="1:7" ht="15.6" x14ac:dyDescent="0.3">
      <c r="A52" s="1"/>
      <c r="B52" s="6"/>
      <c r="C52" s="6"/>
      <c r="D52" s="6"/>
      <c r="E52" s="6"/>
      <c r="F52" s="6"/>
      <c r="G52" s="1"/>
    </row>
    <row r="53" spans="1:7" ht="15.6" x14ac:dyDescent="0.3">
      <c r="A53" s="1"/>
      <c r="B53" s="6"/>
      <c r="C53" s="6"/>
      <c r="D53" s="6"/>
      <c r="E53" s="6"/>
      <c r="F53" s="6"/>
      <c r="G53" s="1"/>
    </row>
    <row r="54" spans="1:7" ht="15.6" x14ac:dyDescent="0.3">
      <c r="A54" s="1"/>
      <c r="B54" s="6"/>
      <c r="C54" s="6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40" t="s">
        <v>27</v>
      </c>
      <c r="D56" s="14">
        <f>'4637'!G8</f>
        <v>7241</v>
      </c>
      <c r="E56" s="1"/>
      <c r="F56" s="1"/>
      <c r="G56" s="1"/>
    </row>
    <row r="57" spans="1:7" ht="17.25" customHeight="1" x14ac:dyDescent="0.3">
      <c r="A57" s="1"/>
      <c r="B57" s="1"/>
      <c r="C57" s="41" t="s">
        <v>67</v>
      </c>
      <c r="D57" s="42" t="str">
        <f>'4637'!C10</f>
        <v>MARCO MORENO</v>
      </c>
      <c r="E57" s="43"/>
      <c r="F57" s="43"/>
      <c r="G57" s="1"/>
    </row>
    <row r="58" spans="1:7" ht="4.5" customHeight="1" x14ac:dyDescent="0.3">
      <c r="A58" s="1"/>
      <c r="B58" s="1"/>
      <c r="C58" s="44"/>
      <c r="D58" s="45"/>
      <c r="E58" s="1"/>
      <c r="F58" s="1"/>
      <c r="G58" s="1"/>
    </row>
    <row r="59" spans="1:7" ht="15.6" x14ac:dyDescent="0.3">
      <c r="A59" s="1"/>
      <c r="B59" s="1"/>
      <c r="C59" s="46" t="str">
        <f>'4637'!F11</f>
        <v>FECHA LIMITE :</v>
      </c>
      <c r="D59" s="13">
        <f>'4637'!G11</f>
        <v>45859</v>
      </c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17" t="s">
        <v>68</v>
      </c>
      <c r="B62" s="117"/>
      <c r="C62" s="117"/>
      <c r="D62" s="117"/>
      <c r="E62" s="117"/>
      <c r="F62" s="117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75" customHeight="1" x14ac:dyDescent="0.3">
      <c r="A64" s="1"/>
      <c r="B64" s="118" t="s">
        <v>69</v>
      </c>
      <c r="C64" s="119"/>
      <c r="D64" s="120"/>
      <c r="E64" s="120"/>
      <c r="F64" s="121"/>
      <c r="G64" s="1"/>
    </row>
    <row r="65" spans="1:7" s="15" customFormat="1" ht="12.75" customHeight="1" x14ac:dyDescent="0.3">
      <c r="A65" s="1"/>
      <c r="B65" s="36" t="s">
        <v>10</v>
      </c>
      <c r="C65" s="47" t="s">
        <v>11</v>
      </c>
      <c r="D65" s="48" t="s">
        <v>7</v>
      </c>
      <c r="E65" s="48" t="s">
        <v>8</v>
      </c>
      <c r="F65" s="49" t="s">
        <v>12</v>
      </c>
      <c r="G65" s="1"/>
    </row>
    <row r="66" spans="1:7" s="15" customFormat="1" ht="15" customHeight="1" x14ac:dyDescent="0.3">
      <c r="A66" s="93" t="s">
        <v>132</v>
      </c>
      <c r="B66" s="38">
        <f>'4637'!B21</f>
        <v>1</v>
      </c>
      <c r="C66" s="98" t="str">
        <f>'4637'!C21</f>
        <v>CUB C/R R6</v>
      </c>
      <c r="D66" s="39">
        <f>'4637'!D21</f>
        <v>1250</v>
      </c>
      <c r="E66" s="39">
        <f>'4637'!E21</f>
        <v>600</v>
      </c>
      <c r="F66" s="38" t="str">
        <f>'4637'!F21</f>
        <v>ASTRAL 3030</v>
      </c>
      <c r="G66" s="1"/>
    </row>
    <row r="67" spans="1:7" s="15" customFormat="1" ht="15" customHeight="1" x14ac:dyDescent="0.3">
      <c r="A67" s="93"/>
      <c r="B67" s="38">
        <f>'4637'!B22</f>
        <v>1</v>
      </c>
      <c r="C67" s="98" t="str">
        <f>'4637'!C22</f>
        <v>CUB C/R R6</v>
      </c>
      <c r="D67" s="39">
        <f>'4637'!D22</f>
        <v>950</v>
      </c>
      <c r="E67" s="39">
        <f>'4637'!E22</f>
        <v>500</v>
      </c>
      <c r="F67" s="38" t="str">
        <f>'4637'!F22</f>
        <v>ASTRAL 3030</v>
      </c>
      <c r="G67" s="1"/>
    </row>
    <row r="68" spans="1:7" s="15" customFormat="1" ht="15" customHeight="1" x14ac:dyDescent="0.3">
      <c r="A68" s="93"/>
      <c r="B68" s="38">
        <f>'4637'!B23</f>
        <v>1</v>
      </c>
      <c r="C68" s="98" t="str">
        <f>'4637'!C23</f>
        <v>CUB C/R R6</v>
      </c>
      <c r="D68" s="39">
        <f>'4637'!D23</f>
        <v>1430</v>
      </c>
      <c r="E68" s="39">
        <f>'4637'!E23</f>
        <v>600</v>
      </c>
      <c r="F68" s="38" t="str">
        <f>'4637'!F23</f>
        <v>ASTRAL 3030</v>
      </c>
      <c r="G68" s="1"/>
    </row>
    <row r="69" spans="1:7" s="15" customFormat="1" ht="15" customHeight="1" x14ac:dyDescent="0.3">
      <c r="A69" s="93"/>
      <c r="B69" s="38">
        <f>'4637'!B24</f>
        <v>2</v>
      </c>
      <c r="C69" s="98" t="str">
        <f>'4637'!C24</f>
        <v>CENEFA 1V</v>
      </c>
      <c r="D69" s="39">
        <f>'4637'!D24</f>
        <v>2200</v>
      </c>
      <c r="E69" s="39">
        <f>'4637'!E24</f>
        <v>100</v>
      </c>
      <c r="F69" s="38" t="str">
        <f>'4637'!F24</f>
        <v>ASTRAL 3030</v>
      </c>
      <c r="G69" s="1"/>
    </row>
    <row r="70" spans="1:7" s="15" customFormat="1" ht="15" customHeight="1" x14ac:dyDescent="0.3">
      <c r="A70" s="93"/>
      <c r="B70" s="38">
        <f>'4637'!B25</f>
        <v>3</v>
      </c>
      <c r="C70" s="98" t="str">
        <f>'4637'!C25</f>
        <v>ZOCALO</v>
      </c>
      <c r="D70" s="39">
        <f>'4637'!D25</f>
        <v>3000</v>
      </c>
      <c r="E70" s="39">
        <f>'4637'!E25</f>
        <v>100</v>
      </c>
      <c r="F70" s="38" t="str">
        <f>'4637'!F25</f>
        <v>ASTRAL 3030</v>
      </c>
      <c r="G70" s="1"/>
    </row>
    <row r="71" spans="1:7" s="15" customFormat="1" ht="15" customHeight="1" x14ac:dyDescent="0.3">
      <c r="A71" s="93"/>
      <c r="B71" s="38">
        <f>'4637'!B26</f>
        <v>1</v>
      </c>
      <c r="C71" s="98" t="str">
        <f>'4637'!C26</f>
        <v>ZOCALO</v>
      </c>
      <c r="D71" s="39">
        <f>'4637'!D26</f>
        <v>650</v>
      </c>
      <c r="E71" s="39">
        <f>'4637'!E26</f>
        <v>180</v>
      </c>
      <c r="F71" s="38" t="str">
        <f>'4637'!F26</f>
        <v>ASTRAL 3030</v>
      </c>
      <c r="G71" s="1"/>
    </row>
    <row r="72" spans="1:7" s="15" customFormat="1" ht="15" customHeight="1" x14ac:dyDescent="0.3">
      <c r="A72" s="93"/>
      <c r="B72" s="52"/>
      <c r="C72" s="106"/>
      <c r="D72" s="52"/>
      <c r="E72" s="52"/>
      <c r="F72" s="52"/>
      <c r="G72" s="1"/>
    </row>
    <row r="73" spans="1:7" s="15" customFormat="1" ht="15" customHeight="1" x14ac:dyDescent="0.3">
      <c r="A73" s="50"/>
      <c r="B73" s="52"/>
      <c r="C73" s="52"/>
      <c r="D73" s="52"/>
      <c r="E73" s="52"/>
      <c r="F73" s="52"/>
      <c r="G73" s="1"/>
    </row>
    <row r="74" spans="1:7" ht="15.6" x14ac:dyDescent="0.3">
      <c r="A74" s="6"/>
      <c r="B74" s="6"/>
      <c r="C74" s="1"/>
      <c r="D74" s="6"/>
      <c r="E74" s="6"/>
      <c r="F74" s="44"/>
      <c r="G74" s="1"/>
    </row>
    <row r="75" spans="1:7" ht="15.6" x14ac:dyDescent="0.3">
      <c r="A75" s="6"/>
      <c r="B75" s="6"/>
      <c r="C75" s="1"/>
      <c r="D75" s="6"/>
      <c r="E75" s="6"/>
      <c r="F75" s="6"/>
      <c r="G75" s="1"/>
    </row>
    <row r="76" spans="1:7" ht="15.6" x14ac:dyDescent="0.3">
      <c r="A76" s="1"/>
      <c r="B76" s="1"/>
      <c r="C76" s="1"/>
      <c r="D76" s="1"/>
      <c r="E76" s="1"/>
      <c r="F76" s="1"/>
      <c r="G76" s="1"/>
    </row>
    <row r="77" spans="1:7" ht="15.6" x14ac:dyDescent="0.3">
      <c r="A77" s="1"/>
      <c r="B77" s="1"/>
      <c r="C77" s="1"/>
      <c r="D77" s="1"/>
      <c r="E77" s="1"/>
      <c r="F77" s="1"/>
      <c r="G77" s="1"/>
    </row>
    <row r="78" spans="1:7" ht="15.6" x14ac:dyDescent="0.3">
      <c r="A78" s="1"/>
      <c r="B78" s="1"/>
      <c r="C78" s="1"/>
      <c r="D78" s="1"/>
      <c r="E78" s="1"/>
      <c r="F78" s="1"/>
      <c r="G78" s="1"/>
    </row>
    <row r="79" spans="1:7" ht="15" customHeight="1" x14ac:dyDescent="0.3">
      <c r="A79" s="1"/>
      <c r="B79" s="1"/>
      <c r="C79" s="1"/>
      <c r="D79" s="1"/>
      <c r="E79" s="1"/>
      <c r="F79" s="1"/>
      <c r="G79" s="1"/>
    </row>
    <row r="80" spans="1:7" ht="15.6" x14ac:dyDescent="0.3">
      <c r="A80" s="1"/>
      <c r="B80" s="1"/>
      <c r="C80" s="1"/>
      <c r="D80" s="1"/>
      <c r="E80" s="1"/>
      <c r="F80" s="1"/>
      <c r="G80" s="1"/>
    </row>
    <row r="81" spans="1:7" ht="15.6" x14ac:dyDescent="0.3">
      <c r="A81" s="6"/>
      <c r="B81" s="51"/>
      <c r="C81" s="1"/>
      <c r="D81" s="1"/>
      <c r="E81" s="1"/>
      <c r="F81" s="1"/>
      <c r="G81" s="1"/>
    </row>
    <row r="82" spans="1:7" ht="15.6" x14ac:dyDescent="0.3">
      <c r="A82" s="1"/>
      <c r="B82" s="1"/>
      <c r="C82" s="1"/>
      <c r="D82" s="1"/>
      <c r="E82" s="1"/>
      <c r="F82" s="1"/>
      <c r="G82" s="1"/>
    </row>
    <row r="83" spans="1:7" x14ac:dyDescent="0.3">
      <c r="B83" s="20"/>
      <c r="C83" s="20"/>
      <c r="D83" s="20"/>
      <c r="E83" s="20"/>
      <c r="F83" s="20"/>
    </row>
    <row r="84" spans="1:7" x14ac:dyDescent="0.3">
      <c r="B84" s="20"/>
      <c r="C84" s="20"/>
      <c r="E84" s="20"/>
      <c r="F84" s="20"/>
    </row>
  </sheetData>
  <mergeCells count="6">
    <mergeCell ref="M3:N3"/>
    <mergeCell ref="A20:F20"/>
    <mergeCell ref="A10:F10"/>
    <mergeCell ref="A62:F62"/>
    <mergeCell ref="B64:F64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2025-07-18T19:05:21Z</cp:lastPrinted>
  <dcterms:created xsi:type="dcterms:W3CDTF">2013-03-19T12:54:14Z</dcterms:created>
  <dcterms:modified xsi:type="dcterms:W3CDTF">2025-07-18T19:06:32Z</dcterms:modified>
</cp:coreProperties>
</file>