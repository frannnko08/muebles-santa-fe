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12 DICIEMBRE 2025\"/>
    </mc:Choice>
  </mc:AlternateContent>
  <xr:revisionPtr revIDLastSave="0" documentId="13_ncr:1_{BF89B717-E63B-4592-B515-1A1AAB3A89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externalReferences>
    <externalReference r:id="rId4"/>
    <externalReference r:id="rId5"/>
  </externalReferences>
  <definedNames>
    <definedName name="_xlnm.Print_Area" localSheetId="0">'4637'!#REF!</definedName>
    <definedName name="_xlnm.Print_Area" localSheetId="2">CUBIERTA!$A$1:$G$38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4" l="1"/>
  <c r="H25" i="4" s="1"/>
  <c r="G22" i="4"/>
  <c r="F22" i="4"/>
  <c r="E22" i="4"/>
  <c r="D22" i="4"/>
  <c r="C22" i="4"/>
  <c r="B22" i="4"/>
  <c r="C17" i="4"/>
  <c r="G16" i="4"/>
  <c r="C16" i="4"/>
  <c r="G15" i="4"/>
  <c r="C15" i="4"/>
  <c r="C14" i="4"/>
  <c r="C13" i="4"/>
  <c r="G12" i="4"/>
  <c r="C12" i="4"/>
  <c r="G11" i="4"/>
  <c r="C11" i="4"/>
  <c r="G10" i="4"/>
  <c r="C10" i="4"/>
  <c r="D8" i="4"/>
  <c r="F49" i="3"/>
  <c r="F27" i="3" s="1"/>
  <c r="E49" i="3"/>
  <c r="D49" i="3"/>
  <c r="C49" i="3"/>
  <c r="C27" i="3" s="1"/>
  <c r="B49" i="3"/>
  <c r="D42" i="3"/>
  <c r="C42" i="3"/>
  <c r="D40" i="3"/>
  <c r="E27" i="3"/>
  <c r="K21" i="3" s="1"/>
  <c r="D27" i="3"/>
  <c r="J14" i="3" s="1"/>
  <c r="B27" i="3"/>
  <c r="I21" i="3" s="1"/>
  <c r="K14" i="3"/>
  <c r="D8" i="3"/>
  <c r="D7" i="3"/>
  <c r="C7" i="3"/>
  <c r="D5" i="3"/>
  <c r="H26" i="4" l="1"/>
  <c r="H27" i="4" s="1"/>
  <c r="J21" i="3"/>
  <c r="F21" i="3"/>
  <c r="F14" i="3"/>
  <c r="I14" i="3"/>
  <c r="B14" i="3" s="1"/>
  <c r="B21" i="3"/>
  <c r="E20" i="3" l="1" a="1"/>
  <c r="E20" i="3" s="1"/>
  <c r="D14" i="3"/>
  <c r="N5" i="3" a="1"/>
  <c r="N5" i="3" s="1"/>
  <c r="K5" i="3"/>
  <c r="E13" i="3"/>
  <c r="E21" i="3" a="1"/>
  <c r="E21" i="3" s="1"/>
  <c r="E14" i="3"/>
  <c r="L5" i="3"/>
  <c r="D21" i="3" a="1"/>
  <c r="D21" i="3" s="1"/>
  <c r="D20" i="3" a="1"/>
  <c r="D20" i="3" s="1"/>
  <c r="M5" i="3" a="1"/>
  <c r="M5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<sst xmlns="http://schemas.openxmlformats.org/spreadsheetml/2006/main" count="240" uniqueCount="138">
  <si>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</si>
  <si>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</si>
  <si>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</si>
  <si>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</si>
  <si>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</si>
  <si>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</si>
  <si>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</si>
  <si>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</si>
  <si>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</si>
  <si>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</si>
  <si>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</si>
  <si>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</si>
  <si>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</si>
  <si>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LAMINADO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</si>
  <si>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</si>
  <si>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</si>
  <si>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</si>
  <si>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</si>
  <si>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</si>
  <si>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</si>
  <si>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</si>
  <si>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</si>
  <si>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</si>
  <si>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</si>
  <si>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</si>
  <si>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</si>
  <si>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</si>
  <si>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</si>
  <si>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</si>
  <si>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</si>
  <si>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</si>
  <si>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</si>
  <si>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</si>
  <si>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</si>
  <si>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</si>
  <si>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</si>
  <si>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</si>
  <si>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</si>
  <si>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</si>
  <si>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</si>
  <si>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</si>
  <si>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</si>
  <si>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</si>
  <si>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</si>
  <si>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</si>
  <si>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</si>
  <si>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</si>
  <si>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</si>
  <si>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</si>
  <si>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</si>
  <si>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</si>
  <si>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</si>
  <si>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</si>
  <si>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</si>
  <si>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</si>
  <si>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</si>
  <si>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</si>
  <si>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</si>
  <si>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</si>
  <si>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</si>
  <si>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</si>
  <si>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</si>
  <si>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</si>
  <si>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</si>
  <si>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</si>
  <si>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</si>
  <si>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</si>
  <si>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</si>
  <si>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</si>
  <si>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</si>
  <si>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</si>
  <si>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</si>
  <si>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</si>
  <si>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</si>
  <si>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</si>
  <si>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</si>
  <si>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</si>
  <si>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</si>
  <si>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</si>
  <si>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</si>
  <si>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</si>
  <si>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</si>
  <si>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</si>
  <si>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</si>
  <si>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</si>
  <si>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</si>
  <si>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</si>
  <si>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</si>
  <si>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</si>
  <si>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</si>
  <si>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</si>
  <si>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</si>
  <si>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</si>
  <si>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</si>
  <si>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</si>
  <si>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</si>
  <si>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</si>
  <si>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</si>
  <si>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</si>
  <si>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</si>
  <si>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</si>
  <si>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</si>
  <si>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</si>
  <si>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</si>
  <si>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</si>
  <si>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</si>
  <si>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</si>
  <si>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</si>
  <si>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</si>
  <si>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</si>
  <si>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</si>
  <si>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</si>
  <si>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</si>
  <si>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</si>
  <si>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</si>
  <si>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</si>
  <si>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</si>
  <si>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</si>
  <si>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</si>
  <si>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</si>
  <si>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</si>
  <si>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</si>
  <si>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</si>
  <si>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</si>
  <si>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</si>
  <si>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</si>
  <si>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</si>
  <si>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CONTACTO:</t>
  </si>
  <si>
    <t>MDF18MM</t>
  </si>
  <si>
    <t>CORREO:</t>
  </si>
  <si>
    <t>MDF 18MM</t>
  </si>
  <si>
    <t xml:space="preserve"> MDF 18MM</t>
  </si>
  <si>
    <t>CELULAR: 963868755</t>
  </si>
  <si>
    <t>E-MAIL: fdonoso@topmobili.cl</t>
  </si>
  <si>
    <t>DESPACHO:</t>
  </si>
  <si>
    <t>FRANCO DONOSO</t>
  </si>
  <si>
    <t xml:space="preserve">CUENTA VISTA DEL BANCO ESTADO N° 35571389078 A NOMBRE DE </t>
  </si>
  <si>
    <t>"MUEBLES SANTA FE SPA." - RUT : 77.054.606-0, VENTAS@TOPMOBILI.CL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</si>
</sst>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5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29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28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left" vertical="top" wrapText="1" shrinkToFit="1"/>
    </xf>
    <xf numFmtId="14" fontId="1" fillId="0" borderId="0" xfId="0" applyNumberFormat="1" applyFont="1" applyAlignment="1">
      <alignment horizontal="left"/>
    </xf>
    <xf numFmtId="0" fontId="16" fillId="0" borderId="0" xfId="0" applyFont="1" applyAlignment="1">
      <alignment horizontal="right"/>
    </xf>
    <xf numFmtId="0" fontId="17" fillId="0" borderId="18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0" fillId="8" borderId="3" xfId="0" applyFill="1" applyBorder="1"/>
    <xf numFmtId="0" fontId="0" fillId="8" borderId="4" xfId="0" applyFill="1" applyBorder="1"/>
    <xf numFmtId="0" fontId="0" fillId="8" borderId="4" xfId="0" applyFill="1" applyBorder="1" applyAlignment="1">
      <alignment horizontal="left"/>
    </xf>
    <xf numFmtId="14" fontId="0" fillId="8" borderId="4" xfId="0" applyNumberFormat="1" applyFill="1" applyBorder="1" applyAlignment="1">
      <alignment horizontal="left"/>
    </xf>
    <xf numFmtId="0" fontId="0" fillId="8" borderId="5" xfId="0" applyFill="1" applyBorder="1"/>
    <xf numFmtId="0" fontId="0" fillId="4" borderId="6" xfId="0" applyFill="1" applyBorder="1"/>
    <xf numFmtId="0" fontId="0" fillId="4" borderId="0" xfId="0" applyFill="1"/>
    <xf numFmtId="14" fontId="0" fillId="4" borderId="0" xfId="0" applyNumberFormat="1" applyFill="1" applyAlignment="1">
      <alignment horizontal="left"/>
    </xf>
    <xf numFmtId="0" fontId="0" fillId="4" borderId="7" xfId="0" applyFill="1" applyBorder="1"/>
    <xf numFmtId="0" fontId="0" fillId="8" borderId="6" xfId="0" applyFill="1" applyBorder="1"/>
    <xf numFmtId="0" fontId="0" fillId="8" borderId="0" xfId="0" applyFill="1"/>
    <xf numFmtId="0" fontId="0" fillId="8" borderId="7" xfId="0" applyFill="1" applyBorder="1"/>
    <xf numFmtId="0" fontId="0" fillId="3" borderId="6" xfId="0" applyFill="1" applyBorder="1"/>
    <xf numFmtId="0" fontId="0" fillId="3" borderId="0" xfId="0" applyFill="1" applyAlignment="1">
      <alignment horizontal="left"/>
    </xf>
    <xf numFmtId="0" fontId="0" fillId="3" borderId="7" xfId="0" applyFill="1" applyBorder="1"/>
    <xf numFmtId="0" fontId="0" fillId="8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4" borderId="8" xfId="0" applyFill="1" applyBorder="1"/>
    <xf numFmtId="0" fontId="0" fillId="3" borderId="9" xfId="0" applyFill="1" applyBorder="1"/>
    <xf numFmtId="0" fontId="0" fillId="4" borderId="9" xfId="2" applyFont="1" applyFill="1" applyBorder="1" applyAlignment="1">
      <alignment horizontal="left"/>
    </xf>
    <xf numFmtId="0" fontId="0" fillId="4" borderId="9" xfId="0" applyFill="1" applyBorder="1"/>
    <xf numFmtId="0" fontId="19" fillId="9" borderId="23" xfId="0" applyFont="1" applyFill="1" applyBorder="1" applyAlignment="1">
      <alignment horizontal="center" vertical="center"/>
    </xf>
    <xf numFmtId="0" fontId="19" fillId="9" borderId="24" xfId="0" applyFont="1" applyFill="1" applyBorder="1" applyAlignment="1">
      <alignment horizontal="center" vertical="center"/>
    </xf>
    <xf numFmtId="0" fontId="19" fillId="9" borderId="25" xfId="0" applyFont="1" applyFill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1" fontId="15" fillId="0" borderId="30" xfId="0" applyNumberFormat="1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66" fontId="3" fillId="0" borderId="30" xfId="1" applyNumberFormat="1" applyFont="1" applyFill="1" applyBorder="1" applyAlignment="1">
      <alignment horizontal="center" vertical="center"/>
    </xf>
    <xf numFmtId="42" fontId="15" fillId="0" borderId="2" xfId="3" applyFont="1" applyBorder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166" fontId="1" fillId="0" borderId="0" xfId="1" applyNumberFormat="1" applyFont="1" applyFill="1" applyBorder="1"/>
    <xf numFmtId="0" fontId="18" fillId="4" borderId="9" xfId="0" applyFont="1" applyFill="1" applyBorder="1" applyAlignment="1">
      <alignment horizontal="left"/>
    </xf>
    <xf numFmtId="0" fontId="18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7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0"/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7E292572-C860-4158-B041-3938C987821C}"/>
            </a:ext>
          </a:extLst>
        </xdr:cNvPr>
        <xdr:cNvSpPr/>
      </xdr:nvSpPr>
      <xdr:spPr>
        <a:xfrm>
          <a:off x="213360" y="4827270"/>
          <a:ext cx="5935980" cy="600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CUBIERTA LLEVA CORTES SEGUN DIBUJO , ABONO $ 30.000.-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6</xdr:row>
      <xdr:rowOff>47196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B30BB5B-77E9-4527-81FE-D5F568D9F6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198120" y="198120"/>
          <a:ext cx="1028575" cy="96159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61031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CFD55279-D6D1-4754-922B-FEDAD561AB7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0640" y="426720"/>
          <a:ext cx="1818967" cy="7620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38100</xdr:rowOff>
    </xdr:from>
    <xdr:to>
      <xdr:col>6</xdr:col>
      <xdr:colOff>0</xdr:colOff>
      <xdr:row>42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0</xdr:rowOff>
    </xdr:from>
    <xdr:to>
      <xdr:col>6</xdr:col>
      <xdr:colOff>0</xdr:colOff>
      <xdr:row>41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392430</xdr:colOff>
      <xdr:row>32</xdr:row>
      <xdr:rowOff>15239</xdr:rowOff>
    </xdr:from>
    <xdr:to>
      <xdr:col>6</xdr:col>
      <xdr:colOff>68580</xdr:colOff>
      <xdr:row>36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CORTE SEGUN DIBUJO</a:t>
          </a:r>
          <a:endParaRPr lang="es-ES" sz="1050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358A2F29-B58B-4130-8418-0F4B3E7A5D85}"/>
            </a:ext>
          </a:extLst>
        </xdr:cNvPr>
        <xdr:cNvSpPr/>
      </xdr:nvSpPr>
      <xdr:spPr>
        <a:xfrm>
          <a:off x="1647825" y="1082040"/>
          <a:ext cx="6806564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E8F29EBE-61F4-490D-B46E-27BCAF9253DD}"/>
            </a:ext>
          </a:extLst>
        </xdr:cNvPr>
        <xdr:cNvSpPr/>
      </xdr:nvSpPr>
      <xdr:spPr>
        <a:xfrm>
          <a:off x="1647825" y="828675"/>
          <a:ext cx="679513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15D78B46-615F-4573-8E2F-ADA5F8CBFE48}"/>
            </a:ext>
          </a:extLst>
        </xdr:cNvPr>
        <xdr:cNvSpPr/>
      </xdr:nvSpPr>
      <xdr:spPr>
        <a:xfrm>
          <a:off x="1647825" y="584835"/>
          <a:ext cx="6795135" cy="20764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9A69B07E-299F-4F06-8088-84F492487D52}"/>
            </a:ext>
          </a:extLst>
        </xdr:cNvPr>
        <xdr:cNvSpPr/>
      </xdr:nvSpPr>
      <xdr:spPr>
        <a:xfrm>
          <a:off x="735330" y="2910840"/>
          <a:ext cx="7717155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4A5F5F0B-C98C-47DB-8F69-EC2DCE23A6BB}"/>
            </a:ext>
          </a:extLst>
        </xdr:cNvPr>
        <xdr:cNvSpPr/>
      </xdr:nvSpPr>
      <xdr:spPr>
        <a:xfrm>
          <a:off x="733424" y="1664970"/>
          <a:ext cx="7720965" cy="24003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77472A64-92B4-418D-AE25-A24D37B343F5}"/>
            </a:ext>
          </a:extLst>
        </xdr:cNvPr>
        <xdr:cNvSpPr/>
      </xdr:nvSpPr>
      <xdr:spPr>
        <a:xfrm>
          <a:off x="714375" y="8210550"/>
          <a:ext cx="7747635" cy="24384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35" name="Rectángulo 34">
          <a:extLst>
            <a:ext uri="{FF2B5EF4-FFF2-40B4-BE49-F238E27FC236}">
              <a16:creationId xmlns:a16="http://schemas.microsoft.com/office/drawing/2014/main" id="{7BB560DC-4D26-4785-A34A-50B22FE46784}"/>
            </a:ext>
          </a:extLst>
        </xdr:cNvPr>
        <xdr:cNvSpPr/>
      </xdr:nvSpPr>
      <xdr:spPr>
        <a:xfrm>
          <a:off x="1647825" y="7642860"/>
          <a:ext cx="6795135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36" name="Rectángulo 35">
          <a:extLst>
            <a:ext uri="{FF2B5EF4-FFF2-40B4-BE49-F238E27FC236}">
              <a16:creationId xmlns:a16="http://schemas.microsoft.com/office/drawing/2014/main" id="{C1E476C0-6E07-4302-BB2C-B308FF0286D7}"/>
            </a:ext>
          </a:extLst>
        </xdr:cNvPr>
        <xdr:cNvSpPr/>
      </xdr:nvSpPr>
      <xdr:spPr>
        <a:xfrm>
          <a:off x="1647825" y="7414260"/>
          <a:ext cx="6795135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37" name="Rectángulo 36">
          <a:extLst>
            <a:ext uri="{FF2B5EF4-FFF2-40B4-BE49-F238E27FC236}">
              <a16:creationId xmlns:a16="http://schemas.microsoft.com/office/drawing/2014/main" id="{BF78DAE4-31DF-4550-A8A7-CC80B0049B7D}"/>
            </a:ext>
          </a:extLst>
        </xdr:cNvPr>
        <xdr:cNvSpPr/>
      </xdr:nvSpPr>
      <xdr:spPr>
        <a:xfrm>
          <a:off x="1647825" y="7178040"/>
          <a:ext cx="6795135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51" name="Rectángulo 50">
          <a:extLst>
            <a:ext uri="{FF2B5EF4-FFF2-40B4-BE49-F238E27FC236}">
              <a16:creationId xmlns:a16="http://schemas.microsoft.com/office/drawing/2014/main" id="{FE8D5650-E000-4058-8624-4EC200EC850E}"/>
            </a:ext>
          </a:extLst>
        </xdr:cNvPr>
        <xdr:cNvSpPr/>
      </xdr:nvSpPr>
      <xdr:spPr>
        <a:xfrm>
          <a:off x="714375" y="4263390"/>
          <a:ext cx="7751444" cy="2038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13335</xdr:colOff>
      <xdr:row>50</xdr:row>
      <xdr:rowOff>17145</xdr:rowOff>
    </xdr:from>
    <xdr:to>
      <xdr:col>6</xdr:col>
      <xdr:colOff>11430</xdr:colOff>
      <xdr:row>54</xdr:row>
      <xdr:rowOff>137160</xdr:rowOff>
    </xdr:to>
    <xdr:sp macro="" textlink="">
      <xdr:nvSpPr>
        <xdr:cNvPr id="52" name="Rectángulo 51">
          <a:extLst>
            <a:ext uri="{FF2B5EF4-FFF2-40B4-BE49-F238E27FC236}">
              <a16:creationId xmlns:a16="http://schemas.microsoft.com/office/drawing/2014/main" id="{4B787A12-61AF-47EE-97A4-F7C4A90230C6}"/>
            </a:ext>
          </a:extLst>
        </xdr:cNvPr>
        <xdr:cNvSpPr/>
      </xdr:nvSpPr>
      <xdr:spPr>
        <a:xfrm>
          <a:off x="737235" y="9389745"/>
          <a:ext cx="7717155" cy="9048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CORTE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SEGUN DIBUJO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53" name="Rectángulo 52">
          <a:extLst>
            <a:ext uri="{FF2B5EF4-FFF2-40B4-BE49-F238E27FC236}">
              <a16:creationId xmlns:a16="http://schemas.microsoft.com/office/drawing/2014/main" id="{AB6D85AA-9B5F-41EA-B389-EFC67ED34169}"/>
            </a:ext>
          </a:extLst>
        </xdr:cNvPr>
        <xdr:cNvSpPr/>
      </xdr:nvSpPr>
      <xdr:spPr>
        <a:xfrm>
          <a:off x="1647825" y="1308735"/>
          <a:ext cx="6795135" cy="20764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54" name="Imagen 53">
          <a:extLst>
            <a:ext uri="{FF2B5EF4-FFF2-40B4-BE49-F238E27FC236}">
              <a16:creationId xmlns:a16="http://schemas.microsoft.com/office/drawing/2014/main" id="{3D885BBC-1A75-468D-B482-6B2ED2E1B86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29591"/>
          <a:ext cx="1068705" cy="1005288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55" name="Imagen 54">
          <a:extLst>
            <a:ext uri="{FF2B5EF4-FFF2-40B4-BE49-F238E27FC236}">
              <a16:creationId xmlns:a16="http://schemas.microsoft.com/office/drawing/2014/main" id="{A8F50032-9CC0-43D7-A76D-D550F0AC40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08495"/>
          <a:ext cx="1085850" cy="100338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dono\Dropbox\PC\Desktop\POSTFORMADO%202020\COTIZACIONES%20MUEBLES%20SANTA%20FE\12%20DICIEMBRE%202025\11806%20PATRICIO%20MAUREIRA.xlsx" TargetMode="External"/><Relationship Id="rId1" Type="http://schemas.openxmlformats.org/officeDocument/2006/relationships/externalLinkPath" Target="/Users/fdono/Dropbox/PC/Desktop/POSTFORMADO%202020/COTIZACIONES%20MUEBLES%20SANTA%20FE/12%20DICIEMBRE%202025/11806%20PATRICIO%20MAUREIR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229"/>
      <sheetName val="COSTOS"/>
      <sheetName val="NOTA DE VENTA"/>
      <sheetName val="REGLAS"/>
      <sheetName val="PRODUCCION"/>
      <sheetName val="SEGUIMIENTO"/>
    </sheetNames>
    <sheetDataSet>
      <sheetData sheetId="0">
        <row r="8">
          <cell r="D8" t="str">
            <v>N° 11806</v>
          </cell>
        </row>
        <row r="10">
          <cell r="C10" t="str">
            <v>PATRICIO MAUREIRA</v>
          </cell>
          <cell r="G10">
            <v>46008</v>
          </cell>
        </row>
        <row r="12">
          <cell r="G12" t="str">
            <v>NO</v>
          </cell>
        </row>
        <row r="14">
          <cell r="G14" t="str">
            <v>NO</v>
          </cell>
        </row>
        <row r="15">
          <cell r="C15" t="str">
            <v>+569 6347 2429</v>
          </cell>
        </row>
        <row r="16">
          <cell r="G16" t="str">
            <v>ABONO 50% SALDO C/ENTREGA</v>
          </cell>
        </row>
        <row r="17">
          <cell r="C17" t="str">
            <v>SANTIAGO</v>
          </cell>
        </row>
        <row r="21">
          <cell r="B21">
            <v>1</v>
          </cell>
          <cell r="C21" t="str">
            <v>CUB MESA 2L</v>
          </cell>
          <cell r="D21">
            <v>0.8</v>
          </cell>
          <cell r="E21">
            <v>0.5</v>
          </cell>
          <cell r="F21" t="str">
            <v>NEW BLACK GRANITE</v>
          </cell>
          <cell r="G21">
            <v>59279.936000000002</v>
          </cell>
        </row>
      </sheetData>
      <sheetData sheetId="1"/>
      <sheetData sheetId="2">
        <row r="10">
          <cell r="C10" t="str">
            <v>PATRICIO MAUREIRA</v>
          </cell>
          <cell r="F10" t="str">
            <v>FECHA :</v>
          </cell>
          <cell r="G10">
            <v>46008</v>
          </cell>
        </row>
        <row r="11">
          <cell r="G11">
            <v>46015</v>
          </cell>
        </row>
        <row r="22">
          <cell r="B22">
            <v>1</v>
          </cell>
          <cell r="C22" t="str">
            <v>CUB MESA 2L</v>
          </cell>
          <cell r="D22">
            <v>800</v>
          </cell>
          <cell r="E22">
            <v>500</v>
          </cell>
          <cell r="F22" t="str">
            <v>NEW BLACK GRANITE</v>
          </cell>
        </row>
      </sheetData>
      <sheetData sheetId="3">
        <row r="4">
          <cell r="B4">
            <v>40</v>
          </cell>
          <cell r="C4">
            <v>60</v>
          </cell>
          <cell r="D4" t="str">
            <v>CEN 1V</v>
          </cell>
          <cell r="G4">
            <v>50</v>
          </cell>
          <cell r="H4">
            <v>100</v>
          </cell>
          <cell r="I4" t="str">
            <v>CEN 1V</v>
          </cell>
        </row>
        <row r="5">
          <cell r="B5">
            <v>40</v>
          </cell>
          <cell r="C5">
            <v>90</v>
          </cell>
          <cell r="D5" t="str">
            <v>CEN 2V</v>
          </cell>
          <cell r="G5">
            <v>50</v>
          </cell>
          <cell r="I5" t="str">
            <v xml:space="preserve">CEN 2V </v>
          </cell>
        </row>
        <row r="6">
          <cell r="B6">
            <v>40</v>
          </cell>
          <cell r="C6">
            <v>100</v>
          </cell>
          <cell r="D6" t="str">
            <v>CORNISA  FRENTE ESPAÑOL 1 LADO</v>
          </cell>
          <cell r="G6">
            <v>50</v>
          </cell>
          <cell r="H6">
            <v>100</v>
          </cell>
          <cell r="I6" t="str">
            <v>CORNISA  FRENTE ESPAÑOL 1 LADO</v>
          </cell>
        </row>
        <row r="7">
          <cell r="B7">
            <v>40</v>
          </cell>
          <cell r="C7">
            <v>150</v>
          </cell>
          <cell r="D7" t="str">
            <v>CORNISA  FRENTE ESPAÑOL 2 LADO</v>
          </cell>
          <cell r="G7">
            <v>50</v>
          </cell>
          <cell r="I7" t="str">
            <v>CORNISA  FRENTE ESPAÑOL 2 LADO</v>
          </cell>
        </row>
        <row r="8">
          <cell r="B8">
            <v>40</v>
          </cell>
          <cell r="C8">
            <v>100</v>
          </cell>
          <cell r="D8" t="str">
            <v>CORNISA 180° 1LADO</v>
          </cell>
          <cell r="G8">
            <v>50</v>
          </cell>
          <cell r="H8">
            <v>100</v>
          </cell>
          <cell r="I8" t="str">
            <v>CORNISA 180° 1LADO</v>
          </cell>
        </row>
        <row r="9">
          <cell r="B9">
            <v>40</v>
          </cell>
          <cell r="C9">
            <v>50</v>
          </cell>
          <cell r="D9" t="str">
            <v>CORNISA PUNTA TIBURON 1 LADO</v>
          </cell>
          <cell r="G9">
            <v>50</v>
          </cell>
          <cell r="H9">
            <v>100</v>
          </cell>
          <cell r="I9" t="str">
            <v>CORNISA 1LADO</v>
          </cell>
        </row>
        <row r="10">
          <cell r="B10">
            <v>40</v>
          </cell>
          <cell r="C10">
            <v>80</v>
          </cell>
          <cell r="D10" t="str">
            <v>CORNISA PUNTA TIBURON 2 LADOS</v>
          </cell>
          <cell r="G10">
            <v>50</v>
          </cell>
          <cell r="I10" t="str">
            <v>CORNISA 2 LADOS</v>
          </cell>
        </row>
        <row r="11">
          <cell r="B11">
            <v>40</v>
          </cell>
          <cell r="C11">
            <v>60</v>
          </cell>
          <cell r="D11" t="str">
            <v>CORNISA R8 1LADO</v>
          </cell>
          <cell r="G11">
            <v>50</v>
          </cell>
          <cell r="H11">
            <v>100</v>
          </cell>
          <cell r="I11" t="str">
            <v>CORNISA PUNTA TIBURON 1 LADO</v>
          </cell>
        </row>
        <row r="12">
          <cell r="B12">
            <v>40</v>
          </cell>
          <cell r="C12">
            <v>100</v>
          </cell>
          <cell r="D12" t="str">
            <v>CORNISA R8 2 LADOS</v>
          </cell>
          <cell r="G12">
            <v>50</v>
          </cell>
          <cell r="I12" t="str">
            <v>CORNISA PUNTA TIBURON 2 LADOS</v>
          </cell>
        </row>
        <row r="13">
          <cell r="B13">
            <v>40</v>
          </cell>
          <cell r="C13">
            <v>130</v>
          </cell>
          <cell r="D13" t="str">
            <v>CUB C/R R6</v>
          </cell>
          <cell r="G13">
            <v>50</v>
          </cell>
          <cell r="H13">
            <v>-30</v>
          </cell>
          <cell r="I13" t="str">
            <v>CUB C/R</v>
          </cell>
        </row>
        <row r="14">
          <cell r="B14">
            <v>40</v>
          </cell>
          <cell r="C14">
            <v>150</v>
          </cell>
          <cell r="D14" t="str">
            <v xml:space="preserve">CUB C/R 180° </v>
          </cell>
          <cell r="G14">
            <v>50</v>
          </cell>
          <cell r="H14">
            <v>-30</v>
          </cell>
          <cell r="I14" t="str">
            <v xml:space="preserve">CUB C/R 180° </v>
          </cell>
        </row>
        <row r="15">
          <cell r="B15">
            <v>40</v>
          </cell>
          <cell r="C15">
            <v>150</v>
          </cell>
          <cell r="D15" t="str">
            <v xml:space="preserve">CUB C/R FRENTE ESPAÑOL </v>
          </cell>
          <cell r="G15">
            <v>50</v>
          </cell>
          <cell r="H15">
            <v>-30</v>
          </cell>
          <cell r="I15" t="str">
            <v>CUB C/R FRENTE ESPAÑOL</v>
          </cell>
        </row>
        <row r="16">
          <cell r="B16">
            <v>40</v>
          </cell>
          <cell r="C16">
            <v>130</v>
          </cell>
          <cell r="D16" t="str">
            <v>CUB C/R R2</v>
          </cell>
          <cell r="G16">
            <v>50</v>
          </cell>
          <cell r="H16">
            <v>-30</v>
          </cell>
          <cell r="I16" t="str">
            <v>CUB C/R PUNTA TIBURON 1 LADO</v>
          </cell>
        </row>
        <row r="17">
          <cell r="B17">
            <v>40</v>
          </cell>
          <cell r="C17">
            <v>150</v>
          </cell>
          <cell r="D17" t="str">
            <v>CUB MESA 180° 2 LADOS</v>
          </cell>
          <cell r="G17">
            <v>50</v>
          </cell>
          <cell r="I17" t="str">
            <v>CUB MESA 180° 2 LADOS</v>
          </cell>
        </row>
        <row r="18">
          <cell r="B18">
            <v>140</v>
          </cell>
          <cell r="C18">
            <v>150</v>
          </cell>
          <cell r="D18" t="str">
            <v>CUB MESA 180° 3 LADOS</v>
          </cell>
          <cell r="G18">
            <v>50</v>
          </cell>
          <cell r="I18" t="str">
            <v>CUB MESA 180° 3 LADOS</v>
          </cell>
        </row>
        <row r="19">
          <cell r="B19">
            <v>150</v>
          </cell>
          <cell r="C19">
            <v>150</v>
          </cell>
          <cell r="D19" t="str">
            <v>CUB MESA 180° 4 LADOS</v>
          </cell>
          <cell r="G19">
            <v>50</v>
          </cell>
          <cell r="I19" t="str">
            <v>CUB MESA 180° 4 LADOS</v>
          </cell>
        </row>
        <row r="20">
          <cell r="B20">
            <v>40</v>
          </cell>
          <cell r="C20">
            <v>100</v>
          </cell>
          <cell r="D20" t="str">
            <v xml:space="preserve">CUB MESA 2L </v>
          </cell>
          <cell r="G20">
            <v>50</v>
          </cell>
          <cell r="H20">
            <v>0</v>
          </cell>
          <cell r="I20" t="str">
            <v xml:space="preserve">CUB MESA 2L </v>
          </cell>
        </row>
        <row r="21">
          <cell r="B21">
            <v>100</v>
          </cell>
          <cell r="C21">
            <v>100</v>
          </cell>
          <cell r="D21" t="str">
            <v xml:space="preserve">CUB MESA 3L </v>
          </cell>
          <cell r="G21">
            <v>50</v>
          </cell>
          <cell r="H21">
            <v>0</v>
          </cell>
          <cell r="I21" t="str">
            <v xml:space="preserve">CUB MESA 3L </v>
          </cell>
        </row>
        <row r="22">
          <cell r="B22">
            <v>100</v>
          </cell>
          <cell r="C22">
            <v>100</v>
          </cell>
          <cell r="D22" t="str">
            <v>CUB MESA 4 LADOS</v>
          </cell>
          <cell r="I22" t="str">
            <v>CUB MESA 4 LADOS</v>
          </cell>
        </row>
        <row r="23">
          <cell r="B23">
            <v>40</v>
          </cell>
          <cell r="C23">
            <v>150</v>
          </cell>
          <cell r="D23" t="str">
            <v>CUB MESA FRENTE ESPAÑOL 2 LADOS</v>
          </cell>
          <cell r="G23">
            <v>50</v>
          </cell>
          <cell r="I23" t="str">
            <v>CUB MESA FRENTE ESPAÑOL 2 LADOS</v>
          </cell>
        </row>
        <row r="24">
          <cell r="B24">
            <v>140</v>
          </cell>
          <cell r="C24">
            <v>150</v>
          </cell>
          <cell r="D24" t="str">
            <v>CUB MESA FRENTE ESPAÑOL 3 LADOS</v>
          </cell>
          <cell r="G24">
            <v>50</v>
          </cell>
          <cell r="I24" t="str">
            <v>CUB MESA FRENTE ESPAÑOL 3 LADOS</v>
          </cell>
        </row>
        <row r="25">
          <cell r="B25">
            <v>150</v>
          </cell>
          <cell r="C25">
            <v>150</v>
          </cell>
          <cell r="D25" t="str">
            <v>CUB MESA FRENTE ESPAÑOL 4 LADOS</v>
          </cell>
          <cell r="G25">
            <v>50</v>
          </cell>
          <cell r="I25" t="str">
            <v>CUB MESA FRENTE ESPAÑOL 4 LADOS</v>
          </cell>
        </row>
        <row r="26">
          <cell r="B26">
            <v>40</v>
          </cell>
          <cell r="C26">
            <v>77</v>
          </cell>
          <cell r="D26" t="str">
            <v>CUB MESA PUNTA TIBURON 2 LADOS</v>
          </cell>
          <cell r="G26">
            <v>50</v>
          </cell>
          <cell r="I26" t="str">
            <v>CUB MESA PUNTA TIBURON 2 LADOS</v>
          </cell>
        </row>
        <row r="27">
          <cell r="B27">
            <v>110</v>
          </cell>
          <cell r="C27">
            <v>77</v>
          </cell>
          <cell r="D27" t="str">
            <v>CUB MESA PUNTA TIBURON 3 LADOS</v>
          </cell>
          <cell r="G27">
            <v>50</v>
          </cell>
          <cell r="I27" t="str">
            <v>CUB MESA PUNTA TIBURON 3 LADOS</v>
          </cell>
        </row>
        <row r="28">
          <cell r="B28">
            <v>120</v>
          </cell>
          <cell r="C28">
            <v>77</v>
          </cell>
          <cell r="D28" t="str">
            <v>CUB MESA PUNTA TIBURON 4 LADOS</v>
          </cell>
          <cell r="G28">
            <v>50</v>
          </cell>
          <cell r="I28" t="str">
            <v>CUB MESA PUNTA TIBURON 4 LADOS</v>
          </cell>
        </row>
        <row r="29">
          <cell r="B29">
            <v>40</v>
          </cell>
          <cell r="C29">
            <v>50</v>
          </cell>
          <cell r="D29" t="str">
            <v>CUB PUNTA TIBURON 1 LADO</v>
          </cell>
          <cell r="G29">
            <v>50</v>
          </cell>
          <cell r="I29" t="str">
            <v>CUB PUNTA TIBURON 1 LADO</v>
          </cell>
        </row>
        <row r="30">
          <cell r="B30">
            <v>40</v>
          </cell>
          <cell r="C30">
            <v>60</v>
          </cell>
          <cell r="D30" t="str">
            <v xml:space="preserve">CUB S/R </v>
          </cell>
          <cell r="G30">
            <v>50</v>
          </cell>
          <cell r="I30" t="str">
            <v>CUB S/R</v>
          </cell>
        </row>
        <row r="31">
          <cell r="B31">
            <v>40</v>
          </cell>
          <cell r="C31">
            <v>100</v>
          </cell>
          <cell r="D31" t="str">
            <v>CUB S/R FRENTE ESPAÑOL</v>
          </cell>
          <cell r="G31">
            <v>50</v>
          </cell>
          <cell r="I31" t="str">
            <v>CUB S/R FRENTE ESPAÑOL</v>
          </cell>
        </row>
        <row r="32">
          <cell r="B32">
            <v>40</v>
          </cell>
          <cell r="C32">
            <v>60</v>
          </cell>
          <cell r="D32" t="str">
            <v>CUB S/R R2</v>
          </cell>
          <cell r="G32">
            <v>50</v>
          </cell>
          <cell r="I32" t="str">
            <v>CUB S/R R2</v>
          </cell>
        </row>
        <row r="33">
          <cell r="B33">
            <v>40</v>
          </cell>
          <cell r="C33">
            <v>90</v>
          </cell>
          <cell r="D33" t="str">
            <v>PR12</v>
          </cell>
          <cell r="G33">
            <v>50</v>
          </cell>
          <cell r="H33">
            <v>-2</v>
          </cell>
          <cell r="I33" t="str">
            <v>PR12</v>
          </cell>
        </row>
        <row r="34">
          <cell r="B34">
            <v>40</v>
          </cell>
          <cell r="C34">
            <v>90</v>
          </cell>
          <cell r="D34" t="str">
            <v>PR19</v>
          </cell>
          <cell r="G34">
            <v>50</v>
          </cell>
          <cell r="H34">
            <v>-2</v>
          </cell>
          <cell r="I34" t="str">
            <v>PR19</v>
          </cell>
        </row>
        <row r="35">
          <cell r="B35">
            <v>40</v>
          </cell>
          <cell r="C35">
            <v>90</v>
          </cell>
          <cell r="D35" t="str">
            <v>PR2</v>
          </cell>
          <cell r="G35">
            <v>50</v>
          </cell>
          <cell r="H35">
            <v>-2</v>
          </cell>
          <cell r="I35" t="str">
            <v>PR2</v>
          </cell>
        </row>
        <row r="36">
          <cell r="B36">
            <v>40</v>
          </cell>
          <cell r="C36">
            <v>90</v>
          </cell>
          <cell r="D36" t="str">
            <v>PR6</v>
          </cell>
          <cell r="G36">
            <v>50</v>
          </cell>
          <cell r="H36">
            <v>-2</v>
          </cell>
          <cell r="I36" t="str">
            <v>PR6</v>
          </cell>
        </row>
        <row r="37">
          <cell r="B37">
            <v>40</v>
          </cell>
          <cell r="C37">
            <v>90</v>
          </cell>
          <cell r="D37" t="str">
            <v>PR8</v>
          </cell>
          <cell r="G37">
            <v>50</v>
          </cell>
          <cell r="H37">
            <v>-2</v>
          </cell>
          <cell r="I37" t="str">
            <v>PR8</v>
          </cell>
        </row>
      </sheetData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1">
          <cell r="F11" t="str">
            <v>FECHA LIMITE :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tabSelected="1" topLeftCell="A13" workbookViewId="0">
      <selection activeCell="G10" sqref="G10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117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118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119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132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133</v>
      </c>
      <c r="G7" s="1"/>
      <c r="H7" s="1"/>
      <c r="I7" s="1"/>
    </row>
    <row r="8" spans="1:17" ht="16.2" thickBot="1" x14ac:dyDescent="0.35">
      <c r="A8" s="1"/>
      <c r="B8" s="65" t="s">
        <v>14</v>
      </c>
      <c r="C8" s="66"/>
      <c r="D8" s="67" t="str">
        <f>'[1]2229'!D8</f>
        <v>N° 11806</v>
      </c>
      <c r="E8" s="1"/>
      <c r="F8" s="68" t="s">
        <v>25</v>
      </c>
      <c r="G8" s="69">
        <v>7352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5.6" x14ac:dyDescent="0.3">
      <c r="A10" s="1"/>
      <c r="B10" s="79" t="s">
        <v>125</v>
      </c>
      <c r="C10" s="80" t="str">
        <f>IF('[1]2229'!C10="","",'[1]2229'!C10)</f>
        <v>PATRICIO MAUREIRA</v>
      </c>
      <c r="D10" s="80"/>
      <c r="E10" s="80"/>
      <c r="F10" s="81" t="s">
        <v>26</v>
      </c>
      <c r="G10" s="82">
        <f>'[1]2229'!G10</f>
        <v>46008</v>
      </c>
      <c r="H10" s="83"/>
      <c r="I10" s="1"/>
      <c r="J10" s="1"/>
      <c r="K10" s="1"/>
      <c r="L10" s="1"/>
      <c r="M10" s="1"/>
      <c r="N10" s="1"/>
      <c r="O10" s="1"/>
      <c r="P10" s="1"/>
      <c r="Q10" s="1"/>
    </row>
    <row r="11" spans="1:17" ht="15.6" x14ac:dyDescent="0.3">
      <c r="A11" s="1"/>
      <c r="B11" s="84" t="s">
        <v>2</v>
      </c>
      <c r="C11" s="8" t="str">
        <f>IF('[1]2229'!C11="","",'[1]2229'!C11)</f>
        <v/>
      </c>
      <c r="D11" s="85"/>
      <c r="E11" s="85"/>
      <c r="F11" s="85" t="s">
        <v>120</v>
      </c>
      <c r="G11" s="86">
        <f>WORKDAY(G10,5)</f>
        <v>46015</v>
      </c>
      <c r="H11" s="87"/>
      <c r="I11" s="1"/>
    </row>
    <row r="12" spans="1:17" ht="15.6" x14ac:dyDescent="0.3">
      <c r="A12" s="1"/>
      <c r="B12" s="88" t="s">
        <v>126</v>
      </c>
      <c r="C12" s="89" t="str">
        <f>IF('[1]2229'!C12="","",'[1]2229'!C12)</f>
        <v/>
      </c>
      <c r="D12" s="89"/>
      <c r="E12" s="89"/>
      <c r="F12" s="89" t="s">
        <v>134</v>
      </c>
      <c r="G12" s="89" t="str">
        <f>'[1]2229'!G14</f>
        <v>NO</v>
      </c>
      <c r="H12" s="90"/>
      <c r="I12" s="1"/>
    </row>
    <row r="13" spans="1:17" ht="15.6" x14ac:dyDescent="0.3">
      <c r="A13" s="1"/>
      <c r="B13" s="91" t="s">
        <v>127</v>
      </c>
      <c r="C13" s="8" t="str">
        <f>IF('[1]2229'!C13="","",'[1]2229'!C13)</f>
        <v/>
      </c>
      <c r="D13" s="8"/>
      <c r="E13" s="8"/>
      <c r="F13" s="8" t="s">
        <v>28</v>
      </c>
      <c r="G13" s="92"/>
      <c r="H13" s="93"/>
      <c r="I13" s="1"/>
    </row>
    <row r="14" spans="1:17" ht="15.6" x14ac:dyDescent="0.3">
      <c r="A14" s="1"/>
      <c r="B14" s="88" t="s">
        <v>129</v>
      </c>
      <c r="C14" s="89" t="str">
        <f>IF('[1]2229'!C14="","",'[1]2229'!C14)</f>
        <v/>
      </c>
      <c r="D14" s="89"/>
      <c r="E14" s="89"/>
      <c r="F14" s="89" t="s">
        <v>124</v>
      </c>
      <c r="G14" s="94" t="s">
        <v>135</v>
      </c>
      <c r="H14" s="90"/>
      <c r="I14" s="1"/>
    </row>
    <row r="15" spans="1:17" ht="15.6" x14ac:dyDescent="0.3">
      <c r="A15" s="1"/>
      <c r="B15" s="84" t="s">
        <v>15</v>
      </c>
      <c r="C15" s="8" t="str">
        <f>IF('[1]2229'!C15="","",'[1]2229'!C15)</f>
        <v>+569 6347 2429</v>
      </c>
      <c r="D15" s="95"/>
      <c r="E15" s="85"/>
      <c r="F15" s="85" t="s">
        <v>27</v>
      </c>
      <c r="G15" s="85" t="str">
        <f>'[1]2229'!G12</f>
        <v>NO</v>
      </c>
      <c r="H15" s="87"/>
      <c r="I15" s="1"/>
    </row>
    <row r="16" spans="1:17" ht="15.6" x14ac:dyDescent="0.3">
      <c r="A16" s="1"/>
      <c r="B16" s="88" t="s">
        <v>1</v>
      </c>
      <c r="C16" s="89" t="str">
        <f>IF('[1]2229'!C16="","",'[1]2229'!C16)</f>
        <v/>
      </c>
      <c r="D16" s="89"/>
      <c r="E16" s="89"/>
      <c r="F16" s="89" t="s">
        <v>73</v>
      </c>
      <c r="G16" s="89" t="str">
        <f>'[1]2229'!G16</f>
        <v>ABONO 50% SALDO C/ENTREGA</v>
      </c>
      <c r="H16" s="90"/>
      <c r="I16" s="1"/>
    </row>
    <row r="17" spans="1:16" ht="16.2" thickBot="1" x14ac:dyDescent="0.35">
      <c r="A17" s="1"/>
      <c r="B17" s="96" t="s">
        <v>3</v>
      </c>
      <c r="C17" s="97" t="str">
        <f>IF('[1]2229'!C17="","",'[1]2229'!C17)</f>
        <v>SANTIAGO</v>
      </c>
      <c r="D17" s="98"/>
      <c r="E17" s="99"/>
      <c r="F17" s="112" t="s">
        <v>16</v>
      </c>
      <c r="G17" s="112"/>
      <c r="H17" s="113"/>
      <c r="I17" s="1"/>
    </row>
    <row r="18" spans="1:16" ht="15.6" x14ac:dyDescent="0.3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"/>
      <c r="C19" s="1"/>
      <c r="D19" s="1"/>
      <c r="E19" s="1"/>
      <c r="F19" s="1"/>
      <c r="G19" s="1"/>
      <c r="H19" s="1"/>
      <c r="I19" s="1"/>
    </row>
    <row r="20" spans="1:16" ht="16.2" thickBot="1" x14ac:dyDescent="0.35">
      <c r="A20" s="1"/>
      <c r="B20" s="114" t="s">
        <v>17</v>
      </c>
      <c r="C20" s="115"/>
      <c r="D20" s="115"/>
      <c r="E20" s="115"/>
      <c r="F20" s="115"/>
      <c r="G20" s="115"/>
      <c r="H20" s="116"/>
      <c r="I20" s="1"/>
    </row>
    <row r="21" spans="1:16" ht="16.2" thickBot="1" x14ac:dyDescent="0.35">
      <c r="A21" s="1"/>
      <c r="B21" s="100" t="s">
        <v>18</v>
      </c>
      <c r="C21" s="101" t="s">
        <v>19</v>
      </c>
      <c r="D21" s="101" t="s">
        <v>20</v>
      </c>
      <c r="E21" s="101" t="s">
        <v>8</v>
      </c>
      <c r="F21" s="102" t="s">
        <v>21</v>
      </c>
      <c r="G21" s="100" t="s">
        <v>22</v>
      </c>
      <c r="H21" s="102" t="s">
        <v>4</v>
      </c>
      <c r="I21" s="1"/>
    </row>
    <row r="22" spans="1:16" ht="15.6" x14ac:dyDescent="0.3">
      <c r="A22" s="1"/>
      <c r="B22" s="103">
        <f>'[1]2229'!B21</f>
        <v>1</v>
      </c>
      <c r="C22" s="104" t="str">
        <f>'[1]2229'!C21</f>
        <v>CUB MESA 2L</v>
      </c>
      <c r="D22" s="105">
        <f>'[1]2229'!D21*1000</f>
        <v>800</v>
      </c>
      <c r="E22" s="105">
        <f>'[1]2229'!E21*1000</f>
        <v>500</v>
      </c>
      <c r="F22" s="106" t="str">
        <f>'[1]2229'!F21</f>
        <v>NEW BLACK GRANITE</v>
      </c>
      <c r="G22" s="107">
        <f>'[1]2229'!G21</f>
        <v>59279.936000000002</v>
      </c>
      <c r="H22" s="108">
        <f>G22*B22</f>
        <v>59279.936000000002</v>
      </c>
      <c r="I22" s="1"/>
      <c r="K22" s="17"/>
      <c r="L22" s="26"/>
      <c r="M22" s="17"/>
      <c r="N22" s="17"/>
      <c r="O22" s="26"/>
      <c r="P22" s="33"/>
    </row>
    <row r="23" spans="1:16" ht="15.6" x14ac:dyDescent="0.3">
      <c r="A23" s="1"/>
      <c r="B23" s="73"/>
      <c r="C23" s="73"/>
      <c r="D23" s="73"/>
      <c r="E23" s="73"/>
      <c r="F23" s="73"/>
      <c r="G23" s="109"/>
      <c r="H23" s="109"/>
      <c r="I23" s="1"/>
      <c r="K23" s="17"/>
      <c r="L23" s="26"/>
      <c r="M23" s="17"/>
      <c r="N23" s="17"/>
      <c r="O23" s="26"/>
      <c r="P23" s="33"/>
    </row>
    <row r="24" spans="1:16" ht="16.2" thickBot="1" x14ac:dyDescent="0.35">
      <c r="A24" s="1"/>
      <c r="B24" s="73"/>
      <c r="C24" s="73"/>
      <c r="D24" s="73"/>
      <c r="E24" s="73"/>
      <c r="F24" s="110"/>
      <c r="G24" s="109"/>
      <c r="H24" s="109"/>
      <c r="I24" s="1"/>
      <c r="K24" s="17"/>
      <c r="L24" s="26"/>
      <c r="M24" s="17"/>
      <c r="N24" s="17"/>
      <c r="O24" s="26"/>
      <c r="P24" s="33"/>
    </row>
    <row r="25" spans="1:16" ht="15.6" x14ac:dyDescent="0.3">
      <c r="A25" s="1"/>
      <c r="B25" s="1"/>
      <c r="C25" s="1"/>
      <c r="D25" s="1"/>
      <c r="E25" s="1"/>
      <c r="F25" s="1"/>
      <c r="G25" s="52" t="s">
        <v>5</v>
      </c>
      <c r="H25" s="53">
        <f>SUM(H22:H24)</f>
        <v>59279.936000000002</v>
      </c>
      <c r="I25" s="1"/>
    </row>
    <row r="26" spans="1:16" ht="15.6" x14ac:dyDescent="0.3">
      <c r="A26" s="1"/>
      <c r="B26" s="1"/>
      <c r="C26" s="1"/>
      <c r="D26" s="1"/>
      <c r="E26" s="1"/>
      <c r="F26" s="1"/>
      <c r="G26" s="54" t="s">
        <v>6</v>
      </c>
      <c r="H26" s="55">
        <f>H25*19%</f>
        <v>11263.187840000001</v>
      </c>
      <c r="I26" s="1"/>
    </row>
    <row r="27" spans="1:16" ht="16.2" thickBot="1" x14ac:dyDescent="0.35">
      <c r="A27" s="1"/>
      <c r="B27" s="1"/>
      <c r="C27" s="1"/>
      <c r="D27" s="1"/>
      <c r="E27" s="1"/>
      <c r="F27" s="1"/>
      <c r="G27" s="56" t="s">
        <v>4</v>
      </c>
      <c r="H27" s="57">
        <f>H25+H26</f>
        <v>70543.12384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50"/>
      <c r="H28" s="111"/>
      <c r="I28" s="1"/>
    </row>
    <row r="29" spans="1:16" ht="15.6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16" ht="15.6" x14ac:dyDescent="0.3">
      <c r="A30" s="1"/>
      <c r="B30" s="58" t="s">
        <v>136</v>
      </c>
      <c r="C30" s="59"/>
      <c r="D30" s="60"/>
      <c r="E30" s="60"/>
      <c r="F30" s="51"/>
      <c r="G30" s="1"/>
      <c r="H30" s="1"/>
      <c r="I30" s="1"/>
    </row>
    <row r="31" spans="1:16" ht="15.6" x14ac:dyDescent="0.3">
      <c r="A31" s="1"/>
      <c r="B31" s="58" t="s">
        <v>137</v>
      </c>
      <c r="C31" s="59"/>
      <c r="D31" s="60"/>
      <c r="E31" s="60"/>
      <c r="F31" s="51"/>
      <c r="G31" s="1"/>
      <c r="H31" s="1"/>
      <c r="I31" s="1"/>
    </row>
    <row r="32" spans="1:16" ht="15.6" x14ac:dyDescent="0.3">
      <c r="A32" s="1"/>
      <c r="B32" s="1" t="s">
        <v>23</v>
      </c>
      <c r="C32" s="1"/>
      <c r="D32" s="1"/>
      <c r="E32" s="61" t="s">
        <v>24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mergeCells count="2">
    <mergeCell ref="F17:H17"/>
    <mergeCell ref="B20:H20"/>
  </mergeCells>
  <phoneticPr fontId="10" type="noConversion"/>
  <hyperlinks>
    <hyperlink ref="E32" r:id="rId1" xr:uid="{3CBCE8F4-9B1B-434A-9E85-07195194A9A3}"/>
  </hyperlinks>
  <pageMargins left="0.70866141732283472" right="0.70866141732283472" top="0.74803149606299213" bottom="0.74803149606299213" header="0.31496062992125984" footer="0.31496062992125984"/>
  <pageSetup paperSize="9" scale="74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7" t="s">
        <v>29</v>
      </c>
      <c r="C2" s="117"/>
      <c r="D2" s="117"/>
      <c r="E2" s="18"/>
      <c r="G2" s="117" t="s">
        <v>68</v>
      </c>
      <c r="H2" s="117"/>
      <c r="I2" s="117"/>
      <c r="P2" s="118" t="s">
        <v>56</v>
      </c>
      <c r="Q2" s="118"/>
      <c r="R2" s="118"/>
    </row>
    <row r="3" spans="2:18" x14ac:dyDescent="0.3">
      <c r="B3" s="11" t="s">
        <v>7</v>
      </c>
      <c r="C3" s="11" t="s">
        <v>8</v>
      </c>
      <c r="D3" s="11" t="s">
        <v>19</v>
      </c>
      <c r="E3" s="19"/>
      <c r="G3" s="11" t="s">
        <v>7</v>
      </c>
      <c r="H3" s="11" t="s">
        <v>8</v>
      </c>
      <c r="I3" s="11" t="s">
        <v>19</v>
      </c>
      <c r="P3" s="11" t="s">
        <v>7</v>
      </c>
      <c r="Q3" s="11" t="s">
        <v>8</v>
      </c>
      <c r="R3" s="11" t="s">
        <v>19</v>
      </c>
    </row>
    <row r="4" spans="2:18" x14ac:dyDescent="0.3">
      <c r="B4" s="9">
        <v>40</v>
      </c>
      <c r="C4" s="9">
        <v>60</v>
      </c>
      <c r="D4" s="10" t="s">
        <v>111</v>
      </c>
      <c r="E4" s="8" t="s">
        <v>99</v>
      </c>
      <c r="G4" s="29">
        <v>50</v>
      </c>
      <c r="H4" s="29">
        <v>100</v>
      </c>
      <c r="I4" s="30" t="s">
        <v>111</v>
      </c>
      <c r="J4" s="31" t="s">
        <v>107</v>
      </c>
      <c r="K4" s="31"/>
      <c r="L4" s="31"/>
      <c r="M4" s="31"/>
      <c r="P4">
        <v>50</v>
      </c>
      <c r="Q4">
        <v>-30</v>
      </c>
      <c r="R4" t="s">
        <v>30</v>
      </c>
    </row>
    <row r="5" spans="2:18" x14ac:dyDescent="0.3">
      <c r="B5" s="9">
        <v>40</v>
      </c>
      <c r="C5" s="9">
        <v>90</v>
      </c>
      <c r="D5" s="10" t="s">
        <v>112</v>
      </c>
      <c r="E5" s="8" t="s">
        <v>100</v>
      </c>
      <c r="G5" s="29">
        <v>50</v>
      </c>
      <c r="H5" s="29"/>
      <c r="I5" s="30" t="s">
        <v>113</v>
      </c>
      <c r="J5" s="31" t="s">
        <v>115</v>
      </c>
      <c r="K5" s="31"/>
      <c r="L5" s="31"/>
      <c r="M5" s="31"/>
      <c r="P5">
        <v>50</v>
      </c>
      <c r="Q5">
        <v>-30</v>
      </c>
      <c r="R5" t="s">
        <v>30</v>
      </c>
    </row>
    <row r="6" spans="2:18" x14ac:dyDescent="0.3">
      <c r="B6" s="9">
        <v>40</v>
      </c>
      <c r="C6" s="9">
        <v>100</v>
      </c>
      <c r="D6" s="10" t="s">
        <v>54</v>
      </c>
      <c r="E6" s="8" t="s">
        <v>101</v>
      </c>
      <c r="G6" s="9">
        <v>50</v>
      </c>
      <c r="H6" s="9">
        <v>100</v>
      </c>
      <c r="I6" s="10" t="s">
        <v>54</v>
      </c>
      <c r="P6">
        <v>50</v>
      </c>
      <c r="Q6">
        <v>-30</v>
      </c>
      <c r="R6" t="s">
        <v>32</v>
      </c>
    </row>
    <row r="7" spans="2:18" x14ac:dyDescent="0.3">
      <c r="B7" s="9">
        <v>40</v>
      </c>
      <c r="C7" s="9">
        <v>150</v>
      </c>
      <c r="D7" s="10" t="s">
        <v>55</v>
      </c>
      <c r="E7" s="8" t="s">
        <v>102</v>
      </c>
      <c r="G7" s="9">
        <v>50</v>
      </c>
      <c r="H7" s="9"/>
      <c r="I7" s="10" t="s">
        <v>55</v>
      </c>
      <c r="P7">
        <v>50</v>
      </c>
      <c r="Q7">
        <v>-30</v>
      </c>
      <c r="R7" t="s">
        <v>42</v>
      </c>
    </row>
    <row r="8" spans="2:18" x14ac:dyDescent="0.3">
      <c r="B8" s="9">
        <v>40</v>
      </c>
      <c r="C8" s="9">
        <v>100</v>
      </c>
      <c r="D8" s="10" t="s">
        <v>38</v>
      </c>
      <c r="E8" s="8" t="s">
        <v>103</v>
      </c>
      <c r="G8" s="9">
        <v>50</v>
      </c>
      <c r="H8" s="9">
        <v>100</v>
      </c>
      <c r="I8" s="10" t="s">
        <v>38</v>
      </c>
      <c r="L8" s="118" t="s">
        <v>56</v>
      </c>
      <c r="M8" s="118"/>
      <c r="N8" s="118"/>
      <c r="P8">
        <v>50</v>
      </c>
      <c r="Q8">
        <v>-30</v>
      </c>
      <c r="R8" t="s">
        <v>48</v>
      </c>
    </row>
    <row r="9" spans="2:18" x14ac:dyDescent="0.3">
      <c r="B9" s="9">
        <v>40</v>
      </c>
      <c r="C9" s="9">
        <v>50</v>
      </c>
      <c r="D9" s="10" t="s">
        <v>52</v>
      </c>
      <c r="E9" s="8" t="s">
        <v>74</v>
      </c>
      <c r="G9" s="9">
        <v>50</v>
      </c>
      <c r="H9" s="9">
        <v>100</v>
      </c>
      <c r="I9" s="10" t="s">
        <v>37</v>
      </c>
      <c r="L9" s="11" t="s">
        <v>7</v>
      </c>
      <c r="M9" s="11" t="s">
        <v>8</v>
      </c>
      <c r="N9" s="11" t="s">
        <v>19</v>
      </c>
      <c r="P9">
        <v>50</v>
      </c>
      <c r="Q9">
        <v>0</v>
      </c>
      <c r="R9" t="s">
        <v>43</v>
      </c>
    </row>
    <row r="10" spans="2:18" x14ac:dyDescent="0.3">
      <c r="B10" s="9">
        <v>40</v>
      </c>
      <c r="C10" s="9">
        <v>80</v>
      </c>
      <c r="D10" s="10" t="s">
        <v>53</v>
      </c>
      <c r="E10" s="8" t="s">
        <v>75</v>
      </c>
      <c r="G10" s="9">
        <v>50</v>
      </c>
      <c r="H10" s="9"/>
      <c r="I10" s="10" t="s">
        <v>39</v>
      </c>
      <c r="L10" s="9">
        <v>50</v>
      </c>
      <c r="M10" s="9">
        <v>-30</v>
      </c>
      <c r="N10" s="10" t="s">
        <v>30</v>
      </c>
      <c r="P10">
        <v>50</v>
      </c>
      <c r="Q10">
        <v>0</v>
      </c>
      <c r="R10" t="s">
        <v>31</v>
      </c>
    </row>
    <row r="11" spans="2:18" x14ac:dyDescent="0.3">
      <c r="B11" s="9">
        <v>40</v>
      </c>
      <c r="C11" s="9">
        <v>60</v>
      </c>
      <c r="D11" s="10" t="s">
        <v>69</v>
      </c>
      <c r="E11" s="8" t="s">
        <v>76</v>
      </c>
      <c r="G11" s="9">
        <v>50</v>
      </c>
      <c r="H11" s="9">
        <v>100</v>
      </c>
      <c r="I11" s="10" t="s">
        <v>52</v>
      </c>
      <c r="L11" s="9">
        <v>50</v>
      </c>
      <c r="M11" s="9">
        <v>0</v>
      </c>
      <c r="N11" s="10" t="s">
        <v>57</v>
      </c>
      <c r="P11">
        <v>50</v>
      </c>
      <c r="Q11">
        <v>0</v>
      </c>
      <c r="R11" t="s">
        <v>34</v>
      </c>
    </row>
    <row r="12" spans="2:18" x14ac:dyDescent="0.3">
      <c r="B12" s="9">
        <v>40</v>
      </c>
      <c r="C12" s="9">
        <v>100</v>
      </c>
      <c r="D12" s="10" t="s">
        <v>70</v>
      </c>
      <c r="E12" s="8" t="s">
        <v>77</v>
      </c>
      <c r="G12" s="9">
        <v>50</v>
      </c>
      <c r="H12" s="9"/>
      <c r="I12" s="10" t="s">
        <v>53</v>
      </c>
      <c r="L12" s="9">
        <v>50</v>
      </c>
      <c r="M12" s="9">
        <v>-2</v>
      </c>
      <c r="N12" s="10" t="s">
        <v>58</v>
      </c>
      <c r="P12">
        <v>50</v>
      </c>
      <c r="Q12">
        <v>0</v>
      </c>
      <c r="R12" t="s">
        <v>35</v>
      </c>
    </row>
    <row r="13" spans="2:18" x14ac:dyDescent="0.3">
      <c r="B13" s="9">
        <v>40</v>
      </c>
      <c r="C13" s="9">
        <v>130</v>
      </c>
      <c r="D13" s="10" t="s">
        <v>123</v>
      </c>
      <c r="E13" s="8" t="s">
        <v>78</v>
      </c>
      <c r="G13" s="9">
        <v>50</v>
      </c>
      <c r="H13" s="9">
        <v>-30</v>
      </c>
      <c r="I13" s="10" t="s">
        <v>30</v>
      </c>
      <c r="P13">
        <v>50</v>
      </c>
      <c r="Q13">
        <v>0</v>
      </c>
      <c r="R13" t="s">
        <v>36</v>
      </c>
    </row>
    <row r="14" spans="2:18" x14ac:dyDescent="0.3">
      <c r="B14" s="9">
        <v>40</v>
      </c>
      <c r="C14" s="9">
        <v>150</v>
      </c>
      <c r="D14" s="10" t="s">
        <v>32</v>
      </c>
      <c r="E14" s="8"/>
      <c r="G14" s="9">
        <v>50</v>
      </c>
      <c r="H14" s="9">
        <v>-30</v>
      </c>
      <c r="I14" s="10" t="s">
        <v>32</v>
      </c>
    </row>
    <row r="15" spans="2:18" x14ac:dyDescent="0.3">
      <c r="B15" s="9">
        <v>40</v>
      </c>
      <c r="C15" s="9">
        <v>150</v>
      </c>
      <c r="D15" s="10" t="s">
        <v>114</v>
      </c>
      <c r="E15" s="8" t="s">
        <v>79</v>
      </c>
      <c r="G15" s="9">
        <v>50</v>
      </c>
      <c r="H15" s="9">
        <v>-30</v>
      </c>
      <c r="I15" s="10" t="s">
        <v>42</v>
      </c>
      <c r="P15">
        <v>50</v>
      </c>
      <c r="Q15">
        <v>0</v>
      </c>
      <c r="R15" t="s">
        <v>33</v>
      </c>
    </row>
    <row r="16" spans="2:18" x14ac:dyDescent="0.3">
      <c r="B16" s="9">
        <v>40</v>
      </c>
      <c r="C16" s="9">
        <v>130</v>
      </c>
      <c r="D16" s="10" t="s">
        <v>104</v>
      </c>
      <c r="E16" s="8" t="s">
        <v>80</v>
      </c>
      <c r="G16" s="9">
        <v>50</v>
      </c>
      <c r="H16" s="9">
        <v>-30</v>
      </c>
      <c r="I16" s="10" t="s">
        <v>72</v>
      </c>
      <c r="P16">
        <v>50</v>
      </c>
      <c r="Q16">
        <v>0</v>
      </c>
      <c r="R16" t="s">
        <v>44</v>
      </c>
    </row>
    <row r="17" spans="2:18" x14ac:dyDescent="0.3">
      <c r="B17" s="9">
        <v>40</v>
      </c>
      <c r="C17" s="9">
        <v>150</v>
      </c>
      <c r="D17" s="10" t="s">
        <v>34</v>
      </c>
      <c r="E17" s="8" t="s">
        <v>81</v>
      </c>
      <c r="G17" s="9">
        <v>50</v>
      </c>
      <c r="H17" s="9"/>
      <c r="I17" s="10" t="s">
        <v>34</v>
      </c>
      <c r="P17">
        <v>50</v>
      </c>
      <c r="Q17">
        <v>0</v>
      </c>
      <c r="R17" t="s">
        <v>45</v>
      </c>
    </row>
    <row r="18" spans="2:18" x14ac:dyDescent="0.3">
      <c r="B18" s="9">
        <v>140</v>
      </c>
      <c r="C18" s="9">
        <v>150</v>
      </c>
      <c r="D18" s="10" t="s">
        <v>35</v>
      </c>
      <c r="E18" s="8" t="s">
        <v>82</v>
      </c>
      <c r="G18" s="9">
        <v>50</v>
      </c>
      <c r="H18" s="9"/>
      <c r="I18" s="10" t="s">
        <v>35</v>
      </c>
      <c r="P18">
        <v>50</v>
      </c>
      <c r="Q18">
        <v>0</v>
      </c>
      <c r="R18" t="s">
        <v>46</v>
      </c>
    </row>
    <row r="19" spans="2:18" x14ac:dyDescent="0.3">
      <c r="B19" s="9">
        <v>150</v>
      </c>
      <c r="C19" s="9">
        <v>150</v>
      </c>
      <c r="D19" s="10" t="s">
        <v>36</v>
      </c>
      <c r="E19" s="8" t="s">
        <v>83</v>
      </c>
      <c r="G19" s="9">
        <v>50</v>
      </c>
      <c r="H19" s="9"/>
      <c r="I19" s="10" t="s">
        <v>36</v>
      </c>
      <c r="P19">
        <v>50</v>
      </c>
      <c r="Q19">
        <v>0</v>
      </c>
      <c r="R19" t="s">
        <v>49</v>
      </c>
    </row>
    <row r="20" spans="2:18" x14ac:dyDescent="0.3">
      <c r="B20" s="9">
        <v>40</v>
      </c>
      <c r="C20" s="9">
        <v>100</v>
      </c>
      <c r="D20" s="10" t="s">
        <v>116</v>
      </c>
      <c r="E20" s="8" t="s">
        <v>84</v>
      </c>
      <c r="G20" s="9">
        <v>50</v>
      </c>
      <c r="H20" s="9">
        <v>0</v>
      </c>
      <c r="I20" s="10" t="s">
        <v>116</v>
      </c>
      <c r="J20" s="31" t="s">
        <v>109</v>
      </c>
      <c r="K20" s="31"/>
      <c r="L20" s="31"/>
      <c r="M20" s="31"/>
      <c r="P20">
        <v>50</v>
      </c>
      <c r="Q20">
        <v>0</v>
      </c>
      <c r="R20" t="s">
        <v>50</v>
      </c>
    </row>
    <row r="21" spans="2:18" x14ac:dyDescent="0.3">
      <c r="B21" s="9">
        <v>100</v>
      </c>
      <c r="C21" s="9">
        <v>100</v>
      </c>
      <c r="D21" s="10" t="s">
        <v>110</v>
      </c>
      <c r="E21" s="8" t="s">
        <v>85</v>
      </c>
      <c r="G21" s="9">
        <v>50</v>
      </c>
      <c r="H21" s="9">
        <v>0</v>
      </c>
      <c r="I21" s="10" t="s">
        <v>110</v>
      </c>
      <c r="P21">
        <v>50</v>
      </c>
      <c r="Q21">
        <v>0</v>
      </c>
      <c r="R21" t="s">
        <v>51</v>
      </c>
    </row>
    <row r="22" spans="2:18" x14ac:dyDescent="0.3">
      <c r="B22" s="9">
        <v>100</v>
      </c>
      <c r="C22" s="9">
        <v>100</v>
      </c>
      <c r="D22" s="10" t="s">
        <v>33</v>
      </c>
      <c r="E22" s="8" t="s">
        <v>86</v>
      </c>
      <c r="G22" s="29"/>
      <c r="H22" s="29"/>
      <c r="I22" s="30" t="s">
        <v>33</v>
      </c>
      <c r="P22">
        <v>50</v>
      </c>
      <c r="Q22">
        <v>0</v>
      </c>
      <c r="R22" t="s">
        <v>47</v>
      </c>
    </row>
    <row r="23" spans="2:18" x14ac:dyDescent="0.3">
      <c r="B23" s="9">
        <v>40</v>
      </c>
      <c r="C23" s="9">
        <v>150</v>
      </c>
      <c r="D23" s="10" t="s">
        <v>44</v>
      </c>
      <c r="E23" s="8" t="s">
        <v>87</v>
      </c>
      <c r="G23" s="9">
        <v>50</v>
      </c>
      <c r="H23" s="9"/>
      <c r="I23" s="10" t="s">
        <v>44</v>
      </c>
      <c r="R23" t="s">
        <v>40</v>
      </c>
    </row>
    <row r="24" spans="2:18" x14ac:dyDescent="0.3">
      <c r="B24" s="9">
        <v>140</v>
      </c>
      <c r="C24" s="9">
        <v>150</v>
      </c>
      <c r="D24" s="10" t="s">
        <v>45</v>
      </c>
      <c r="E24" s="8" t="s">
        <v>88</v>
      </c>
      <c r="G24" s="9">
        <v>50</v>
      </c>
      <c r="H24" s="9"/>
      <c r="I24" s="10" t="s">
        <v>45</v>
      </c>
      <c r="R24" t="s">
        <v>41</v>
      </c>
    </row>
    <row r="25" spans="2:18" x14ac:dyDescent="0.3">
      <c r="B25" s="9">
        <v>150</v>
      </c>
      <c r="C25" s="9">
        <v>150</v>
      </c>
      <c r="D25" s="10" t="s">
        <v>46</v>
      </c>
      <c r="E25" s="8" t="s">
        <v>89</v>
      </c>
      <c r="G25" s="9">
        <v>50</v>
      </c>
      <c r="H25" s="9"/>
      <c r="I25" s="10" t="s">
        <v>46</v>
      </c>
      <c r="R25" t="s">
        <v>54</v>
      </c>
    </row>
    <row r="26" spans="2:18" x14ac:dyDescent="0.3">
      <c r="B26" s="9">
        <v>40</v>
      </c>
      <c r="C26" s="9">
        <v>77</v>
      </c>
      <c r="D26" s="10" t="s">
        <v>49</v>
      </c>
      <c r="E26" s="8" t="s">
        <v>90</v>
      </c>
      <c r="G26" s="9">
        <v>50</v>
      </c>
      <c r="H26" s="9"/>
      <c r="I26" s="10" t="s">
        <v>49</v>
      </c>
      <c r="R26" t="s">
        <v>55</v>
      </c>
    </row>
    <row r="27" spans="2:18" x14ac:dyDescent="0.3">
      <c r="B27" s="9">
        <v>110</v>
      </c>
      <c r="C27" s="9">
        <v>77</v>
      </c>
      <c r="D27" s="10" t="s">
        <v>50</v>
      </c>
      <c r="E27" s="8" t="s">
        <v>91</v>
      </c>
      <c r="G27" s="9">
        <v>50</v>
      </c>
      <c r="H27" s="9"/>
      <c r="I27" s="10" t="s">
        <v>50</v>
      </c>
      <c r="R27" t="s">
        <v>38</v>
      </c>
    </row>
    <row r="28" spans="2:18" x14ac:dyDescent="0.3">
      <c r="B28" s="9">
        <v>120</v>
      </c>
      <c r="C28" s="9">
        <v>77</v>
      </c>
      <c r="D28" s="10" t="s">
        <v>51</v>
      </c>
      <c r="E28" s="8" t="s">
        <v>92</v>
      </c>
      <c r="G28" s="9">
        <v>50</v>
      </c>
      <c r="H28" s="9"/>
      <c r="I28" s="10" t="s">
        <v>51</v>
      </c>
      <c r="R28" t="s">
        <v>37</v>
      </c>
    </row>
    <row r="29" spans="2:18" x14ac:dyDescent="0.3">
      <c r="B29" s="9">
        <v>40</v>
      </c>
      <c r="C29" s="9">
        <v>50</v>
      </c>
      <c r="D29" s="10" t="s">
        <v>47</v>
      </c>
      <c r="E29" s="8" t="s">
        <v>93</v>
      </c>
      <c r="G29" s="9">
        <v>50</v>
      </c>
      <c r="H29" s="9"/>
      <c r="I29" s="10" t="s">
        <v>47</v>
      </c>
      <c r="R29" t="s">
        <v>39</v>
      </c>
    </row>
    <row r="30" spans="2:18" x14ac:dyDescent="0.3">
      <c r="B30" s="9">
        <v>40</v>
      </c>
      <c r="C30" s="9">
        <v>60</v>
      </c>
      <c r="D30" s="10" t="s">
        <v>71</v>
      </c>
      <c r="E30" s="8" t="s">
        <v>94</v>
      </c>
      <c r="G30" s="9">
        <v>50</v>
      </c>
      <c r="H30" s="9"/>
      <c r="I30" s="10" t="s">
        <v>31</v>
      </c>
      <c r="R30" t="s">
        <v>52</v>
      </c>
    </row>
    <row r="31" spans="2:18" x14ac:dyDescent="0.3">
      <c r="B31" s="9">
        <v>40</v>
      </c>
      <c r="C31" s="9">
        <v>100</v>
      </c>
      <c r="D31" s="10" t="s">
        <v>43</v>
      </c>
      <c r="E31" s="8" t="s">
        <v>95</v>
      </c>
      <c r="G31" s="9">
        <v>50</v>
      </c>
      <c r="H31" s="9"/>
      <c r="I31" s="10" t="s">
        <v>43</v>
      </c>
      <c r="R31" t="s">
        <v>53</v>
      </c>
    </row>
    <row r="32" spans="2:18" x14ac:dyDescent="0.3">
      <c r="B32" s="9">
        <v>40</v>
      </c>
      <c r="C32" s="9">
        <v>60</v>
      </c>
      <c r="D32" s="10" t="s">
        <v>106</v>
      </c>
      <c r="E32" s="8" t="s">
        <v>96</v>
      </c>
      <c r="G32" s="9">
        <v>50</v>
      </c>
      <c r="H32" s="9"/>
      <c r="I32" s="10" t="s">
        <v>106</v>
      </c>
      <c r="R32" t="s">
        <v>60</v>
      </c>
    </row>
    <row r="33" spans="2:18" x14ac:dyDescent="0.3">
      <c r="B33" s="9">
        <v>40</v>
      </c>
      <c r="C33" s="9">
        <v>90</v>
      </c>
      <c r="D33" s="10" t="s">
        <v>63</v>
      </c>
      <c r="E33" s="8" t="s">
        <v>97</v>
      </c>
      <c r="G33" s="9">
        <v>50</v>
      </c>
      <c r="H33" s="9">
        <v>-2</v>
      </c>
      <c r="I33" s="10" t="s">
        <v>63</v>
      </c>
      <c r="R33" t="s">
        <v>61</v>
      </c>
    </row>
    <row r="34" spans="2:18" x14ac:dyDescent="0.3">
      <c r="B34" s="9">
        <v>40</v>
      </c>
      <c r="C34" s="9">
        <v>90</v>
      </c>
      <c r="D34" s="10" t="s">
        <v>64</v>
      </c>
      <c r="E34" s="8"/>
      <c r="G34" s="9">
        <v>50</v>
      </c>
      <c r="H34" s="9">
        <v>-2</v>
      </c>
      <c r="I34" s="10" t="s">
        <v>64</v>
      </c>
    </row>
    <row r="35" spans="2:18" x14ac:dyDescent="0.3">
      <c r="B35" s="9">
        <v>40</v>
      </c>
      <c r="C35" s="9">
        <v>90</v>
      </c>
      <c r="D35" s="10" t="s">
        <v>60</v>
      </c>
      <c r="E35" s="8" t="s">
        <v>98</v>
      </c>
      <c r="G35" s="9">
        <v>50</v>
      </c>
      <c r="H35" s="9">
        <v>-2</v>
      </c>
      <c r="I35" s="10" t="s">
        <v>60</v>
      </c>
      <c r="R35" t="s">
        <v>62</v>
      </c>
    </row>
    <row r="36" spans="2:18" x14ac:dyDescent="0.3">
      <c r="B36" s="27">
        <v>40</v>
      </c>
      <c r="C36" s="27">
        <v>90</v>
      </c>
      <c r="D36" s="28" t="s">
        <v>61</v>
      </c>
      <c r="G36" s="9">
        <v>50</v>
      </c>
      <c r="H36" s="9">
        <v>-2</v>
      </c>
      <c r="I36" s="10" t="s">
        <v>61</v>
      </c>
      <c r="R36" t="s">
        <v>63</v>
      </c>
    </row>
    <row r="37" spans="2:18" x14ac:dyDescent="0.3">
      <c r="B37" s="27">
        <v>40</v>
      </c>
      <c r="C37" s="27">
        <v>90</v>
      </c>
      <c r="D37" s="28" t="s">
        <v>62</v>
      </c>
      <c r="G37" s="9">
        <v>50</v>
      </c>
      <c r="H37" s="9">
        <v>-2</v>
      </c>
      <c r="I37" s="10" t="s">
        <v>62</v>
      </c>
      <c r="R37" t="s">
        <v>64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56"/>
  <sheetViews>
    <sheetView topLeftCell="A2" zoomScaleNormal="100" workbookViewId="0">
      <selection activeCell="D14" sqref="D14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122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3" t="s">
        <v>59</v>
      </c>
      <c r="L3" s="123"/>
      <c r="M3" s="123" t="s">
        <v>13</v>
      </c>
      <c r="N3" s="123"/>
    </row>
    <row r="4" spans="1:14" ht="15.75" customHeight="1" x14ac:dyDescent="0.3">
      <c r="A4" s="1"/>
      <c r="B4" s="1"/>
      <c r="C4" s="38" t="s">
        <v>25</v>
      </c>
      <c r="D4" s="14">
        <v>7352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39" t="s">
        <v>65</v>
      </c>
      <c r="D5" s="40" t="str">
        <f>'[1]NOTA DE VENTA'!$C$10</f>
        <v>PATRICIO MAUREIRA</v>
      </c>
      <c r="E5" s="41"/>
      <c r="F5" s="41"/>
      <c r="G5" s="1"/>
      <c r="K5">
        <f>LOOKUP(F14,[1]REGLAS!$I$4:$I$37,[1]REGLAS!$G$4:$G$37)+J14</f>
        <v>850</v>
      </c>
      <c r="L5">
        <f>LOOKUP(F14,[1]REGLAS!$I$4:$I$37,[1]REGLAS!$H$4:$H$37)+K14</f>
        <v>500</v>
      </c>
      <c r="M5" cm="1">
        <f t="array" ref="M5">INDEX([1]REGLAS!$B$4:$B$37,
MATCH(TRIM(CLEAN(F21)),
TRIM(CLEAN([1]REGLAS!$D$4:$D$37)),0))+J21</f>
        <v>840</v>
      </c>
      <c r="N5" cm="1">
        <f t="array" ref="N5">INDEX([1]REGLAS!$C$4:$C$37,
MATCH(TRIM(CLEAN(F14)),
TRIM(CLEAN([1]REGLAS!$D$4:$D$37)),0))+K21</f>
        <v>600</v>
      </c>
    </row>
    <row r="6" spans="1:14" ht="4.5" customHeight="1" x14ac:dyDescent="0.3">
      <c r="A6" s="1"/>
      <c r="B6" s="1"/>
      <c r="C6" s="42"/>
      <c r="D6" s="43"/>
      <c r="E6" s="1"/>
      <c r="F6" s="1"/>
      <c r="G6" s="1"/>
    </row>
    <row r="7" spans="1:14" ht="15.6" x14ac:dyDescent="0.3">
      <c r="A7" s="1"/>
      <c r="B7" s="1"/>
      <c r="C7" s="44" t="str">
        <f>'[1]NOTA DE VENTA'!$F$10</f>
        <v>FECHA :</v>
      </c>
      <c r="D7" s="74">
        <f>'[1]NOTA DE VENTA'!$G$10</f>
        <v>46008</v>
      </c>
      <c r="E7" s="1"/>
      <c r="F7" s="1"/>
      <c r="G7" s="1"/>
    </row>
    <row r="8" spans="1:14" ht="15.6" x14ac:dyDescent="0.3">
      <c r="A8" s="1"/>
      <c r="B8" s="1"/>
      <c r="C8" s="38" t="s">
        <v>121</v>
      </c>
      <c r="D8" s="75">
        <f>'[1]NOTA DE VENTA'!$G$11</f>
        <v>46015</v>
      </c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4" t="s">
        <v>59</v>
      </c>
      <c r="B10" s="124"/>
      <c r="C10" s="124"/>
      <c r="D10" s="124"/>
      <c r="E10" s="124"/>
      <c r="F10" s="124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0" t="s">
        <v>7</v>
      </c>
      <c r="E12" s="50" t="s">
        <v>8</v>
      </c>
      <c r="F12" s="1"/>
      <c r="G12" s="1"/>
    </row>
    <row r="13" spans="1:14" ht="15.6" x14ac:dyDescent="0.3">
      <c r="A13" s="50" t="s">
        <v>9</v>
      </c>
      <c r="B13" s="37" t="s">
        <v>10</v>
      </c>
      <c r="C13" s="37" t="s">
        <v>11</v>
      </c>
      <c r="D13" s="32">
        <v>80</v>
      </c>
      <c r="E13" s="32">
        <f>LOOKUP(F14,[1]REGLAS!$I$4:$I$37,[1]REGLAS!$H$4:$H$37)</f>
        <v>0</v>
      </c>
      <c r="F13" s="37" t="s">
        <v>108</v>
      </c>
      <c r="G13" s="1"/>
      <c r="J13" s="5" t="s">
        <v>7</v>
      </c>
      <c r="K13" s="5" t="s">
        <v>8</v>
      </c>
    </row>
    <row r="14" spans="1:14" ht="15.6" x14ac:dyDescent="0.3">
      <c r="A14" s="76" t="s">
        <v>130</v>
      </c>
      <c r="B14" s="25">
        <f t="shared" ref="B14" si="0">I14</f>
        <v>1</v>
      </c>
      <c r="C14" s="25"/>
      <c r="D14" s="25">
        <f>LOOKUP(F14,[1]REGLAS!$I$4:$I$37,[1]REGLAS!$G$4:$G$37)+J14</f>
        <v>850</v>
      </c>
      <c r="E14" s="35">
        <f>LOOKUP(F14,[1]REGLAS!$I$4:$I$37,[1]REGLAS!$H$4:$H$37)+K14</f>
        <v>500</v>
      </c>
      <c r="F14" s="71" t="str">
        <f>C27</f>
        <v>CUB MESA 2L</v>
      </c>
      <c r="G14" s="1"/>
      <c r="I14" s="3">
        <f>I21</f>
        <v>1</v>
      </c>
      <c r="J14" s="4">
        <f t="shared" ref="J14:K14" si="1">D27</f>
        <v>800</v>
      </c>
      <c r="K14" s="4">
        <f t="shared" si="1"/>
        <v>500</v>
      </c>
    </row>
    <row r="15" spans="1:14" ht="15.6" x14ac:dyDescent="0.3">
      <c r="A15" s="50"/>
      <c r="B15" s="6"/>
      <c r="C15" s="6"/>
      <c r="D15" s="6"/>
      <c r="E15" s="63"/>
      <c r="F15" s="6"/>
      <c r="G15" s="1"/>
      <c r="I15" s="64"/>
      <c r="J15" s="2"/>
      <c r="K15" s="2"/>
    </row>
    <row r="16" spans="1:14" ht="6.75" customHeight="1" x14ac:dyDescent="0.3">
      <c r="A16" s="1"/>
      <c r="B16" s="1"/>
      <c r="C16" s="1"/>
      <c r="D16" s="1"/>
      <c r="E16" s="1"/>
      <c r="F16" s="1"/>
      <c r="G16" s="1"/>
    </row>
    <row r="17" spans="1:11" ht="15.6" x14ac:dyDescent="0.3">
      <c r="A17" s="124" t="s">
        <v>13</v>
      </c>
      <c r="B17" s="124"/>
      <c r="C17" s="124"/>
      <c r="D17" s="124"/>
      <c r="E17" s="124"/>
      <c r="F17" s="124"/>
      <c r="G17" s="1"/>
    </row>
    <row r="18" spans="1:11" ht="10.5" customHeight="1" x14ac:dyDescent="0.3">
      <c r="A18" s="1"/>
      <c r="B18" s="1"/>
      <c r="C18" s="12"/>
      <c r="D18" s="1"/>
      <c r="E18" s="1"/>
      <c r="F18" s="1"/>
      <c r="G18" s="1"/>
    </row>
    <row r="19" spans="1:11" ht="15.6" x14ac:dyDescent="0.3">
      <c r="A19" s="1"/>
      <c r="B19" s="1"/>
      <c r="C19" s="1"/>
      <c r="D19" s="50" t="s">
        <v>7</v>
      </c>
      <c r="E19" s="50" t="s">
        <v>8</v>
      </c>
      <c r="F19" s="1"/>
      <c r="G19" s="1"/>
    </row>
    <row r="20" spans="1:11" ht="15.6" x14ac:dyDescent="0.3">
      <c r="A20" s="50" t="s">
        <v>9</v>
      </c>
      <c r="B20" s="36" t="s">
        <v>10</v>
      </c>
      <c r="C20" s="36" t="s">
        <v>11</v>
      </c>
      <c r="D20" s="21" cm="1">
        <f t="array" ref="D20">INDEX([1]REGLAS!$B$4:$B$37,
MATCH(TRIM(CLEAN(F21)),
TRIM(CLEAN([1]REGLAS!$D$4:$D$37)),0))</f>
        <v>40</v>
      </c>
      <c r="E20" s="21" cm="1">
        <f t="array" ref="E20">INDEX([1]REGLAS!$C$4:$C$37,
MATCH(TRIM(CLEAN(F14)),
TRIM(CLEAN([1]REGLAS!$D$4:$D$37)),0))</f>
        <v>100</v>
      </c>
      <c r="F20" s="36" t="s">
        <v>108</v>
      </c>
      <c r="G20" s="1"/>
      <c r="J20" s="5" t="s">
        <v>7</v>
      </c>
      <c r="K20" s="5" t="s">
        <v>8</v>
      </c>
    </row>
    <row r="21" spans="1:11" ht="15.6" x14ac:dyDescent="0.3">
      <c r="A21" s="76" t="s">
        <v>131</v>
      </c>
      <c r="B21" s="16">
        <f t="shared" ref="B21" si="2">I21</f>
        <v>1</v>
      </c>
      <c r="C21" s="16"/>
      <c r="D21" s="16" cm="1">
        <f t="array" ref="D21">INDEX([1]REGLAS!$B$4:$B$37,
MATCH(TRIM(CLEAN(F21)),
TRIM(CLEAN([1]REGLAS!$D$4:$D$37)),0))+J21</f>
        <v>840</v>
      </c>
      <c r="E21" s="16" cm="1">
        <f t="array" ref="E21">INDEX([1]REGLAS!$C$4:$C$37,
MATCH(TRIM(CLEAN(F14)),
TRIM(CLEAN([1]REGLAS!$D$4:$D$37)),0))+K21</f>
        <v>600</v>
      </c>
      <c r="F21" s="72" t="str">
        <f>C27</f>
        <v>CUB MESA 2L</v>
      </c>
      <c r="G21" s="1"/>
      <c r="I21" s="3">
        <f>B27</f>
        <v>1</v>
      </c>
      <c r="J21" s="4">
        <f>D27</f>
        <v>800</v>
      </c>
      <c r="K21" s="4">
        <f>E27</f>
        <v>500</v>
      </c>
    </row>
    <row r="22" spans="1:11" ht="15.6" x14ac:dyDescent="0.3">
      <c r="A22" s="70"/>
      <c r="B22" s="6"/>
      <c r="C22" s="6"/>
      <c r="D22" s="6"/>
      <c r="E22" s="6"/>
      <c r="F22" s="6"/>
      <c r="G22" s="1"/>
      <c r="I22" s="64"/>
      <c r="J22" s="2"/>
      <c r="K22" s="2"/>
    </row>
    <row r="23" spans="1:11" ht="16.2" thickBot="1" x14ac:dyDescent="0.35">
      <c r="A23" s="50"/>
      <c r="B23" s="6"/>
      <c r="C23" s="6"/>
      <c r="D23" s="6"/>
      <c r="E23" s="6"/>
      <c r="F23" s="6"/>
      <c r="G23" s="1"/>
      <c r="I23" s="2"/>
      <c r="J23" s="2"/>
      <c r="K23" s="2"/>
    </row>
    <row r="24" spans="1:11" ht="16.2" thickBot="1" x14ac:dyDescent="0.35">
      <c r="A24" s="50"/>
      <c r="B24" s="22" t="s">
        <v>105</v>
      </c>
      <c r="C24" s="23"/>
      <c r="D24" s="23"/>
      <c r="E24" s="23"/>
      <c r="F24" s="24"/>
      <c r="G24" s="1"/>
      <c r="I24" s="2"/>
      <c r="J24" s="2"/>
      <c r="K24" s="2"/>
    </row>
    <row r="25" spans="1:11" ht="10.5" customHeight="1" x14ac:dyDescent="0.3">
      <c r="A25" s="1"/>
      <c r="B25" s="1"/>
      <c r="C25" s="1"/>
      <c r="D25" s="1"/>
      <c r="E25" s="1"/>
      <c r="F25" s="1"/>
      <c r="G25" s="1"/>
    </row>
    <row r="26" spans="1:11" ht="15.6" x14ac:dyDescent="0.3">
      <c r="A26" s="50" t="s">
        <v>9</v>
      </c>
      <c r="B26" s="62" t="s">
        <v>10</v>
      </c>
      <c r="C26" s="62" t="s">
        <v>108</v>
      </c>
      <c r="D26" s="62" t="s">
        <v>7</v>
      </c>
      <c r="E26" s="62" t="s">
        <v>8</v>
      </c>
      <c r="F26" s="62" t="s">
        <v>21</v>
      </c>
      <c r="G26" s="1"/>
    </row>
    <row r="27" spans="1:11" ht="15.6" x14ac:dyDescent="0.3">
      <c r="A27" s="76" t="s">
        <v>130</v>
      </c>
      <c r="B27" s="25">
        <f t="shared" ref="B27:C27" si="3">B49</f>
        <v>1</v>
      </c>
      <c r="C27" s="25" t="str">
        <f t="shared" si="3"/>
        <v>CUB MESA 2L</v>
      </c>
      <c r="D27" s="25">
        <f>D49</f>
        <v>800</v>
      </c>
      <c r="E27" s="25">
        <f>E49</f>
        <v>500</v>
      </c>
      <c r="F27" s="25" t="str">
        <f>F49</f>
        <v>NEW BLACK GRANITE</v>
      </c>
      <c r="G27" s="1"/>
    </row>
    <row r="28" spans="1:11" ht="15.6" x14ac:dyDescent="0.3">
      <c r="A28" s="70"/>
      <c r="B28" s="6"/>
      <c r="C28" s="6"/>
      <c r="D28" s="6"/>
      <c r="E28" s="6"/>
      <c r="F28" s="6"/>
      <c r="G28" s="1"/>
    </row>
    <row r="29" spans="1:11" ht="15.6" x14ac:dyDescent="0.3">
      <c r="A29" s="50"/>
      <c r="B29" s="6"/>
      <c r="C29" s="6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1"/>
      <c r="C38" s="1"/>
      <c r="D38" s="1"/>
      <c r="E38" s="1"/>
      <c r="F38" s="1"/>
      <c r="G38" s="1"/>
    </row>
    <row r="39" spans="1:7" ht="15.6" x14ac:dyDescent="0.3">
      <c r="A39" s="1"/>
      <c r="B39" s="1"/>
      <c r="C39" s="38" t="s">
        <v>25</v>
      </c>
      <c r="D39" s="14">
        <v>7352</v>
      </c>
      <c r="E39" s="1"/>
      <c r="F39" s="1"/>
      <c r="G39" s="1"/>
    </row>
    <row r="40" spans="1:7" ht="17.25" customHeight="1" x14ac:dyDescent="0.3">
      <c r="A40" s="1"/>
      <c r="B40" s="1"/>
      <c r="C40" s="39" t="s">
        <v>65</v>
      </c>
      <c r="D40" s="40" t="str">
        <f>'[1]NOTA DE VENTA'!C10</f>
        <v>PATRICIO MAUREIRA</v>
      </c>
      <c r="E40" s="41"/>
      <c r="F40" s="41"/>
      <c r="G40" s="1"/>
    </row>
    <row r="41" spans="1:7" ht="4.5" customHeight="1" x14ac:dyDescent="0.3">
      <c r="A41" s="1"/>
      <c r="B41" s="1"/>
      <c r="C41" s="42"/>
      <c r="D41" s="43"/>
      <c r="E41" s="1"/>
      <c r="F41" s="1"/>
      <c r="G41" s="1"/>
    </row>
    <row r="42" spans="1:7" ht="15.6" x14ac:dyDescent="0.3">
      <c r="A42" s="1"/>
      <c r="B42" s="1"/>
      <c r="C42" s="44" t="str">
        <f>'[2]4637'!F11</f>
        <v>FECHA LIMITE :</v>
      </c>
      <c r="D42" s="13">
        <f>'[1]NOTA DE VENTA'!G11</f>
        <v>46015</v>
      </c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24" t="s">
        <v>66</v>
      </c>
      <c r="B45" s="124"/>
      <c r="C45" s="124"/>
      <c r="D45" s="124"/>
      <c r="E45" s="124"/>
      <c r="F45" s="124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75" customHeight="1" x14ac:dyDescent="0.3">
      <c r="A47" s="1"/>
      <c r="B47" s="119" t="s">
        <v>67</v>
      </c>
      <c r="C47" s="120"/>
      <c r="D47" s="121"/>
      <c r="E47" s="121"/>
      <c r="F47" s="122"/>
      <c r="G47" s="1"/>
    </row>
    <row r="48" spans="1:7" s="15" customFormat="1" ht="12.75" customHeight="1" x14ac:dyDescent="0.3">
      <c r="A48" s="1"/>
      <c r="B48" s="36" t="s">
        <v>10</v>
      </c>
      <c r="C48" s="45" t="s">
        <v>11</v>
      </c>
      <c r="D48" s="46" t="s">
        <v>7</v>
      </c>
      <c r="E48" s="46" t="s">
        <v>8</v>
      </c>
      <c r="F48" s="47" t="s">
        <v>12</v>
      </c>
      <c r="G48" s="1"/>
    </row>
    <row r="49" spans="1:7" s="15" customFormat="1" ht="15" customHeight="1" x14ac:dyDescent="0.3">
      <c r="A49" s="76" t="s">
        <v>128</v>
      </c>
      <c r="B49" s="77">
        <f>'[1]NOTA DE VENTA'!B22</f>
        <v>1</v>
      </c>
      <c r="C49" s="77" t="str">
        <f>'[1]NOTA DE VENTA'!C22</f>
        <v>CUB MESA 2L</v>
      </c>
      <c r="D49" s="77">
        <f>'[1]NOTA DE VENTA'!D22</f>
        <v>800</v>
      </c>
      <c r="E49" s="77">
        <f>'[1]NOTA DE VENTA'!E22</f>
        <v>500</v>
      </c>
      <c r="F49" s="77" t="str">
        <f>'[1]NOTA DE VENTA'!F22</f>
        <v>NEW BLACK GRANITE</v>
      </c>
      <c r="G49" s="1"/>
    </row>
    <row r="50" spans="1:7" s="15" customFormat="1" ht="15" customHeight="1" x14ac:dyDescent="0.3">
      <c r="A50" s="70"/>
      <c r="B50" s="50"/>
      <c r="C50" s="78"/>
      <c r="D50" s="50"/>
      <c r="E50" s="50"/>
      <c r="F50" s="50"/>
      <c r="G50" s="1"/>
    </row>
    <row r="51" spans="1:7" s="15" customFormat="1" ht="15" customHeight="1" x14ac:dyDescent="0.3">
      <c r="A51" s="48"/>
      <c r="B51" s="50"/>
      <c r="C51" s="50"/>
      <c r="D51" s="50"/>
      <c r="E51" s="50"/>
      <c r="F51" s="50"/>
      <c r="G51" s="1"/>
    </row>
    <row r="52" spans="1:7" ht="15.6" x14ac:dyDescent="0.3">
      <c r="A52" s="1"/>
      <c r="B52" s="1"/>
      <c r="C52" s="1"/>
      <c r="D52" s="1"/>
      <c r="E52" s="1"/>
      <c r="F52" s="1"/>
      <c r="G52" s="1"/>
    </row>
    <row r="53" spans="1:7" ht="15.6" x14ac:dyDescent="0.3">
      <c r="A53" s="6"/>
      <c r="B53" s="49"/>
      <c r="C53" s="1"/>
      <c r="D53" s="1"/>
      <c r="E53" s="1"/>
      <c r="F53" s="1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x14ac:dyDescent="0.3">
      <c r="B55" s="20"/>
      <c r="C55" s="20"/>
      <c r="D55" s="20"/>
      <c r="E55" s="20"/>
      <c r="F55" s="20"/>
    </row>
    <row r="56" spans="1:7" x14ac:dyDescent="0.3">
      <c r="B56" s="20"/>
      <c r="C56" s="20"/>
      <c r="E56" s="20"/>
      <c r="F56" s="20"/>
    </row>
  </sheetData>
  <mergeCells count="6">
    <mergeCell ref="B47:F47"/>
    <mergeCell ref="M3:N3"/>
    <mergeCell ref="A10:F10"/>
    <mergeCell ref="K3:L3"/>
    <mergeCell ref="A17:F17"/>
    <mergeCell ref="A45:F45"/>
  </mergeCells>
  <phoneticPr fontId="10" type="noConversion"/>
  <pageMargins left="0.70866141732283472" right="0.70866141732283472" top="0.74803149606299213" bottom="0.74803149606299213" header="0.31496062992125984" footer="0.31496062992125984"/>
  <pageSetup scale="7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4637</vt:lpstr>
      <vt:lpstr>REGLAS</vt:lpstr>
      <vt:lpstr>CUBIERTA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2025-12-15T19:58:40Z</cp:lastPrinted>
  <dcterms:created xsi:type="dcterms:W3CDTF">2013-03-19T12:54:14Z</dcterms:created>
  <dcterms:modified xsi:type="dcterms:W3CDTF">2025-12-18T01:17:47Z</dcterms:modified>
</cp:coreProperties>
</file>