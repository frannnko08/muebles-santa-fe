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E4E943F9-23F2-4E0D-B342-A98AB6852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H23" i="4"/>
  <c r="B28" i="3"/>
  <c r="I22" i="3" s="1"/>
  <c r="B22" i="3" s="1"/>
  <c r="C28" i="3"/>
  <c r="F22" i="3" s="1"/>
  <c r="D28" i="3"/>
  <c r="J22" i="3" s="1"/>
  <c r="D22" i="3" s="1"/>
  <c r="E28" i="3"/>
  <c r="K22" i="3" s="1"/>
  <c r="E22" i="3" s="1"/>
  <c r="F28" i="3"/>
  <c r="B49" i="3"/>
  <c r="C49" i="3"/>
  <c r="D49" i="3"/>
  <c r="E49" i="3"/>
  <c r="F49" i="3"/>
  <c r="H22" i="4"/>
  <c r="K14" i="3" l="1"/>
  <c r="E14" i="3" s="1"/>
  <c r="J14" i="3"/>
  <c r="D14" i="3" s="1"/>
  <c r="I14" i="3"/>
  <c r="B14" i="3" s="1"/>
  <c r="F14" i="3"/>
  <c r="H25" i="4" l="1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<sst xmlns="http://schemas.openxmlformats.org/spreadsheetml/2006/main" count="248" uniqueCount="145">
  <si>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</si>
  <si>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</si>
  <si>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</si>
  <si>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</si>
  <si>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</si>
  <si>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</si>
  <si>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</si>
  <si>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</si>
  <si>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</si>
  <si>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</si>
  <si>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</si>
  <si>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</si>
  <si>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</si>
  <si>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</si>
  <si>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</si>
  <si>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</si>
  <si>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</si>
  <si>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</si>
  <si>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</si>
  <si>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</si>
  <si>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</si>
  <si>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</si>
  <si>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</si>
  <si>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</si>
  <si>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</si>
  <si>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</si>
  <si>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</si>
  <si>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</si>
  <si>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</si>
  <si>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</si>
  <si>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</si>
  <si>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</si>
  <si>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</si>
  <si>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</si>
  <si>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</si>
  <si>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</si>
  <si>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</si>
  <si>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</si>
  <si>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</si>
  <si>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</si>
  <si>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</si>
  <si>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</si>
  <si>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</si>
  <si>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</si>
  <si>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</si>
  <si>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</si>
  <si>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</si>
  <si>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</si>
  <si>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</si>
  <si>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</si>
  <si>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</si>
  <si>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</si>
  <si>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</si>
  <si>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</si>
  <si>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</si>
  <si>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</si>
  <si>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</si>
  <si>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</si>
  <si>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</si>
  <si>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</si>
  <si>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</si>
  <si>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</si>
  <si>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</si>
  <si>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</si>
  <si>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</si>
  <si>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</si>
  <si>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</si>
  <si>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</si>
  <si>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</si>
  <si>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</si>
  <si>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</si>
  <si>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</si>
  <si>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</si>
  <si>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</si>
  <si>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</si>
  <si>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</si>
  <si>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</si>
  <si>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</si>
  <si>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</si>
  <si>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</si>
  <si>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</si>
  <si>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</si>
  <si>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</si>
  <si>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</si>
  <si>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</si>
  <si>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</si>
  <si>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</si>
  <si>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</si>
  <si>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</si>
  <si>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</si>
  <si>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</si>
  <si>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</si>
  <si>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</si>
  <si>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</si>
  <si>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</si>
  <si>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</si>
  <si>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</si>
  <si>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</si>
  <si>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</si>
  <si>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</si>
  <si>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</si>
  <si>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</si>
  <si>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</si>
  <si>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</si>
  <si>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</si>
  <si>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</si>
  <si>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</si>
  <si>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</si>
  <si>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</si>
  <si>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</si>
  <si>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</si>
  <si>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</si>
  <si>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</si>
  <si>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</si>
  <si>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</si>
  <si>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</si>
  <si>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</si>
  <si>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</si>
  <si>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</si>
  <si>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</si>
  <si>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</si>
  <si>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</si>
  <si>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</si>
  <si>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</si>
  <si>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</si>
  <si>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</si>
  <si>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</si>
  <si>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</si>
  <si>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</si>
  <si>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</si>
  <si>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</si>
  <si>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</si>
  <si>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NO</t>
  </si>
  <si>
    <t>CORREO:</t>
  </si>
  <si>
    <t>F.DONOSO</t>
  </si>
  <si>
    <t>MDF18MM</t>
  </si>
  <si>
    <t>N° 11798</t>
  </si>
  <si>
    <t>TRIBOLOGIA APLICADA A LUBRICACION SPA</t>
  </si>
  <si>
    <t>76.322.767-7</t>
  </si>
  <si>
    <t>CRISTIAN NAVIA</t>
  </si>
  <si>
    <t>+569 82788140</t>
  </si>
  <si>
    <t>CUB MESA R8 2 LADOS</t>
  </si>
  <si>
    <t>HUMO 21098 MT</t>
  </si>
  <si>
    <t>CONTADO</t>
  </si>
  <si>
    <t>DESFONDADOS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</si>
</sst>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8" fillId="0" borderId="0" xfId="0" quotePrefix="1" applyFont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$147.894.-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6" workbookViewId="0">
      <selection activeCell="L28" sqref="L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136</v>
      </c>
      <c r="E8" s="1"/>
      <c r="F8" s="92" t="s">
        <v>27</v>
      </c>
      <c r="G8" s="93">
        <v>7354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137</v>
      </c>
      <c r="D10" s="54"/>
      <c r="E10" s="54"/>
      <c r="F10" s="55" t="s">
        <v>28</v>
      </c>
      <c r="G10" s="56">
        <v>46008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 t="s">
        <v>138</v>
      </c>
      <c r="D11" s="59"/>
      <c r="E11" s="59"/>
      <c r="F11" s="59" t="s">
        <v>124</v>
      </c>
      <c r="G11" s="60"/>
      <c r="H11" s="61"/>
      <c r="I11" s="1"/>
    </row>
    <row r="12" spans="1:17" ht="16.8" x14ac:dyDescent="0.4">
      <c r="A12" s="1"/>
      <c r="B12" s="62" t="s">
        <v>130</v>
      </c>
      <c r="C12" s="103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C13" t="s">
        <v>139</v>
      </c>
      <c r="D13" s="42"/>
      <c r="E13" s="42"/>
      <c r="F13" s="42" t="s">
        <v>128</v>
      </c>
      <c r="G13" s="63" t="s">
        <v>134</v>
      </c>
      <c r="H13" s="64"/>
      <c r="I13" s="1"/>
    </row>
    <row r="14" spans="1:17" ht="15.6" x14ac:dyDescent="0.3">
      <c r="A14" s="1"/>
      <c r="B14" s="62" t="s">
        <v>133</v>
      </c>
      <c r="C14" s="104"/>
      <c r="D14" s="42"/>
      <c r="E14" s="42"/>
      <c r="F14" s="42"/>
      <c r="G14" s="63"/>
      <c r="H14" s="64"/>
      <c r="I14" s="1"/>
    </row>
    <row r="15" spans="1:17" ht="15.6" x14ac:dyDescent="0.3">
      <c r="A15" s="1"/>
      <c r="B15" s="58" t="s">
        <v>17</v>
      </c>
      <c r="C15" s="105" t="s">
        <v>140</v>
      </c>
      <c r="D15" s="65"/>
      <c r="E15" s="59"/>
      <c r="F15" s="59" t="s">
        <v>29</v>
      </c>
      <c r="G15" s="59" t="s">
        <v>132</v>
      </c>
      <c r="H15" s="61"/>
      <c r="I15" s="1"/>
    </row>
    <row r="16" spans="1:17" ht="16.8" x14ac:dyDescent="0.4">
      <c r="A16" s="1"/>
      <c r="B16" s="62" t="s">
        <v>1</v>
      </c>
      <c r="C16" s="103"/>
      <c r="D16" s="42"/>
      <c r="E16" s="42"/>
      <c r="F16" s="66" t="s">
        <v>75</v>
      </c>
      <c r="G16" s="107" t="s">
        <v>143</v>
      </c>
      <c r="H16" s="64"/>
      <c r="I16" s="1"/>
    </row>
    <row r="17" spans="1:16" ht="16.2" thickBot="1" x14ac:dyDescent="0.35">
      <c r="A17" s="1"/>
      <c r="B17" s="67" t="s">
        <v>3</v>
      </c>
      <c r="C17" s="106"/>
      <c r="D17" s="68"/>
      <c r="E17" s="69"/>
      <c r="F17" s="109" t="s">
        <v>18</v>
      </c>
      <c r="G17" s="109"/>
      <c r="H17" s="110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1" t="s">
        <v>19</v>
      </c>
      <c r="C20" s="112"/>
      <c r="D20" s="112"/>
      <c r="E20" s="112"/>
      <c r="F20" s="112"/>
      <c r="G20" s="112"/>
      <c r="H20" s="113"/>
      <c r="I20" s="1"/>
    </row>
    <row r="21" spans="1:16" ht="15.6" x14ac:dyDescent="0.3">
      <c r="A21" s="1"/>
      <c r="B21" s="70" t="s">
        <v>20</v>
      </c>
      <c r="C21" s="71" t="s">
        <v>21</v>
      </c>
      <c r="D21" s="71" t="s">
        <v>22</v>
      </c>
      <c r="E21" s="71" t="s">
        <v>8</v>
      </c>
      <c r="F21" s="72" t="s">
        <v>23</v>
      </c>
      <c r="G21" s="70" t="s">
        <v>24</v>
      </c>
      <c r="H21" s="72" t="s">
        <v>4</v>
      </c>
      <c r="I21" s="1"/>
    </row>
    <row r="22" spans="1:16" ht="18" customHeight="1" x14ac:dyDescent="0.3">
      <c r="A22" s="1"/>
      <c r="B22" s="99">
        <v>1</v>
      </c>
      <c r="C22" s="99" t="s">
        <v>141</v>
      </c>
      <c r="D22" s="102">
        <v>3600</v>
      </c>
      <c r="E22" s="102">
        <v>1230</v>
      </c>
      <c r="F22" s="99" t="s">
        <v>142</v>
      </c>
      <c r="G22" s="100">
        <v>248561</v>
      </c>
      <c r="H22" s="100">
        <f t="shared" ref="H22:H23" si="0">G22*B22</f>
        <v>248561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9">
        <v>1</v>
      </c>
      <c r="C23" s="99" t="s">
        <v>144</v>
      </c>
      <c r="D23" s="102"/>
      <c r="E23" s="102"/>
      <c r="F23" s="99"/>
      <c r="G23" s="100">
        <v>20000</v>
      </c>
      <c r="H23" s="100">
        <f t="shared" si="0"/>
        <v>20000</v>
      </c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268561</v>
      </c>
      <c r="I25" s="1"/>
      <c r="L25">
        <v>319588</v>
      </c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51026.590000000004</v>
      </c>
      <c r="I26" s="1"/>
      <c r="L26">
        <v>147894</v>
      </c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319587.59000000003</v>
      </c>
      <c r="I27" s="1"/>
      <c r="L27">
        <f>L25-L26</f>
        <v>171694</v>
      </c>
    </row>
    <row r="28" spans="1:16" ht="15.6" x14ac:dyDescent="0.3">
      <c r="A28" s="1"/>
      <c r="B28" s="1"/>
      <c r="C28" s="1"/>
      <c r="D28" s="1"/>
      <c r="E28" s="1"/>
      <c r="F28" s="1"/>
      <c r="G28" s="51"/>
      <c r="H28" s="95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opLeftCell="A36" zoomScaleNormal="100" workbookViewId="0">
      <selection activeCell="A37" sqref="A37:F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39" t="s">
        <v>27</v>
      </c>
      <c r="D4" s="14">
        <f>'4637'!G8</f>
        <v>7354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TRIBOLOGIA APLICADA A LUBRICACION SPA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/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1</v>
      </c>
      <c r="C14" s="25"/>
      <c r="D14" s="25">
        <f t="shared" ref="D14" si="1">J14+D$13</f>
        <v>3650</v>
      </c>
      <c r="E14" s="25">
        <f t="shared" ref="E14" si="2">K14+E$13</f>
        <v>1230</v>
      </c>
      <c r="F14" s="97" t="str">
        <f>C28</f>
        <v>CUB MESA R8 2 LADOS</v>
      </c>
      <c r="G14" s="1"/>
      <c r="I14" s="3">
        <f t="shared" ref="I14:J14" si="3">I22</f>
        <v>1</v>
      </c>
      <c r="J14" s="4">
        <f t="shared" si="3"/>
        <v>3600</v>
      </c>
      <c r="K14" s="4">
        <f>E28</f>
        <v>1230</v>
      </c>
    </row>
    <row r="15" spans="1:14" ht="15.6" x14ac:dyDescent="0.3">
      <c r="A15" s="94"/>
      <c r="B15" s="6"/>
      <c r="C15" s="6"/>
      <c r="D15" s="6"/>
      <c r="E15" s="6"/>
      <c r="F15" s="101"/>
      <c r="G15" s="1"/>
      <c r="I15" s="88"/>
      <c r="J15" s="2"/>
      <c r="K15" s="2"/>
    </row>
    <row r="16" spans="1:14" ht="15.6" x14ac:dyDescent="0.3">
      <c r="A16" s="51"/>
      <c r="B16" s="6"/>
      <c r="C16" s="6"/>
      <c r="D16" s="6"/>
      <c r="E16" s="6"/>
      <c r="F16" s="6"/>
      <c r="G16" s="1"/>
      <c r="I16" s="88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7" t="s">
        <v>14</v>
      </c>
      <c r="B18" s="117"/>
      <c r="C18" s="117"/>
      <c r="D18" s="117"/>
      <c r="E18" s="117"/>
      <c r="F18" s="117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5" t="s">
        <v>10</v>
      </c>
      <c r="C21" s="35" t="s">
        <v>11</v>
      </c>
      <c r="D21" s="21">
        <v>40</v>
      </c>
      <c r="E21" s="21">
        <v>130</v>
      </c>
      <c r="F21" s="35" t="s">
        <v>110</v>
      </c>
      <c r="G21" s="1"/>
      <c r="J21" s="5" t="s">
        <v>7</v>
      </c>
      <c r="K21" s="5" t="s">
        <v>8</v>
      </c>
    </row>
    <row r="22" spans="1:11" ht="15.6" x14ac:dyDescent="0.3">
      <c r="A22" s="94"/>
      <c r="B22" s="16">
        <f t="shared" ref="B22" si="4">I22</f>
        <v>1</v>
      </c>
      <c r="C22" s="16"/>
      <c r="D22" s="16">
        <f>J22+D$21</f>
        <v>3640</v>
      </c>
      <c r="E22" s="16">
        <f>K22+E21</f>
        <v>1360</v>
      </c>
      <c r="F22" s="98" t="str">
        <f>C28</f>
        <v>CUB MESA R8 2 LADOS</v>
      </c>
      <c r="G22" s="1"/>
      <c r="I22" s="3">
        <f>B28</f>
        <v>1</v>
      </c>
      <c r="J22" s="4">
        <f>D28</f>
        <v>3600</v>
      </c>
      <c r="K22" s="4">
        <f>E28</f>
        <v>1230</v>
      </c>
    </row>
    <row r="23" spans="1:11" ht="15.6" x14ac:dyDescent="0.3">
      <c r="A23" s="94"/>
      <c r="B23" s="6"/>
      <c r="C23" s="6"/>
      <c r="D23" s="6"/>
      <c r="E23" s="6"/>
      <c r="F23" s="101"/>
      <c r="G23" s="1"/>
      <c r="I23" s="88"/>
      <c r="J23" s="2"/>
      <c r="K23" s="2"/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4" t="s">
        <v>135</v>
      </c>
      <c r="B28" s="25">
        <f>'4637'!B22</f>
        <v>1</v>
      </c>
      <c r="C28" s="97" t="str">
        <f>'4637'!C22</f>
        <v>CUB MESA R8 2 LADOS</v>
      </c>
      <c r="D28" s="25">
        <f>'4637'!D22</f>
        <v>3600</v>
      </c>
      <c r="E28" s="25">
        <f>'4637'!E22</f>
        <v>1230</v>
      </c>
      <c r="F28" s="25" t="str">
        <f>'4637'!F22</f>
        <v>HUMO 21098 MT</v>
      </c>
      <c r="G28" s="1"/>
    </row>
    <row r="29" spans="1:11" ht="15.6" x14ac:dyDescent="0.3">
      <c r="A29" s="94"/>
      <c r="B29" s="6"/>
      <c r="C29" s="101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39" t="s">
        <v>27</v>
      </c>
      <c r="D39" s="14">
        <f>'4637'!G8</f>
        <v>7354</v>
      </c>
      <c r="E39" s="1"/>
      <c r="F39" s="1"/>
      <c r="G39" s="1"/>
    </row>
    <row r="40" spans="1:7" ht="17.25" customHeight="1" x14ac:dyDescent="0.3">
      <c r="A40" s="1"/>
      <c r="B40" s="1"/>
      <c r="C40" s="40" t="s">
        <v>67</v>
      </c>
      <c r="D40" s="41" t="str">
        <f>'4637'!C10</f>
        <v>TRIBOLOGIA APLICADA A LUBRICACION SPA</v>
      </c>
      <c r="E40" s="42"/>
      <c r="F40" s="42"/>
      <c r="G40" s="1"/>
    </row>
    <row r="41" spans="1:7" ht="4.5" customHeight="1" x14ac:dyDescent="0.3">
      <c r="A41" s="1"/>
      <c r="B41" s="1"/>
      <c r="C41" s="43"/>
      <c r="D41" s="44"/>
      <c r="E41" s="1"/>
      <c r="F41" s="1"/>
      <c r="G41" s="1"/>
    </row>
    <row r="42" spans="1:7" ht="15.6" x14ac:dyDescent="0.3">
      <c r="A42" s="1"/>
      <c r="B42" s="1"/>
      <c r="C42" s="45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7" t="s">
        <v>68</v>
      </c>
      <c r="B45" s="117"/>
      <c r="C45" s="117"/>
      <c r="D45" s="117"/>
      <c r="E45" s="117"/>
      <c r="F45" s="117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8" t="s">
        <v>69</v>
      </c>
      <c r="C47" s="119"/>
      <c r="D47" s="120"/>
      <c r="E47" s="120"/>
      <c r="F47" s="121"/>
      <c r="G47" s="1"/>
    </row>
    <row r="48" spans="1:7" s="15" customFormat="1" ht="12.75" customHeight="1" x14ac:dyDescent="0.3">
      <c r="A48" s="1"/>
      <c r="B48" s="35" t="s">
        <v>10</v>
      </c>
      <c r="C48" s="46" t="s">
        <v>11</v>
      </c>
      <c r="D48" s="47" t="s">
        <v>7</v>
      </c>
      <c r="E48" s="47" t="s">
        <v>8</v>
      </c>
      <c r="F48" s="48" t="s">
        <v>12</v>
      </c>
      <c r="G48" s="1"/>
    </row>
    <row r="49" spans="1:7" s="15" customFormat="1" ht="15" customHeight="1" x14ac:dyDescent="0.3">
      <c r="A49" s="94" t="s">
        <v>135</v>
      </c>
      <c r="B49" s="37">
        <f>'4637'!B22</f>
        <v>1</v>
      </c>
      <c r="C49" s="96" t="str">
        <f>'4637'!C22</f>
        <v>CUB MESA R8 2 LADOS</v>
      </c>
      <c r="D49" s="38">
        <f>'4637'!D22</f>
        <v>3600</v>
      </c>
      <c r="E49" s="38">
        <f>'4637'!E22</f>
        <v>1230</v>
      </c>
      <c r="F49" s="37" t="str">
        <f>'4637'!F22</f>
        <v>HUMO 21098 MT</v>
      </c>
      <c r="G49" s="1"/>
    </row>
    <row r="50" spans="1:7" s="15" customFormat="1" ht="15" customHeight="1" x14ac:dyDescent="0.3">
      <c r="A50" s="94"/>
      <c r="B50" s="51"/>
      <c r="C50" s="108"/>
      <c r="D50" s="51"/>
      <c r="E50" s="51"/>
      <c r="F50" s="51"/>
      <c r="G50" s="1"/>
    </row>
    <row r="51" spans="1:7" s="15" customFormat="1" ht="15" customHeight="1" x14ac:dyDescent="0.3">
      <c r="A51" s="49"/>
      <c r="B51" s="51"/>
      <c r="C51" s="51"/>
      <c r="D51" s="51"/>
      <c r="E51" s="51"/>
      <c r="F51" s="51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0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2026-01-06T14:57:46Z</cp:lastPrinted>
  <dcterms:created xsi:type="dcterms:W3CDTF">2013-03-19T12:54:14Z</dcterms:created>
  <dcterms:modified xsi:type="dcterms:W3CDTF">2026-01-06T15:00:16Z</dcterms:modified>
</cp:coreProperties>
</file>