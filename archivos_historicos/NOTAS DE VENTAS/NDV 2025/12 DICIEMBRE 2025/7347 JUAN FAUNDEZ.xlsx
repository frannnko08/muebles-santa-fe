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D0FDBFC3-7222-4744-9BA2-17FAE9FDB3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CUBIERTA!$A$40:$F$65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1" i="3"/>
  <c r="I24" i="3" s="1"/>
  <c r="B24" i="3" s="1"/>
  <c r="C31" i="3"/>
  <c r="F24" i="3" s="1"/>
  <c r="D31" i="3"/>
  <c r="J24" i="3" s="1"/>
  <c r="D24" i="3" s="1"/>
  <c r="E31" i="3"/>
  <c r="K24" i="3" s="1"/>
  <c r="E24" i="3" s="1"/>
  <c r="F31" i="3"/>
  <c r="B53" i="3"/>
  <c r="C53" i="3"/>
  <c r="D53" i="3"/>
  <c r="E53" i="3"/>
  <c r="F53" i="3"/>
  <c r="H23" i="4"/>
  <c r="H22" i="4"/>
  <c r="H25" i="4" l="1"/>
  <c r="H26" i="4"/>
  <c r="H27" i="4" s="1"/>
  <c r="B30" i="3" l="1"/>
  <c r="I23" i="3" s="1"/>
  <c r="I14" i="3" s="1"/>
  <c r="C30" i="3"/>
  <c r="F14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J14" i="3" l="1"/>
  <c r="K14" i="3"/>
  <c r="E14" i="3" s="1"/>
  <c r="B23" i="3"/>
  <c r="B14" i="3"/>
  <c r="F23" i="3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<sst xmlns="http://schemas.openxmlformats.org/spreadsheetml/2006/main" count="245" uniqueCount="143">
  <si>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</si>
  <si>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</si>
  <si>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</si>
  <si>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</si>
  <si>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</si>
  <si>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</si>
  <si>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</si>
  <si>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</si>
  <si>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</si>
  <si>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</si>
  <si>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</si>
  <si>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</si>
  <si>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</si>
  <si>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</si>
  <si>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</si>
  <si>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</si>
  <si>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</si>
  <si>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</si>
  <si>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</si>
  <si>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</si>
  <si>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</si>
  <si>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</si>
  <si>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</si>
  <si>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</si>
  <si>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</si>
  <si>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</si>
  <si>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</si>
  <si>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</si>
  <si>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</si>
  <si>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</si>
  <si>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</si>
  <si>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</si>
  <si>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</si>
  <si>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</si>
  <si>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</si>
  <si>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</si>
  <si>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</si>
  <si>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</si>
  <si>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</si>
  <si>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</si>
  <si>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</si>
  <si>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</si>
  <si>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</si>
  <si>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</si>
  <si>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</si>
  <si>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</si>
  <si>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</si>
  <si>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</si>
  <si>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</si>
  <si>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</si>
  <si>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</si>
  <si>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</si>
  <si>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</si>
  <si>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</si>
  <si>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</si>
  <si>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</si>
  <si>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</si>
  <si>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</si>
  <si>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</si>
  <si>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</si>
  <si>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</si>
  <si>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</si>
  <si>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</si>
  <si>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</si>
  <si>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</si>
  <si>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</si>
  <si>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</si>
  <si>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</si>
  <si>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</si>
  <si>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</si>
  <si>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</si>
  <si>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</si>
  <si>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</si>
  <si>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</si>
  <si>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</si>
  <si>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</si>
  <si>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</si>
  <si>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</si>
  <si>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</si>
  <si>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</si>
  <si>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</si>
  <si>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</si>
  <si>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</si>
  <si>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</si>
  <si>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</si>
  <si>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</si>
  <si>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</si>
  <si>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</si>
  <si>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</si>
  <si>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</si>
  <si>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</si>
  <si>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</si>
  <si>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</si>
  <si>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</si>
  <si>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</si>
  <si>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</si>
  <si>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</si>
  <si>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</si>
  <si>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</si>
  <si>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</si>
  <si>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</si>
  <si>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</si>
  <si>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</si>
  <si>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</si>
  <si>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</si>
  <si>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</si>
  <si>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</si>
  <si>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</si>
  <si>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</si>
  <si>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</si>
  <si>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</si>
  <si>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</si>
  <si>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</si>
  <si>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</si>
  <si>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</si>
  <si>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</si>
  <si>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</si>
  <si>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</si>
  <si>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</si>
  <si>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</si>
  <si>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</si>
  <si>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</si>
  <si>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</si>
  <si>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</si>
  <si>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</si>
  <si>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</si>
  <si>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</si>
  <si>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</si>
  <si>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</si>
  <si>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</si>
  <si>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</si>
  <si>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</si>
  <si>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</si>
  <si>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</si>
  <si>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</si>
  <si>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</si>
  <si>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</si>
  <si>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+569 4691 0978</t>
  </si>
  <si>
    <t>JUAN FAUNDEZ</t>
  </si>
  <si>
    <t>LUNA GRANITE BR</t>
  </si>
  <si>
    <t>NEW BLACK CHRANITE</t>
  </si>
  <si>
    <t>CUB C/R 90° R8</t>
  </si>
  <si>
    <t>N° 11797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</si>
</sst>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3" borderId="0" xfId="0" applyFont="1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3" borderId="0" xfId="0" applyFont="1" applyFill="1"/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6" fillId="0" borderId="0" xfId="2"/>
    <xf numFmtId="0" fontId="17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25</xdr:row>
      <xdr:rowOff>55245</xdr:rowOff>
    </xdr:from>
    <xdr:to>
      <xdr:col>5</xdr:col>
      <xdr:colOff>1504950</xdr:colOff>
      <xdr:row>29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$ 150,000.-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ENTREGAR DESPUNTE LAMINA AL CLIENTE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ENTREGAR DESPUNTE LAMINA AL CLIENTE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C4" sqref="C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30.554687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7347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138</v>
      </c>
      <c r="D10" s="55"/>
      <c r="E10" s="55"/>
      <c r="F10" s="56" t="s">
        <v>28</v>
      </c>
      <c r="G10" s="57">
        <v>46000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/>
      <c r="D11" s="60"/>
      <c r="E11" s="60"/>
      <c r="F11" s="60" t="s">
        <v>122</v>
      </c>
      <c r="G11" s="61">
        <v>46003</v>
      </c>
      <c r="H11" s="62"/>
      <c r="I11" s="1"/>
    </row>
    <row r="12" spans="1:17" ht="15.6" x14ac:dyDescent="0.3">
      <c r="A12" s="1"/>
      <c r="B12" s="63" t="s">
        <v>128</v>
      </c>
      <c r="C12" s="104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12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3" t="s">
        <v>137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99"/>
      <c r="D16" s="43"/>
      <c r="E16" s="43"/>
      <c r="F16" s="67" t="s">
        <v>75</v>
      </c>
      <c r="G16" s="101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0" t="s">
        <v>129</v>
      </c>
      <c r="D17" s="69"/>
      <c r="E17" s="70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98">
        <v>1</v>
      </c>
      <c r="C22" s="98" t="s">
        <v>141</v>
      </c>
      <c r="D22" s="129">
        <v>3000</v>
      </c>
      <c r="E22" s="129">
        <v>500</v>
      </c>
      <c r="F22" s="98" t="s">
        <v>139</v>
      </c>
      <c r="G22" s="128">
        <v>99955</v>
      </c>
      <c r="H22" s="128">
        <f>G22*B22</f>
        <v>99955</v>
      </c>
      <c r="I22" s="1"/>
      <c r="J22" s="98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1</v>
      </c>
      <c r="C23" s="98" t="s">
        <v>141</v>
      </c>
      <c r="D23" s="129">
        <v>2400</v>
      </c>
      <c r="E23" s="129">
        <v>550</v>
      </c>
      <c r="F23" s="98" t="s">
        <v>140</v>
      </c>
      <c r="G23" s="128">
        <v>94785</v>
      </c>
      <c r="H23" s="128">
        <f>G23*B23</f>
        <v>94785</v>
      </c>
      <c r="I23" s="1"/>
      <c r="J23" s="127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194740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37000.6</v>
      </c>
      <c r="I26" s="1"/>
    </row>
    <row r="27" spans="1:16" ht="16.2" thickBot="1" x14ac:dyDescent="0.35">
      <c r="A27" s="1"/>
      <c r="C27" s="82"/>
      <c r="D27" s="83"/>
      <c r="E27" s="83"/>
      <c r="F27" s="74"/>
      <c r="G27" s="79" t="s">
        <v>4</v>
      </c>
      <c r="H27" s="80">
        <f>H25+H26</f>
        <v>231740.6</v>
      </c>
      <c r="I27" s="1"/>
    </row>
    <row r="28" spans="1:16" ht="15.6" x14ac:dyDescent="0.3">
      <c r="A28" s="1"/>
      <c r="C28" s="82"/>
      <c r="D28" s="83"/>
      <c r="E28" s="83"/>
      <c r="F28" s="74"/>
      <c r="G28" s="1"/>
      <c r="H28" s="1"/>
      <c r="I28" s="1"/>
    </row>
    <row r="29" spans="1:16" ht="15.6" x14ac:dyDescent="0.3">
      <c r="A29" s="1"/>
      <c r="C29" s="1"/>
      <c r="D29" s="1"/>
      <c r="E29" s="84" t="s">
        <v>26</v>
      </c>
      <c r="F29" s="1"/>
      <c r="G29" s="1"/>
      <c r="H29" s="1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B32" s="81" t="s">
        <v>134</v>
      </c>
    </row>
    <row r="33" spans="2:2" ht="15.6" x14ac:dyDescent="0.3">
      <c r="B33" s="81" t="s">
        <v>135</v>
      </c>
    </row>
    <row r="34" spans="2:2" ht="15.6" x14ac:dyDescent="0.3">
      <c r="B34" s="1" t="s">
        <v>25</v>
      </c>
    </row>
  </sheetData>
  <sortState xmlns:xlrd2="http://schemas.microsoft.com/office/spreadsheetml/2017/richdata2" ref="B33">
    <sortCondition sortBy="fontColor" ref="B33" dxfId="1"/>
  </sortState>
  <mergeCells count="2">
    <mergeCell ref="F17:H17"/>
    <mergeCell ref="B20:H20"/>
  </mergeCells>
  <phoneticPr fontId="10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28" zoomScaleNormal="100" workbookViewId="0">
      <selection activeCell="H31" sqref="H3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7347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FAUNDEZ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46003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40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131</v>
      </c>
      <c r="B14" s="25">
        <f t="shared" ref="B14" si="0">I14</f>
        <v>1</v>
      </c>
      <c r="C14" s="25"/>
      <c r="D14" s="25">
        <v>3050</v>
      </c>
      <c r="E14" s="35">
        <f t="shared" ref="D14:E14" si="1">K14+E$13</f>
        <v>470</v>
      </c>
      <c r="F14" s="96" t="str">
        <f>C30</f>
        <v>CUB C/R 90° R8</v>
      </c>
      <c r="G14" s="1"/>
      <c r="I14" s="3">
        <f>I23</f>
        <v>1</v>
      </c>
      <c r="J14" s="4">
        <f>J23</f>
        <v>3000</v>
      </c>
      <c r="K14" s="4">
        <f>E30</f>
        <v>500</v>
      </c>
    </row>
    <row r="15" spans="1:14" ht="16.2" customHeight="1" x14ac:dyDescent="0.3">
      <c r="A15" s="95"/>
      <c r="B15" s="25">
        <f t="shared" ref="B15" si="2">I15</f>
        <v>1</v>
      </c>
      <c r="C15" s="25"/>
      <c r="D15" s="25">
        <f t="shared" ref="D15" si="3">J15+D$13</f>
        <v>2440</v>
      </c>
      <c r="E15" s="35">
        <f t="shared" ref="E15" si="4">K15+E$13</f>
        <v>520</v>
      </c>
      <c r="F15" s="96" t="str">
        <f>C31</f>
        <v>CUB C/R 90° R8</v>
      </c>
      <c r="G15" s="1"/>
      <c r="I15" s="3">
        <f>I24</f>
        <v>1</v>
      </c>
      <c r="J15" s="4">
        <f>J24</f>
        <v>2400</v>
      </c>
      <c r="K15" s="4">
        <f>E31</f>
        <v>550</v>
      </c>
    </row>
    <row r="16" spans="1:14" ht="16.2" customHeight="1" x14ac:dyDescent="0.3">
      <c r="A16" s="95"/>
      <c r="B16" s="130"/>
      <c r="C16" s="130"/>
      <c r="D16" s="130"/>
      <c r="E16" s="131"/>
      <c r="F16" s="132"/>
      <c r="G16" s="1"/>
      <c r="I16" s="133"/>
      <c r="J16" s="134"/>
      <c r="K16" s="134"/>
    </row>
    <row r="17" spans="1:13" ht="15.6" x14ac:dyDescent="0.3">
      <c r="A17" s="52"/>
      <c r="B17" s="6"/>
      <c r="C17" s="6"/>
      <c r="D17" s="6"/>
      <c r="E17" s="88"/>
      <c r="F17" s="6"/>
      <c r="G17" s="1"/>
      <c r="I17" s="89"/>
      <c r="J17" s="2"/>
      <c r="K17" s="2"/>
    </row>
    <row r="18" spans="1:13" ht="6.75" customHeight="1" x14ac:dyDescent="0.3">
      <c r="A18" s="1"/>
      <c r="B18" s="1"/>
      <c r="C18" s="1"/>
      <c r="D18" s="1"/>
      <c r="E18" s="1"/>
      <c r="F18" s="1"/>
      <c r="G18" s="1"/>
    </row>
    <row r="19" spans="1:13" ht="15.6" x14ac:dyDescent="0.3">
      <c r="A19" s="122" t="s">
        <v>14</v>
      </c>
      <c r="B19" s="122"/>
      <c r="C19" s="122"/>
      <c r="D19" s="122"/>
      <c r="E19" s="122"/>
      <c r="F19" s="122"/>
      <c r="G19" s="1"/>
    </row>
    <row r="20" spans="1:13" ht="10.5" customHeight="1" x14ac:dyDescent="0.3">
      <c r="A20" s="1"/>
      <c r="B20" s="1"/>
      <c r="C20" s="12"/>
      <c r="D20" s="1"/>
      <c r="E20" s="1"/>
      <c r="F20" s="1"/>
      <c r="G20" s="1"/>
    </row>
    <row r="21" spans="1:13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3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3" ht="15.6" x14ac:dyDescent="0.3">
      <c r="A23" s="95"/>
      <c r="B23" s="16">
        <f t="shared" ref="B23" si="5">I23</f>
        <v>1</v>
      </c>
      <c r="C23" s="16"/>
      <c r="D23" s="16">
        <f t="shared" ref="D23:E23" si="6">J23+D$22</f>
        <v>3040</v>
      </c>
      <c r="E23" s="16">
        <f t="shared" si="6"/>
        <v>630</v>
      </c>
      <c r="F23" s="97" t="str">
        <f>C30</f>
        <v>CUB C/R 90° R8</v>
      </c>
      <c r="G23" s="1"/>
      <c r="I23" s="3">
        <f>B30</f>
        <v>1</v>
      </c>
      <c r="J23" s="4">
        <f>D30</f>
        <v>3000</v>
      </c>
      <c r="K23" s="4">
        <f>E30</f>
        <v>500</v>
      </c>
      <c r="M23">
        <v>185</v>
      </c>
    </row>
    <row r="24" spans="1:13" ht="15.6" x14ac:dyDescent="0.3">
      <c r="A24" s="95"/>
      <c r="B24" s="16">
        <f t="shared" ref="B24" si="7">I24</f>
        <v>1</v>
      </c>
      <c r="C24" s="16"/>
      <c r="D24" s="16">
        <f t="shared" ref="D24" si="8">J24+D$22</f>
        <v>2440</v>
      </c>
      <c r="E24" s="16">
        <f t="shared" ref="E24" si="9">K24+E$22</f>
        <v>680</v>
      </c>
      <c r="F24" s="97" t="str">
        <f>C31</f>
        <v>CUB C/R 90° R8</v>
      </c>
      <c r="G24" s="1"/>
      <c r="I24" s="3">
        <f>B31</f>
        <v>1</v>
      </c>
      <c r="J24" s="4">
        <f>D31</f>
        <v>2400</v>
      </c>
      <c r="K24" s="4">
        <f>E31</f>
        <v>550</v>
      </c>
    </row>
    <row r="25" spans="1:13" ht="15.6" x14ac:dyDescent="0.3">
      <c r="A25" s="95"/>
      <c r="B25" s="6"/>
      <c r="C25" s="6"/>
      <c r="D25" s="6"/>
      <c r="E25" s="6"/>
      <c r="F25" s="110"/>
      <c r="G25" s="1"/>
      <c r="I25" s="89"/>
      <c r="J25" s="2"/>
      <c r="K25" s="2"/>
    </row>
    <row r="26" spans="1:13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3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3" ht="10.5" customHeight="1" x14ac:dyDescent="0.3">
      <c r="A28" s="1"/>
      <c r="B28" s="1"/>
      <c r="C28" s="1"/>
      <c r="D28" s="1"/>
      <c r="E28" s="1"/>
      <c r="F28" s="1"/>
      <c r="G28" s="1"/>
    </row>
    <row r="29" spans="1:13" ht="15.6" x14ac:dyDescent="0.3">
      <c r="A29" s="52" t="s">
        <v>9</v>
      </c>
      <c r="B29" s="87" t="s">
        <v>10</v>
      </c>
      <c r="C29" s="87" t="s">
        <v>110</v>
      </c>
      <c r="D29" s="87" t="s">
        <v>7</v>
      </c>
      <c r="E29" s="87" t="s">
        <v>8</v>
      </c>
      <c r="F29" s="87" t="s">
        <v>23</v>
      </c>
      <c r="G29" s="1"/>
    </row>
    <row r="30" spans="1:13" ht="15.6" x14ac:dyDescent="0.3">
      <c r="A30" s="95"/>
      <c r="B30" s="25">
        <f>'4637'!B22</f>
        <v>1</v>
      </c>
      <c r="C30" s="103" t="str">
        <f>'4637'!C22</f>
        <v>CUB C/R 90° R8</v>
      </c>
      <c r="D30" s="25">
        <f>'4637'!D22</f>
        <v>3000</v>
      </c>
      <c r="E30" s="25">
        <f>'4637'!E22</f>
        <v>500</v>
      </c>
      <c r="F30" s="25" t="str">
        <f>'4637'!F22</f>
        <v>LUNA GRANITE BR</v>
      </c>
      <c r="G30" s="1"/>
    </row>
    <row r="31" spans="1:13" ht="15.6" x14ac:dyDescent="0.3">
      <c r="A31" s="95"/>
      <c r="B31" s="25">
        <f>'4637'!B23</f>
        <v>1</v>
      </c>
      <c r="C31" s="103" t="str">
        <f>'4637'!C23</f>
        <v>CUB C/R 90° R8</v>
      </c>
      <c r="D31" s="25">
        <f>'4637'!D23</f>
        <v>2400</v>
      </c>
      <c r="E31" s="25">
        <f>'4637'!E23</f>
        <v>550</v>
      </c>
      <c r="F31" s="25" t="str">
        <f>'4637'!F23</f>
        <v>NEW BLACK CHRANITE</v>
      </c>
      <c r="G31" s="1"/>
    </row>
    <row r="32" spans="1:13" ht="15.6" x14ac:dyDescent="0.3">
      <c r="A32" s="95"/>
      <c r="B32" s="6"/>
      <c r="C32" s="109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7347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JUAN FAUNDEZ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46003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2" t="s">
        <v>68</v>
      </c>
      <c r="B48" s="122"/>
      <c r="C48" s="122"/>
      <c r="D48" s="122"/>
      <c r="E48" s="122"/>
      <c r="F48" s="122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3" t="s">
        <v>69</v>
      </c>
      <c r="C50" s="124"/>
      <c r="D50" s="125"/>
      <c r="E50" s="125"/>
      <c r="F50" s="126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106" t="s">
        <v>8</v>
      </c>
      <c r="F51" s="49" t="s">
        <v>12</v>
      </c>
      <c r="G51" s="1"/>
    </row>
    <row r="52" spans="1:7" s="15" customFormat="1" ht="15" customHeight="1" x14ac:dyDescent="0.3">
      <c r="A52" s="95"/>
      <c r="B52" s="38">
        <f>'4637'!B22</f>
        <v>1</v>
      </c>
      <c r="C52" s="102" t="str">
        <f>'4637'!C22</f>
        <v>CUB C/R 90° R8</v>
      </c>
      <c r="D52" s="39">
        <f>'4637'!D22</f>
        <v>3000</v>
      </c>
      <c r="E52" s="107">
        <f>'4637'!E22</f>
        <v>500</v>
      </c>
      <c r="F52" s="108" t="str">
        <f>'4637'!F22</f>
        <v>LUNA GRANITE BR</v>
      </c>
      <c r="G52" s="1"/>
    </row>
    <row r="53" spans="1:7" s="15" customFormat="1" ht="15" customHeight="1" x14ac:dyDescent="0.3">
      <c r="A53" s="95"/>
      <c r="B53" s="38">
        <f>'4637'!B23</f>
        <v>1</v>
      </c>
      <c r="C53" s="102" t="str">
        <f>'4637'!C23</f>
        <v>CUB C/R 90° R8</v>
      </c>
      <c r="D53" s="39">
        <f>'4637'!D23</f>
        <v>2400</v>
      </c>
      <c r="E53" s="107">
        <f>'4637'!E23</f>
        <v>550</v>
      </c>
      <c r="F53" s="108" t="str">
        <f>'4637'!F23</f>
        <v>NEW BLACK CHRANITE</v>
      </c>
      <c r="G53" s="1"/>
    </row>
    <row r="54" spans="1:7" s="15" customFormat="1" ht="15" customHeight="1" x14ac:dyDescent="0.3">
      <c r="A54" s="95"/>
      <c r="B54" s="52"/>
      <c r="C54" s="105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2025-12-10T18:58:40Z</cp:lastPrinted>
  <dcterms:created xsi:type="dcterms:W3CDTF">2013-03-19T12:54:14Z</dcterms:created>
  <dcterms:modified xsi:type="dcterms:W3CDTF">2025-12-10T18:59:10Z</dcterms:modified>
</cp:coreProperties>
</file>