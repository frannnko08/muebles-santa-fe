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2 DICIEMBRE 2025\"/>
    </mc:Choice>
  </mc:AlternateContent>
  <xr:revisionPtr revIDLastSave="0" documentId="13_ncr:1_{93EE4AF0-F87C-4DF8-A347-2F8C9211C40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CUBIERTA!$A$46:$F$73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3" l="1"/>
  <c r="I16" i="3"/>
  <c r="I17" i="3"/>
  <c r="I26" i="3"/>
  <c r="I27" i="3"/>
  <c r="I28" i="3"/>
  <c r="I25" i="3"/>
  <c r="I14" i="3" s="1"/>
  <c r="B15" i="3" l="1"/>
  <c r="B35" i="3"/>
  <c r="B26" i="3" s="1"/>
  <c r="C35" i="3"/>
  <c r="F26" i="3" s="1"/>
  <c r="D35" i="3"/>
  <c r="J26" i="3" s="1"/>
  <c r="D26" i="3" s="1"/>
  <c r="E35" i="3"/>
  <c r="K26" i="3" s="1"/>
  <c r="E26" i="3" s="1"/>
  <c r="F35" i="3"/>
  <c r="B36" i="3"/>
  <c r="B27" i="3" s="1"/>
  <c r="C36" i="3"/>
  <c r="F27" i="3" s="1"/>
  <c r="D36" i="3"/>
  <c r="J27" i="3" s="1"/>
  <c r="E36" i="3"/>
  <c r="K27" i="3" s="1"/>
  <c r="E27" i="3" s="1"/>
  <c r="F36" i="3"/>
  <c r="B37" i="3"/>
  <c r="B28" i="3" s="1"/>
  <c r="C37" i="3"/>
  <c r="F28" i="3" s="1"/>
  <c r="D37" i="3"/>
  <c r="J28" i="3" s="1"/>
  <c r="D28" i="3" s="1"/>
  <c r="E37" i="3"/>
  <c r="K28" i="3" s="1"/>
  <c r="E28" i="3" s="1"/>
  <c r="F37" i="3"/>
  <c r="B59" i="3"/>
  <c r="C59" i="3"/>
  <c r="D59" i="3"/>
  <c r="E59" i="3"/>
  <c r="F59" i="3"/>
  <c r="B60" i="3"/>
  <c r="C60" i="3"/>
  <c r="D60" i="3"/>
  <c r="E60" i="3"/>
  <c r="F60" i="3"/>
  <c r="B61" i="3"/>
  <c r="C61" i="3"/>
  <c r="D61" i="3"/>
  <c r="E61" i="3"/>
  <c r="F61" i="3"/>
  <c r="J16" i="3" l="1"/>
  <c r="D16" i="3" s="1"/>
  <c r="D27" i="3"/>
  <c r="H36" i="3"/>
  <c r="J35" i="3"/>
  <c r="H37" i="3"/>
  <c r="H35" i="3"/>
  <c r="K15" i="3"/>
  <c r="J15" i="3"/>
  <c r="D15" i="3" s="1"/>
  <c r="K17" i="3"/>
  <c r="E17" i="3" s="1"/>
  <c r="K16" i="3"/>
  <c r="E16" i="3" s="1"/>
  <c r="B17" i="3"/>
  <c r="B16" i="3"/>
  <c r="J17" i="3"/>
  <c r="D17" i="3" s="1"/>
  <c r="F17" i="3"/>
  <c r="F16" i="3"/>
  <c r="F15" i="3"/>
  <c r="B34" i="3"/>
  <c r="C34" i="3"/>
  <c r="F14" i="3" s="1"/>
  <c r="D34" i="3"/>
  <c r="J25" i="3" s="1"/>
  <c r="D25" i="3" s="1"/>
  <c r="E34" i="3"/>
  <c r="K25" i="3" s="1"/>
  <c r="F34" i="3"/>
  <c r="B58" i="3"/>
  <c r="C58" i="3"/>
  <c r="D58" i="3"/>
  <c r="E58" i="3"/>
  <c r="F58" i="3"/>
  <c r="H34" i="3" l="1"/>
  <c r="H38" i="3" s="1"/>
  <c r="J34" i="3"/>
  <c r="J38" i="3" s="1"/>
  <c r="J14" i="3"/>
  <c r="D14" i="3" s="1"/>
  <c r="K14" i="3"/>
  <c r="B25" i="3"/>
  <c r="B14" i="3"/>
  <c r="F25" i="3"/>
  <c r="H40" i="3" l="1"/>
  <c r="H41" i="3" s="1"/>
  <c r="H42" i="3" s="1"/>
  <c r="H43" i="3" s="1"/>
  <c r="N5" i="3" l="1"/>
  <c r="M5" i="3" l="1"/>
  <c r="L5" i="3"/>
  <c r="K5" i="3"/>
  <c r="C51" i="3" l="1"/>
  <c r="C7" i="3"/>
  <c r="D49" i="3"/>
  <c r="D5" i="3"/>
  <c r="D51" i="3"/>
  <c r="D7" i="3"/>
  <c r="D48" i="3"/>
  <c r="D4" i="3"/>
</calcChain>
</file>

<file path=xl/sharedStrings.xml><?xml version="1.0" encoding="utf-8"?>
<sst xmlns="http://schemas.openxmlformats.org/spreadsheetml/2006/main" count="252" uniqueCount="145">
  <si>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</si>
  <si>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</si>
  <si>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</si>
  <si>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</si>
  <si>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</si>
  <si>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</si>
  <si>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</si>
  <si>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</si>
  <si>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</si>
  <si>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</si>
  <si>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</si>
  <si>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</si>
  <si>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</si>
  <si>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</si>
  <si>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</si>
  <si>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</si>
  <si>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</si>
  <si>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</si>
  <si>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</si>
  <si>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</si>
  <si>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</si>
  <si>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</si>
  <si>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</si>
  <si>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</si>
  <si>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</si>
  <si>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</si>
  <si>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</si>
  <si>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</si>
  <si>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</si>
  <si>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</si>
  <si>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</si>
  <si>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</si>
  <si>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</si>
  <si>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</si>
  <si>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</si>
  <si>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</si>
  <si>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</si>
  <si>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</si>
  <si>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</si>
  <si>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</si>
  <si>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</si>
  <si>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</si>
  <si>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</si>
  <si>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</si>
  <si>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</si>
  <si>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</si>
  <si>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</si>
  <si>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</si>
  <si>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</si>
  <si>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</si>
  <si>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</si>
  <si>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</si>
  <si>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</si>
  <si>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</si>
  <si>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</si>
  <si>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</si>
  <si>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</si>
  <si>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</si>
  <si>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</si>
  <si>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</si>
  <si>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</si>
  <si>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</si>
  <si>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</si>
  <si>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</si>
  <si>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</si>
  <si>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</si>
  <si>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</si>
  <si>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</si>
  <si>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</si>
  <si>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</si>
  <si>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</si>
  <si>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</si>
  <si>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</si>
  <si>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</si>
  <si>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</si>
  <si>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</si>
  <si>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</si>
  <si>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</si>
  <si>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</si>
  <si>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</si>
  <si>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</si>
  <si>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</si>
  <si>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</si>
  <si>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</si>
  <si>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</si>
  <si>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</si>
  <si>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</si>
  <si>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</si>
  <si>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</si>
  <si>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</si>
  <si>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</si>
  <si>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</si>
  <si>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</si>
  <si>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</si>
  <si>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</si>
  <si>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</si>
  <si>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</si>
  <si>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</si>
  <si>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</si>
  <si>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</si>
  <si>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</si>
  <si>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</si>
  <si>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</si>
  <si>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</si>
  <si>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</si>
  <si>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</si>
  <si>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</si>
  <si>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</si>
  <si>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</si>
  <si>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</si>
  <si>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</si>
  <si>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</si>
  <si>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</si>
  <si>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</si>
  <si>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</si>
  <si>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</si>
  <si>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</si>
  <si>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</si>
  <si>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</si>
  <si>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</si>
  <si>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</si>
  <si>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</si>
  <si>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</si>
  <si>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</si>
  <si>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</si>
  <si>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</si>
  <si>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</si>
  <si>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</si>
  <si>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</si>
  <si>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</si>
  <si>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</si>
  <si>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MDF18MM</t>
  </si>
  <si>
    <t>CORREO:</t>
  </si>
  <si>
    <t>OBRA:</t>
  </si>
  <si>
    <t xml:space="preserve">CUENTA CORRIENTE BANCO SANATNDER N° 87316181 A NOMBRE DE </t>
  </si>
  <si>
    <t>"MUEBLES SANTA FE SPA." - RUT : 77.054.606-0, CORREO: FRANCODONOSO@TOPMOBILI.CL</t>
  </si>
  <si>
    <t>CONTADO</t>
  </si>
  <si>
    <t>N° 11758</t>
  </si>
  <si>
    <t>FABRICACION DE MUEBLES</t>
  </si>
  <si>
    <t>CONSTRUCTORA HALTRA</t>
  </si>
  <si>
    <t>77.641.901-3</t>
  </si>
  <si>
    <t>CRISTIAN SUAZO</t>
  </si>
  <si>
    <t>+569 9230 4650</t>
  </si>
  <si>
    <t>FASHION GREY 21371 SF</t>
  </si>
  <si>
    <t>CUB FRENTE RECTO 36MM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</si>
</sst>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6" fillId="3" borderId="0" xfId="0" applyFont="1" applyFill="1"/>
    <xf numFmtId="0" fontId="6" fillId="3" borderId="0" xfId="2" applyFill="1"/>
    <xf numFmtId="0" fontId="18" fillId="0" borderId="9" xfId="2" applyFont="1" applyFill="1" applyBorder="1" applyAlignment="1">
      <alignment horizontal="left"/>
    </xf>
    <xf numFmtId="0" fontId="19" fillId="3" borderId="0" xfId="0" applyFont="1" applyFill="1"/>
    <xf numFmtId="0" fontId="20" fillId="0" borderId="1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2" fillId="3" borderId="0" xfId="0" applyFont="1" applyFill="1"/>
    <xf numFmtId="0" fontId="17" fillId="0" borderId="0" xfId="0" quotePrefix="1" applyFont="1"/>
    <xf numFmtId="0" fontId="21" fillId="0" borderId="2" xfId="0" applyFont="1" applyBorder="1" applyAlignment="1">
      <alignment horizontal="center" vertical="center"/>
    </xf>
    <xf numFmtId="3" fontId="16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18" xfId="0" applyBorder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125730</xdr:colOff>
      <xdr:row>29</xdr:row>
      <xdr:rowOff>55245</xdr:rowOff>
    </xdr:from>
    <xdr:to>
      <xdr:col>5</xdr:col>
      <xdr:colOff>1504950</xdr:colOff>
      <xdr:row>33</xdr:row>
      <xdr:rowOff>100965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23850" y="9549765"/>
          <a:ext cx="5318760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OBSERVACIONES:SON PARA PROYECTO HOSPITAL DE CARABINEROS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19</xdr:row>
      <xdr:rowOff>76200</xdr:rowOff>
    </xdr:from>
    <xdr:to>
      <xdr:col>5</xdr:col>
      <xdr:colOff>1676399</xdr:colOff>
      <xdr:row>21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52</xdr:row>
      <xdr:rowOff>171450</xdr:rowOff>
    </xdr:from>
    <xdr:to>
      <xdr:col>5</xdr:col>
      <xdr:colOff>1685924</xdr:colOff>
      <xdr:row>54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50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38100</xdr:rowOff>
    </xdr:from>
    <xdr:to>
      <xdr:col>6</xdr:col>
      <xdr:colOff>0</xdr:colOff>
      <xdr:row>49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0</xdr:rowOff>
    </xdr:from>
    <xdr:to>
      <xdr:col>6</xdr:col>
      <xdr:colOff>0</xdr:colOff>
      <xdr:row>48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63</xdr:row>
      <xdr:rowOff>0</xdr:rowOff>
    </xdr:from>
    <xdr:to>
      <xdr:col>2</xdr:col>
      <xdr:colOff>38100</xdr:colOff>
      <xdr:row>64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63</xdr:row>
      <xdr:rowOff>0</xdr:rowOff>
    </xdr:from>
    <xdr:to>
      <xdr:col>2</xdr:col>
      <xdr:colOff>1019175</xdr:colOff>
      <xdr:row>63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63</xdr:row>
      <xdr:rowOff>0</xdr:rowOff>
    </xdr:from>
    <xdr:to>
      <xdr:col>3</xdr:col>
      <xdr:colOff>352425</xdr:colOff>
      <xdr:row>64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63</xdr:row>
      <xdr:rowOff>0</xdr:rowOff>
    </xdr:from>
    <xdr:to>
      <xdr:col>4</xdr:col>
      <xdr:colOff>257175</xdr:colOff>
      <xdr:row>64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63</xdr:row>
      <xdr:rowOff>0</xdr:rowOff>
    </xdr:from>
    <xdr:to>
      <xdr:col>5</xdr:col>
      <xdr:colOff>447675</xdr:colOff>
      <xdr:row>63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63</xdr:row>
      <xdr:rowOff>0</xdr:rowOff>
    </xdr:from>
    <xdr:to>
      <xdr:col>6</xdr:col>
      <xdr:colOff>0</xdr:colOff>
      <xdr:row>63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63</xdr:row>
      <xdr:rowOff>190500</xdr:rowOff>
    </xdr:from>
    <xdr:to>
      <xdr:col>2</xdr:col>
      <xdr:colOff>304800</xdr:colOff>
      <xdr:row>65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63</xdr:row>
      <xdr:rowOff>190500</xdr:rowOff>
    </xdr:from>
    <xdr:to>
      <xdr:col>2</xdr:col>
      <xdr:colOff>1276350</xdr:colOff>
      <xdr:row>65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63</xdr:row>
      <xdr:rowOff>190500</xdr:rowOff>
    </xdr:from>
    <xdr:to>
      <xdr:col>3</xdr:col>
      <xdr:colOff>619125</xdr:colOff>
      <xdr:row>65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63</xdr:row>
      <xdr:rowOff>190500</xdr:rowOff>
    </xdr:from>
    <xdr:to>
      <xdr:col>4</xdr:col>
      <xdr:colOff>523875</xdr:colOff>
      <xdr:row>65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63</xdr:row>
      <xdr:rowOff>190500</xdr:rowOff>
    </xdr:from>
    <xdr:to>
      <xdr:col>5</xdr:col>
      <xdr:colOff>723900</xdr:colOff>
      <xdr:row>65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63</xdr:row>
      <xdr:rowOff>190500</xdr:rowOff>
    </xdr:from>
    <xdr:to>
      <xdr:col>6</xdr:col>
      <xdr:colOff>0</xdr:colOff>
      <xdr:row>65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39</xdr:row>
      <xdr:rowOff>15239</xdr:rowOff>
    </xdr:from>
    <xdr:to>
      <xdr:col>6</xdr:col>
      <xdr:colOff>68580</xdr:colOff>
      <xdr:row>43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SON PARA PROYECTO CON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INSTALACION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29</xdr:row>
      <xdr:rowOff>200025</xdr:rowOff>
    </xdr:from>
    <xdr:to>
      <xdr:col>6</xdr:col>
      <xdr:colOff>19049</xdr:colOff>
      <xdr:row>31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66</xdr:row>
      <xdr:rowOff>32385</xdr:rowOff>
    </xdr:from>
    <xdr:to>
      <xdr:col>6</xdr:col>
      <xdr:colOff>19050</xdr:colOff>
      <xdr:row>70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SON PARA PROYECTO HOSPITAL DE CARABINEROS, REGRUESOS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10CMS POR LOS 4 LADOS Y ENCHAPADAS CON TAPCANTO PVC 50X0,45 COLOR CARBON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46</xdr:row>
      <xdr:rowOff>41910</xdr:rowOff>
    </xdr:from>
    <xdr:to>
      <xdr:col>1</xdr:col>
      <xdr:colOff>801763</xdr:colOff>
      <xdr:row>52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8"/>
  <sheetViews>
    <sheetView topLeftCell="A5" workbookViewId="0">
      <selection activeCell="B24" sqref="B2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88671875" customWidth="1"/>
    <col min="4" max="5" width="9.109375" customWidth="1"/>
    <col min="6" max="6" width="27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137</v>
      </c>
      <c r="E8" s="1"/>
      <c r="F8" s="93" t="s">
        <v>27</v>
      </c>
      <c r="G8" s="94">
        <v>7341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127</v>
      </c>
      <c r="C10" s="85" t="s">
        <v>139</v>
      </c>
      <c r="D10" s="55"/>
      <c r="E10" s="55"/>
      <c r="F10" s="56" t="s">
        <v>28</v>
      </c>
      <c r="G10" s="57">
        <v>45996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10" t="s">
        <v>140</v>
      </c>
      <c r="D11" s="60"/>
      <c r="E11" s="60"/>
      <c r="F11" s="60" t="s">
        <v>122</v>
      </c>
      <c r="G11" s="61">
        <v>46009</v>
      </c>
      <c r="H11" s="62"/>
      <c r="I11" s="1"/>
    </row>
    <row r="12" spans="1:17" ht="15.6" x14ac:dyDescent="0.3">
      <c r="A12" s="1"/>
      <c r="B12" s="63" t="s">
        <v>128</v>
      </c>
      <c r="C12" s="107" t="s">
        <v>138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130</v>
      </c>
      <c r="C13" t="s">
        <v>141</v>
      </c>
      <c r="D13" s="43"/>
      <c r="E13" s="43"/>
      <c r="F13" s="43" t="s">
        <v>126</v>
      </c>
      <c r="G13" s="64"/>
      <c r="H13" s="65"/>
      <c r="I13" s="1"/>
    </row>
    <row r="14" spans="1:17" ht="15.6" x14ac:dyDescent="0.3">
      <c r="A14" s="1"/>
      <c r="B14" s="63" t="s">
        <v>132</v>
      </c>
      <c r="C14" s="102"/>
      <c r="D14" s="43"/>
      <c r="E14" s="43"/>
      <c r="F14" s="43" t="s">
        <v>133</v>
      </c>
      <c r="G14" s="64"/>
      <c r="H14" s="65"/>
      <c r="I14" s="1"/>
    </row>
    <row r="15" spans="1:17" ht="15.6" x14ac:dyDescent="0.3">
      <c r="A15" s="1"/>
      <c r="B15" s="59" t="s">
        <v>17</v>
      </c>
      <c r="C15" s="108" t="s">
        <v>142</v>
      </c>
      <c r="D15" s="66"/>
      <c r="E15" s="60"/>
      <c r="F15" s="60" t="s">
        <v>29</v>
      </c>
      <c r="G15" s="60"/>
      <c r="H15" s="62"/>
      <c r="I15" s="1"/>
    </row>
    <row r="16" spans="1:17" ht="16.8" x14ac:dyDescent="0.4">
      <c r="A16" s="1"/>
      <c r="B16" s="63" t="s">
        <v>1</v>
      </c>
      <c r="C16" s="101"/>
      <c r="D16" s="43"/>
      <c r="E16" s="43"/>
      <c r="F16" s="67" t="s">
        <v>75</v>
      </c>
      <c r="G16" s="104" t="s">
        <v>136</v>
      </c>
      <c r="H16" s="65"/>
      <c r="I16" s="1"/>
    </row>
    <row r="17" spans="1:16" ht="16.2" thickBot="1" x14ac:dyDescent="0.35">
      <c r="A17" s="1"/>
      <c r="B17" s="68" t="s">
        <v>3</v>
      </c>
      <c r="C17" s="103" t="s">
        <v>129</v>
      </c>
      <c r="D17" s="69"/>
      <c r="E17" s="70"/>
      <c r="F17" s="118" t="s">
        <v>18</v>
      </c>
      <c r="G17" s="118"/>
      <c r="H17" s="119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20" t="s">
        <v>19</v>
      </c>
      <c r="C20" s="121"/>
      <c r="D20" s="121"/>
      <c r="E20" s="121"/>
      <c r="F20" s="121"/>
      <c r="G20" s="121"/>
      <c r="H20" s="122"/>
      <c r="I20" s="1"/>
    </row>
    <row r="21" spans="1:16" ht="15.6" x14ac:dyDescent="0.3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x14ac:dyDescent="0.3">
      <c r="A22" s="1"/>
      <c r="B22" s="98">
        <v>16</v>
      </c>
      <c r="C22" s="109" t="s">
        <v>144</v>
      </c>
      <c r="D22" s="100">
        <v>1550</v>
      </c>
      <c r="E22" s="100">
        <v>600</v>
      </c>
      <c r="F22" s="98" t="s">
        <v>143</v>
      </c>
      <c r="G22" s="99"/>
      <c r="H22" s="99"/>
      <c r="I22" s="1"/>
      <c r="J22" s="98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8">
        <v>5</v>
      </c>
      <c r="C23" s="109" t="s">
        <v>144</v>
      </c>
      <c r="D23" s="100">
        <v>1000</v>
      </c>
      <c r="E23" s="100">
        <v>420</v>
      </c>
      <c r="F23" s="98" t="s">
        <v>143</v>
      </c>
      <c r="G23" s="99"/>
      <c r="H23" s="99"/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8">
        <v>3</v>
      </c>
      <c r="C24" s="109" t="s">
        <v>144</v>
      </c>
      <c r="D24" s="100">
        <v>760</v>
      </c>
      <c r="E24" s="100">
        <v>420</v>
      </c>
      <c r="F24" s="98" t="s">
        <v>143</v>
      </c>
      <c r="G24" s="99"/>
      <c r="H24" s="99"/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98">
        <v>7</v>
      </c>
      <c r="C25" s="109" t="s">
        <v>144</v>
      </c>
      <c r="D25" s="100">
        <v>700</v>
      </c>
      <c r="E25" s="100">
        <v>420</v>
      </c>
      <c r="F25" s="98" t="s">
        <v>143</v>
      </c>
      <c r="G25" s="99"/>
      <c r="H25" s="99"/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I26" s="1"/>
    </row>
    <row r="27" spans="1:16" ht="15.6" x14ac:dyDescent="0.3">
      <c r="A27" s="1"/>
      <c r="I27" s="1"/>
    </row>
    <row r="28" spans="1:16" ht="16.2" thickBot="1" x14ac:dyDescent="0.35">
      <c r="A28" s="1"/>
      <c r="B28" s="1"/>
      <c r="C28" s="1"/>
      <c r="D28" s="1"/>
      <c r="E28" s="1"/>
      <c r="F28" s="1"/>
      <c r="I28" s="1"/>
    </row>
    <row r="29" spans="1:16" ht="15.6" x14ac:dyDescent="0.3">
      <c r="A29" s="1"/>
      <c r="B29" s="1"/>
      <c r="C29" s="1"/>
      <c r="D29" s="1"/>
      <c r="E29" s="1"/>
      <c r="F29" s="1"/>
      <c r="G29" s="75" t="s">
        <v>5</v>
      </c>
      <c r="H29" s="76"/>
      <c r="I29" s="1"/>
    </row>
    <row r="30" spans="1:16" ht="15.6" x14ac:dyDescent="0.3">
      <c r="A30" s="1"/>
      <c r="B30" s="1"/>
      <c r="C30" s="1"/>
      <c r="D30" s="1"/>
      <c r="E30" s="1"/>
      <c r="F30" s="1"/>
      <c r="G30" s="77" t="s">
        <v>6</v>
      </c>
      <c r="H30" s="78"/>
      <c r="I30" s="1"/>
    </row>
    <row r="31" spans="1:16" ht="16.2" thickBot="1" x14ac:dyDescent="0.35">
      <c r="A31" s="1"/>
      <c r="C31" s="82"/>
      <c r="D31" s="83"/>
      <c r="E31" s="83"/>
      <c r="F31" s="74"/>
      <c r="G31" s="79" t="s">
        <v>4</v>
      </c>
      <c r="H31" s="80"/>
      <c r="I31" s="1"/>
    </row>
    <row r="32" spans="1:16" ht="15.6" x14ac:dyDescent="0.3">
      <c r="A32" s="1"/>
      <c r="C32" s="82"/>
      <c r="D32" s="83"/>
      <c r="E32" s="83"/>
      <c r="F32" s="74"/>
      <c r="G32" s="1"/>
      <c r="H32" s="1"/>
      <c r="I32" s="1"/>
    </row>
    <row r="33" spans="1:9" ht="15.6" x14ac:dyDescent="0.3">
      <c r="A33" s="1"/>
      <c r="C33" s="1"/>
      <c r="D33" s="1"/>
      <c r="E33" s="84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B36" s="81" t="s">
        <v>134</v>
      </c>
    </row>
    <row r="37" spans="1:9" ht="15.6" x14ac:dyDescent="0.3">
      <c r="B37" s="81" t="s">
        <v>135</v>
      </c>
    </row>
    <row r="38" spans="1:9" ht="15.6" x14ac:dyDescent="0.3">
      <c r="B38" s="1" t="s">
        <v>25</v>
      </c>
    </row>
  </sheetData>
  <sortState xmlns:xlrd2="http://schemas.microsoft.com/office/spreadsheetml/2017/richdata2" ref="B37">
    <sortCondition sortBy="fontColor" ref="B37" dxfId="0"/>
  </sortState>
  <mergeCells count="2">
    <mergeCell ref="F17:H17"/>
    <mergeCell ref="B20:H20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3" t="s">
        <v>31</v>
      </c>
      <c r="C2" s="123"/>
      <c r="D2" s="123"/>
      <c r="E2" s="18"/>
      <c r="G2" s="123" t="s">
        <v>70</v>
      </c>
      <c r="H2" s="123"/>
      <c r="I2" s="123"/>
      <c r="P2" s="124" t="s">
        <v>58</v>
      </c>
      <c r="Q2" s="124"/>
      <c r="R2" s="124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4" t="s">
        <v>58</v>
      </c>
      <c r="M8" s="124"/>
      <c r="N8" s="124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125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4"/>
  <sheetViews>
    <sheetView tabSelected="1" topLeftCell="A34" zoomScaleNormal="100" workbookViewId="0">
      <selection activeCell="A46" sqref="A46:F73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3.21875" customWidth="1"/>
    <col min="4" max="4" width="13.77734375" customWidth="1"/>
    <col min="5" max="5" width="11" customWidth="1"/>
    <col min="6" max="6" width="34.3320312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5" t="s">
        <v>61</v>
      </c>
      <c r="L3" s="125"/>
      <c r="M3" s="125" t="s">
        <v>14</v>
      </c>
      <c r="N3" s="125"/>
    </row>
    <row r="4" spans="1:14" ht="15.75" customHeight="1" x14ac:dyDescent="0.3">
      <c r="A4" s="1"/>
      <c r="B4" s="1"/>
      <c r="C4" s="40" t="s">
        <v>27</v>
      </c>
      <c r="D4" s="14">
        <f>'4637'!G8</f>
        <v>7341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CONSTRUCTORA HALTRA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46009</v>
      </c>
      <c r="E7" s="1"/>
      <c r="F7" s="1"/>
      <c r="G7" s="1"/>
    </row>
    <row r="8" spans="1:14" ht="15.6" x14ac:dyDescent="0.3">
      <c r="A8" s="1"/>
      <c r="B8" s="1"/>
      <c r="C8" s="53" t="s">
        <v>123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6" t="s">
        <v>61</v>
      </c>
      <c r="B10" s="126"/>
      <c r="C10" s="126"/>
      <c r="D10" s="126"/>
      <c r="E10" s="126"/>
      <c r="F10" s="126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20</v>
      </c>
      <c r="E13" s="32">
        <v>20</v>
      </c>
      <c r="F13" s="37" t="s">
        <v>110</v>
      </c>
      <c r="G13" s="1"/>
      <c r="J13" s="5" t="s">
        <v>7</v>
      </c>
      <c r="K13" s="5" t="s">
        <v>8</v>
      </c>
    </row>
    <row r="14" spans="1:14" ht="16.2" customHeight="1" x14ac:dyDescent="0.3">
      <c r="A14" s="95" t="s">
        <v>131</v>
      </c>
      <c r="B14" s="25">
        <f t="shared" ref="B14" si="0">I14</f>
        <v>16</v>
      </c>
      <c r="C14" s="25"/>
      <c r="D14" s="25">
        <f>J14+D$13</f>
        <v>1570</v>
      </c>
      <c r="E14" s="35">
        <v>610</v>
      </c>
      <c r="F14" s="96" t="str">
        <f t="shared" ref="F14:F17" si="1">C34</f>
        <v>CUB FRENTE RECTO 36MM</v>
      </c>
      <c r="G14" s="1"/>
      <c r="I14" s="3">
        <f>I25</f>
        <v>16</v>
      </c>
      <c r="J14" s="4">
        <f>J25</f>
        <v>1550</v>
      </c>
      <c r="K14" s="4">
        <f t="shared" ref="K14:K17" si="2">E34</f>
        <v>600</v>
      </c>
    </row>
    <row r="15" spans="1:14" ht="16.2" customHeight="1" x14ac:dyDescent="0.3">
      <c r="A15" s="95"/>
      <c r="B15" s="25">
        <f t="shared" ref="B15:B17" si="3">I15</f>
        <v>5</v>
      </c>
      <c r="C15" s="25"/>
      <c r="D15" s="25">
        <f>J15+D$13</f>
        <v>1020</v>
      </c>
      <c r="E15" s="35">
        <v>420</v>
      </c>
      <c r="F15" s="96" t="str">
        <f t="shared" si="1"/>
        <v>CUB FRENTE RECTO 36MM</v>
      </c>
      <c r="G15" s="1"/>
      <c r="I15" s="3">
        <f t="shared" ref="I15:I17" si="4">I26</f>
        <v>5</v>
      </c>
      <c r="J15" s="4">
        <f>J26</f>
        <v>1000</v>
      </c>
      <c r="K15" s="4">
        <f t="shared" si="2"/>
        <v>420</v>
      </c>
    </row>
    <row r="16" spans="1:14" ht="16.2" customHeight="1" x14ac:dyDescent="0.3">
      <c r="A16" s="95"/>
      <c r="B16" s="25">
        <f t="shared" si="3"/>
        <v>3</v>
      </c>
      <c r="C16" s="25"/>
      <c r="D16" s="25">
        <f>J16+D$13</f>
        <v>780</v>
      </c>
      <c r="E16" s="35">
        <f>K16+E$13</f>
        <v>440</v>
      </c>
      <c r="F16" s="96" t="str">
        <f t="shared" si="1"/>
        <v>CUB FRENTE RECTO 36MM</v>
      </c>
      <c r="G16" s="1"/>
      <c r="I16" s="3">
        <f t="shared" si="4"/>
        <v>3</v>
      </c>
      <c r="J16" s="4">
        <f t="shared" ref="J16" si="5">J27</f>
        <v>760</v>
      </c>
      <c r="K16" s="4">
        <f t="shared" si="2"/>
        <v>420</v>
      </c>
    </row>
    <row r="17" spans="1:13" ht="16.2" customHeight="1" x14ac:dyDescent="0.3">
      <c r="A17" s="95"/>
      <c r="B17" s="25">
        <f t="shared" si="3"/>
        <v>7</v>
      </c>
      <c r="C17" s="25"/>
      <c r="D17" s="25">
        <f>J17+D$13</f>
        <v>720</v>
      </c>
      <c r="E17" s="35">
        <f>K17+E$13</f>
        <v>440</v>
      </c>
      <c r="F17" s="96" t="str">
        <f t="shared" si="1"/>
        <v>CUB FRENTE RECTO 36MM</v>
      </c>
      <c r="G17" s="1"/>
      <c r="I17" s="3">
        <f t="shared" si="4"/>
        <v>7</v>
      </c>
      <c r="J17" s="4">
        <f t="shared" ref="J17" si="6">J28</f>
        <v>700</v>
      </c>
      <c r="K17" s="4">
        <f t="shared" si="2"/>
        <v>420</v>
      </c>
    </row>
    <row r="18" spans="1:13" ht="16.2" customHeight="1" x14ac:dyDescent="0.3">
      <c r="A18" s="95"/>
      <c r="B18" s="6"/>
      <c r="C18" s="6"/>
      <c r="D18" s="6"/>
      <c r="E18" s="88"/>
      <c r="F18" s="116"/>
      <c r="G18" s="1"/>
      <c r="I18" s="89"/>
      <c r="J18" s="2"/>
      <c r="K18" s="2"/>
    </row>
    <row r="19" spans="1:13" ht="15.6" x14ac:dyDescent="0.3">
      <c r="A19" s="52"/>
      <c r="B19" s="6"/>
      <c r="C19" s="6"/>
      <c r="D19" s="6"/>
      <c r="E19" s="88"/>
      <c r="F19" s="6"/>
      <c r="G19" s="1"/>
      <c r="I19" s="89"/>
      <c r="J19" s="2"/>
      <c r="K19" s="2"/>
    </row>
    <row r="20" spans="1:13" ht="6.75" customHeight="1" x14ac:dyDescent="0.3">
      <c r="A20" s="1"/>
      <c r="B20" s="1"/>
      <c r="C20" s="1"/>
      <c r="D20" s="1"/>
      <c r="E20" s="1"/>
      <c r="F20" s="1"/>
      <c r="G20" s="1"/>
    </row>
    <row r="21" spans="1:13" ht="15.6" x14ac:dyDescent="0.3">
      <c r="A21" s="126" t="s">
        <v>14</v>
      </c>
      <c r="B21" s="126"/>
      <c r="C21" s="126"/>
      <c r="D21" s="126"/>
      <c r="E21" s="126"/>
      <c r="F21" s="126"/>
      <c r="G21" s="1"/>
    </row>
    <row r="22" spans="1:13" ht="10.5" customHeight="1" x14ac:dyDescent="0.3">
      <c r="A22" s="1"/>
      <c r="B22" s="1"/>
      <c r="C22" s="12"/>
      <c r="D22" s="1"/>
      <c r="E22" s="1"/>
      <c r="F22" s="1"/>
      <c r="G22" s="1"/>
    </row>
    <row r="23" spans="1:13" ht="15.6" x14ac:dyDescent="0.3">
      <c r="A23" s="1"/>
      <c r="B23" s="1"/>
      <c r="C23" s="1"/>
      <c r="D23" s="52" t="s">
        <v>7</v>
      </c>
      <c r="E23" s="52" t="s">
        <v>8</v>
      </c>
      <c r="F23" s="1"/>
      <c r="G23" s="1"/>
    </row>
    <row r="24" spans="1:13" ht="15.6" x14ac:dyDescent="0.3">
      <c r="A24" s="52" t="s">
        <v>9</v>
      </c>
      <c r="B24" s="36" t="s">
        <v>10</v>
      </c>
      <c r="C24" s="36" t="s">
        <v>11</v>
      </c>
      <c r="D24" s="21">
        <v>20</v>
      </c>
      <c r="E24" s="21">
        <v>20</v>
      </c>
      <c r="F24" s="36" t="s">
        <v>110</v>
      </c>
      <c r="G24" s="1"/>
      <c r="J24" s="5" t="s">
        <v>7</v>
      </c>
      <c r="K24" s="5" t="s">
        <v>8</v>
      </c>
    </row>
    <row r="25" spans="1:13" ht="15.6" x14ac:dyDescent="0.3">
      <c r="A25" s="95"/>
      <c r="B25" s="16">
        <f t="shared" ref="B25" si="7">I25</f>
        <v>16</v>
      </c>
      <c r="C25" s="16"/>
      <c r="D25" s="16">
        <f>J25+D$24</f>
        <v>1570</v>
      </c>
      <c r="E25" s="16">
        <v>610</v>
      </c>
      <c r="F25" s="97" t="str">
        <f>C34</f>
        <v>CUB FRENTE RECTO 36MM</v>
      </c>
      <c r="G25" s="1"/>
      <c r="I25" s="3">
        <f>B34</f>
        <v>16</v>
      </c>
      <c r="J25" s="4">
        <f t="shared" ref="J25:K27" si="8">D34</f>
        <v>1550</v>
      </c>
      <c r="K25" s="4">
        <f t="shared" si="8"/>
        <v>600</v>
      </c>
      <c r="M25">
        <v>185</v>
      </c>
    </row>
    <row r="26" spans="1:13" ht="15.6" x14ac:dyDescent="0.3">
      <c r="A26" s="95"/>
      <c r="B26" s="16">
        <f t="shared" ref="B26:B28" si="9">I26</f>
        <v>5</v>
      </c>
      <c r="C26" s="16"/>
      <c r="D26" s="16">
        <f>J26+D$24</f>
        <v>1020</v>
      </c>
      <c r="E26" s="16">
        <f t="shared" ref="E26:E28" si="10">K26+E$24</f>
        <v>440</v>
      </c>
      <c r="F26" s="97" t="str">
        <f>C35</f>
        <v>CUB FRENTE RECTO 36MM</v>
      </c>
      <c r="G26" s="1"/>
      <c r="I26" s="3">
        <f t="shared" ref="I26:I28" si="11">B35</f>
        <v>5</v>
      </c>
      <c r="J26" s="4">
        <f t="shared" si="8"/>
        <v>1000</v>
      </c>
      <c r="K26" s="4">
        <f t="shared" si="8"/>
        <v>420</v>
      </c>
    </row>
    <row r="27" spans="1:13" ht="15.6" x14ac:dyDescent="0.3">
      <c r="A27" s="95"/>
      <c r="B27" s="16">
        <f t="shared" si="9"/>
        <v>3</v>
      </c>
      <c r="C27" s="16"/>
      <c r="D27" s="16">
        <f t="shared" ref="D27:D28" si="12">J27+D$24</f>
        <v>780</v>
      </c>
      <c r="E27" s="16">
        <f t="shared" si="10"/>
        <v>440</v>
      </c>
      <c r="F27" s="97" t="str">
        <f>C36</f>
        <v>CUB FRENTE RECTO 36MM</v>
      </c>
      <c r="G27" s="1"/>
      <c r="I27" s="3">
        <f t="shared" si="11"/>
        <v>3</v>
      </c>
      <c r="J27" s="4">
        <f t="shared" si="8"/>
        <v>760</v>
      </c>
      <c r="K27" s="4">
        <f t="shared" si="8"/>
        <v>420</v>
      </c>
    </row>
    <row r="28" spans="1:13" ht="15.6" x14ac:dyDescent="0.3">
      <c r="A28" s="95"/>
      <c r="B28" s="16">
        <f t="shared" si="9"/>
        <v>7</v>
      </c>
      <c r="C28" s="117"/>
      <c r="D28" s="16">
        <f t="shared" si="12"/>
        <v>720</v>
      </c>
      <c r="E28" s="16">
        <f t="shared" si="10"/>
        <v>440</v>
      </c>
      <c r="F28" s="97" t="str">
        <f t="shared" ref="F28" si="13">C37</f>
        <v>CUB FRENTE RECTO 36MM</v>
      </c>
      <c r="G28" s="1"/>
      <c r="I28" s="3">
        <f t="shared" si="11"/>
        <v>7</v>
      </c>
      <c r="J28" s="4">
        <f t="shared" ref="J28" si="14">D37</f>
        <v>700</v>
      </c>
      <c r="K28" s="4">
        <f t="shared" ref="K28" si="15">E37</f>
        <v>420</v>
      </c>
    </row>
    <row r="29" spans="1:13" ht="15.6" x14ac:dyDescent="0.3">
      <c r="A29" s="95"/>
      <c r="B29" s="6"/>
      <c r="C29" s="6"/>
      <c r="D29" s="6"/>
      <c r="E29" s="6"/>
      <c r="F29" s="116"/>
      <c r="G29" s="1"/>
      <c r="I29" s="89"/>
      <c r="J29" s="2"/>
      <c r="K29" s="2"/>
    </row>
    <row r="30" spans="1:13" ht="16.2" thickBot="1" x14ac:dyDescent="0.35">
      <c r="A30" s="52"/>
      <c r="B30" s="6"/>
      <c r="C30" s="6"/>
      <c r="D30" s="6"/>
      <c r="E30" s="6"/>
      <c r="F30" s="6"/>
      <c r="G30" s="1"/>
      <c r="I30" s="2"/>
      <c r="J30" s="2"/>
      <c r="K30" s="2"/>
    </row>
    <row r="31" spans="1:13" ht="16.2" thickBot="1" x14ac:dyDescent="0.35">
      <c r="A31" s="52"/>
      <c r="B31" s="22" t="s">
        <v>107</v>
      </c>
      <c r="C31" s="23"/>
      <c r="D31" s="23"/>
      <c r="E31" s="23"/>
      <c r="F31" s="24"/>
      <c r="G31" s="1"/>
      <c r="I31" s="2"/>
      <c r="J31" s="2"/>
      <c r="K31" s="2"/>
    </row>
    <row r="32" spans="1:13" ht="10.5" customHeight="1" x14ac:dyDescent="0.3">
      <c r="A32" s="1"/>
      <c r="B32" s="1"/>
      <c r="C32" s="1"/>
      <c r="D32" s="1"/>
      <c r="E32" s="1"/>
      <c r="F32" s="1"/>
      <c r="G32" s="1"/>
    </row>
    <row r="33" spans="1:10" ht="15.6" x14ac:dyDescent="0.3">
      <c r="A33" s="52" t="s">
        <v>9</v>
      </c>
      <c r="B33" s="87" t="s">
        <v>10</v>
      </c>
      <c r="C33" s="87" t="s">
        <v>110</v>
      </c>
      <c r="D33" s="87" t="s">
        <v>7</v>
      </c>
      <c r="E33" s="87" t="s">
        <v>8</v>
      </c>
      <c r="F33" s="87" t="s">
        <v>23</v>
      </c>
      <c r="G33" s="1"/>
    </row>
    <row r="34" spans="1:10" ht="15.6" x14ac:dyDescent="0.3">
      <c r="A34" s="95"/>
      <c r="B34" s="25">
        <f>'4637'!B22</f>
        <v>16</v>
      </c>
      <c r="C34" s="106" t="str">
        <f>'4637'!C22</f>
        <v>CUB FRENTE RECTO 36MM</v>
      </c>
      <c r="D34" s="25">
        <f>'4637'!D22</f>
        <v>1550</v>
      </c>
      <c r="E34" s="25">
        <f>'4637'!E22</f>
        <v>600</v>
      </c>
      <c r="F34" s="25" t="str">
        <f>'4637'!F22</f>
        <v>FASHION GREY 21371 SF</v>
      </c>
      <c r="G34" s="1"/>
      <c r="H34">
        <f>D34*2*B34</f>
        <v>49600</v>
      </c>
      <c r="J34">
        <f>E34*B34</f>
        <v>9600</v>
      </c>
    </row>
    <row r="35" spans="1:10" ht="15.6" x14ac:dyDescent="0.3">
      <c r="A35" s="95"/>
      <c r="B35" s="25">
        <f>'4637'!B23</f>
        <v>5</v>
      </c>
      <c r="C35" s="106" t="str">
        <f>'4637'!C23</f>
        <v>CUB FRENTE RECTO 36MM</v>
      </c>
      <c r="D35" s="25">
        <f>'4637'!D23</f>
        <v>1000</v>
      </c>
      <c r="E35" s="25">
        <f>'4637'!E23</f>
        <v>420</v>
      </c>
      <c r="F35" s="25" t="str">
        <f>'4637'!F23</f>
        <v>FASHION GREY 21371 SF</v>
      </c>
      <c r="G35" s="1"/>
      <c r="H35">
        <f>D35*2*B35</f>
        <v>10000</v>
      </c>
      <c r="J35">
        <f>E35*B35</f>
        <v>2100</v>
      </c>
    </row>
    <row r="36" spans="1:10" ht="15.6" x14ac:dyDescent="0.3">
      <c r="A36" s="95"/>
      <c r="B36" s="25">
        <f>'4637'!B24</f>
        <v>3</v>
      </c>
      <c r="C36" s="106" t="str">
        <f>'4637'!C24</f>
        <v>CUB FRENTE RECTO 36MM</v>
      </c>
      <c r="D36" s="25">
        <f>'4637'!D24</f>
        <v>760</v>
      </c>
      <c r="E36" s="25">
        <f>'4637'!E24</f>
        <v>420</v>
      </c>
      <c r="F36" s="25" t="str">
        <f>'4637'!F24</f>
        <v>FASHION GREY 21371 SF</v>
      </c>
      <c r="G36" s="1"/>
      <c r="H36">
        <f>D36*B36</f>
        <v>2280</v>
      </c>
    </row>
    <row r="37" spans="1:10" ht="15.6" x14ac:dyDescent="0.3">
      <c r="A37" s="95"/>
      <c r="B37" s="25">
        <f>'4637'!B25</f>
        <v>7</v>
      </c>
      <c r="C37" s="106" t="str">
        <f>'4637'!C25</f>
        <v>CUB FRENTE RECTO 36MM</v>
      </c>
      <c r="D37" s="25">
        <f>'4637'!D25</f>
        <v>700</v>
      </c>
      <c r="E37" s="25">
        <f>'4637'!E25</f>
        <v>420</v>
      </c>
      <c r="F37" s="25" t="str">
        <f>'4637'!F25</f>
        <v>FASHION GREY 21371 SF</v>
      </c>
      <c r="G37" s="1"/>
      <c r="H37">
        <f>D37*2</f>
        <v>1400</v>
      </c>
    </row>
    <row r="38" spans="1:10" ht="15.6" x14ac:dyDescent="0.3">
      <c r="A38" s="95"/>
      <c r="B38" s="6"/>
      <c r="C38" s="115"/>
      <c r="D38" s="6"/>
      <c r="E38" s="6"/>
      <c r="F38" s="6"/>
      <c r="G38" s="1"/>
      <c r="H38">
        <f>SUM(H34:H37)</f>
        <v>63280</v>
      </c>
      <c r="J38">
        <f>SUM(J34:J37)</f>
        <v>11700</v>
      </c>
    </row>
    <row r="39" spans="1:10" ht="15.6" x14ac:dyDescent="0.3">
      <c r="A39" s="1"/>
      <c r="B39" s="6"/>
      <c r="C39" s="6"/>
      <c r="D39" s="6"/>
      <c r="E39" s="6"/>
      <c r="F39" s="6"/>
      <c r="G39" s="1"/>
    </row>
    <row r="40" spans="1:10" ht="15.6" x14ac:dyDescent="0.3">
      <c r="A40" s="1"/>
      <c r="B40" s="6"/>
      <c r="C40" s="6"/>
      <c r="D40" s="6"/>
      <c r="E40" s="6"/>
      <c r="F40" s="6"/>
      <c r="G40" s="1"/>
      <c r="H40">
        <f>H38+J38</f>
        <v>74980</v>
      </c>
    </row>
    <row r="41" spans="1:10" ht="15.6" x14ac:dyDescent="0.3">
      <c r="A41" s="1"/>
      <c r="B41" s="6"/>
      <c r="C41" s="6"/>
      <c r="D41" s="6"/>
      <c r="E41" s="6"/>
      <c r="F41" s="6"/>
      <c r="G41" s="1"/>
      <c r="H41">
        <f>H40*20%</f>
        <v>14996</v>
      </c>
    </row>
    <row r="42" spans="1:10" ht="15.6" x14ac:dyDescent="0.3">
      <c r="A42" s="1"/>
      <c r="B42" s="6"/>
      <c r="C42" s="6"/>
      <c r="D42" s="6"/>
      <c r="E42" s="6"/>
      <c r="F42" s="6"/>
      <c r="G42" s="1"/>
      <c r="H42">
        <f>H40+H41</f>
        <v>89976</v>
      </c>
    </row>
    <row r="43" spans="1:10" ht="15.6" x14ac:dyDescent="0.3">
      <c r="A43" s="1"/>
      <c r="B43" s="6"/>
      <c r="C43" s="6"/>
      <c r="D43" s="6"/>
      <c r="E43" s="6"/>
      <c r="F43" s="6"/>
      <c r="G43" s="1"/>
      <c r="H43">
        <f>H42/1000</f>
        <v>89.975999999999999</v>
      </c>
    </row>
    <row r="44" spans="1:10" ht="15.6" x14ac:dyDescent="0.3">
      <c r="A44" s="1"/>
      <c r="B44" s="6"/>
      <c r="C44" s="6"/>
      <c r="D44" s="6"/>
      <c r="E44" s="6"/>
      <c r="F44" s="6"/>
      <c r="G44" s="1"/>
    </row>
    <row r="45" spans="1:10" ht="15.6" x14ac:dyDescent="0.3">
      <c r="A45" s="1"/>
      <c r="B45" s="6"/>
      <c r="C45" s="6"/>
      <c r="D45" s="6"/>
      <c r="E45" s="6"/>
      <c r="F45" s="6"/>
      <c r="G45" s="1"/>
    </row>
    <row r="46" spans="1:10" ht="15.6" x14ac:dyDescent="0.3">
      <c r="A46" s="1"/>
      <c r="B46" s="6"/>
      <c r="C46" s="6"/>
      <c r="D46" s="6"/>
      <c r="E46" s="6"/>
      <c r="F46" s="6"/>
      <c r="G46" s="1"/>
    </row>
    <row r="47" spans="1:10" ht="15.6" x14ac:dyDescent="0.3">
      <c r="A47" s="1"/>
      <c r="B47" s="1"/>
      <c r="C47" s="1"/>
      <c r="D47" s="1"/>
      <c r="E47" s="1"/>
      <c r="F47" s="1"/>
      <c r="G47" s="1"/>
    </row>
    <row r="48" spans="1:10" ht="15.6" x14ac:dyDescent="0.3">
      <c r="A48" s="1"/>
      <c r="B48" s="1"/>
      <c r="C48" s="40" t="s">
        <v>27</v>
      </c>
      <c r="D48" s="14">
        <f>'4637'!G8</f>
        <v>7341</v>
      </c>
      <c r="E48" s="1"/>
      <c r="F48" s="1"/>
      <c r="G48" s="1"/>
    </row>
    <row r="49" spans="1:7" ht="17.25" customHeight="1" x14ac:dyDescent="0.3">
      <c r="A49" s="1"/>
      <c r="B49" s="1"/>
      <c r="C49" s="41" t="s">
        <v>67</v>
      </c>
      <c r="D49" s="42" t="str">
        <f>'4637'!C10</f>
        <v>CONSTRUCTORA HALTRA</v>
      </c>
      <c r="E49" s="43"/>
      <c r="F49" s="43"/>
      <c r="G49" s="1"/>
    </row>
    <row r="50" spans="1:7" ht="4.5" customHeight="1" x14ac:dyDescent="0.3">
      <c r="A50" s="1"/>
      <c r="B50" s="1"/>
      <c r="C50" s="44"/>
      <c r="D50" s="45"/>
      <c r="E50" s="1"/>
      <c r="F50" s="1"/>
      <c r="G50" s="1"/>
    </row>
    <row r="51" spans="1:7" ht="15.6" x14ac:dyDescent="0.3">
      <c r="A51" s="1"/>
      <c r="B51" s="1"/>
      <c r="C51" s="46" t="str">
        <f>'4637'!F11</f>
        <v>FECHA LIMITE :</v>
      </c>
      <c r="D51" s="13">
        <f>'4637'!G11</f>
        <v>46009</v>
      </c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26" t="s">
        <v>68</v>
      </c>
      <c r="B54" s="126"/>
      <c r="C54" s="126"/>
      <c r="D54" s="126"/>
      <c r="E54" s="126"/>
      <c r="F54" s="126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75" customHeight="1" x14ac:dyDescent="0.3">
      <c r="A56" s="1"/>
      <c r="B56" s="127" t="s">
        <v>69</v>
      </c>
      <c r="C56" s="128"/>
      <c r="D56" s="129"/>
      <c r="E56" s="129"/>
      <c r="F56" s="130"/>
      <c r="G56" s="1"/>
    </row>
    <row r="57" spans="1:7" s="15" customFormat="1" ht="12.75" customHeight="1" x14ac:dyDescent="0.3">
      <c r="A57" s="1"/>
      <c r="B57" s="36" t="s">
        <v>10</v>
      </c>
      <c r="C57" s="47" t="s">
        <v>11</v>
      </c>
      <c r="D57" s="48" t="s">
        <v>7</v>
      </c>
      <c r="E57" s="112" t="s">
        <v>8</v>
      </c>
      <c r="F57" s="49" t="s">
        <v>12</v>
      </c>
      <c r="G57" s="1"/>
    </row>
    <row r="58" spans="1:7" s="15" customFormat="1" ht="15" customHeight="1" x14ac:dyDescent="0.3">
      <c r="A58" s="95"/>
      <c r="B58" s="38">
        <f>'4637'!B22</f>
        <v>16</v>
      </c>
      <c r="C58" s="105" t="str">
        <f>'4637'!C22</f>
        <v>CUB FRENTE RECTO 36MM</v>
      </c>
      <c r="D58" s="39">
        <f>'4637'!D22</f>
        <v>1550</v>
      </c>
      <c r="E58" s="113">
        <f>'4637'!E22</f>
        <v>600</v>
      </c>
      <c r="F58" s="114" t="str">
        <f>'4637'!F22</f>
        <v>FASHION GREY 21371 SF</v>
      </c>
      <c r="G58" s="1"/>
    </row>
    <row r="59" spans="1:7" s="15" customFormat="1" ht="15" customHeight="1" x14ac:dyDescent="0.3">
      <c r="A59" s="95"/>
      <c r="B59" s="38">
        <f>'4637'!B23</f>
        <v>5</v>
      </c>
      <c r="C59" s="105" t="str">
        <f>'4637'!C23</f>
        <v>CUB FRENTE RECTO 36MM</v>
      </c>
      <c r="D59" s="39">
        <f>'4637'!D23</f>
        <v>1000</v>
      </c>
      <c r="E59" s="113">
        <f>'4637'!E23</f>
        <v>420</v>
      </c>
      <c r="F59" s="114" t="str">
        <f>'4637'!F23</f>
        <v>FASHION GREY 21371 SF</v>
      </c>
      <c r="G59" s="1"/>
    </row>
    <row r="60" spans="1:7" s="15" customFormat="1" ht="15" customHeight="1" x14ac:dyDescent="0.3">
      <c r="A60" s="95"/>
      <c r="B60" s="38">
        <f>'4637'!B24</f>
        <v>3</v>
      </c>
      <c r="C60" s="105" t="str">
        <f>'4637'!C24</f>
        <v>CUB FRENTE RECTO 36MM</v>
      </c>
      <c r="D60" s="39">
        <f>'4637'!D24</f>
        <v>760</v>
      </c>
      <c r="E60" s="113">
        <f>'4637'!E24</f>
        <v>420</v>
      </c>
      <c r="F60" s="114" t="str">
        <f>'4637'!F24</f>
        <v>FASHION GREY 21371 SF</v>
      </c>
      <c r="G60" s="1"/>
    </row>
    <row r="61" spans="1:7" s="15" customFormat="1" ht="15" customHeight="1" x14ac:dyDescent="0.3">
      <c r="A61" s="95"/>
      <c r="B61" s="38">
        <f>'4637'!B25</f>
        <v>7</v>
      </c>
      <c r="C61" s="105" t="str">
        <f>'4637'!C25</f>
        <v>CUB FRENTE RECTO 36MM</v>
      </c>
      <c r="D61" s="39">
        <f>'4637'!D25</f>
        <v>700</v>
      </c>
      <c r="E61" s="113">
        <f>'4637'!E25</f>
        <v>420</v>
      </c>
      <c r="F61" s="114" t="str">
        <f>'4637'!F25</f>
        <v>FASHION GREY 21371 SF</v>
      </c>
      <c r="G61" s="1"/>
    </row>
    <row r="62" spans="1:7" s="15" customFormat="1" ht="15" customHeight="1" x14ac:dyDescent="0.3">
      <c r="A62" s="95"/>
      <c r="B62" s="52"/>
      <c r="C62" s="111"/>
      <c r="D62" s="52"/>
      <c r="E62" s="52"/>
      <c r="F62" s="52"/>
      <c r="G62" s="1"/>
    </row>
    <row r="63" spans="1:7" s="15" customFormat="1" ht="15" customHeight="1" x14ac:dyDescent="0.3">
      <c r="A63" s="50"/>
      <c r="B63" s="52"/>
      <c r="C63" s="52"/>
      <c r="D63" s="52"/>
      <c r="E63" s="52"/>
      <c r="F63" s="52"/>
      <c r="G63" s="1"/>
    </row>
    <row r="64" spans="1:7" ht="15.6" x14ac:dyDescent="0.3">
      <c r="A64" s="6"/>
      <c r="B64" s="6"/>
      <c r="C64" s="1"/>
      <c r="D64" s="6"/>
      <c r="E64" s="6"/>
      <c r="F64" s="44"/>
      <c r="G64" s="1"/>
    </row>
    <row r="65" spans="1:7" ht="15.6" x14ac:dyDescent="0.3">
      <c r="A65" s="6"/>
      <c r="B65" s="6"/>
      <c r="C65" s="1"/>
      <c r="D65" s="6"/>
      <c r="E65" s="6"/>
      <c r="F65" s="6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" customHeight="1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ht="15.6" x14ac:dyDescent="0.3">
      <c r="A71" s="6"/>
      <c r="B71" s="51"/>
      <c r="C71" s="1"/>
      <c r="D71" s="1"/>
      <c r="E71" s="1"/>
      <c r="F71" s="1"/>
      <c r="G71" s="1"/>
    </row>
    <row r="72" spans="1:7" ht="15.6" x14ac:dyDescent="0.3">
      <c r="A72" s="1"/>
      <c r="B72" s="1"/>
      <c r="C72" s="1"/>
      <c r="D72" s="1"/>
      <c r="E72" s="1"/>
      <c r="F72" s="1"/>
      <c r="G72" s="1"/>
    </row>
    <row r="73" spans="1:7" x14ac:dyDescent="0.3">
      <c r="B73" s="20"/>
      <c r="C73" s="20"/>
      <c r="D73" s="20"/>
      <c r="E73" s="20"/>
      <c r="F73" s="20"/>
    </row>
    <row r="74" spans="1:7" x14ac:dyDescent="0.3">
      <c r="B74" s="20"/>
      <c r="C74" s="20"/>
      <c r="E74" s="20"/>
      <c r="F74" s="20"/>
    </row>
  </sheetData>
  <mergeCells count="6">
    <mergeCell ref="M3:N3"/>
    <mergeCell ref="A21:F21"/>
    <mergeCell ref="A10:F10"/>
    <mergeCell ref="A54:F54"/>
    <mergeCell ref="B56:F5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7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2025-12-10T12:05:47Z</cp:lastPrinted>
  <dcterms:created xsi:type="dcterms:W3CDTF">2013-03-19T12:54:14Z</dcterms:created>
  <dcterms:modified xsi:type="dcterms:W3CDTF">2025-12-10T12:08:59Z</dcterms:modified>
</cp:coreProperties>
</file>