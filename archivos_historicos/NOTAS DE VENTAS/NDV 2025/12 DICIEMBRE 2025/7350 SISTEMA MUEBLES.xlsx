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CA1D925C-81C5-430C-B513-9BC4AACBE5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I22" i="3" s="1"/>
  <c r="B22" i="3" s="1"/>
  <c r="C28" i="3"/>
  <c r="F22" i="3" s="1"/>
  <c r="D28" i="3"/>
  <c r="J22" i="3" s="1"/>
  <c r="D22" i="3" s="1"/>
  <c r="E28" i="3"/>
  <c r="K22" i="3" s="1"/>
  <c r="F28" i="3"/>
  <c r="B49" i="3"/>
  <c r="C49" i="3"/>
  <c r="D49" i="3"/>
  <c r="E49" i="3"/>
  <c r="F49" i="3"/>
  <c r="H22" i="4"/>
  <c r="K14" i="3" l="1"/>
  <c r="E14" i="3" s="1"/>
  <c r="J14" i="3"/>
  <c r="D14" i="3" s="1"/>
  <c r="I14" i="3"/>
  <c r="B14" i="3" s="1"/>
  <c r="F14" i="3"/>
  <c r="H25" i="4" l="1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<sst xmlns="http://schemas.openxmlformats.org/spreadsheetml/2006/main" count="251" uniqueCount="148">
  <si>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</si>
  <si>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</si>
  <si>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</si>
  <si>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</si>
  <si>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</si>
  <si>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</si>
  <si>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</si>
  <si>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</si>
  <si>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</si>
  <si>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</si>
  <si>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</si>
  <si>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</si>
  <si>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</si>
  <si>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</si>
  <si>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</si>
  <si>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</si>
  <si>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</si>
  <si>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</si>
  <si>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</si>
  <si>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</si>
  <si>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</si>
  <si>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</si>
  <si>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</si>
  <si>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</si>
  <si>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</si>
  <si>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</si>
  <si>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</si>
  <si>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</si>
  <si>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</si>
  <si>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</si>
  <si>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</si>
  <si>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</si>
  <si>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</si>
  <si>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</si>
  <si>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</si>
  <si>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</si>
  <si>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</si>
  <si>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</si>
  <si>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</si>
  <si>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</si>
  <si>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</si>
  <si>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</si>
  <si>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</si>
  <si>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</si>
  <si>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</si>
  <si>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</si>
  <si>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</si>
  <si>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</si>
  <si>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</si>
  <si>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</si>
  <si>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</si>
  <si>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</si>
  <si>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</si>
  <si>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</si>
  <si>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</si>
  <si>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</si>
  <si>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</si>
  <si>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</si>
  <si>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</si>
  <si>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</si>
  <si>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</si>
  <si>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</si>
  <si>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</si>
  <si>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</si>
  <si>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</si>
  <si>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</si>
  <si>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</si>
  <si>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</si>
  <si>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</si>
  <si>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</si>
  <si>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</si>
  <si>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</si>
  <si>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</si>
  <si>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</si>
  <si>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</si>
  <si>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</si>
  <si>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</si>
  <si>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</si>
  <si>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</si>
  <si>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</si>
  <si>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</si>
  <si>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</si>
  <si>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</si>
  <si>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</si>
  <si>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</si>
  <si>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</si>
  <si>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</si>
  <si>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</si>
  <si>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</si>
  <si>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</si>
  <si>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</si>
  <si>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</si>
  <si>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</si>
  <si>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</si>
  <si>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</si>
  <si>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</si>
  <si>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</si>
  <si>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</si>
  <si>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</si>
  <si>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</si>
  <si>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</si>
  <si>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</si>
  <si>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</si>
  <si>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</si>
  <si>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</si>
  <si>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</si>
  <si>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</si>
  <si>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</si>
  <si>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</si>
  <si>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</si>
  <si>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</si>
  <si>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</si>
  <si>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</si>
  <si>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</si>
  <si>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</si>
  <si>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</si>
  <si>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</si>
  <si>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</si>
  <si>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</si>
  <si>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</si>
  <si>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</si>
  <si>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</si>
  <si>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</si>
  <si>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</si>
  <si>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</si>
  <si>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</si>
  <si>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</si>
  <si>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</si>
  <si>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</si>
  <si>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</si>
  <si>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</si>
  <si>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</si>
  <si>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</si>
  <si>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</si>
  <si>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SISTEMAS SERVICIOS SPA</t>
  </si>
  <si>
    <t>77.091.475-2</t>
  </si>
  <si>
    <t>FCA. DE MUEBLES</t>
  </si>
  <si>
    <t>MARIOLI CONCHA</t>
  </si>
  <si>
    <t>recepciondte@sistemamuebles.cl</t>
  </si>
  <si>
    <t>+569 9408 2633</t>
  </si>
  <si>
    <t>AV. SALVADOR ALLENDE 5040 CERRILLOS</t>
  </si>
  <si>
    <t>CORREO:</t>
  </si>
  <si>
    <t>ABONO 30%, CONTADO 20%, SALDO 30 DIAS</t>
  </si>
  <si>
    <t>F.DONOSO</t>
  </si>
  <si>
    <t>TRAIGHT WALNUT 10848 SF</t>
  </si>
  <si>
    <t>CENEFA R19 MDF30MM</t>
  </si>
  <si>
    <t>MDF30MM</t>
  </si>
  <si>
    <t>N° 11784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</si>
</sst>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8" fillId="0" borderId="0" xfId="0" quotePrefix="1" applyFont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$123.308.-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CENEFAS LLEVAN ENCHAPE INTERIOR DE 15MM AL LARGO Y LAS CORNISAS SE DEBE ENCHAPAR LOS REGRUESOS CON LA MISMA LAMINA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CENEFAS LLEVAN ENCHAPE INTERIOR DE 15MM AL LARGO, LAS CORNISAS SE DEBE ENCHAPAR CON LA MISMA LAMINA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epciondte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I31" sqref="I3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147</v>
      </c>
      <c r="E8" s="1"/>
      <c r="F8" s="94" t="s">
        <v>27</v>
      </c>
      <c r="G8" s="95">
        <v>7350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134</v>
      </c>
      <c r="D10" s="55"/>
      <c r="E10" s="55"/>
      <c r="F10" s="56" t="s">
        <v>28</v>
      </c>
      <c r="G10" s="57">
        <v>46006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135</v>
      </c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130</v>
      </c>
      <c r="C12" s="105" t="s">
        <v>136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137</v>
      </c>
      <c r="D13" s="43"/>
      <c r="E13" s="43"/>
      <c r="F13" s="43" t="s">
        <v>128</v>
      </c>
      <c r="G13" s="64" t="s">
        <v>143</v>
      </c>
      <c r="H13" s="65"/>
      <c r="I13" s="1"/>
    </row>
    <row r="14" spans="1:17" ht="15.6" x14ac:dyDescent="0.3">
      <c r="A14" s="1"/>
      <c r="B14" s="63" t="s">
        <v>141</v>
      </c>
      <c r="C14" s="106" t="s">
        <v>138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7" t="s">
        <v>139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5" t="s">
        <v>140</v>
      </c>
      <c r="D16" s="43"/>
      <c r="E16" s="43"/>
      <c r="F16" s="67" t="s">
        <v>75</v>
      </c>
      <c r="G16" s="109" t="s">
        <v>142</v>
      </c>
      <c r="H16" s="65"/>
      <c r="I16" s="1"/>
    </row>
    <row r="17" spans="1:16" ht="16.2" thickBot="1" x14ac:dyDescent="0.35">
      <c r="A17" s="1"/>
      <c r="B17" s="68" t="s">
        <v>3</v>
      </c>
      <c r="C17" s="108" t="s">
        <v>131</v>
      </c>
      <c r="D17" s="69"/>
      <c r="E17" s="70"/>
      <c r="F17" s="111" t="s">
        <v>18</v>
      </c>
      <c r="G17" s="111"/>
      <c r="H17" s="112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1">
        <v>12</v>
      </c>
      <c r="C22" s="101" t="s">
        <v>145</v>
      </c>
      <c r="D22" s="104">
        <v>2000</v>
      </c>
      <c r="E22" s="104">
        <v>160</v>
      </c>
      <c r="F22" s="101" t="s">
        <v>144</v>
      </c>
      <c r="G22" s="102">
        <v>17270</v>
      </c>
      <c r="H22" s="102">
        <f t="shared" ref="H22" si="0">G22*B22</f>
        <v>207240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4"/>
      <c r="C23" s="124"/>
      <c r="D23" s="125"/>
      <c r="E23" s="125"/>
      <c r="F23" s="124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SUM(H22:H24)</f>
        <v>207240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39375.599999999999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246615.6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7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4"/>
  </sortState>
  <mergeCells count="2">
    <mergeCell ref="F17:H17"/>
    <mergeCell ref="B20:H20"/>
  </mergeCells>
  <phoneticPr fontId="10" type="noConversion"/>
  <hyperlinks>
    <hyperlink ref="E32" r:id="rId1" xr:uid="{00000000-0004-0000-0000-000000000000}"/>
    <hyperlink ref="C14" r:id="rId2" xr:uid="{74510CA5-45C4-48B7-B660-5CAB5FEA000C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5" zoomScaleNormal="100" workbookViewId="0">
      <selection activeCell="A37" sqref="A37:F6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7350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SISTEMAS SERVICIOS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146</v>
      </c>
      <c r="B14" s="25">
        <f t="shared" ref="B14" si="0">I14</f>
        <v>12</v>
      </c>
      <c r="C14" s="25"/>
      <c r="D14" s="25">
        <f t="shared" ref="D14" si="1">J14+D$13</f>
        <v>2050</v>
      </c>
      <c r="E14" s="35">
        <f t="shared" ref="E14" si="2">K14+E$13</f>
        <v>160</v>
      </c>
      <c r="F14" s="99" t="str">
        <f>C28</f>
        <v>CENEFA R19 MDF30MM</v>
      </c>
      <c r="G14" s="1"/>
      <c r="I14" s="3">
        <f t="shared" ref="I14:J14" si="3">I22</f>
        <v>12</v>
      </c>
      <c r="J14" s="4">
        <f t="shared" si="3"/>
        <v>2000</v>
      </c>
      <c r="K14" s="4">
        <f>E28</f>
        <v>160</v>
      </c>
    </row>
    <row r="15" spans="1:14" ht="15.6" x14ac:dyDescent="0.3">
      <c r="A15" s="96"/>
      <c r="B15" s="6"/>
      <c r="C15" s="6"/>
      <c r="D15" s="6"/>
      <c r="E15" s="89"/>
      <c r="F15" s="103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9" t="s">
        <v>14</v>
      </c>
      <c r="B18" s="119"/>
      <c r="C18" s="119"/>
      <c r="D18" s="119"/>
      <c r="E18" s="119"/>
      <c r="F18" s="11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65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4">I22</f>
        <v>12</v>
      </c>
      <c r="C22" s="16"/>
      <c r="D22" s="16">
        <f>J22+D$21</f>
        <v>2040</v>
      </c>
      <c r="E22" s="16">
        <v>210</v>
      </c>
      <c r="F22" s="100" t="str">
        <f>C28</f>
        <v>CENEFA R19 MDF30MM</v>
      </c>
      <c r="G22" s="1"/>
      <c r="I22" s="3">
        <f>B28</f>
        <v>12</v>
      </c>
      <c r="J22" s="4">
        <f>D28</f>
        <v>2000</v>
      </c>
      <c r="K22" s="4">
        <f>E28</f>
        <v>160</v>
      </c>
    </row>
    <row r="23" spans="1:11" ht="15.6" x14ac:dyDescent="0.3">
      <c r="A23" s="96"/>
      <c r="B23" s="6"/>
      <c r="C23" s="6"/>
      <c r="D23" s="6"/>
      <c r="E23" s="6"/>
      <c r="F23" s="103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146</v>
      </c>
      <c r="B28" s="25">
        <f>'4637'!B22</f>
        <v>12</v>
      </c>
      <c r="C28" s="99" t="str">
        <f>'4637'!C22</f>
        <v>CENEFA R19 MDF30MM</v>
      </c>
      <c r="D28" s="25">
        <f>'4637'!D22</f>
        <v>2000</v>
      </c>
      <c r="E28" s="25">
        <f>'4637'!E22</f>
        <v>160</v>
      </c>
      <c r="F28" s="25" t="str">
        <f>'4637'!F22</f>
        <v>TRAIGHT WALNUT 10848 SF</v>
      </c>
      <c r="G28" s="1"/>
    </row>
    <row r="29" spans="1:11" ht="15.6" x14ac:dyDescent="0.3">
      <c r="A29" s="96"/>
      <c r="B29" s="6"/>
      <c r="C29" s="103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7350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SISTEMAS SERVICIOS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9" t="s">
        <v>68</v>
      </c>
      <c r="B45" s="119"/>
      <c r="C45" s="119"/>
      <c r="D45" s="119"/>
      <c r="E45" s="119"/>
      <c r="F45" s="119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0" t="s">
        <v>69</v>
      </c>
      <c r="C47" s="121"/>
      <c r="D47" s="122"/>
      <c r="E47" s="122"/>
      <c r="F47" s="123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146</v>
      </c>
      <c r="B49" s="38">
        <f>'4637'!B22</f>
        <v>12</v>
      </c>
      <c r="C49" s="98" t="str">
        <f>'4637'!C22</f>
        <v>CENEFA R19 MDF30MM</v>
      </c>
      <c r="D49" s="39">
        <f>'4637'!D22</f>
        <v>2000</v>
      </c>
      <c r="E49" s="39">
        <f>'4637'!E22</f>
        <v>160</v>
      </c>
      <c r="F49" s="38" t="str">
        <f>'4637'!F22</f>
        <v>TRAIGHT WALNUT 10848 SF</v>
      </c>
      <c r="G49" s="1"/>
    </row>
    <row r="50" spans="1:7" s="15" customFormat="1" ht="15" customHeight="1" x14ac:dyDescent="0.3">
      <c r="A50" s="96"/>
      <c r="B50" s="52"/>
      <c r="C50" s="110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2025-12-15T19:03:10Z</cp:lastPrinted>
  <dcterms:created xsi:type="dcterms:W3CDTF">2013-03-19T12:54:14Z</dcterms:created>
  <dcterms:modified xsi:type="dcterms:W3CDTF">2025-12-15T19:03:13Z</dcterms:modified>
</cp:coreProperties>
</file>