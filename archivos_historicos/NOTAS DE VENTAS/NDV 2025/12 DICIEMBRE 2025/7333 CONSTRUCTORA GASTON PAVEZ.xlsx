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5C00E191-5226-4CC0-A829-F69856CA045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F15" i="3"/>
  <c r="I15" i="3"/>
  <c r="B15" i="3" s="1"/>
  <c r="J15" i="3"/>
  <c r="D15" i="3" s="1"/>
  <c r="K15" i="3"/>
  <c r="E15" i="3" s="1"/>
  <c r="B16" i="3"/>
  <c r="D16" i="3"/>
  <c r="B17" i="3"/>
  <c r="D17" i="3"/>
  <c r="B32" i="3"/>
  <c r="I25" i="3" s="1"/>
  <c r="B25" i="3" s="1"/>
  <c r="C32" i="3"/>
  <c r="F25" i="3" s="1"/>
  <c r="D32" i="3"/>
  <c r="J25" i="3" s="1"/>
  <c r="D25" i="3" s="1"/>
  <c r="E32" i="3"/>
  <c r="K25" i="3" s="1"/>
  <c r="E25" i="3" s="1"/>
  <c r="F32" i="3"/>
  <c r="B54" i="3"/>
  <c r="C54" i="3"/>
  <c r="D54" i="3"/>
  <c r="E54" i="3"/>
  <c r="F54" i="3"/>
  <c r="H22" i="4"/>
  <c r="H21" i="4"/>
  <c r="H25" i="4" l="1"/>
  <c r="B53" i="3"/>
  <c r="C53" i="3"/>
  <c r="D53" i="3"/>
  <c r="E53" i="3"/>
  <c r="F53" i="3"/>
  <c r="B31" i="3"/>
  <c r="C31" i="3"/>
  <c r="F24" i="3" s="1"/>
  <c r="D31" i="3"/>
  <c r="J14" i="3" s="1"/>
  <c r="D14" i="3" s="1"/>
  <c r="E31" i="3"/>
  <c r="K14" i="3" s="1"/>
  <c r="E14" i="3" s="1"/>
  <c r="F31" i="3"/>
  <c r="H26" i="4" l="1"/>
  <c r="I24" i="3"/>
  <c r="F14" i="3"/>
  <c r="K24" i="3"/>
  <c r="E24" i="3" s="1"/>
  <c r="J24" i="3"/>
  <c r="D24" i="3" s="1"/>
  <c r="B24" i="3" l="1"/>
  <c r="I14" i="3"/>
  <c r="B14" i="3" s="1"/>
  <c r="H27" i="4"/>
  <c r="N5" i="3" l="1"/>
  <c r="M5" i="3" l="1"/>
  <c r="L5" i="3"/>
  <c r="K5" i="3"/>
  <c r="C46" i="3" l="1"/>
  <c r="C7" i="3"/>
  <c r="D44" i="3"/>
  <c r="D5" i="3"/>
  <c r="D46" i="3"/>
  <c r="D7" i="3"/>
  <c r="D43" i="3"/>
  <c r="D4" i="3"/>
</calcChain>
</file>

<file path=xl/sharedStrings.xml><?xml version="1.0" encoding="utf-8"?>
<sst xmlns="http://schemas.openxmlformats.org/spreadsheetml/2006/main" count="251" uniqueCount="145">
  <si>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</si>
  <si>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</si>
  <si>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</si>
  <si>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</si>
  <si>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</si>
  <si>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</si>
  <si>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</si>
  <si>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</si>
  <si>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</si>
  <si>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</si>
  <si>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</si>
  <si>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</si>
  <si>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</si>
  <si>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LAMINADO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</si>
  <si>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</si>
  <si>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</si>
  <si>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</si>
  <si>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</si>
  <si>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</si>
  <si>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</si>
  <si>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</si>
  <si>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</si>
  <si>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</si>
  <si>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</si>
  <si>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</si>
  <si>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</si>
  <si>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</si>
  <si>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</si>
  <si>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</si>
  <si>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</si>
  <si>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</si>
  <si>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</si>
  <si>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</si>
  <si>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</si>
  <si>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</si>
  <si>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</si>
  <si>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</si>
  <si>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</si>
  <si>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</si>
  <si>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</si>
  <si>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</si>
  <si>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</si>
  <si>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</si>
  <si>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</si>
  <si>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</si>
  <si>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</si>
  <si>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</si>
  <si>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</si>
  <si>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</si>
  <si>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</si>
  <si>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</si>
  <si>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</si>
  <si>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</si>
  <si>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</si>
  <si>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</si>
  <si>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</si>
  <si>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</si>
  <si>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</si>
  <si>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</si>
  <si>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</si>
  <si>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</si>
  <si>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</si>
  <si>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</si>
  <si>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</si>
  <si>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</si>
  <si>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</si>
  <si>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</si>
  <si>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</si>
  <si>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</si>
  <si>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</si>
  <si>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</si>
  <si>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</si>
  <si>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</si>
  <si>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</si>
  <si>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</si>
  <si>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</si>
  <si>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</si>
  <si>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</si>
  <si>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</si>
  <si>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</si>
  <si>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</si>
  <si>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</si>
  <si>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</si>
  <si>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</si>
  <si>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</si>
  <si>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</si>
  <si>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</si>
  <si>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</si>
  <si>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</si>
  <si>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</si>
  <si>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</si>
  <si>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</si>
  <si>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</si>
  <si>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</si>
  <si>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</si>
  <si>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</si>
  <si>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</si>
  <si>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</si>
  <si>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</si>
  <si>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</si>
  <si>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</si>
  <si>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</si>
  <si>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</si>
  <si>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</si>
  <si>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</si>
  <si>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</si>
  <si>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</si>
  <si>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</si>
  <si>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</si>
  <si>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</si>
  <si>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</si>
  <si>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</si>
  <si>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</si>
  <si>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</si>
  <si>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</si>
  <si>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</si>
  <si>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</si>
  <si>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</si>
  <si>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</si>
  <si>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</si>
  <si>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</si>
  <si>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</si>
  <si>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</si>
  <si>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</si>
  <si>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</si>
  <si>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</si>
  <si>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</si>
  <si>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</si>
  <si>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</si>
  <si>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</si>
  <si>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</si>
  <si>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</si>
  <si>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</si>
  <si>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MDF 18MM</t>
  </si>
  <si>
    <t xml:space="preserve"> MDF 18MM</t>
  </si>
  <si>
    <t>MDF18MM</t>
  </si>
  <si>
    <t>CELULAR: 963868755</t>
  </si>
  <si>
    <t>E-MAIL: fdonoso@topmobili.cl</t>
  </si>
  <si>
    <t>N°11767</t>
  </si>
  <si>
    <t>CONSTRUCTORA GASTON PAVEZ</t>
  </si>
  <si>
    <t>+569 9373 4659</t>
  </si>
  <si>
    <t>CUB SIN RESPALDO FTE 180°</t>
  </si>
  <si>
    <t>GRIS HUMO MT</t>
  </si>
  <si>
    <t>REGRUESO 70 CMS</t>
  </si>
  <si>
    <t>REGRUESO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</si>
</sst>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8" fillId="0" borderId="0" xfId="0" applyFont="1" applyAlignment="1">
      <alignment horizontal="right"/>
    </xf>
    <xf numFmtId="0" fontId="19" fillId="3" borderId="0" xfId="0" applyFont="1" applyFill="1"/>
    <xf numFmtId="0" fontId="20" fillId="0" borderId="9" xfId="2" applyFont="1" applyFill="1" applyBorder="1" applyAlignment="1">
      <alignment horizontal="left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21" fillId="0" borderId="0" xfId="0" quotePrefix="1" applyFont="1" applyAlignment="1">
      <alignment horizontal="left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</a:t>
          </a:r>
          <a:r>
            <a:rPr lang="es-CL" sz="900" b="1" i="1" baseline="0"/>
            <a:t>$ 126.607.-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255145</xdr:colOff>
      <xdr:row>5</xdr:row>
      <xdr:rowOff>96726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D7F71C-B16E-4500-8672-2ED5BDA37B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5</xdr:row>
      <xdr:rowOff>121991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31A79D0-A8A0-4EE1-98BB-DB32DCDF68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0640" y="42672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47</xdr:row>
      <xdr:rowOff>171450</xdr:rowOff>
    </xdr:from>
    <xdr:to>
      <xdr:col>5</xdr:col>
      <xdr:colOff>1685924</xdr:colOff>
      <xdr:row>49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38100</xdr:rowOff>
    </xdr:from>
    <xdr:to>
      <xdr:col>6</xdr:col>
      <xdr:colOff>0</xdr:colOff>
      <xdr:row>44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34</xdr:row>
      <xdr:rowOff>15239</xdr:rowOff>
    </xdr:from>
    <xdr:to>
      <xdr:col>6</xdr:col>
      <xdr:colOff>68580</xdr:colOff>
      <xdr:row>38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19050</xdr:colOff>
      <xdr:row>62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194310</xdr:rowOff>
    </xdr:from>
    <xdr:to>
      <xdr:col>2</xdr:col>
      <xdr:colOff>100723</xdr:colOff>
      <xdr:row>46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D23" sqref="D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136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137</v>
      </c>
      <c r="G7" s="1"/>
      <c r="H7" s="1"/>
      <c r="I7" s="1"/>
    </row>
    <row r="8" spans="1:17" ht="16.2" thickBot="1" x14ac:dyDescent="0.35">
      <c r="A8" s="1"/>
      <c r="B8" s="91" t="s">
        <v>14</v>
      </c>
      <c r="C8" s="92"/>
      <c r="D8" s="93" t="s">
        <v>138</v>
      </c>
      <c r="E8" s="1"/>
      <c r="F8" s="94" t="s">
        <v>25</v>
      </c>
      <c r="G8" s="95">
        <v>7333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128</v>
      </c>
      <c r="C10" s="86" t="s">
        <v>139</v>
      </c>
      <c r="D10" s="55"/>
      <c r="E10" s="55"/>
      <c r="F10" s="56" t="s">
        <v>26</v>
      </c>
      <c r="G10" s="57">
        <v>45989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122</v>
      </c>
      <c r="G11" s="61">
        <v>45996</v>
      </c>
      <c r="H11" s="62"/>
      <c r="I11" s="1"/>
    </row>
    <row r="12" spans="1:17" ht="15.6" x14ac:dyDescent="0.3">
      <c r="A12" s="1"/>
      <c r="B12" s="63" t="s">
        <v>130</v>
      </c>
      <c r="D12" s="43"/>
      <c r="E12" s="43"/>
      <c r="F12" s="43" t="s">
        <v>28</v>
      </c>
      <c r="G12" s="64"/>
      <c r="H12" s="65"/>
      <c r="I12" s="1"/>
    </row>
    <row r="13" spans="1:17" ht="15.6" x14ac:dyDescent="0.3">
      <c r="A13" s="1"/>
      <c r="B13" s="63" t="s">
        <v>132</v>
      </c>
      <c r="D13" s="43"/>
      <c r="E13" s="43"/>
      <c r="F13" s="43" t="s">
        <v>127</v>
      </c>
      <c r="G13" s="64" t="s">
        <v>129</v>
      </c>
      <c r="H13" s="65"/>
      <c r="I13" s="1"/>
    </row>
    <row r="14" spans="1:17" ht="15.6" x14ac:dyDescent="0.3">
      <c r="A14" s="1"/>
      <c r="B14" s="59" t="s">
        <v>15</v>
      </c>
      <c r="C14" s="124" t="s">
        <v>140</v>
      </c>
      <c r="D14" s="66"/>
      <c r="E14" s="60"/>
      <c r="F14" s="60" t="s">
        <v>27</v>
      </c>
      <c r="G14" s="60"/>
      <c r="H14" s="62"/>
      <c r="I14" s="1"/>
    </row>
    <row r="15" spans="1:17" ht="16.8" x14ac:dyDescent="0.4">
      <c r="A15" s="1"/>
      <c r="B15" s="63" t="s">
        <v>1</v>
      </c>
      <c r="C15" s="105"/>
      <c r="D15" s="43"/>
      <c r="E15" s="43"/>
      <c r="F15" s="67" t="s">
        <v>73</v>
      </c>
      <c r="G15" s="67" t="s">
        <v>125</v>
      </c>
      <c r="H15" s="65"/>
      <c r="I15" s="1"/>
    </row>
    <row r="16" spans="1:17" ht="16.2" thickBot="1" x14ac:dyDescent="0.35">
      <c r="A16" s="1"/>
      <c r="B16" s="68" t="s">
        <v>3</v>
      </c>
      <c r="C16" s="106" t="s">
        <v>131</v>
      </c>
      <c r="D16" s="69"/>
      <c r="E16" s="70"/>
      <c r="F16" s="111" t="s">
        <v>16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17</v>
      </c>
      <c r="C19" s="114"/>
      <c r="D19" s="114"/>
      <c r="E19" s="114"/>
      <c r="F19" s="114"/>
      <c r="G19" s="114"/>
      <c r="H19" s="115"/>
      <c r="I19" s="1"/>
    </row>
    <row r="20" spans="1:16" ht="16.2" thickBot="1" x14ac:dyDescent="0.35">
      <c r="A20" s="1"/>
      <c r="B20" s="71" t="s">
        <v>18</v>
      </c>
      <c r="C20" s="72" t="s">
        <v>19</v>
      </c>
      <c r="D20" s="72" t="s">
        <v>20</v>
      </c>
      <c r="E20" s="72" t="s">
        <v>8</v>
      </c>
      <c r="F20" s="73" t="s">
        <v>21</v>
      </c>
      <c r="G20" s="71" t="s">
        <v>22</v>
      </c>
      <c r="H20" s="73" t="s">
        <v>4</v>
      </c>
      <c r="I20" s="1"/>
    </row>
    <row r="21" spans="1:16" ht="18" customHeight="1" x14ac:dyDescent="0.3">
      <c r="A21" s="1"/>
      <c r="B21" s="107">
        <v>1</v>
      </c>
      <c r="C21" s="108" t="s">
        <v>141</v>
      </c>
      <c r="D21" s="110">
        <v>1700</v>
      </c>
      <c r="E21" s="110">
        <v>630</v>
      </c>
      <c r="F21" s="108" t="s">
        <v>142</v>
      </c>
      <c r="G21" s="109">
        <v>87119</v>
      </c>
      <c r="H21" s="125">
        <f t="shared" ref="H21" si="0">G21*B21</f>
        <v>87119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26">
        <v>2</v>
      </c>
      <c r="C22" s="127" t="s">
        <v>141</v>
      </c>
      <c r="D22" s="130">
        <v>1700</v>
      </c>
      <c r="E22" s="130">
        <v>430</v>
      </c>
      <c r="F22" s="127" t="s">
        <v>142</v>
      </c>
      <c r="G22" s="128">
        <v>63085</v>
      </c>
      <c r="H22" s="129">
        <f>G22*B22</f>
        <v>126170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213289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40524.910000000003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253813.91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121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120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23</v>
      </c>
      <c r="C32" s="1"/>
      <c r="D32" s="1"/>
      <c r="E32" s="85" t="s">
        <v>24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29</v>
      </c>
      <c r="C2" s="116"/>
      <c r="D2" s="116"/>
      <c r="E2" s="18"/>
      <c r="G2" s="116" t="s">
        <v>68</v>
      </c>
      <c r="H2" s="116"/>
      <c r="I2" s="116"/>
      <c r="P2" s="117" t="s">
        <v>56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19</v>
      </c>
      <c r="E3" s="19"/>
      <c r="G3" s="11" t="s">
        <v>7</v>
      </c>
      <c r="H3" s="11" t="s">
        <v>8</v>
      </c>
      <c r="I3" s="11" t="s">
        <v>19</v>
      </c>
      <c r="P3" s="11" t="s">
        <v>7</v>
      </c>
      <c r="Q3" s="11" t="s">
        <v>8</v>
      </c>
      <c r="R3" s="11" t="s">
        <v>19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9">
        <v>50</v>
      </c>
      <c r="H4" s="29">
        <v>100</v>
      </c>
      <c r="I4" s="30" t="s">
        <v>111</v>
      </c>
      <c r="J4" s="31" t="s">
        <v>107</v>
      </c>
      <c r="K4" s="31"/>
      <c r="L4" s="31"/>
      <c r="M4" s="31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9">
        <v>50</v>
      </c>
      <c r="H5" s="29"/>
      <c r="I5" s="30" t="s">
        <v>113</v>
      </c>
      <c r="J5" s="31" t="s">
        <v>115</v>
      </c>
      <c r="K5" s="31"/>
      <c r="L5" s="31"/>
      <c r="M5" s="31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117" t="s">
        <v>56</v>
      </c>
      <c r="M8" s="117"/>
      <c r="N8" s="117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7</v>
      </c>
      <c r="M9" s="11" t="s">
        <v>8</v>
      </c>
      <c r="N9" s="11" t="s">
        <v>19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31" t="s">
        <v>109</v>
      </c>
      <c r="K20" s="31"/>
      <c r="L20" s="31"/>
      <c r="M20" s="31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9"/>
      <c r="H22" s="29"/>
      <c r="I22" s="30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7">
        <v>40</v>
      </c>
      <c r="C36" s="27">
        <v>90</v>
      </c>
      <c r="D36" s="28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7">
        <v>40</v>
      </c>
      <c r="C37" s="27">
        <v>90</v>
      </c>
      <c r="D37" s="28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tabSelected="1" zoomScaleNormal="100" workbookViewId="0">
      <selection sqref="A1:F40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59</v>
      </c>
      <c r="L3" s="118"/>
      <c r="M3" s="118" t="s">
        <v>13</v>
      </c>
      <c r="N3" s="118"/>
    </row>
    <row r="4" spans="1:14" ht="15.75" customHeight="1" x14ac:dyDescent="0.3">
      <c r="A4" s="1"/>
      <c r="B4" s="1"/>
      <c r="C4" s="40" t="s">
        <v>25</v>
      </c>
      <c r="D4" s="14">
        <f>'4637'!G8</f>
        <v>7333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65</v>
      </c>
      <c r="D5" s="42" t="str">
        <f>'4637'!C10</f>
        <v>CONSTRUCTORA GASTON PAVEZ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45996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59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108</v>
      </c>
      <c r="G13" s="1"/>
      <c r="J13" s="5" t="s">
        <v>7</v>
      </c>
      <c r="K13" s="5" t="s">
        <v>8</v>
      </c>
    </row>
    <row r="14" spans="1:14" ht="15.6" x14ac:dyDescent="0.3">
      <c r="A14" s="104" t="s">
        <v>133</v>
      </c>
      <c r="B14" s="25">
        <f t="shared" ref="B14" si="0">I14</f>
        <v>1</v>
      </c>
      <c r="C14" s="25"/>
      <c r="D14" s="25">
        <f>J14+D$13</f>
        <v>1780</v>
      </c>
      <c r="E14" s="35">
        <f>K14+E$13</f>
        <v>630</v>
      </c>
      <c r="F14" s="102" t="str">
        <f>C31</f>
        <v>CUB SIN RESPALDO FTE 180°</v>
      </c>
      <c r="G14" s="1"/>
      <c r="I14" s="3">
        <f>I24</f>
        <v>1</v>
      </c>
      <c r="J14" s="4">
        <f t="shared" ref="J14:K14" si="1">D31</f>
        <v>1700</v>
      </c>
      <c r="K14" s="4">
        <f t="shared" si="1"/>
        <v>630</v>
      </c>
    </row>
    <row r="15" spans="1:14" ht="15.6" x14ac:dyDescent="0.3">
      <c r="A15" s="104"/>
      <c r="B15" s="25">
        <f t="shared" ref="B15:B17" si="2">I15</f>
        <v>2</v>
      </c>
      <c r="C15" s="25"/>
      <c r="D15" s="25">
        <f t="shared" ref="D15:D17" si="3">J15+D$13</f>
        <v>1780</v>
      </c>
      <c r="E15" s="35">
        <f t="shared" ref="E15:E17" si="4">K15+E$13</f>
        <v>430</v>
      </c>
      <c r="F15" s="102" t="str">
        <f t="shared" ref="F15:F17" si="5">C32</f>
        <v>CUB SIN RESPALDO FTE 180°</v>
      </c>
      <c r="G15" s="1"/>
      <c r="I15" s="3">
        <f t="shared" ref="I15:I17" si="6">I25</f>
        <v>2</v>
      </c>
      <c r="J15" s="4">
        <f t="shared" ref="J15:J17" si="7">D32</f>
        <v>1700</v>
      </c>
      <c r="K15" s="4">
        <f t="shared" ref="K15:K17" si="8">E32</f>
        <v>430</v>
      </c>
    </row>
    <row r="16" spans="1:14" ht="15.6" x14ac:dyDescent="0.3">
      <c r="A16" s="104"/>
      <c r="B16" s="25">
        <f t="shared" si="2"/>
        <v>1</v>
      </c>
      <c r="C16" s="25"/>
      <c r="D16" s="25">
        <f t="shared" si="3"/>
        <v>1780</v>
      </c>
      <c r="E16" s="35">
        <f>K16</f>
        <v>70</v>
      </c>
      <c r="F16" s="102" t="s">
        <v>144</v>
      </c>
      <c r="G16" s="1"/>
      <c r="I16" s="3">
        <v>1</v>
      </c>
      <c r="J16" s="4">
        <v>1700</v>
      </c>
      <c r="K16" s="4">
        <v>70</v>
      </c>
    </row>
    <row r="17" spans="1:11" ht="15.6" x14ac:dyDescent="0.3">
      <c r="A17" s="104"/>
      <c r="B17" s="25">
        <f t="shared" si="2"/>
        <v>2</v>
      </c>
      <c r="C17" s="25"/>
      <c r="D17" s="25">
        <f t="shared" si="3"/>
        <v>1780</v>
      </c>
      <c r="E17" s="35">
        <v>70</v>
      </c>
      <c r="F17" s="102" t="s">
        <v>144</v>
      </c>
      <c r="G17" s="1"/>
      <c r="I17" s="3">
        <v>2</v>
      </c>
      <c r="J17" s="4">
        <v>1700</v>
      </c>
      <c r="K17" s="4">
        <v>70</v>
      </c>
    </row>
    <row r="18" spans="1:11" ht="15.6" x14ac:dyDescent="0.3">
      <c r="A18" s="52"/>
      <c r="B18" s="6"/>
      <c r="C18" s="6"/>
      <c r="D18" s="6"/>
      <c r="E18" s="89"/>
      <c r="F18" s="6"/>
      <c r="G18" s="1"/>
      <c r="I18" s="90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19" t="s">
        <v>13</v>
      </c>
      <c r="B20" s="119"/>
      <c r="C20" s="119"/>
      <c r="D20" s="119"/>
      <c r="E20" s="119"/>
      <c r="F20" s="119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110</v>
      </c>
      <c r="F23" s="36" t="s">
        <v>108</v>
      </c>
      <c r="G23" s="1"/>
      <c r="J23" s="5" t="s">
        <v>7</v>
      </c>
      <c r="K23" s="5" t="s">
        <v>8</v>
      </c>
    </row>
    <row r="24" spans="1:11" ht="15.6" x14ac:dyDescent="0.3">
      <c r="A24" s="104" t="s">
        <v>134</v>
      </c>
      <c r="B24" s="16">
        <f t="shared" ref="B24" si="9">I24</f>
        <v>1</v>
      </c>
      <c r="C24" s="16" t="s">
        <v>143</v>
      </c>
      <c r="D24" s="16">
        <f>J24+D$23</f>
        <v>1740</v>
      </c>
      <c r="E24" s="16">
        <f>K24+E$23</f>
        <v>740</v>
      </c>
      <c r="F24" s="103" t="str">
        <f>C31</f>
        <v>CUB SIN RESPALDO FTE 180°</v>
      </c>
      <c r="G24" s="1"/>
      <c r="I24" s="3">
        <f>B31</f>
        <v>1</v>
      </c>
      <c r="J24" s="4">
        <f>D31</f>
        <v>1700</v>
      </c>
      <c r="K24" s="4">
        <f>E31</f>
        <v>630</v>
      </c>
    </row>
    <row r="25" spans="1:11" ht="15.6" x14ac:dyDescent="0.3">
      <c r="A25" s="104"/>
      <c r="B25" s="16">
        <f t="shared" ref="B25" si="10">I25</f>
        <v>2</v>
      </c>
      <c r="C25" s="16" t="s">
        <v>143</v>
      </c>
      <c r="D25" s="16">
        <f>J25+D$23</f>
        <v>1740</v>
      </c>
      <c r="E25" s="16">
        <f>K25+E$23</f>
        <v>540</v>
      </c>
      <c r="F25" s="103" t="str">
        <f>C32</f>
        <v>CUB SIN RESPALDO FTE 180°</v>
      </c>
      <c r="G25" s="1"/>
      <c r="I25" s="3">
        <f>B32</f>
        <v>2</v>
      </c>
      <c r="J25" s="4">
        <f>D32</f>
        <v>1700</v>
      </c>
      <c r="K25" s="4">
        <f>E32</f>
        <v>430</v>
      </c>
    </row>
    <row r="26" spans="1:11" ht="15.6" x14ac:dyDescent="0.3">
      <c r="A26" s="96"/>
      <c r="B26" s="6"/>
      <c r="C26" s="6"/>
      <c r="D26" s="6"/>
      <c r="E26" s="6"/>
      <c r="F26" s="6"/>
      <c r="G26" s="1"/>
      <c r="I26" s="90"/>
      <c r="J26" s="2"/>
      <c r="K26" s="2"/>
    </row>
    <row r="27" spans="1:11" ht="16.2" thickBot="1" x14ac:dyDescent="0.35">
      <c r="A27" s="52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2"/>
      <c r="B28" s="22" t="s">
        <v>105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2" t="s">
        <v>9</v>
      </c>
      <c r="B30" s="88" t="s">
        <v>10</v>
      </c>
      <c r="C30" s="88" t="s">
        <v>108</v>
      </c>
      <c r="D30" s="88" t="s">
        <v>7</v>
      </c>
      <c r="E30" s="88" t="s">
        <v>8</v>
      </c>
      <c r="F30" s="88" t="s">
        <v>21</v>
      </c>
      <c r="G30" s="1"/>
    </row>
    <row r="31" spans="1:11" ht="15.6" x14ac:dyDescent="0.3">
      <c r="A31" s="104" t="s">
        <v>133</v>
      </c>
      <c r="B31" s="25">
        <f>'4637'!B21</f>
        <v>1</v>
      </c>
      <c r="C31" s="102" t="str">
        <f>'4637'!C21</f>
        <v>CUB SIN RESPALDO FTE 180°</v>
      </c>
      <c r="D31" s="25">
        <f>'4637'!D21</f>
        <v>1700</v>
      </c>
      <c r="E31" s="25">
        <f>'4637'!E21</f>
        <v>630</v>
      </c>
      <c r="F31" s="25" t="str">
        <f>'4637'!F21</f>
        <v>GRIS HUMO MT</v>
      </c>
      <c r="G31" s="1"/>
    </row>
    <row r="32" spans="1:11" ht="15.6" x14ac:dyDescent="0.3">
      <c r="A32" s="96"/>
      <c r="B32" s="25">
        <f>'4637'!B22</f>
        <v>2</v>
      </c>
      <c r="C32" s="102" t="str">
        <f>'4637'!C22</f>
        <v>CUB SIN RESPALDO FTE 180°</v>
      </c>
      <c r="D32" s="25">
        <f>'4637'!D22</f>
        <v>1700</v>
      </c>
      <c r="E32" s="25">
        <f>'4637'!E22</f>
        <v>430</v>
      </c>
      <c r="F32" s="25" t="str">
        <f>'4637'!F22</f>
        <v>GRIS HUMO MT</v>
      </c>
      <c r="G32" s="1"/>
    </row>
    <row r="33" spans="1:7" ht="15.6" x14ac:dyDescent="0.3">
      <c r="A33" s="52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40" t="s">
        <v>25</v>
      </c>
      <c r="D43" s="14">
        <f>'4637'!G8</f>
        <v>7333</v>
      </c>
      <c r="E43" s="1"/>
      <c r="F43" s="1"/>
      <c r="G43" s="1"/>
    </row>
    <row r="44" spans="1:7" ht="17.25" customHeight="1" x14ac:dyDescent="0.3">
      <c r="A44" s="1"/>
      <c r="B44" s="1"/>
      <c r="C44" s="41" t="s">
        <v>65</v>
      </c>
      <c r="D44" s="42" t="str">
        <f>'4637'!C10</f>
        <v>CONSTRUCTORA GASTON PAVEZ</v>
      </c>
      <c r="E44" s="43"/>
      <c r="F44" s="43"/>
      <c r="G44" s="1"/>
    </row>
    <row r="45" spans="1:7" ht="4.5" customHeight="1" x14ac:dyDescent="0.3">
      <c r="A45" s="1"/>
      <c r="B45" s="1"/>
      <c r="C45" s="44"/>
      <c r="D45" s="45"/>
      <c r="E45" s="1"/>
      <c r="F45" s="1"/>
      <c r="G45" s="1"/>
    </row>
    <row r="46" spans="1:7" ht="15.6" x14ac:dyDescent="0.3">
      <c r="A46" s="1"/>
      <c r="B46" s="1"/>
      <c r="C46" s="46" t="str">
        <f>'4637'!F11</f>
        <v>FECHA LIMITE :</v>
      </c>
      <c r="D46" s="13">
        <f>'4637'!G11</f>
        <v>45996</v>
      </c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19" t="s">
        <v>66</v>
      </c>
      <c r="B49" s="119"/>
      <c r="C49" s="119"/>
      <c r="D49" s="119"/>
      <c r="E49" s="119"/>
      <c r="F49" s="119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75" customHeight="1" x14ac:dyDescent="0.3">
      <c r="A51" s="1"/>
      <c r="B51" s="120" t="s">
        <v>67</v>
      </c>
      <c r="C51" s="121"/>
      <c r="D51" s="122"/>
      <c r="E51" s="122"/>
      <c r="F51" s="123"/>
      <c r="G51" s="1"/>
    </row>
    <row r="52" spans="1:7" s="15" customFormat="1" ht="12.75" customHeight="1" x14ac:dyDescent="0.3">
      <c r="A52" s="1"/>
      <c r="B52" s="36" t="s">
        <v>10</v>
      </c>
      <c r="C52" s="47" t="s">
        <v>11</v>
      </c>
      <c r="D52" s="48" t="s">
        <v>7</v>
      </c>
      <c r="E52" s="48" t="s">
        <v>8</v>
      </c>
      <c r="F52" s="49" t="s">
        <v>12</v>
      </c>
      <c r="G52" s="1"/>
    </row>
    <row r="53" spans="1:7" s="15" customFormat="1" ht="15" customHeight="1" x14ac:dyDescent="0.3">
      <c r="A53" s="104" t="s">
        <v>135</v>
      </c>
      <c r="B53" s="38">
        <f>'4637'!B21</f>
        <v>1</v>
      </c>
      <c r="C53" s="101" t="str">
        <f>'4637'!C21</f>
        <v>CUB SIN RESPALDO FTE 180°</v>
      </c>
      <c r="D53" s="39">
        <f>'4637'!D21</f>
        <v>1700</v>
      </c>
      <c r="E53" s="39">
        <f>'4637'!E21</f>
        <v>630</v>
      </c>
      <c r="F53" s="38" t="str">
        <f>'4637'!F21</f>
        <v>GRIS HUMO MT</v>
      </c>
      <c r="G53" s="1"/>
    </row>
    <row r="54" spans="1:7" s="15" customFormat="1" ht="15" customHeight="1" x14ac:dyDescent="0.3">
      <c r="A54" s="96"/>
      <c r="B54" s="38">
        <f>'4637'!B22</f>
        <v>2</v>
      </c>
      <c r="C54" s="101" t="str">
        <f>'4637'!C22</f>
        <v>CUB SIN RESPALDO FTE 180°</v>
      </c>
      <c r="D54" s="39">
        <f>'4637'!D22</f>
        <v>1700</v>
      </c>
      <c r="E54" s="39">
        <f>'4637'!E22</f>
        <v>430</v>
      </c>
      <c r="F54" s="38" t="str">
        <f>'4637'!F22</f>
        <v>GRIS HUMO MT</v>
      </c>
      <c r="G54" s="1"/>
    </row>
    <row r="55" spans="1:7" s="15" customFormat="1" ht="15" customHeight="1" x14ac:dyDescent="0.3">
      <c r="A55" s="50"/>
      <c r="B55" s="52"/>
      <c r="C55" s="52"/>
      <c r="D55" s="52"/>
      <c r="E55" s="52"/>
      <c r="F55" s="52"/>
      <c r="G55" s="1"/>
    </row>
    <row r="56" spans="1:7" ht="15.6" x14ac:dyDescent="0.3">
      <c r="A56" s="6"/>
      <c r="B56" s="6"/>
      <c r="C56" s="1"/>
      <c r="D56" s="6"/>
      <c r="E56" s="6"/>
      <c r="F56" s="44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5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20"/>
      <c r="C65" s="20"/>
      <c r="D65" s="20"/>
      <c r="E65" s="20"/>
      <c r="F65" s="20"/>
    </row>
    <row r="66" spans="2:6" x14ac:dyDescent="0.3">
      <c r="B66" s="20"/>
      <c r="C66" s="20"/>
      <c r="E66" s="20"/>
      <c r="F66" s="20"/>
    </row>
  </sheetData>
  <mergeCells count="6">
    <mergeCell ref="M3:N3"/>
    <mergeCell ref="A20:F20"/>
    <mergeCell ref="A10:F10"/>
    <mergeCell ref="A49:F49"/>
    <mergeCell ref="B51:F51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2025-12-01T19:37:44Z</cp:lastPrinted>
  <dcterms:created xsi:type="dcterms:W3CDTF">2013-03-19T12:54:14Z</dcterms:created>
  <dcterms:modified xsi:type="dcterms:W3CDTF">2025-12-01T19:49:30Z</dcterms:modified>
</cp:coreProperties>
</file>