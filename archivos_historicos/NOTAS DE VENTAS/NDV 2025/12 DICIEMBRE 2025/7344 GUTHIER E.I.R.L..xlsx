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2BE2D365-1938-4ED3-93B8-48DEA87D7B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CUBIERTA!$A$44:$F$70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I16" i="3"/>
  <c r="B16" i="3" s="1"/>
  <c r="J16" i="3"/>
  <c r="D16" i="3" s="1"/>
  <c r="K16" i="3"/>
  <c r="E16" i="3" s="1"/>
  <c r="F25" i="3"/>
  <c r="I25" i="3"/>
  <c r="B25" i="3" s="1"/>
  <c r="J25" i="3"/>
  <c r="D25" i="3" s="1"/>
  <c r="K25" i="3"/>
  <c r="E25" i="3" s="1"/>
  <c r="B34" i="3"/>
  <c r="C34" i="3"/>
  <c r="D34" i="3"/>
  <c r="E34" i="3"/>
  <c r="F34" i="3"/>
  <c r="B35" i="3"/>
  <c r="C35" i="3"/>
  <c r="D35" i="3"/>
  <c r="E35" i="3"/>
  <c r="F35" i="3"/>
  <c r="B58" i="3"/>
  <c r="C58" i="3"/>
  <c r="D58" i="3"/>
  <c r="E58" i="3"/>
  <c r="F58" i="3"/>
  <c r="B59" i="3"/>
  <c r="C59" i="3"/>
  <c r="D59" i="3"/>
  <c r="E59" i="3"/>
  <c r="F59" i="3"/>
  <c r="H25" i="4"/>
  <c r="H24" i="4"/>
  <c r="H23" i="4"/>
  <c r="H22" i="4"/>
  <c r="H27" i="4"/>
  <c r="H28" i="4" l="1"/>
  <c r="H29" i="4" s="1"/>
  <c r="B33" i="3"/>
  <c r="C33" i="3"/>
  <c r="F24" i="3" s="1"/>
  <c r="D33" i="3"/>
  <c r="J24" i="3" s="1"/>
  <c r="D24" i="3" s="1"/>
  <c r="E33" i="3"/>
  <c r="K24" i="3" s="1"/>
  <c r="E24" i="3" s="1"/>
  <c r="F33" i="3"/>
  <c r="B57" i="3"/>
  <c r="C57" i="3"/>
  <c r="D57" i="3"/>
  <c r="E57" i="3"/>
  <c r="F57" i="3"/>
  <c r="I24" i="3" l="1"/>
  <c r="I15" i="3" s="1"/>
  <c r="B15" i="3" s="1"/>
  <c r="K15" i="3"/>
  <c r="E15" i="3" s="1"/>
  <c r="J15" i="3"/>
  <c r="D15" i="3" s="1"/>
  <c r="F15" i="3"/>
  <c r="B32" i="3"/>
  <c r="I23" i="3" s="1"/>
  <c r="I14" i="3" s="1"/>
  <c r="C32" i="3"/>
  <c r="F14" i="3" s="1"/>
  <c r="D32" i="3"/>
  <c r="J23" i="3" s="1"/>
  <c r="D23" i="3" s="1"/>
  <c r="E32" i="3"/>
  <c r="K23" i="3" s="1"/>
  <c r="E23" i="3" s="1"/>
  <c r="F32" i="3"/>
  <c r="B56" i="3"/>
  <c r="C56" i="3"/>
  <c r="D56" i="3"/>
  <c r="E56" i="3"/>
  <c r="F56" i="3"/>
  <c r="B24" i="3" l="1"/>
  <c r="J14" i="3"/>
  <c r="D14" i="3" s="1"/>
  <c r="K14" i="3"/>
  <c r="E14" i="3" s="1"/>
  <c r="B23" i="3"/>
  <c r="B14" i="3"/>
  <c r="F23" i="3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<sst xmlns="http://schemas.openxmlformats.org/spreadsheetml/2006/main" count="249" uniqueCount="144">
  <si>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</si>
  <si>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</si>
  <si>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</si>
  <si>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</si>
  <si>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</si>
  <si>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</si>
  <si>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</si>
  <si>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</si>
  <si>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</si>
  <si>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</si>
  <si>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</si>
  <si>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</si>
  <si>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</si>
  <si>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</si>
  <si>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</si>
  <si>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</si>
  <si>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</si>
  <si>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</si>
  <si>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</si>
  <si>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</si>
  <si>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</si>
  <si>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</si>
  <si>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</si>
  <si>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</si>
  <si>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</si>
  <si>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</si>
  <si>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</si>
  <si>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</si>
  <si>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</si>
  <si>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</si>
  <si>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</si>
  <si>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</si>
  <si>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</si>
  <si>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</si>
  <si>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</si>
  <si>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</si>
  <si>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</si>
  <si>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</si>
  <si>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</si>
  <si>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</si>
  <si>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</si>
  <si>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</si>
  <si>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</si>
  <si>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</si>
  <si>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</si>
  <si>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</si>
  <si>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</si>
  <si>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</si>
  <si>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</si>
  <si>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</si>
  <si>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</si>
  <si>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</si>
  <si>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</si>
  <si>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</si>
  <si>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</si>
  <si>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</si>
  <si>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</si>
  <si>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</si>
  <si>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</si>
  <si>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</si>
  <si>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</si>
  <si>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</si>
  <si>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</si>
  <si>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</si>
  <si>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</si>
  <si>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</si>
  <si>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</si>
  <si>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</si>
  <si>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</si>
  <si>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</si>
  <si>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</si>
  <si>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</si>
  <si>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</si>
  <si>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</si>
  <si>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</si>
  <si>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</si>
  <si>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</si>
  <si>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</si>
  <si>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</si>
  <si>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</si>
  <si>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</si>
  <si>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</si>
  <si>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</si>
  <si>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</si>
  <si>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</si>
  <si>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</si>
  <si>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</si>
  <si>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</si>
  <si>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</si>
  <si>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</si>
  <si>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</si>
  <si>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</si>
  <si>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</si>
  <si>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</si>
  <si>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</si>
  <si>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</si>
  <si>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</si>
  <si>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</si>
  <si>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</si>
  <si>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</si>
  <si>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</si>
  <si>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</si>
  <si>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</si>
  <si>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</si>
  <si>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</si>
  <si>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</si>
  <si>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</si>
  <si>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</si>
  <si>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</si>
  <si>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</si>
  <si>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</si>
  <si>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</si>
  <si>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</si>
  <si>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</si>
  <si>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</si>
  <si>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</si>
  <si>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</si>
  <si>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</si>
  <si>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</si>
  <si>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</si>
  <si>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</si>
  <si>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</si>
  <si>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</si>
  <si>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</si>
  <si>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</si>
  <si>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</si>
  <si>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</si>
  <si>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</si>
  <si>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</si>
  <si>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</si>
  <si>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</si>
  <si>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</si>
  <si>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</si>
  <si>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</si>
  <si>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</si>
  <si>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</si>
  <si>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</si>
  <si>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GUTHIER E.R.I.L.</t>
  </si>
  <si>
    <t>YEREN¿MY GUTIERREZ ARENAS</t>
  </si>
  <si>
    <t>+569 7525 1887</t>
  </si>
  <si>
    <t>N° 11764</t>
  </si>
  <si>
    <t>CUB SIN RESPALDO FRENTE 90° R8</t>
  </si>
  <si>
    <t>SALT PEPPER 40419 GL</t>
  </si>
  <si>
    <t>CORTE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</si>
</sst>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3" borderId="0" xfId="0" applyFont="1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2" fillId="3" borderId="0" xfId="0" applyFont="1" applyFill="1"/>
    <xf numFmtId="0" fontId="21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6" fillId="0" borderId="0" xfId="2"/>
    <xf numFmtId="0" fontId="17" fillId="0" borderId="0" xfId="0" quotePrefix="1" applyFont="1"/>
    <xf numFmtId="165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27</xdr:row>
      <xdr:rowOff>55245</xdr:rowOff>
    </xdr:from>
    <xdr:to>
      <xdr:col>5</xdr:col>
      <xdr:colOff>1504950</xdr:colOff>
      <xdr:row>31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ABONO $ 189.395.-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1019175</xdr:colOff>
      <xdr:row>61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447675</xdr:colOff>
      <xdr:row>61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190500</xdr:rowOff>
    </xdr:from>
    <xdr:to>
      <xdr:col>2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190500</xdr:rowOff>
    </xdr:from>
    <xdr:to>
      <xdr:col>2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190500</xdr:rowOff>
    </xdr:from>
    <xdr:to>
      <xdr:col>3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190500</xdr:rowOff>
    </xdr:from>
    <xdr:to>
      <xdr:col>4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190500</xdr:rowOff>
    </xdr:from>
    <xdr:to>
      <xdr:col>5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190500</xdr:rowOff>
    </xdr:from>
    <xdr:to>
      <xdr:col>6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Z SEGUN DIBUJO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64</xdr:row>
      <xdr:rowOff>32385</xdr:rowOff>
    </xdr:from>
    <xdr:to>
      <xdr:col>6</xdr:col>
      <xdr:colOff>19050</xdr:colOff>
      <xdr:row>68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LLEVAN CORTE Z SEGUN DIBUJO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workbookViewId="0">
      <selection activeCell="K16" sqref="K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140</v>
      </c>
      <c r="E8" s="1"/>
      <c r="F8" s="93" t="s">
        <v>27</v>
      </c>
      <c r="G8" s="94">
        <v>7344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5" t="s">
        <v>137</v>
      </c>
      <c r="D10" s="55"/>
      <c r="E10" s="55"/>
      <c r="F10" s="56" t="s">
        <v>28</v>
      </c>
      <c r="G10" s="57">
        <v>46000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4"/>
      <c r="D11" s="60"/>
      <c r="E11" s="60"/>
      <c r="F11" s="60" t="s">
        <v>122</v>
      </c>
      <c r="G11" s="61">
        <v>46003</v>
      </c>
      <c r="H11" s="62"/>
      <c r="I11" s="1"/>
    </row>
    <row r="12" spans="1:17" ht="15.6" x14ac:dyDescent="0.3">
      <c r="A12" s="1"/>
      <c r="B12" s="63" t="s">
        <v>128</v>
      </c>
      <c r="C12" s="106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C13" t="s">
        <v>138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15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16" t="s">
        <v>139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1"/>
      <c r="D16" s="43"/>
      <c r="E16" s="43"/>
      <c r="F16" s="67" t="s">
        <v>75</v>
      </c>
      <c r="G16" s="103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2" t="s">
        <v>129</v>
      </c>
      <c r="D17" s="69"/>
      <c r="E17" s="70"/>
      <c r="F17" s="118" t="s">
        <v>18</v>
      </c>
      <c r="G17" s="118"/>
      <c r="H17" s="119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98">
        <v>1</v>
      </c>
      <c r="C22" s="107" t="s">
        <v>141</v>
      </c>
      <c r="D22" s="100">
        <v>1365</v>
      </c>
      <c r="E22" s="100">
        <v>600</v>
      </c>
      <c r="F22" s="98" t="s">
        <v>142</v>
      </c>
      <c r="G22" s="99">
        <v>76721</v>
      </c>
      <c r="H22" s="99">
        <f>G22*B22</f>
        <v>76721</v>
      </c>
      <c r="I22" s="1"/>
      <c r="J22" s="98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>
        <v>1</v>
      </c>
      <c r="C23" s="107" t="s">
        <v>141</v>
      </c>
      <c r="D23" s="100">
        <v>1930</v>
      </c>
      <c r="E23" s="100">
        <v>600</v>
      </c>
      <c r="F23" s="98" t="s">
        <v>142</v>
      </c>
      <c r="G23" s="99">
        <v>99020</v>
      </c>
      <c r="H23" s="99">
        <f t="shared" ref="H23:H25" si="0">G23*B23</f>
        <v>99020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>
        <v>1</v>
      </c>
      <c r="C24" s="107" t="s">
        <v>141</v>
      </c>
      <c r="D24" s="100">
        <v>1509</v>
      </c>
      <c r="E24" s="100">
        <v>600</v>
      </c>
      <c r="F24" s="98" t="s">
        <v>142</v>
      </c>
      <c r="G24" s="99">
        <v>82570</v>
      </c>
      <c r="H24" s="99">
        <f t="shared" si="0"/>
        <v>82570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8">
        <v>4</v>
      </c>
      <c r="C25" s="107" t="s">
        <v>143</v>
      </c>
      <c r="D25" s="117"/>
      <c r="E25" s="117"/>
      <c r="F25" s="98"/>
      <c r="G25" s="99">
        <v>15000</v>
      </c>
      <c r="H25" s="99">
        <f t="shared" si="0"/>
        <v>60000</v>
      </c>
      <c r="I25" s="1"/>
      <c r="K25" s="17"/>
      <c r="L25" s="26"/>
      <c r="M25" s="17"/>
      <c r="N25" s="17"/>
      <c r="O25" s="26"/>
      <c r="P25" s="33"/>
    </row>
    <row r="26" spans="1:16" ht="18" customHeight="1" thickBot="1" x14ac:dyDescent="0.35">
      <c r="A26" s="1"/>
      <c r="I26" s="1"/>
    </row>
    <row r="27" spans="1:16" ht="15.6" x14ac:dyDescent="0.3">
      <c r="A27" s="1"/>
      <c r="B27" s="1"/>
      <c r="C27" s="1"/>
      <c r="D27" s="1"/>
      <c r="E27" s="1"/>
      <c r="F27" s="1"/>
      <c r="G27" s="75" t="s">
        <v>5</v>
      </c>
      <c r="H27" s="76">
        <f>SUM(H22:H26)</f>
        <v>318311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7" t="s">
        <v>6</v>
      </c>
      <c r="H28" s="78">
        <f>H27*19%</f>
        <v>60479.090000000004</v>
      </c>
      <c r="I28" s="1"/>
    </row>
    <row r="29" spans="1:16" ht="16.2" thickBot="1" x14ac:dyDescent="0.35">
      <c r="A29" s="1"/>
      <c r="C29" s="82"/>
      <c r="D29" s="83"/>
      <c r="E29" s="83"/>
      <c r="F29" s="74"/>
      <c r="G29" s="79" t="s">
        <v>4</v>
      </c>
      <c r="H29" s="80">
        <f>H27+H28</f>
        <v>378790.09</v>
      </c>
      <c r="I29" s="1"/>
    </row>
    <row r="30" spans="1:16" ht="15.6" x14ac:dyDescent="0.3">
      <c r="A30" s="1"/>
      <c r="C30" s="82"/>
      <c r="D30" s="83"/>
      <c r="E30" s="83"/>
      <c r="F30" s="74"/>
      <c r="G30" s="1"/>
      <c r="H30" s="1"/>
      <c r="I30" s="1"/>
    </row>
    <row r="31" spans="1:16" ht="15.6" x14ac:dyDescent="0.3">
      <c r="A31" s="1"/>
      <c r="C31" s="1"/>
      <c r="D31" s="1"/>
      <c r="E31" s="84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B34" s="81" t="s">
        <v>134</v>
      </c>
    </row>
    <row r="35" spans="1:9" ht="15.6" x14ac:dyDescent="0.3">
      <c r="B35" s="81" t="s">
        <v>135</v>
      </c>
    </row>
    <row r="36" spans="1:9" ht="15.6" x14ac:dyDescent="0.3">
      <c r="B36" s="1" t="s">
        <v>25</v>
      </c>
    </row>
  </sheetData>
  <sortState xmlns:xlrd2="http://schemas.microsoft.com/office/spreadsheetml/2017/richdata2" ref="B35">
    <sortCondition sortBy="fontColor" ref="B35" dxfId="0"/>
  </sortState>
  <mergeCells count="2">
    <mergeCell ref="F17:H17"/>
    <mergeCell ref="B20:H20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2"/>
  <sheetViews>
    <sheetView tabSelected="1" topLeftCell="A32" zoomScaleNormal="100" workbookViewId="0">
      <selection activeCell="A44" sqref="A44:F7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3.21875" customWidth="1"/>
    <col min="4" max="4" width="13.77734375" customWidth="1"/>
    <col min="5" max="5" width="11" customWidth="1"/>
    <col min="6" max="6" width="34.332031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40" t="s">
        <v>27</v>
      </c>
      <c r="D4" s="14">
        <f>'4637'!G8</f>
        <v>7344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GUTHIER E.R.I.L.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46003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6.2" customHeight="1" x14ac:dyDescent="0.3">
      <c r="A14" s="95" t="s">
        <v>131</v>
      </c>
      <c r="B14" s="25">
        <f t="shared" ref="B14" si="0">I14</f>
        <v>1</v>
      </c>
      <c r="C14" s="25"/>
      <c r="D14" s="25">
        <f t="shared" ref="D14:E16" si="1">J14+D$13</f>
        <v>1445</v>
      </c>
      <c r="E14" s="35">
        <f t="shared" si="1"/>
        <v>600</v>
      </c>
      <c r="F14" s="96" t="str">
        <f t="shared" ref="F14:F15" si="2">C32</f>
        <v>CUB SIN RESPALDO FRENTE 90° R8</v>
      </c>
      <c r="G14" s="1"/>
      <c r="I14" s="3">
        <f>I23</f>
        <v>1</v>
      </c>
      <c r="J14" s="4">
        <f>J23</f>
        <v>1365</v>
      </c>
      <c r="K14" s="4">
        <f t="shared" ref="K14:K15" si="3">E32</f>
        <v>600</v>
      </c>
    </row>
    <row r="15" spans="1:14" ht="16.2" customHeight="1" x14ac:dyDescent="0.3">
      <c r="A15" s="95"/>
      <c r="B15" s="25">
        <f t="shared" ref="B15" si="4">I15</f>
        <v>1</v>
      </c>
      <c r="C15" s="25"/>
      <c r="D15" s="25">
        <f t="shared" si="1"/>
        <v>2010</v>
      </c>
      <c r="E15" s="35">
        <f t="shared" si="1"/>
        <v>600</v>
      </c>
      <c r="F15" s="96" t="str">
        <f t="shared" si="2"/>
        <v>CUB SIN RESPALDO FRENTE 90° R8</v>
      </c>
      <c r="G15" s="1"/>
      <c r="I15" s="3">
        <f t="shared" ref="I15:I16" si="5">I24</f>
        <v>1</v>
      </c>
      <c r="J15" s="4">
        <f>J24</f>
        <v>1930</v>
      </c>
      <c r="K15" s="4">
        <f t="shared" si="3"/>
        <v>600</v>
      </c>
    </row>
    <row r="16" spans="1:14" ht="16.2" customHeight="1" x14ac:dyDescent="0.3">
      <c r="A16" s="95"/>
      <c r="B16" s="25">
        <f t="shared" ref="B16" si="6">I16</f>
        <v>1</v>
      </c>
      <c r="C16" s="25"/>
      <c r="D16" s="25">
        <f t="shared" si="1"/>
        <v>1589</v>
      </c>
      <c r="E16" s="35">
        <f t="shared" si="1"/>
        <v>600</v>
      </c>
      <c r="F16" s="96" t="str">
        <f t="shared" ref="F16" si="7">C34</f>
        <v>CUB SIN RESPALDO FRENTE 90° R8</v>
      </c>
      <c r="G16" s="1"/>
      <c r="I16" s="3">
        <f t="shared" si="5"/>
        <v>1</v>
      </c>
      <c r="J16" s="4">
        <f>J25</f>
        <v>1509</v>
      </c>
      <c r="K16" s="4">
        <f t="shared" ref="K16" si="8">E34</f>
        <v>600</v>
      </c>
    </row>
    <row r="17" spans="1:13" ht="15.6" x14ac:dyDescent="0.3">
      <c r="A17" s="52"/>
      <c r="B17" s="6"/>
      <c r="C17" s="6"/>
      <c r="D17" s="6"/>
      <c r="E17" s="88"/>
      <c r="F17" s="6"/>
      <c r="G17" s="1"/>
      <c r="I17" s="89"/>
      <c r="J17" s="2"/>
      <c r="K17" s="2"/>
    </row>
    <row r="18" spans="1:13" ht="6.75" customHeight="1" x14ac:dyDescent="0.3">
      <c r="A18" s="1"/>
      <c r="B18" s="1"/>
      <c r="C18" s="1"/>
      <c r="D18" s="1"/>
      <c r="E18" s="1"/>
      <c r="F18" s="1"/>
      <c r="G18" s="1"/>
    </row>
    <row r="19" spans="1:13" ht="15.6" x14ac:dyDescent="0.3">
      <c r="A19" s="126" t="s">
        <v>14</v>
      </c>
      <c r="B19" s="126"/>
      <c r="C19" s="126"/>
      <c r="D19" s="126"/>
      <c r="E19" s="126"/>
      <c r="F19" s="126"/>
      <c r="G19" s="1"/>
    </row>
    <row r="20" spans="1:13" ht="10.5" customHeight="1" x14ac:dyDescent="0.3">
      <c r="A20" s="1"/>
      <c r="B20" s="1"/>
      <c r="C20" s="12"/>
      <c r="D20" s="1"/>
      <c r="E20" s="1"/>
      <c r="F20" s="1"/>
      <c r="G20" s="1"/>
    </row>
    <row r="21" spans="1:13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3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60</v>
      </c>
      <c r="F22" s="36" t="s">
        <v>110</v>
      </c>
      <c r="G22" s="1"/>
      <c r="J22" s="5" t="s">
        <v>7</v>
      </c>
      <c r="K22" s="5" t="s">
        <v>8</v>
      </c>
    </row>
    <row r="23" spans="1:13" ht="15.6" x14ac:dyDescent="0.3">
      <c r="A23" s="95"/>
      <c r="B23" s="16">
        <f t="shared" ref="B23" si="9">I23</f>
        <v>1</v>
      </c>
      <c r="C23" s="16"/>
      <c r="D23" s="16">
        <f t="shared" ref="D23:E25" si="10">J23+D$22</f>
        <v>1405</v>
      </c>
      <c r="E23" s="16">
        <f t="shared" si="10"/>
        <v>660</v>
      </c>
      <c r="F23" s="97" t="str">
        <f>C32</f>
        <v>CUB SIN RESPALDO FRENTE 90° R8</v>
      </c>
      <c r="G23" s="1"/>
      <c r="I23" s="3">
        <f>B32</f>
        <v>1</v>
      </c>
      <c r="J23" s="4">
        <f t="shared" ref="J23:K25" si="11">D32</f>
        <v>1365</v>
      </c>
      <c r="K23" s="4">
        <f t="shared" si="11"/>
        <v>600</v>
      </c>
      <c r="M23">
        <v>185</v>
      </c>
    </row>
    <row r="24" spans="1:13" ht="15.6" x14ac:dyDescent="0.3">
      <c r="A24" s="95"/>
      <c r="B24" s="16">
        <f t="shared" ref="B24" si="12">I24</f>
        <v>1</v>
      </c>
      <c r="C24" s="16"/>
      <c r="D24" s="16">
        <f t="shared" si="10"/>
        <v>1970</v>
      </c>
      <c r="E24" s="16">
        <f t="shared" si="10"/>
        <v>660</v>
      </c>
      <c r="F24" s="97" t="str">
        <f>C33</f>
        <v>CUB SIN RESPALDO FRENTE 90° R8</v>
      </c>
      <c r="G24" s="1"/>
      <c r="I24" s="3">
        <f>B33</f>
        <v>1</v>
      </c>
      <c r="J24" s="4">
        <f t="shared" si="11"/>
        <v>1930</v>
      </c>
      <c r="K24" s="4">
        <f t="shared" si="11"/>
        <v>600</v>
      </c>
    </row>
    <row r="25" spans="1:13" ht="15.6" x14ac:dyDescent="0.3">
      <c r="A25" s="95"/>
      <c r="B25" s="16">
        <f t="shared" ref="B25" si="13">I25</f>
        <v>1</v>
      </c>
      <c r="C25" s="16"/>
      <c r="D25" s="16">
        <f t="shared" si="10"/>
        <v>1549</v>
      </c>
      <c r="E25" s="16">
        <f t="shared" si="10"/>
        <v>660</v>
      </c>
      <c r="F25" s="97" t="str">
        <f>C34</f>
        <v>CUB SIN RESPALDO FRENTE 90° R8</v>
      </c>
      <c r="G25" s="1"/>
      <c r="I25" s="3">
        <f>B34</f>
        <v>1</v>
      </c>
      <c r="J25" s="4">
        <f t="shared" si="11"/>
        <v>1509</v>
      </c>
      <c r="K25" s="4">
        <f t="shared" si="11"/>
        <v>600</v>
      </c>
    </row>
    <row r="26" spans="1:13" ht="15.6" x14ac:dyDescent="0.3">
      <c r="A26" s="95"/>
      <c r="B26" s="6"/>
      <c r="C26" s="6"/>
      <c r="D26" s="6"/>
      <c r="E26" s="6"/>
      <c r="F26" s="113"/>
      <c r="G26" s="1"/>
      <c r="I26" s="89"/>
      <c r="J26" s="2"/>
      <c r="K26" s="2"/>
    </row>
    <row r="27" spans="1:13" ht="15.6" x14ac:dyDescent="0.3">
      <c r="A27" s="95"/>
      <c r="B27" s="6"/>
      <c r="C27" s="6"/>
      <c r="D27" s="6"/>
      <c r="E27" s="6"/>
      <c r="F27" s="113"/>
      <c r="G27" s="1"/>
      <c r="I27" s="89"/>
      <c r="J27" s="2"/>
      <c r="K27" s="2"/>
    </row>
    <row r="28" spans="1:13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3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3" ht="10.5" customHeight="1" x14ac:dyDescent="0.3">
      <c r="A30" s="1"/>
      <c r="B30" s="1"/>
      <c r="C30" s="1"/>
      <c r="D30" s="1"/>
      <c r="E30" s="1"/>
      <c r="F30" s="1"/>
      <c r="G30" s="1"/>
    </row>
    <row r="31" spans="1:13" ht="15.6" x14ac:dyDescent="0.3">
      <c r="A31" s="52" t="s">
        <v>9</v>
      </c>
      <c r="B31" s="87" t="s">
        <v>10</v>
      </c>
      <c r="C31" s="87" t="s">
        <v>110</v>
      </c>
      <c r="D31" s="87" t="s">
        <v>7</v>
      </c>
      <c r="E31" s="87" t="s">
        <v>8</v>
      </c>
      <c r="F31" s="87" t="s">
        <v>23</v>
      </c>
      <c r="G31" s="1"/>
    </row>
    <row r="32" spans="1:13" ht="15.6" x14ac:dyDescent="0.3">
      <c r="A32" s="95"/>
      <c r="B32" s="25">
        <f>'4637'!B22</f>
        <v>1</v>
      </c>
      <c r="C32" s="105" t="str">
        <f>'4637'!C22</f>
        <v>CUB SIN RESPALDO FRENTE 90° R8</v>
      </c>
      <c r="D32" s="25">
        <f>'4637'!D22</f>
        <v>1365</v>
      </c>
      <c r="E32" s="25">
        <f>'4637'!E22</f>
        <v>600</v>
      </c>
      <c r="F32" s="25" t="str">
        <f>'4637'!F22</f>
        <v>SALT PEPPER 40419 GL</v>
      </c>
      <c r="G32" s="1"/>
    </row>
    <row r="33" spans="1:7" ht="15.6" x14ac:dyDescent="0.3">
      <c r="A33" s="95"/>
      <c r="B33" s="25">
        <f>'4637'!B23</f>
        <v>1</v>
      </c>
      <c r="C33" s="105" t="str">
        <f>'4637'!C23</f>
        <v>CUB SIN RESPALDO FRENTE 90° R8</v>
      </c>
      <c r="D33" s="25">
        <f>'4637'!D23</f>
        <v>1930</v>
      </c>
      <c r="E33" s="25">
        <f>'4637'!E23</f>
        <v>600</v>
      </c>
      <c r="F33" s="25" t="str">
        <f>'4637'!F23</f>
        <v>SALT PEPPER 40419 GL</v>
      </c>
      <c r="G33" s="1"/>
    </row>
    <row r="34" spans="1:7" ht="15.6" x14ac:dyDescent="0.3">
      <c r="A34" s="95"/>
      <c r="B34" s="25">
        <f>'4637'!B24</f>
        <v>1</v>
      </c>
      <c r="C34" s="105" t="str">
        <f>'4637'!C24</f>
        <v>CUB SIN RESPALDO FRENTE 90° R8</v>
      </c>
      <c r="D34" s="25">
        <f>'4637'!D24</f>
        <v>1509</v>
      </c>
      <c r="E34" s="25">
        <f>'4637'!E24</f>
        <v>600</v>
      </c>
      <c r="F34" s="25" t="str">
        <f>'4637'!F24</f>
        <v>SALT PEPPER 40419 GL</v>
      </c>
      <c r="G34" s="1"/>
    </row>
    <row r="35" spans="1:7" ht="15.6" x14ac:dyDescent="0.3">
      <c r="A35" s="95"/>
      <c r="B35" s="25">
        <f>'4637'!B25</f>
        <v>4</v>
      </c>
      <c r="C35" s="105" t="str">
        <f>'4637'!C25</f>
        <v>CORTE Z</v>
      </c>
      <c r="D35" s="25">
        <f>'4637'!D25</f>
        <v>0</v>
      </c>
      <c r="E35" s="25">
        <f>'4637'!E25</f>
        <v>0</v>
      </c>
      <c r="F35" s="25">
        <f>'4637'!F25</f>
        <v>0</v>
      </c>
      <c r="G35" s="1"/>
    </row>
    <row r="36" spans="1:7" ht="15.6" x14ac:dyDescent="0.3">
      <c r="A36" s="95"/>
      <c r="B36" s="6"/>
      <c r="C36" s="112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7344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GUTHIER E.R.I.L.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46003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6" t="s">
        <v>68</v>
      </c>
      <c r="B52" s="126"/>
      <c r="C52" s="126"/>
      <c r="D52" s="126"/>
      <c r="E52" s="126"/>
      <c r="F52" s="12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7" t="s">
        <v>69</v>
      </c>
      <c r="C54" s="128"/>
      <c r="D54" s="129"/>
      <c r="E54" s="129"/>
      <c r="F54" s="130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109" t="s">
        <v>8</v>
      </c>
      <c r="F55" s="49" t="s">
        <v>12</v>
      </c>
      <c r="G55" s="1"/>
    </row>
    <row r="56" spans="1:7" s="15" customFormat="1" ht="15" customHeight="1" x14ac:dyDescent="0.3">
      <c r="A56" s="95"/>
      <c r="B56" s="38">
        <f>'4637'!B22</f>
        <v>1</v>
      </c>
      <c r="C56" s="104" t="str">
        <f>'4637'!C22</f>
        <v>CUB SIN RESPALDO FRENTE 90° R8</v>
      </c>
      <c r="D56" s="39">
        <f>'4637'!D22</f>
        <v>1365</v>
      </c>
      <c r="E56" s="110">
        <f>'4637'!E22</f>
        <v>600</v>
      </c>
      <c r="F56" s="111" t="str">
        <f>'4637'!F22</f>
        <v>SALT PEPPER 40419 GL</v>
      </c>
      <c r="G56" s="1"/>
    </row>
    <row r="57" spans="1:7" s="15" customFormat="1" ht="15" customHeight="1" x14ac:dyDescent="0.3">
      <c r="A57" s="95"/>
      <c r="B57" s="38">
        <f>'4637'!B23</f>
        <v>1</v>
      </c>
      <c r="C57" s="104" t="str">
        <f>'4637'!C23</f>
        <v>CUB SIN RESPALDO FRENTE 90° R8</v>
      </c>
      <c r="D57" s="39">
        <f>'4637'!D23</f>
        <v>1930</v>
      </c>
      <c r="E57" s="110">
        <f>'4637'!E23</f>
        <v>600</v>
      </c>
      <c r="F57" s="111" t="str">
        <f>'4637'!F23</f>
        <v>SALT PEPPER 40419 GL</v>
      </c>
      <c r="G57" s="1"/>
    </row>
    <row r="58" spans="1:7" s="15" customFormat="1" ht="15" customHeight="1" x14ac:dyDescent="0.3">
      <c r="A58" s="95"/>
      <c r="B58" s="38">
        <f>'4637'!B24</f>
        <v>1</v>
      </c>
      <c r="C58" s="104" t="str">
        <f>'4637'!C24</f>
        <v>CUB SIN RESPALDO FRENTE 90° R8</v>
      </c>
      <c r="D58" s="39">
        <f>'4637'!D24</f>
        <v>1509</v>
      </c>
      <c r="E58" s="110">
        <f>'4637'!E24</f>
        <v>600</v>
      </c>
      <c r="F58" s="111" t="str">
        <f>'4637'!F24</f>
        <v>SALT PEPPER 40419 GL</v>
      </c>
      <c r="G58" s="1"/>
    </row>
    <row r="59" spans="1:7" s="15" customFormat="1" ht="15" customHeight="1" x14ac:dyDescent="0.3">
      <c r="A59" s="95"/>
      <c r="B59" s="38">
        <f>'4637'!B25</f>
        <v>4</v>
      </c>
      <c r="C59" s="104" t="str">
        <f>'4637'!C25</f>
        <v>CORTE Z</v>
      </c>
      <c r="D59" s="39">
        <f>'4637'!D25</f>
        <v>0</v>
      </c>
      <c r="E59" s="110">
        <f>'4637'!E25</f>
        <v>0</v>
      </c>
      <c r="F59" s="111">
        <f>'4637'!F25</f>
        <v>0</v>
      </c>
      <c r="G59" s="1"/>
    </row>
    <row r="60" spans="1:7" s="15" customFormat="1" ht="15" customHeight="1" x14ac:dyDescent="0.3">
      <c r="A60" s="95"/>
      <c r="B60" s="52"/>
      <c r="C60" s="108"/>
      <c r="D60" s="52"/>
      <c r="E60" s="52"/>
      <c r="F60" s="52"/>
      <c r="G60" s="1"/>
    </row>
    <row r="61" spans="1:7" s="15" customFormat="1" ht="15" customHeight="1" x14ac:dyDescent="0.3">
      <c r="A61" s="50"/>
      <c r="B61" s="52"/>
      <c r="C61" s="52"/>
      <c r="D61" s="52"/>
      <c r="E61" s="52"/>
      <c r="F61" s="52"/>
      <c r="G61" s="1"/>
    </row>
    <row r="62" spans="1:7" ht="15.6" x14ac:dyDescent="0.3">
      <c r="A62" s="6"/>
      <c r="B62" s="6"/>
      <c r="C62" s="1"/>
      <c r="D62" s="6"/>
      <c r="E62" s="6"/>
      <c r="F62" s="44"/>
      <c r="G62" s="1"/>
    </row>
    <row r="63" spans="1:7" ht="15.6" x14ac:dyDescent="0.3">
      <c r="A63" s="6"/>
      <c r="B63" s="6"/>
      <c r="C63" s="1"/>
      <c r="D63" s="6"/>
      <c r="E63" s="6"/>
      <c r="F63" s="6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" customHeight="1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6"/>
      <c r="B69" s="5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x14ac:dyDescent="0.3">
      <c r="B71" s="20"/>
      <c r="C71" s="20"/>
      <c r="D71" s="20"/>
      <c r="E71" s="20"/>
      <c r="F71" s="20"/>
    </row>
    <row r="72" spans="1:7" x14ac:dyDescent="0.3">
      <c r="B72" s="20"/>
      <c r="C72" s="20"/>
      <c r="E72" s="20"/>
      <c r="F72" s="20"/>
    </row>
  </sheetData>
  <mergeCells count="6">
    <mergeCell ref="M3:N3"/>
    <mergeCell ref="A19:F19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2025-12-10T12:33:40Z</cp:lastPrinted>
  <dcterms:created xsi:type="dcterms:W3CDTF">2013-03-19T12:54:14Z</dcterms:created>
  <dcterms:modified xsi:type="dcterms:W3CDTF">2025-12-10T12:36:18Z</dcterms:modified>
</cp:coreProperties>
</file>