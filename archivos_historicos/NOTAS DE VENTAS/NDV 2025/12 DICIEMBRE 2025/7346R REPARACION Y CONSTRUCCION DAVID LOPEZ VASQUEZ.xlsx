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5A020FA7-A6A7-4368-9C6B-6FA786511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</externalReferences>
  <definedNames>
    <definedName name="_xlnm.Print_Area" localSheetId="0">'4637'!$A$1:$H$30</definedName>
    <definedName name="_xlnm.Print_Area" localSheetId="2">CUBIERTA!$A$36:$G$60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E27" i="3" s="1"/>
  <c r="D48" i="3"/>
  <c r="D27" i="3" s="1"/>
  <c r="J21" i="3" s="1"/>
  <c r="B48" i="3"/>
  <c r="B27" i="3" s="1"/>
  <c r="I21" i="3" s="1"/>
  <c r="D4" i="3"/>
  <c r="D38" i="3"/>
  <c r="F48" i="3"/>
  <c r="F27" i="3" s="1"/>
  <c r="C48" i="3"/>
  <c r="C27" i="3" s="1"/>
  <c r="C41" i="3"/>
  <c r="D8" i="3"/>
  <c r="D7" i="3"/>
  <c r="C7" i="3"/>
  <c r="N5" i="3"/>
  <c r="D5" i="3"/>
  <c r="G22" i="4"/>
  <c r="F22" i="4"/>
  <c r="C22" i="4"/>
  <c r="H22" i="4"/>
  <c r="C17" i="4"/>
  <c r="G16" i="4"/>
  <c r="C16" i="4"/>
  <c r="C15" i="4"/>
  <c r="C14" i="4"/>
  <c r="C13" i="4"/>
  <c r="G12" i="4"/>
  <c r="C12" i="4"/>
  <c r="C11" i="4"/>
  <c r="D41" i="3"/>
  <c r="C10" i="4"/>
  <c r="D39" i="3" s="1"/>
  <c r="D8" i="4"/>
  <c r="F14" i="3" l="1"/>
  <c r="F21" i="3"/>
  <c r="I14" i="3"/>
  <c r="B14" i="3" s="1"/>
  <c r="B21" i="3"/>
  <c r="K21" i="3"/>
  <c r="K14" i="3"/>
  <c r="J14" i="3"/>
  <c r="H24" i="4"/>
  <c r="E21" i="3" l="1"/>
  <c r="M5" i="3"/>
  <c r="D21" i="3"/>
  <c r="E14" i="3"/>
  <c r="L5" i="3"/>
  <c r="D14" i="3"/>
  <c r="K5" i="3"/>
  <c r="H25" i="4"/>
  <c r="H26" i="4" s="1"/>
</calcChain>
</file>

<file path=xl/sharedStrings.xml><?xml version="1.0" encoding="utf-8"?>
<sst xmlns="http://schemas.openxmlformats.org/spreadsheetml/2006/main" count="242" uniqueCount="139">
  <si>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</si>
  <si>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</si>
  <si>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</si>
  <si>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</si>
  <si>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</si>
  <si>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</si>
  <si>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</si>
  <si>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</si>
  <si>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</si>
  <si>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</si>
  <si>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</si>
  <si>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</si>
  <si>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</si>
  <si>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</si>
  <si>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</si>
  <si>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</si>
  <si>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</si>
  <si>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</si>
  <si>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</si>
  <si>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</si>
  <si>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</si>
  <si>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</si>
  <si>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</si>
  <si>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</si>
  <si>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</si>
  <si>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</si>
  <si>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</si>
  <si>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</si>
  <si>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</si>
  <si>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</si>
  <si>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</si>
  <si>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</si>
  <si>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</si>
  <si>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</si>
  <si>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</si>
  <si>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</si>
  <si>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</si>
  <si>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</si>
  <si>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</si>
  <si>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</si>
  <si>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</si>
  <si>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</si>
  <si>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</si>
  <si>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</si>
  <si>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</si>
  <si>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</si>
  <si>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</si>
  <si>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</si>
  <si>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</si>
  <si>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</si>
  <si>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</si>
  <si>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</si>
  <si>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</si>
  <si>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</si>
  <si>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</si>
  <si>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</si>
  <si>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</si>
  <si>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</si>
  <si>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</si>
  <si>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</si>
  <si>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</si>
  <si>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</si>
  <si>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</si>
  <si>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</si>
  <si>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</si>
  <si>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</si>
  <si>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</si>
  <si>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</si>
  <si>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</si>
  <si>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</si>
  <si>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</si>
  <si>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</si>
  <si>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</si>
  <si>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</si>
  <si>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</si>
  <si>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</si>
  <si>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</si>
  <si>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</si>
  <si>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</si>
  <si>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</si>
  <si>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</si>
  <si>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</si>
  <si>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</si>
  <si>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</si>
  <si>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</si>
  <si>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</si>
  <si>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</si>
  <si>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</si>
  <si>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</si>
  <si>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</si>
  <si>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</si>
  <si>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</si>
  <si>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</si>
  <si>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</si>
  <si>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</si>
  <si>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</si>
  <si>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</si>
  <si>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</si>
  <si>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</si>
  <si>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</si>
  <si>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</si>
  <si>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</si>
  <si>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</si>
  <si>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</si>
  <si>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</si>
  <si>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</si>
  <si>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</si>
  <si>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</si>
  <si>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</si>
  <si>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</si>
  <si>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</si>
  <si>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</si>
  <si>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</si>
  <si>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</si>
  <si>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</si>
  <si>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</si>
  <si>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</si>
  <si>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</si>
  <si>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</si>
  <si>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</si>
  <si>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</si>
  <si>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</si>
  <si>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</si>
  <si>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</si>
  <si>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</si>
  <si>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</si>
  <si>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</si>
  <si>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</si>
  <si>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</si>
  <si>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CELULAR: 963868755</t>
  </si>
  <si>
    <t>E-MAIL: fdonoso@topmobili.cl</t>
  </si>
  <si>
    <t>DESPACHO:</t>
  </si>
  <si>
    <t>FERNANDO DONOSO</t>
  </si>
  <si>
    <t xml:space="preserve">CUENTA VISTA DEL BANCO ESTADO N° 35571389078 A NOMBRE DE </t>
  </si>
  <si>
    <t>"MUEBLES SANTA FE SPA." - RUT : 77.054.606-0, VENTAS@TOPMOBILI.CL</t>
  </si>
  <si>
    <t>MELAMIL 18MM</t>
  </si>
  <si>
    <t>7346R</t>
  </si>
  <si>
    <t>URGENTE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</si>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</sst>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0" fillId="0" borderId="0" xfId="0" applyFont="1" applyAlignment="1">
      <alignment horizontal="right"/>
    </xf>
    <xf numFmtId="0" fontId="21" fillId="0" borderId="1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3" borderId="0" xfId="0" applyFont="1" applyFill="1" applyAlignment="1">
      <alignment horizontal="left"/>
    </xf>
    <xf numFmtId="0" fontId="17" fillId="4" borderId="9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" fontId="21" fillId="0" borderId="18" xfId="0" applyNumberFormat="1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86037DB-56AD-4FCC-BD2E-16AAA7A4C889}"/>
            </a:ext>
          </a:extLst>
        </xdr:cNvPr>
        <xdr:cNvSpPr/>
      </xdr:nvSpPr>
      <xdr:spPr>
        <a:xfrm>
          <a:off x="213360" y="503301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D3B604-DF18-4B15-8267-B2D2A4683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725A7D-3AB7-4E1B-BC00-CFC67B968C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5A748D78-96B2-43E0-AB6C-27A506EEA027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C0EC4BE3-62D9-4039-94C1-3A4BB1040ABD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C6FB345A-5EB9-404E-AA73-E1CBF7563861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AF2D6170-22FE-45E4-A555-FD7E28D0467B}"/>
            </a:ext>
          </a:extLst>
        </xdr:cNvPr>
        <xdr:cNvSpPr/>
      </xdr:nvSpPr>
      <xdr:spPr>
        <a:xfrm>
          <a:off x="735330" y="330708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0" name="Rectángulo 59">
          <a:extLst>
            <a:ext uri="{FF2B5EF4-FFF2-40B4-BE49-F238E27FC236}">
              <a16:creationId xmlns:a16="http://schemas.microsoft.com/office/drawing/2014/main" id="{439DD8A0-3677-46C8-93F5-A4C48476DFD8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42</xdr:row>
      <xdr:rowOff>171450</xdr:rowOff>
    </xdr:from>
    <xdr:to>
      <xdr:col>6</xdr:col>
      <xdr:colOff>19050</xdr:colOff>
      <xdr:row>44</xdr:row>
      <xdr:rowOff>19050</xdr:rowOff>
    </xdr:to>
    <xdr:sp macro="" textlink="">
      <xdr:nvSpPr>
        <xdr:cNvPr id="61" name="Rectángulo 60">
          <a:extLst>
            <a:ext uri="{FF2B5EF4-FFF2-40B4-BE49-F238E27FC236}">
              <a16:creationId xmlns:a16="http://schemas.microsoft.com/office/drawing/2014/main" id="{403360C1-CE01-431D-84EA-F638C9F417A2}"/>
            </a:ext>
          </a:extLst>
        </xdr:cNvPr>
        <xdr:cNvSpPr/>
      </xdr:nvSpPr>
      <xdr:spPr>
        <a:xfrm>
          <a:off x="714375" y="92011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62" name="Rectángulo 61">
          <a:extLst>
            <a:ext uri="{FF2B5EF4-FFF2-40B4-BE49-F238E27FC236}">
              <a16:creationId xmlns:a16="http://schemas.microsoft.com/office/drawing/2014/main" id="{B0660480-C3D4-441F-8889-737DBB34BFC3}"/>
            </a:ext>
          </a:extLst>
        </xdr:cNvPr>
        <xdr:cNvSpPr/>
      </xdr:nvSpPr>
      <xdr:spPr>
        <a:xfrm>
          <a:off x="1647825" y="86334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49B066F3-6637-4C55-93FE-4CA5DEA3ED59}"/>
            </a:ext>
          </a:extLst>
        </xdr:cNvPr>
        <xdr:cNvSpPr/>
      </xdr:nvSpPr>
      <xdr:spPr>
        <a:xfrm>
          <a:off x="1647825" y="84048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A06F259D-9910-4331-8C01-BBA7A3ED7D54}"/>
            </a:ext>
          </a:extLst>
        </xdr:cNvPr>
        <xdr:cNvSpPr/>
      </xdr:nvSpPr>
      <xdr:spPr>
        <a:xfrm>
          <a:off x="1647825" y="81686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3A5B43FD-A3BF-4AFE-A12B-BC2AAC23F059}"/>
            </a:ext>
          </a:extLst>
        </xdr:cNvPr>
        <xdr:cNvSpPr/>
      </xdr:nvSpPr>
      <xdr:spPr>
        <a:xfrm>
          <a:off x="723900" y="109347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3AE2A6FD-505A-449D-B5D2-4E727EA6DBAB}"/>
            </a:ext>
          </a:extLst>
        </xdr:cNvPr>
        <xdr:cNvSpPr/>
      </xdr:nvSpPr>
      <xdr:spPr>
        <a:xfrm>
          <a:off x="1691640" y="109347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39261F59-322D-4744-B591-994DC94C54C5}"/>
            </a:ext>
          </a:extLst>
        </xdr:cNvPr>
        <xdr:cNvSpPr/>
      </xdr:nvSpPr>
      <xdr:spPr>
        <a:xfrm>
          <a:off x="2663190" y="109347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74D6EFE2-2C4A-4C16-BB99-5784B647FB72}"/>
            </a:ext>
          </a:extLst>
        </xdr:cNvPr>
        <xdr:cNvSpPr/>
      </xdr:nvSpPr>
      <xdr:spPr>
        <a:xfrm>
          <a:off x="4429125" y="109347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C36E8B4E-3F7B-460D-A391-A07711C31EE3}"/>
            </a:ext>
          </a:extLst>
        </xdr:cNvPr>
        <xdr:cNvSpPr/>
      </xdr:nvSpPr>
      <xdr:spPr>
        <a:xfrm>
          <a:off x="5421630" y="109347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70" name="Rectángulo 69">
          <a:extLst>
            <a:ext uri="{FF2B5EF4-FFF2-40B4-BE49-F238E27FC236}">
              <a16:creationId xmlns:a16="http://schemas.microsoft.com/office/drawing/2014/main" id="{DE6EB1DD-73FE-41BA-A088-EDDDA72A0808}"/>
            </a:ext>
          </a:extLst>
        </xdr:cNvPr>
        <xdr:cNvSpPr/>
      </xdr:nvSpPr>
      <xdr:spPr>
        <a:xfrm>
          <a:off x="6499860" y="109347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71" name="Rectángulo 70">
          <a:extLst>
            <a:ext uri="{FF2B5EF4-FFF2-40B4-BE49-F238E27FC236}">
              <a16:creationId xmlns:a16="http://schemas.microsoft.com/office/drawing/2014/main" id="{356135B7-6745-43B6-AA3F-A7BDA44A116E}"/>
            </a:ext>
          </a:extLst>
        </xdr:cNvPr>
        <xdr:cNvSpPr/>
      </xdr:nvSpPr>
      <xdr:spPr>
        <a:xfrm>
          <a:off x="723900" y="111252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C78343DD-09A7-426F-89C9-292C6E6A0486}"/>
            </a:ext>
          </a:extLst>
        </xdr:cNvPr>
        <xdr:cNvSpPr/>
      </xdr:nvSpPr>
      <xdr:spPr>
        <a:xfrm>
          <a:off x="1691640" y="111252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C5158C78-4DC8-4061-B5A7-0D86205EA9CA}"/>
            </a:ext>
          </a:extLst>
        </xdr:cNvPr>
        <xdr:cNvSpPr/>
      </xdr:nvSpPr>
      <xdr:spPr>
        <a:xfrm>
          <a:off x="2663190" y="111252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74" name="Rectángulo 73">
          <a:extLst>
            <a:ext uri="{FF2B5EF4-FFF2-40B4-BE49-F238E27FC236}">
              <a16:creationId xmlns:a16="http://schemas.microsoft.com/office/drawing/2014/main" id="{A61FB4B0-FC67-4B1F-AC75-915A57A3F263}"/>
            </a:ext>
          </a:extLst>
        </xdr:cNvPr>
        <xdr:cNvSpPr/>
      </xdr:nvSpPr>
      <xdr:spPr>
        <a:xfrm>
          <a:off x="4429125" y="111252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F08272B1-13E3-4C53-BE03-2C6D0C32EBFB}"/>
            </a:ext>
          </a:extLst>
        </xdr:cNvPr>
        <xdr:cNvSpPr/>
      </xdr:nvSpPr>
      <xdr:spPr>
        <a:xfrm>
          <a:off x="5421630" y="111252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76" name="Rectángulo 75">
          <a:extLst>
            <a:ext uri="{FF2B5EF4-FFF2-40B4-BE49-F238E27FC236}">
              <a16:creationId xmlns:a16="http://schemas.microsoft.com/office/drawing/2014/main" id="{D80346A1-319B-489C-A844-0D9BEFBF40C4}"/>
            </a:ext>
          </a:extLst>
        </xdr:cNvPr>
        <xdr:cNvSpPr/>
      </xdr:nvSpPr>
      <xdr:spPr>
        <a:xfrm>
          <a:off x="6499860" y="111252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29</xdr:row>
      <xdr:rowOff>22859</xdr:rowOff>
    </xdr:from>
    <xdr:to>
      <xdr:col>6</xdr:col>
      <xdr:colOff>0</xdr:colOff>
      <xdr:row>33</xdr:row>
      <xdr:rowOff>57150</xdr:rowOff>
    </xdr:to>
    <xdr:sp macro="" textlink="">
      <xdr:nvSpPr>
        <xdr:cNvPr id="77" name="Rectángulo 76">
          <a:extLst>
            <a:ext uri="{FF2B5EF4-FFF2-40B4-BE49-F238E27FC236}">
              <a16:creationId xmlns:a16="http://schemas.microsoft.com/office/drawing/2014/main" id="{1E28E402-4380-46BE-9CFF-795A906B39F8}"/>
            </a:ext>
          </a:extLst>
        </xdr:cNvPr>
        <xdr:cNvSpPr/>
      </xdr:nvSpPr>
      <xdr:spPr>
        <a:xfrm>
          <a:off x="723900" y="66065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MEDIDAS Y ENCHAPAR CON TAPACANTO PVC 0,4MM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78" name="Rectángulo 77">
          <a:extLst>
            <a:ext uri="{FF2B5EF4-FFF2-40B4-BE49-F238E27FC236}">
              <a16:creationId xmlns:a16="http://schemas.microsoft.com/office/drawing/2014/main" id="{883C3B09-0568-4683-B73B-572B6900FEC5}"/>
            </a:ext>
          </a:extLst>
        </xdr:cNvPr>
        <xdr:cNvSpPr/>
      </xdr:nvSpPr>
      <xdr:spPr>
        <a:xfrm>
          <a:off x="714375" y="505587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79" name="Rectángulo 78">
          <a:extLst>
            <a:ext uri="{FF2B5EF4-FFF2-40B4-BE49-F238E27FC236}">
              <a16:creationId xmlns:a16="http://schemas.microsoft.com/office/drawing/2014/main" id="{9E5F0A9B-08FA-47B2-AC89-E8B8CFC7A7A2}"/>
            </a:ext>
          </a:extLst>
        </xdr:cNvPr>
        <xdr:cNvSpPr/>
      </xdr:nvSpPr>
      <xdr:spPr>
        <a:xfrm>
          <a:off x="744855" y="115614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TAPACANTO PVC 0,4MM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8F993AA9-3258-4E3F-BF10-92CFD9B4AEEA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33739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C1479ACB-2F9A-4F2C-9B5E-84CFDE5D9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36</xdr:row>
      <xdr:rowOff>28575</xdr:rowOff>
    </xdr:from>
    <xdr:to>
      <xdr:col>1</xdr:col>
      <xdr:colOff>781050</xdr:colOff>
      <xdr:row>41</xdr:row>
      <xdr:rowOff>117558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492B6FEF-AD10-4C85-A1C1-0677FE1C9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9990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12%20DICIEMBRE%202025\11794%20REPARACION%20Y%20CONSTRUCCION%20DE%20MUEBLES%20DAVID%20LOPEZ%20VASQUEZ.xlsx" TargetMode="External"/><Relationship Id="rId1" Type="http://schemas.openxmlformats.org/officeDocument/2006/relationships/externalLinkPath" Target="/Users/franc/Dropbox/PC/Desktop/POSTFORMADO%202020/COTIZACIONES%20MUEBLES%20SANTA%20FE/12%20DICIEMBRE%202025/11794%20REPARACION%20Y%20CONSTRUCCION%20DE%20MUEBLES%20DAVID%20LOPEZ%20VASQUEZ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11794</v>
          </cell>
        </row>
        <row r="10">
          <cell r="C10" t="str">
            <v>REPARACION Y CONSTRUCCION DE MUEBLES DAVID LOPEZ VASQUEZ</v>
          </cell>
        </row>
        <row r="11">
          <cell r="C11" t="str">
            <v>76.703.408-3</v>
          </cell>
        </row>
        <row r="14">
          <cell r="G14" t="str">
            <v>NO</v>
          </cell>
        </row>
        <row r="15">
          <cell r="C15" t="str">
            <v>+569 5032 1880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  <row r="21">
          <cell r="C21" t="str">
            <v>PR6</v>
          </cell>
          <cell r="F21" t="str">
            <v>BLANCO MT</v>
          </cell>
          <cell r="G21">
            <v>48338.031518435411</v>
          </cell>
        </row>
      </sheetData>
      <sheetData sheetId="1"/>
      <sheetData sheetId="2">
        <row r="10">
          <cell r="C10" t="str">
            <v>REPARACION Y CONSTRUCCION DE MUEBLES DAVID LOPEZ VASQUEZ</v>
          </cell>
          <cell r="F10" t="str">
            <v>FECHA :</v>
          </cell>
          <cell r="G10">
            <v>46000</v>
          </cell>
        </row>
        <row r="11">
          <cell r="G11">
            <v>46007</v>
          </cell>
        </row>
        <row r="22">
          <cell r="C22" t="str">
            <v>PR6</v>
          </cell>
          <cell r="F22" t="str">
            <v>BLANCO MT</v>
          </cell>
        </row>
      </sheetData>
      <sheetData sheetId="3">
        <row r="4">
          <cell r="B4">
            <v>40</v>
          </cell>
          <cell r="C4">
            <v>60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C5">
            <v>90</v>
          </cell>
          <cell r="D5" t="str">
            <v>CEN 2V</v>
          </cell>
          <cell r="G5">
            <v>50</v>
          </cell>
          <cell r="I5" t="str">
            <v xml:space="preserve">CEN 2V </v>
          </cell>
        </row>
        <row r="6">
          <cell r="B6">
            <v>40</v>
          </cell>
          <cell r="C6">
            <v>100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C7">
            <v>150</v>
          </cell>
          <cell r="D7" t="str">
            <v>CORNISA  FRENTE ESPAÑOL 2 LADO</v>
          </cell>
          <cell r="G7">
            <v>50</v>
          </cell>
          <cell r="I7" t="str">
            <v>CORNISA  FRENTE ESPAÑOL 2 LADO</v>
          </cell>
        </row>
        <row r="8">
          <cell r="B8">
            <v>40</v>
          </cell>
          <cell r="C8">
            <v>100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C9">
            <v>50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C10">
            <v>80</v>
          </cell>
          <cell r="D10" t="str">
            <v>CORNISA PUNTA TIBURON 2 LADOS</v>
          </cell>
          <cell r="G10">
            <v>50</v>
          </cell>
          <cell r="I10" t="str">
            <v>CORNISA 2 LADOS</v>
          </cell>
        </row>
        <row r="11">
          <cell r="B11">
            <v>40</v>
          </cell>
          <cell r="C11">
            <v>60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C12">
            <v>100</v>
          </cell>
          <cell r="D12" t="str">
            <v>CORNISA R8 2 LADOS</v>
          </cell>
          <cell r="G12">
            <v>50</v>
          </cell>
          <cell r="I12" t="str">
            <v>CORNISA PUNTA TIBURON 2 LADOS</v>
          </cell>
        </row>
        <row r="13">
          <cell r="B13">
            <v>40</v>
          </cell>
          <cell r="C13">
            <v>130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C14">
            <v>150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C15">
            <v>150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C16">
            <v>130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C17">
            <v>150</v>
          </cell>
          <cell r="D17" t="str">
            <v>CUB MESA 180° 2 LADOS</v>
          </cell>
          <cell r="G17">
            <v>50</v>
          </cell>
          <cell r="I17" t="str">
            <v>CUB MESA 180° 2 LADOS</v>
          </cell>
        </row>
        <row r="18">
          <cell r="B18">
            <v>140</v>
          </cell>
          <cell r="C18">
            <v>150</v>
          </cell>
          <cell r="D18" t="str">
            <v>CUB MESA 180° 3 LADOS</v>
          </cell>
          <cell r="G18">
            <v>50</v>
          </cell>
          <cell r="I18" t="str">
            <v>CUB MESA 180° 3 LADOS</v>
          </cell>
        </row>
        <row r="19">
          <cell r="B19">
            <v>150</v>
          </cell>
          <cell r="C19">
            <v>150</v>
          </cell>
          <cell r="D19" t="str">
            <v>CUB MESA 180° 4 LADOS</v>
          </cell>
          <cell r="G19">
            <v>50</v>
          </cell>
          <cell r="I19" t="str">
            <v>CUB MESA 180° 4 LADOS</v>
          </cell>
        </row>
        <row r="20">
          <cell r="B20">
            <v>40</v>
          </cell>
          <cell r="C20">
            <v>100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C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C22">
            <v>100</v>
          </cell>
          <cell r="D22" t="str">
            <v>CUB MESA 4 LADOS</v>
          </cell>
          <cell r="I22" t="str">
            <v>CUB MESA 4 LADOS</v>
          </cell>
        </row>
        <row r="23">
          <cell r="B23">
            <v>40</v>
          </cell>
          <cell r="C23">
            <v>150</v>
          </cell>
          <cell r="D23" t="str">
            <v>CUB MESA FRENTE ESPAÑOL 2 LADOS</v>
          </cell>
          <cell r="G23">
            <v>50</v>
          </cell>
          <cell r="I23" t="str">
            <v>CUB MESA FRENTE ESPAÑOL 2 LADOS</v>
          </cell>
        </row>
        <row r="24">
          <cell r="B24">
            <v>140</v>
          </cell>
          <cell r="C24">
            <v>150</v>
          </cell>
          <cell r="D24" t="str">
            <v>CUB MESA FRENTE ESPAÑOL 3 LADOS</v>
          </cell>
          <cell r="G24">
            <v>50</v>
          </cell>
          <cell r="I24" t="str">
            <v>CUB MESA FRENTE ESPAÑOL 3 LADOS</v>
          </cell>
        </row>
        <row r="25">
          <cell r="B25">
            <v>150</v>
          </cell>
          <cell r="C25">
            <v>150</v>
          </cell>
          <cell r="D25" t="str">
            <v>CUB MESA FRENTE ESPAÑOL 4 LADOS</v>
          </cell>
          <cell r="G25">
            <v>50</v>
          </cell>
          <cell r="I25" t="str">
            <v>CUB MESA FRENTE ESPAÑOL 4 LADOS</v>
          </cell>
        </row>
        <row r="26">
          <cell r="B26">
            <v>40</v>
          </cell>
          <cell r="C26">
            <v>77</v>
          </cell>
          <cell r="D26" t="str">
            <v>CUB MESA PUNTA TIBURON 2 LADOS</v>
          </cell>
          <cell r="G26">
            <v>50</v>
          </cell>
          <cell r="I26" t="str">
            <v>CUB MESA PUNTA TIBURON 2 LADOS</v>
          </cell>
        </row>
        <row r="27">
          <cell r="B27">
            <v>110</v>
          </cell>
          <cell r="C27">
            <v>77</v>
          </cell>
          <cell r="D27" t="str">
            <v>CUB MESA PUNTA TIBURON 3 LADOS</v>
          </cell>
          <cell r="G27">
            <v>50</v>
          </cell>
          <cell r="I27" t="str">
            <v>CUB MESA PUNTA TIBURON 3 LADOS</v>
          </cell>
        </row>
        <row r="28">
          <cell r="B28">
            <v>120</v>
          </cell>
          <cell r="C28">
            <v>77</v>
          </cell>
          <cell r="D28" t="str">
            <v>CUB MESA PUNTA TIBURON 4 LADOS</v>
          </cell>
          <cell r="G28">
            <v>50</v>
          </cell>
          <cell r="I28" t="str">
            <v>CUB MESA PUNTA TIBURON 4 LADOS</v>
          </cell>
        </row>
        <row r="29">
          <cell r="B29">
            <v>40</v>
          </cell>
          <cell r="C29">
            <v>50</v>
          </cell>
          <cell r="D29" t="str">
            <v>CUB PUNTA TIBURON 1 LADO</v>
          </cell>
          <cell r="G29">
            <v>50</v>
          </cell>
          <cell r="I29" t="str">
            <v>CUB PUNTA TIBURON 1 LADO</v>
          </cell>
        </row>
        <row r="30">
          <cell r="B30">
            <v>40</v>
          </cell>
          <cell r="C30">
            <v>60</v>
          </cell>
          <cell r="D30" t="str">
            <v xml:space="preserve">CUB S/R </v>
          </cell>
          <cell r="G30">
            <v>50</v>
          </cell>
          <cell r="I30" t="str">
            <v>CUB S/R</v>
          </cell>
        </row>
        <row r="31">
          <cell r="B31">
            <v>40</v>
          </cell>
          <cell r="C31">
            <v>100</v>
          </cell>
          <cell r="D31" t="str">
            <v>CUB S/R FRENTE ESPAÑOL</v>
          </cell>
          <cell r="G31">
            <v>50</v>
          </cell>
          <cell r="I31" t="str">
            <v>CUB S/R FRENTE ESPAÑOL</v>
          </cell>
        </row>
        <row r="32">
          <cell r="B32">
            <v>40</v>
          </cell>
          <cell r="C32">
            <v>60</v>
          </cell>
          <cell r="D32" t="str">
            <v>CUB S/R R2</v>
          </cell>
          <cell r="G32">
            <v>50</v>
          </cell>
          <cell r="I32" t="str">
            <v>CUB S/R R2</v>
          </cell>
        </row>
        <row r="33">
          <cell r="B33">
            <v>40</v>
          </cell>
          <cell r="C33">
            <v>90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C34">
            <v>90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C35">
            <v>90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C36">
            <v>90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C37">
            <v>90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1">
          <cell r="F11" t="str">
            <v>FECHA LIMITE :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6" workbookViewId="0">
      <selection activeCell="G16" sqref="G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129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130</v>
      </c>
      <c r="G7" s="1"/>
      <c r="H7" s="1"/>
      <c r="I7" s="1"/>
    </row>
    <row r="8" spans="1:17" ht="16.2" thickBot="1" x14ac:dyDescent="0.35">
      <c r="A8" s="1"/>
      <c r="B8" s="65" t="s">
        <v>14</v>
      </c>
      <c r="C8" s="66"/>
      <c r="D8" s="67" t="str">
        <f>'[1]2229'!D8</f>
        <v>N° 11794</v>
      </c>
      <c r="E8" s="1"/>
      <c r="F8" s="68" t="s">
        <v>25</v>
      </c>
      <c r="G8" s="69" t="s">
        <v>136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3" t="s">
        <v>125</v>
      </c>
      <c r="C10" s="74" t="str">
        <f>IF('[1]2229'!C10="","",'[1]2229'!C10)</f>
        <v>REPARACION Y CONSTRUCCION DE MUEBLES DAVID LOPEZ VASQUEZ</v>
      </c>
      <c r="D10" s="74"/>
      <c r="E10" s="74"/>
      <c r="F10" s="75" t="s">
        <v>26</v>
      </c>
      <c r="G10" s="76">
        <v>2025</v>
      </c>
      <c r="H10" s="77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78" t="s">
        <v>2</v>
      </c>
      <c r="C11" s="8" t="str">
        <f>IF('[1]2229'!C11="","",'[1]2229'!C11)</f>
        <v>76.703.408-3</v>
      </c>
      <c r="D11" s="79"/>
      <c r="E11" s="79"/>
      <c r="F11" s="79" t="s">
        <v>120</v>
      </c>
      <c r="G11" s="80" t="s">
        <v>137</v>
      </c>
      <c r="H11" s="81"/>
      <c r="I11" s="1"/>
    </row>
    <row r="12" spans="1:17" ht="15.6" x14ac:dyDescent="0.3">
      <c r="A12" s="1"/>
      <c r="B12" s="82" t="s">
        <v>126</v>
      </c>
      <c r="C12" s="83" t="str">
        <f>IF('[1]2229'!C12="","",'[1]2229'!C12)</f>
        <v/>
      </c>
      <c r="D12" s="83"/>
      <c r="E12" s="83"/>
      <c r="F12" s="83" t="s">
        <v>131</v>
      </c>
      <c r="G12" s="83" t="str">
        <f>'[1]2229'!G14</f>
        <v>NO</v>
      </c>
      <c r="H12" s="84"/>
      <c r="I12" s="1"/>
    </row>
    <row r="13" spans="1:17" ht="15.6" x14ac:dyDescent="0.3">
      <c r="A13" s="1"/>
      <c r="B13" s="85" t="s">
        <v>127</v>
      </c>
      <c r="C13" s="8" t="str">
        <f>IF('[1]2229'!C13="","",'[1]2229'!C13)</f>
        <v/>
      </c>
      <c r="D13" s="8"/>
      <c r="E13" s="8"/>
      <c r="F13" s="8" t="s">
        <v>28</v>
      </c>
      <c r="G13" s="86"/>
      <c r="H13" s="87"/>
      <c r="I13" s="1"/>
    </row>
    <row r="14" spans="1:17" ht="15.6" x14ac:dyDescent="0.3">
      <c r="A14" s="1"/>
      <c r="B14" s="82" t="s">
        <v>128</v>
      </c>
      <c r="C14" s="83" t="str">
        <f>IF('[1]2229'!C14="","",'[1]2229'!C14)</f>
        <v/>
      </c>
      <c r="D14" s="83"/>
      <c r="E14" s="83"/>
      <c r="F14" s="83" t="s">
        <v>124</v>
      </c>
      <c r="G14" s="88" t="s">
        <v>132</v>
      </c>
      <c r="H14" s="84"/>
      <c r="I14" s="1"/>
    </row>
    <row r="15" spans="1:17" ht="15.6" x14ac:dyDescent="0.3">
      <c r="A15" s="1"/>
      <c r="B15" s="78" t="s">
        <v>15</v>
      </c>
      <c r="C15" s="8" t="str">
        <f>IF('[1]2229'!C15="","",'[1]2229'!C15)</f>
        <v>+569 5032 1880</v>
      </c>
      <c r="D15" s="89"/>
      <c r="E15" s="79"/>
      <c r="F15" s="79" t="s">
        <v>27</v>
      </c>
      <c r="G15" s="79" t="s">
        <v>138</v>
      </c>
      <c r="H15" s="81"/>
      <c r="I15" s="1"/>
    </row>
    <row r="16" spans="1:17" ht="15.6" x14ac:dyDescent="0.3">
      <c r="A16" s="1"/>
      <c r="B16" s="82" t="s">
        <v>1</v>
      </c>
      <c r="C16" s="83" t="str">
        <f>IF('[1]2229'!C16="","",'[1]2229'!C16)</f>
        <v/>
      </c>
      <c r="D16" s="83"/>
      <c r="E16" s="83"/>
      <c r="F16" s="83" t="s">
        <v>73</v>
      </c>
      <c r="G16" s="83" t="str">
        <f>'[1]2229'!G16</f>
        <v>ABONO 50% SALDO C/ENTREGA</v>
      </c>
      <c r="H16" s="84"/>
      <c r="I16" s="1"/>
    </row>
    <row r="17" spans="1:16" ht="16.2" thickBot="1" x14ac:dyDescent="0.35">
      <c r="A17" s="1"/>
      <c r="B17" s="90" t="s">
        <v>3</v>
      </c>
      <c r="C17" s="91" t="str">
        <f>IF('[1]2229'!C17="","",'[1]2229'!C17)</f>
        <v>SANTIAGO</v>
      </c>
      <c r="D17" s="92"/>
      <c r="E17" s="93"/>
      <c r="F17" s="113" t="s">
        <v>16</v>
      </c>
      <c r="G17" s="113"/>
      <c r="H17" s="114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5" t="s">
        <v>17</v>
      </c>
      <c r="C20" s="116"/>
      <c r="D20" s="116"/>
      <c r="E20" s="116"/>
      <c r="F20" s="116"/>
      <c r="G20" s="116"/>
      <c r="H20" s="117"/>
      <c r="I20" s="1"/>
    </row>
    <row r="21" spans="1:16" ht="16.2" thickBot="1" x14ac:dyDescent="0.35">
      <c r="A21" s="1"/>
      <c r="B21" s="94" t="s">
        <v>18</v>
      </c>
      <c r="C21" s="95" t="s">
        <v>19</v>
      </c>
      <c r="D21" s="95" t="s">
        <v>20</v>
      </c>
      <c r="E21" s="95" t="s">
        <v>8</v>
      </c>
      <c r="F21" s="96" t="s">
        <v>21</v>
      </c>
      <c r="G21" s="94" t="s">
        <v>22</v>
      </c>
      <c r="H21" s="96" t="s">
        <v>4</v>
      </c>
      <c r="I21" s="1"/>
    </row>
    <row r="22" spans="1:16" ht="18" customHeight="1" x14ac:dyDescent="0.3">
      <c r="A22" s="1"/>
      <c r="B22" s="97">
        <v>2</v>
      </c>
      <c r="C22" s="98" t="str">
        <f>'[1]2229'!C21</f>
        <v>PR6</v>
      </c>
      <c r="D22" s="99">
        <v>1000</v>
      </c>
      <c r="E22" s="99">
        <v>247</v>
      </c>
      <c r="F22" s="100" t="str">
        <f>'[1]2229'!F21</f>
        <v>BLANCO MT</v>
      </c>
      <c r="G22" s="101">
        <f>'[1]2229'!G21</f>
        <v>48338.031518435411</v>
      </c>
      <c r="H22" s="102">
        <f>G22*B22</f>
        <v>96676.063036870823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3"/>
      <c r="C23" s="103"/>
      <c r="D23" s="103"/>
      <c r="E23" s="103"/>
      <c r="F23" s="104"/>
      <c r="G23" s="105"/>
      <c r="H23" s="105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"/>
      <c r="C24" s="1"/>
      <c r="D24" s="1"/>
      <c r="E24" s="1"/>
      <c r="F24" s="1"/>
      <c r="G24" s="52" t="s">
        <v>5</v>
      </c>
      <c r="H24" s="53">
        <f>SUM(H22:H23)</f>
        <v>96676.063036870823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54" t="s">
        <v>6</v>
      </c>
      <c r="H25" s="55">
        <f>H24*19%</f>
        <v>18368.451977005458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56" t="s">
        <v>4</v>
      </c>
      <c r="H26" s="57">
        <f>H24+H25</f>
        <v>115044.51501387628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10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58" t="s">
        <v>133</v>
      </c>
      <c r="C29" s="59"/>
      <c r="D29" s="60"/>
      <c r="E29" s="60"/>
      <c r="F29" s="51"/>
      <c r="G29" s="1"/>
      <c r="H29" s="1"/>
      <c r="I29" s="1"/>
    </row>
    <row r="30" spans="1:16" ht="15.6" x14ac:dyDescent="0.3">
      <c r="A30" s="1"/>
      <c r="B30" s="58" t="s">
        <v>134</v>
      </c>
      <c r="C30" s="59"/>
      <c r="D30" s="60"/>
      <c r="E30" s="60"/>
      <c r="F30" s="51"/>
      <c r="G30" s="1"/>
      <c r="H30" s="1"/>
      <c r="I30" s="1"/>
    </row>
    <row r="31" spans="1:16" ht="15.6" x14ac:dyDescent="0.3">
      <c r="A31" s="1"/>
      <c r="B31" s="1" t="s">
        <v>23</v>
      </c>
      <c r="C31" s="1"/>
      <c r="D31" s="1"/>
      <c r="E31" s="61" t="s">
        <v>24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7:H17"/>
    <mergeCell ref="B20:H20"/>
  </mergeCells>
  <phoneticPr fontId="10" type="noConversion"/>
  <hyperlinks>
    <hyperlink ref="E31" r:id="rId1" xr:uid="{76D84403-151E-4870-96BD-7B85078148FD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29</v>
      </c>
      <c r="C2" s="118"/>
      <c r="D2" s="118"/>
      <c r="E2" s="18"/>
      <c r="G2" s="118" t="s">
        <v>68</v>
      </c>
      <c r="H2" s="118"/>
      <c r="I2" s="118"/>
      <c r="P2" s="119" t="s">
        <v>56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9" t="s">
        <v>56</v>
      </c>
      <c r="M8" s="119"/>
      <c r="N8" s="119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123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31" zoomScaleNormal="100" workbookViewId="0">
      <selection activeCell="A15" sqref="A15:XFD1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122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4" t="s">
        <v>59</v>
      </c>
      <c r="L3" s="124"/>
      <c r="M3" s="124" t="s">
        <v>13</v>
      </c>
      <c r="N3" s="124"/>
    </row>
    <row r="4" spans="1:14" ht="15.75" customHeight="1" x14ac:dyDescent="0.3">
      <c r="A4" s="1"/>
      <c r="B4" s="1"/>
      <c r="C4" s="39" t="s">
        <v>25</v>
      </c>
      <c r="D4" s="14" t="str">
        <f>'4637'!G8</f>
        <v>7346R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65</v>
      </c>
      <c r="D5" s="112" t="str">
        <f>'[1]NOTA DE VENTA'!$C$10</f>
        <v>REPARACION Y CONSTRUCCION DE MUEBLES DAVID LOPEZ VASQUEZ</v>
      </c>
      <c r="E5" s="41"/>
      <c r="F5" s="41"/>
      <c r="G5" s="1"/>
      <c r="K5">
        <f>LOOKUP(F14,[1]REGLAS!$I$4:$I$37,[1]REGLAS!$G$4:$G$37)+J14</f>
        <v>1050</v>
      </c>
      <c r="L5">
        <f>LOOKUP(F14,[1]REGLAS!$I$4:$I$37,[1]REGLAS!$H$4:$H$37)+K14</f>
        <v>245</v>
      </c>
      <c r="M5">
        <f>LOOKUP(F14,[1]REGLAS!$D$4:$D$37,[1]REGLAS!$B$4:$B$37)+J21</f>
        <v>1040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'[1]NOTA DE VENTA'!$F$10</f>
        <v>FECHA :</v>
      </c>
      <c r="D7" s="107">
        <f>'[1]NOTA DE VENTA'!$G$10</f>
        <v>46000</v>
      </c>
      <c r="E7" s="1"/>
      <c r="F7" s="1"/>
      <c r="G7" s="1"/>
    </row>
    <row r="8" spans="1:14" ht="15.6" x14ac:dyDescent="0.3">
      <c r="A8" s="1"/>
      <c r="B8" s="1"/>
      <c r="C8" s="39" t="s">
        <v>121</v>
      </c>
      <c r="D8" s="108">
        <f>'[1]NOTA DE VENTA'!$G$11</f>
        <v>46007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5" t="s">
        <v>59</v>
      </c>
      <c r="B10" s="125"/>
      <c r="C10" s="125"/>
      <c r="D10" s="125"/>
      <c r="E10" s="125"/>
      <c r="F10" s="12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9" t="s">
        <v>135</v>
      </c>
      <c r="B14" s="25">
        <f t="shared" ref="B14" si="0">I14</f>
        <v>2</v>
      </c>
      <c r="C14" s="25"/>
      <c r="D14" s="25">
        <f>LOOKUP(F14,[1]REGLAS!$I$4:$I$37,[1]REGLAS!$G$4:$G$37)+J14</f>
        <v>1050</v>
      </c>
      <c r="E14" s="35">
        <f>LOOKUP(F14,[1]REGLAS!$I$4:$I$37,[1]REGLAS!$H$4:$H$37)+K14</f>
        <v>245</v>
      </c>
      <c r="F14" s="71" t="str">
        <f>C27</f>
        <v>PR6</v>
      </c>
      <c r="G14" s="1"/>
      <c r="I14" s="3">
        <f>I21</f>
        <v>2</v>
      </c>
      <c r="J14" s="4">
        <f t="shared" ref="J14:K14" si="1">D27</f>
        <v>1000</v>
      </c>
      <c r="K14" s="4">
        <f t="shared" si="1"/>
        <v>247</v>
      </c>
    </row>
    <row r="15" spans="1:14" ht="15.6" x14ac:dyDescent="0.3">
      <c r="A15" s="50"/>
      <c r="B15" s="6"/>
      <c r="C15" s="6"/>
      <c r="D15" s="6"/>
      <c r="E15" s="63"/>
      <c r="F15" s="6"/>
      <c r="G15" s="1"/>
      <c r="I15" s="64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5" t="s">
        <v>13</v>
      </c>
      <c r="B17" s="125"/>
      <c r="C17" s="125"/>
      <c r="D17" s="125"/>
      <c r="E17" s="125"/>
      <c r="F17" s="125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90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09"/>
      <c r="B21" s="16">
        <f t="shared" ref="B21" si="2">I21</f>
        <v>2</v>
      </c>
      <c r="C21" s="16"/>
      <c r="D21" s="16">
        <f>LOOKUP(F14,[1]REGLAS!$D$4:$D$37,[1]REGLAS!$B$4:$B$37)+J21</f>
        <v>1040</v>
      </c>
      <c r="E21" s="16">
        <f>LOOKUP(F14,[1]REGLAS!$D$4:$D$37,[1]REGLAS!$C$4:$C$37)+K21</f>
        <v>337</v>
      </c>
      <c r="F21" s="72" t="str">
        <f>C27</f>
        <v>PR6</v>
      </c>
      <c r="G21" s="1"/>
      <c r="I21" s="3">
        <f>B27</f>
        <v>2</v>
      </c>
      <c r="J21" s="4">
        <f>D27</f>
        <v>1000</v>
      </c>
      <c r="K21" s="4">
        <f>E27</f>
        <v>247</v>
      </c>
    </row>
    <row r="22" spans="1:11" ht="15.6" x14ac:dyDescent="0.3">
      <c r="A22" s="70"/>
      <c r="B22" s="6"/>
      <c r="C22" s="6"/>
      <c r="D22" s="6"/>
      <c r="E22" s="6"/>
      <c r="F22" s="6"/>
      <c r="G22" s="1"/>
      <c r="I22" s="64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62" t="s">
        <v>10</v>
      </c>
      <c r="C26" s="62" t="s">
        <v>108</v>
      </c>
      <c r="D26" s="62" t="s">
        <v>7</v>
      </c>
      <c r="E26" s="62" t="s">
        <v>8</v>
      </c>
      <c r="F26" s="62" t="s">
        <v>21</v>
      </c>
      <c r="G26" s="1"/>
    </row>
    <row r="27" spans="1:11" ht="15.6" x14ac:dyDescent="0.3">
      <c r="A27" s="109" t="s">
        <v>135</v>
      </c>
      <c r="B27" s="25">
        <f>B48</f>
        <v>2</v>
      </c>
      <c r="C27" s="71" t="str">
        <f>C48</f>
        <v>PR6</v>
      </c>
      <c r="D27" s="71">
        <f t="shared" ref="D27:F27" si="3">D48</f>
        <v>1000</v>
      </c>
      <c r="E27" s="71">
        <f t="shared" si="3"/>
        <v>247</v>
      </c>
      <c r="F27" s="71" t="str">
        <f t="shared" si="3"/>
        <v>BLANCO MT</v>
      </c>
      <c r="G27" s="1"/>
    </row>
    <row r="28" spans="1:11" ht="15.6" x14ac:dyDescent="0.3">
      <c r="A28" s="50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25</v>
      </c>
      <c r="D38" s="14" t="str">
        <f>'4637'!G8</f>
        <v>7346R</v>
      </c>
      <c r="E38" s="1"/>
      <c r="F38" s="1"/>
      <c r="G38" s="1"/>
    </row>
    <row r="39" spans="1:7" ht="17.25" customHeight="1" x14ac:dyDescent="0.3">
      <c r="A39" s="1"/>
      <c r="B39" s="1"/>
      <c r="C39" s="40" t="s">
        <v>65</v>
      </c>
      <c r="D39" s="112" t="str">
        <f>'4637'!C10</f>
        <v>REPARACION Y CONSTRUCCION DE MUEBLES DAVID LOPEZ VASQUEZ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'[2]4637'!F11</f>
        <v>FECHA LIMITE :</v>
      </c>
      <c r="D41" s="13" t="str">
        <f>'4637'!G11</f>
        <v>URGENTE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5" t="s">
        <v>66</v>
      </c>
      <c r="B44" s="125"/>
      <c r="C44" s="125"/>
      <c r="D44" s="125"/>
      <c r="E44" s="125"/>
      <c r="F44" s="125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67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109" t="s">
        <v>135</v>
      </c>
      <c r="B48" s="38">
        <f>'4637'!$B$22</f>
        <v>2</v>
      </c>
      <c r="C48" s="110" t="str">
        <f>'[1]NOTA DE VENTA'!C22</f>
        <v>PR6</v>
      </c>
      <c r="D48" s="126">
        <f>'4637'!$D$22</f>
        <v>1000</v>
      </c>
      <c r="E48" s="126">
        <f>'4637'!$E$22</f>
        <v>247</v>
      </c>
      <c r="F48" s="110" t="str">
        <f>'[1]NOTA DE VENTA'!F22</f>
        <v>BLANCO MT</v>
      </c>
      <c r="G48" s="1"/>
    </row>
    <row r="49" spans="1:7" s="15" customFormat="1" ht="15" customHeight="1" x14ac:dyDescent="0.3">
      <c r="A49" s="70"/>
      <c r="B49" s="50"/>
      <c r="C49" s="111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B46:F46"/>
    <mergeCell ref="M3:N3"/>
    <mergeCell ref="A10:F10"/>
    <mergeCell ref="K3:L3"/>
    <mergeCell ref="A17:F17"/>
    <mergeCell ref="A44:F44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2025-12-10T12:27:52Z</cp:lastPrinted>
  <dcterms:created xsi:type="dcterms:W3CDTF">2013-03-19T12:54:14Z</dcterms:created>
  <dcterms:modified xsi:type="dcterms:W3CDTF">2026-01-06T12:32:19Z</dcterms:modified>
</cp:coreProperties>
</file>