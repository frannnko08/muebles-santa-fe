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3BEA7B09-37E9-483A-86F9-2AD6FA5993C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CUBIERTA!$A$36:$F$61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B49" i="3"/>
  <c r="C49" i="3"/>
  <c r="D49" i="3"/>
  <c r="E49" i="3"/>
  <c r="F49" i="3"/>
  <c r="B27" i="3"/>
  <c r="C27" i="3"/>
  <c r="F21" i="3" s="1"/>
  <c r="D27" i="3"/>
  <c r="J14" i="3" s="1"/>
  <c r="D14" i="3" s="1"/>
  <c r="E27" i="3"/>
  <c r="K14" i="3" s="1"/>
  <c r="E14" i="3" s="1"/>
  <c r="F27" i="3"/>
  <c r="H26" i="4" l="1"/>
  <c r="I21" i="3"/>
  <c r="F14" i="3"/>
  <c r="K21" i="3"/>
  <c r="E21" i="3" s="1"/>
  <c r="J21" i="3"/>
  <c r="D21" i="3" s="1"/>
  <c r="B21" i="3" l="1"/>
  <c r="I14" i="3"/>
  <c r="B14" i="3" s="1"/>
  <c r="H27" i="4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<sst xmlns="http://schemas.openxmlformats.org/spreadsheetml/2006/main" count="246" uniqueCount="144">
  <si>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</si>
  <si>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</si>
  <si>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</si>
  <si>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</si>
  <si>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</si>
  <si>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</si>
  <si>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</si>
  <si>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</si>
  <si>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</si>
  <si>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</si>
  <si>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</si>
  <si>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</si>
  <si>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</si>
  <si>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LAMINADO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</si>
  <si>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</si>
  <si>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</si>
  <si>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</si>
  <si>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</si>
  <si>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</si>
  <si>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</si>
  <si>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</si>
  <si>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</si>
  <si>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</si>
  <si>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</si>
  <si>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</si>
  <si>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</si>
  <si>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</si>
  <si>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</si>
  <si>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</si>
  <si>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</si>
  <si>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</si>
  <si>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</si>
  <si>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</si>
  <si>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</si>
  <si>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</si>
  <si>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</si>
  <si>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</si>
  <si>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</si>
  <si>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</si>
  <si>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</si>
  <si>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</si>
  <si>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</si>
  <si>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</si>
  <si>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</si>
  <si>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</si>
  <si>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</si>
  <si>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</si>
  <si>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</si>
  <si>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</si>
  <si>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</si>
  <si>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</si>
  <si>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</si>
  <si>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</si>
  <si>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</si>
  <si>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</si>
  <si>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</si>
  <si>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</si>
  <si>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</si>
  <si>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</si>
  <si>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</si>
  <si>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</si>
  <si>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</si>
  <si>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</si>
  <si>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</si>
  <si>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</si>
  <si>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</si>
  <si>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</si>
  <si>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</si>
  <si>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</si>
  <si>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</si>
  <si>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</si>
  <si>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</si>
  <si>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</si>
  <si>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</si>
  <si>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</si>
  <si>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</si>
  <si>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</si>
  <si>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</si>
  <si>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</si>
  <si>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</si>
  <si>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</si>
  <si>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</si>
  <si>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</si>
  <si>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</si>
  <si>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</si>
  <si>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</si>
  <si>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</si>
  <si>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</si>
  <si>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</si>
  <si>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</si>
  <si>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</si>
  <si>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</si>
  <si>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</si>
  <si>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</si>
  <si>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</si>
  <si>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</si>
  <si>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</si>
  <si>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</si>
  <si>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</si>
  <si>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</si>
  <si>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</si>
  <si>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</si>
  <si>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</si>
  <si>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</si>
  <si>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</si>
  <si>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</si>
  <si>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</si>
  <si>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</si>
  <si>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</si>
  <si>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</si>
  <si>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</si>
  <si>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</si>
  <si>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</si>
  <si>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</si>
  <si>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</si>
  <si>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</si>
  <si>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</si>
  <si>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</si>
  <si>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</si>
  <si>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</si>
  <si>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</si>
  <si>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</si>
  <si>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</si>
  <si>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</si>
  <si>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</si>
  <si>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</si>
  <si>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</si>
  <si>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</si>
  <si>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</si>
  <si>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</si>
  <si>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</si>
  <si>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</si>
  <si>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</si>
  <si>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MDF 18MM</t>
  </si>
  <si>
    <t xml:space="preserve"> MDF 18MM</t>
  </si>
  <si>
    <t>MDF18MM</t>
  </si>
  <si>
    <t>CELULAR: 963868755</t>
  </si>
  <si>
    <t>E-MAIL: fdonoso@topmobili.cl</t>
  </si>
  <si>
    <t>CUB C/R R8</t>
  </si>
  <si>
    <t>N°11768</t>
  </si>
  <si>
    <t>FMR MAKING SPA</t>
  </si>
  <si>
    <t>USBEE CASTAÑEDA</t>
  </si>
  <si>
    <t>+569 2062 2586</t>
  </si>
  <si>
    <t>LATE 2167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</si>
</sst>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42" fontId="15" fillId="0" borderId="2" xfId="3" applyFont="1" applyBorder="1" applyAlignment="1">
      <alignment horizontal="center" vertical="center"/>
    </xf>
    <xf numFmtId="0" fontId="18" fillId="0" borderId="0" xfId="0" applyFont="1" applyAlignment="1">
      <alignment horizontal="right"/>
    </xf>
    <xf numFmtId="0" fontId="19" fillId="3" borderId="0" xfId="0" applyFont="1" applyFill="1"/>
    <xf numFmtId="0" fontId="20" fillId="0" borderId="9" xfId="2" applyFont="1" applyFill="1" applyBorder="1" applyAlignment="1">
      <alignment horizontal="left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21" fillId="0" borderId="0" xfId="2" quotePrefix="1" applyFont="1" applyFill="1" applyBorder="1" applyAlignment="1">
      <alignment horizontal="left"/>
    </xf>
    <xf numFmtId="0" fontId="22" fillId="0" borderId="32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PAGADA</a:t>
          </a:r>
          <a:r>
            <a:rPr lang="es-CL" sz="900" b="1" i="1" baseline="0"/>
            <a:t> $ 125.127.-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255145</xdr:colOff>
      <xdr:row>5</xdr:row>
      <xdr:rowOff>96726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D7F71C-B16E-4500-8672-2ED5BDA37B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5</xdr:row>
      <xdr:rowOff>121991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31A79D0-A8A0-4EE1-98BB-DB32DCDF68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0640" y="42672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194310</xdr:rowOff>
    </xdr:from>
    <xdr:to>
      <xdr:col>2</xdr:col>
      <xdr:colOff>100723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9" workbookViewId="0">
      <selection activeCell="M30" sqref="M3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117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118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119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136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137</v>
      </c>
      <c r="G7" s="1"/>
      <c r="H7" s="1"/>
      <c r="I7" s="1"/>
    </row>
    <row r="8" spans="1:17" ht="16.2" thickBot="1" x14ac:dyDescent="0.35">
      <c r="A8" s="1"/>
      <c r="B8" s="91" t="s">
        <v>14</v>
      </c>
      <c r="C8" s="92"/>
      <c r="D8" s="93" t="s">
        <v>139</v>
      </c>
      <c r="E8" s="1"/>
      <c r="F8" s="94" t="s">
        <v>25</v>
      </c>
      <c r="G8" s="95">
        <v>7332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128</v>
      </c>
      <c r="C10" s="86" t="s">
        <v>140</v>
      </c>
      <c r="D10" s="55"/>
      <c r="E10" s="55"/>
      <c r="F10" s="56" t="s">
        <v>26</v>
      </c>
      <c r="G10" s="57">
        <v>45989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122</v>
      </c>
      <c r="G11" s="61">
        <v>45996</v>
      </c>
      <c r="H11" s="62"/>
      <c r="I11" s="1"/>
    </row>
    <row r="12" spans="1:17" ht="15.6" x14ac:dyDescent="0.3">
      <c r="A12" s="1"/>
      <c r="B12" s="63" t="s">
        <v>130</v>
      </c>
      <c r="D12" s="43"/>
      <c r="E12" s="43"/>
      <c r="F12" s="43" t="s">
        <v>28</v>
      </c>
      <c r="G12" s="64"/>
      <c r="H12" s="65"/>
      <c r="I12" s="1"/>
    </row>
    <row r="13" spans="1:17" ht="15.6" x14ac:dyDescent="0.3">
      <c r="A13" s="1"/>
      <c r="B13" s="63" t="s">
        <v>132</v>
      </c>
      <c r="C13" t="s">
        <v>141</v>
      </c>
      <c r="D13" s="43"/>
      <c r="E13" s="43"/>
      <c r="F13" s="43" t="s">
        <v>127</v>
      </c>
      <c r="G13" s="64" t="s">
        <v>129</v>
      </c>
      <c r="H13" s="65"/>
      <c r="I13" s="1"/>
    </row>
    <row r="14" spans="1:17" ht="15.6" x14ac:dyDescent="0.3">
      <c r="A14" s="1"/>
      <c r="B14" s="59" t="s">
        <v>15</v>
      </c>
      <c r="C14" s="113" t="s">
        <v>142</v>
      </c>
      <c r="D14" s="66"/>
      <c r="E14" s="60"/>
      <c r="F14" s="60" t="s">
        <v>27</v>
      </c>
      <c r="G14" s="60"/>
      <c r="H14" s="62"/>
      <c r="I14" s="1"/>
    </row>
    <row r="15" spans="1:17" ht="16.8" x14ac:dyDescent="0.4">
      <c r="A15" s="1"/>
      <c r="B15" s="63" t="s">
        <v>1</v>
      </c>
      <c r="C15" s="107"/>
      <c r="D15" s="43"/>
      <c r="E15" s="43"/>
      <c r="F15" s="67" t="s">
        <v>73</v>
      </c>
      <c r="G15" s="67" t="s">
        <v>125</v>
      </c>
      <c r="H15" s="65"/>
      <c r="I15" s="1"/>
    </row>
    <row r="16" spans="1:17" ht="16.2" thickBot="1" x14ac:dyDescent="0.35">
      <c r="A16" s="1"/>
      <c r="B16" s="68" t="s">
        <v>3</v>
      </c>
      <c r="C16" s="108" t="s">
        <v>131</v>
      </c>
      <c r="D16" s="69"/>
      <c r="E16" s="70"/>
      <c r="F16" s="115" t="s">
        <v>16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17</v>
      </c>
      <c r="C19" s="118"/>
      <c r="D19" s="118"/>
      <c r="E19" s="118"/>
      <c r="F19" s="118"/>
      <c r="G19" s="118"/>
      <c r="H19" s="119"/>
      <c r="I19" s="1"/>
    </row>
    <row r="20" spans="1:16" ht="16.2" thickBot="1" x14ac:dyDescent="0.35">
      <c r="A20" s="1"/>
      <c r="B20" s="71" t="s">
        <v>18</v>
      </c>
      <c r="C20" s="72" t="s">
        <v>19</v>
      </c>
      <c r="D20" s="72" t="s">
        <v>20</v>
      </c>
      <c r="E20" s="72" t="s">
        <v>8</v>
      </c>
      <c r="F20" s="73" t="s">
        <v>21</v>
      </c>
      <c r="G20" s="71" t="s">
        <v>22</v>
      </c>
      <c r="H20" s="73" t="s">
        <v>4</v>
      </c>
      <c r="I20" s="1"/>
    </row>
    <row r="21" spans="1:16" ht="18" customHeight="1" x14ac:dyDescent="0.3">
      <c r="A21" s="1"/>
      <c r="B21" s="109">
        <v>1</v>
      </c>
      <c r="C21" s="110" t="s">
        <v>138</v>
      </c>
      <c r="D21" s="112">
        <v>1800</v>
      </c>
      <c r="E21" s="112">
        <v>500</v>
      </c>
      <c r="F21" s="114" t="s">
        <v>143</v>
      </c>
      <c r="G21" s="111">
        <v>105149</v>
      </c>
      <c r="H21" s="105">
        <f>G21*B21</f>
        <v>105149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7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105149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19978.310000000001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125127.31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121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120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23</v>
      </c>
      <c r="C32" s="1"/>
      <c r="D32" s="1"/>
      <c r="E32" s="85" t="s">
        <v>24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29</v>
      </c>
      <c r="C2" s="120"/>
      <c r="D2" s="120"/>
      <c r="E2" s="18"/>
      <c r="G2" s="120" t="s">
        <v>68</v>
      </c>
      <c r="H2" s="120"/>
      <c r="I2" s="120"/>
      <c r="P2" s="121" t="s">
        <v>56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19</v>
      </c>
      <c r="E3" s="19"/>
      <c r="G3" s="11" t="s">
        <v>7</v>
      </c>
      <c r="H3" s="11" t="s">
        <v>8</v>
      </c>
      <c r="I3" s="11" t="s">
        <v>19</v>
      </c>
      <c r="P3" s="11" t="s">
        <v>7</v>
      </c>
      <c r="Q3" s="11" t="s">
        <v>8</v>
      </c>
      <c r="R3" s="11" t="s">
        <v>19</v>
      </c>
    </row>
    <row r="4" spans="2:18" x14ac:dyDescent="0.3">
      <c r="B4" s="9">
        <v>40</v>
      </c>
      <c r="C4" s="9">
        <v>60</v>
      </c>
      <c r="D4" s="10" t="s">
        <v>111</v>
      </c>
      <c r="E4" s="8" t="s">
        <v>99</v>
      </c>
      <c r="G4" s="29">
        <v>50</v>
      </c>
      <c r="H4" s="29">
        <v>100</v>
      </c>
      <c r="I4" s="30" t="s">
        <v>111</v>
      </c>
      <c r="J4" s="31" t="s">
        <v>107</v>
      </c>
      <c r="K4" s="31"/>
      <c r="L4" s="31"/>
      <c r="M4" s="31"/>
      <c r="P4">
        <v>50</v>
      </c>
      <c r="Q4">
        <v>-30</v>
      </c>
      <c r="R4" t="s">
        <v>30</v>
      </c>
    </row>
    <row r="5" spans="2:18" x14ac:dyDescent="0.3">
      <c r="B5" s="9">
        <v>40</v>
      </c>
      <c r="C5" s="9">
        <v>90</v>
      </c>
      <c r="D5" s="10" t="s">
        <v>112</v>
      </c>
      <c r="E5" s="8" t="s">
        <v>100</v>
      </c>
      <c r="G5" s="29">
        <v>50</v>
      </c>
      <c r="H5" s="29"/>
      <c r="I5" s="30" t="s">
        <v>113</v>
      </c>
      <c r="J5" s="31" t="s">
        <v>115</v>
      </c>
      <c r="K5" s="31"/>
      <c r="L5" s="31"/>
      <c r="M5" s="31"/>
      <c r="P5">
        <v>50</v>
      </c>
      <c r="Q5">
        <v>-30</v>
      </c>
      <c r="R5" t="s">
        <v>30</v>
      </c>
    </row>
    <row r="6" spans="2:18" x14ac:dyDescent="0.3">
      <c r="B6" s="9">
        <v>40</v>
      </c>
      <c r="C6" s="9">
        <v>100</v>
      </c>
      <c r="D6" s="10" t="s">
        <v>54</v>
      </c>
      <c r="E6" s="8" t="s">
        <v>101</v>
      </c>
      <c r="G6" s="9">
        <v>50</v>
      </c>
      <c r="H6" s="9">
        <v>100</v>
      </c>
      <c r="I6" s="10" t="s">
        <v>54</v>
      </c>
      <c r="P6">
        <v>50</v>
      </c>
      <c r="Q6">
        <v>-30</v>
      </c>
      <c r="R6" t="s">
        <v>32</v>
      </c>
    </row>
    <row r="7" spans="2:18" x14ac:dyDescent="0.3">
      <c r="B7" s="9">
        <v>40</v>
      </c>
      <c r="C7" s="9">
        <v>150</v>
      </c>
      <c r="D7" s="10" t="s">
        <v>55</v>
      </c>
      <c r="E7" s="8" t="s">
        <v>102</v>
      </c>
      <c r="G7" s="9">
        <v>50</v>
      </c>
      <c r="H7" s="9"/>
      <c r="I7" s="10" t="s">
        <v>55</v>
      </c>
      <c r="P7">
        <v>50</v>
      </c>
      <c r="Q7">
        <v>-30</v>
      </c>
      <c r="R7" t="s">
        <v>42</v>
      </c>
    </row>
    <row r="8" spans="2:18" x14ac:dyDescent="0.3">
      <c r="B8" s="9">
        <v>40</v>
      </c>
      <c r="C8" s="9">
        <v>100</v>
      </c>
      <c r="D8" s="10" t="s">
        <v>38</v>
      </c>
      <c r="E8" s="8" t="s">
        <v>103</v>
      </c>
      <c r="G8" s="9">
        <v>50</v>
      </c>
      <c r="H8" s="9">
        <v>100</v>
      </c>
      <c r="I8" s="10" t="s">
        <v>38</v>
      </c>
      <c r="L8" s="121" t="s">
        <v>56</v>
      </c>
      <c r="M8" s="121"/>
      <c r="N8" s="121"/>
      <c r="P8">
        <v>50</v>
      </c>
      <c r="Q8">
        <v>-30</v>
      </c>
      <c r="R8" t="s">
        <v>48</v>
      </c>
    </row>
    <row r="9" spans="2:18" x14ac:dyDescent="0.3">
      <c r="B9" s="9">
        <v>40</v>
      </c>
      <c r="C9" s="9">
        <v>50</v>
      </c>
      <c r="D9" s="10" t="s">
        <v>52</v>
      </c>
      <c r="E9" s="8" t="s">
        <v>74</v>
      </c>
      <c r="G9" s="9">
        <v>50</v>
      </c>
      <c r="H9" s="9">
        <v>100</v>
      </c>
      <c r="I9" s="10" t="s">
        <v>37</v>
      </c>
      <c r="L9" s="11" t="s">
        <v>7</v>
      </c>
      <c r="M9" s="11" t="s">
        <v>8</v>
      </c>
      <c r="N9" s="11" t="s">
        <v>19</v>
      </c>
      <c r="P9">
        <v>50</v>
      </c>
      <c r="Q9">
        <v>0</v>
      </c>
      <c r="R9" t="s">
        <v>43</v>
      </c>
    </row>
    <row r="10" spans="2:18" x14ac:dyDescent="0.3">
      <c r="B10" s="9">
        <v>40</v>
      </c>
      <c r="C10" s="9">
        <v>80</v>
      </c>
      <c r="D10" s="10" t="s">
        <v>53</v>
      </c>
      <c r="E10" s="8" t="s">
        <v>75</v>
      </c>
      <c r="G10" s="9">
        <v>50</v>
      </c>
      <c r="H10" s="9"/>
      <c r="I10" s="10" t="s">
        <v>39</v>
      </c>
      <c r="L10" s="9">
        <v>50</v>
      </c>
      <c r="M10" s="9">
        <v>-30</v>
      </c>
      <c r="N10" s="10" t="s">
        <v>30</v>
      </c>
      <c r="P10">
        <v>50</v>
      </c>
      <c r="Q10">
        <v>0</v>
      </c>
      <c r="R10" t="s">
        <v>31</v>
      </c>
    </row>
    <row r="11" spans="2:18" x14ac:dyDescent="0.3">
      <c r="B11" s="9">
        <v>40</v>
      </c>
      <c r="C11" s="9">
        <v>60</v>
      </c>
      <c r="D11" s="10" t="s">
        <v>69</v>
      </c>
      <c r="E11" s="8" t="s">
        <v>76</v>
      </c>
      <c r="G11" s="9">
        <v>50</v>
      </c>
      <c r="H11" s="9">
        <v>100</v>
      </c>
      <c r="I11" s="10" t="s">
        <v>52</v>
      </c>
      <c r="L11" s="9">
        <v>50</v>
      </c>
      <c r="M11" s="9">
        <v>0</v>
      </c>
      <c r="N11" s="10" t="s">
        <v>57</v>
      </c>
      <c r="P11">
        <v>50</v>
      </c>
      <c r="Q11">
        <v>0</v>
      </c>
      <c r="R11" t="s">
        <v>34</v>
      </c>
    </row>
    <row r="12" spans="2:18" x14ac:dyDescent="0.3">
      <c r="B12" s="9">
        <v>40</v>
      </c>
      <c r="C12" s="9">
        <v>100</v>
      </c>
      <c r="D12" s="10" t="s">
        <v>70</v>
      </c>
      <c r="E12" s="8" t="s">
        <v>77</v>
      </c>
      <c r="G12" s="9">
        <v>50</v>
      </c>
      <c r="H12" s="9"/>
      <c r="I12" s="10" t="s">
        <v>53</v>
      </c>
      <c r="L12" s="9">
        <v>50</v>
      </c>
      <c r="M12" s="9">
        <v>-2</v>
      </c>
      <c r="N12" s="10" t="s">
        <v>58</v>
      </c>
      <c r="P12">
        <v>50</v>
      </c>
      <c r="Q12">
        <v>0</v>
      </c>
      <c r="R12" t="s">
        <v>35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78</v>
      </c>
      <c r="G13" s="9">
        <v>50</v>
      </c>
      <c r="H13" s="9">
        <v>-30</v>
      </c>
      <c r="I13" s="10" t="s">
        <v>30</v>
      </c>
      <c r="P13">
        <v>50</v>
      </c>
      <c r="Q13">
        <v>0</v>
      </c>
      <c r="R13" t="s">
        <v>36</v>
      </c>
    </row>
    <row r="14" spans="2:18" x14ac:dyDescent="0.3">
      <c r="B14" s="9">
        <v>40</v>
      </c>
      <c r="C14" s="9">
        <v>150</v>
      </c>
      <c r="D14" s="10" t="s">
        <v>32</v>
      </c>
      <c r="E14" s="8"/>
      <c r="G14" s="9">
        <v>50</v>
      </c>
      <c r="H14" s="9">
        <v>-30</v>
      </c>
      <c r="I14" s="10" t="s">
        <v>32</v>
      </c>
    </row>
    <row r="15" spans="2:18" x14ac:dyDescent="0.3">
      <c r="B15" s="9">
        <v>40</v>
      </c>
      <c r="C15" s="9">
        <v>150</v>
      </c>
      <c r="D15" s="10" t="s">
        <v>114</v>
      </c>
      <c r="E15" s="8" t="s">
        <v>79</v>
      </c>
      <c r="G15" s="9">
        <v>50</v>
      </c>
      <c r="H15" s="9">
        <v>-30</v>
      </c>
      <c r="I15" s="10" t="s">
        <v>42</v>
      </c>
      <c r="P15">
        <v>50</v>
      </c>
      <c r="Q15">
        <v>0</v>
      </c>
      <c r="R15" t="s">
        <v>33</v>
      </c>
    </row>
    <row r="16" spans="2:18" x14ac:dyDescent="0.3">
      <c r="B16" s="9">
        <v>40</v>
      </c>
      <c r="C16" s="9">
        <v>130</v>
      </c>
      <c r="D16" s="10" t="s">
        <v>104</v>
      </c>
      <c r="E16" s="8" t="s">
        <v>80</v>
      </c>
      <c r="G16" s="9">
        <v>50</v>
      </c>
      <c r="H16" s="9">
        <v>-30</v>
      </c>
      <c r="I16" s="10" t="s">
        <v>72</v>
      </c>
      <c r="P16">
        <v>50</v>
      </c>
      <c r="Q16">
        <v>0</v>
      </c>
      <c r="R16" t="s">
        <v>44</v>
      </c>
    </row>
    <row r="17" spans="2:18" x14ac:dyDescent="0.3">
      <c r="B17" s="9">
        <v>40</v>
      </c>
      <c r="C17" s="9">
        <v>150</v>
      </c>
      <c r="D17" s="10" t="s">
        <v>34</v>
      </c>
      <c r="E17" s="8" t="s">
        <v>81</v>
      </c>
      <c r="G17" s="9">
        <v>50</v>
      </c>
      <c r="H17" s="9"/>
      <c r="I17" s="10" t="s">
        <v>34</v>
      </c>
      <c r="P17">
        <v>50</v>
      </c>
      <c r="Q17">
        <v>0</v>
      </c>
      <c r="R17" t="s">
        <v>45</v>
      </c>
    </row>
    <row r="18" spans="2:18" x14ac:dyDescent="0.3">
      <c r="B18" s="9">
        <v>140</v>
      </c>
      <c r="C18" s="9">
        <v>150</v>
      </c>
      <c r="D18" s="10" t="s">
        <v>35</v>
      </c>
      <c r="E18" s="8" t="s">
        <v>82</v>
      </c>
      <c r="G18" s="9">
        <v>50</v>
      </c>
      <c r="H18" s="9"/>
      <c r="I18" s="10" t="s">
        <v>35</v>
      </c>
      <c r="P18">
        <v>50</v>
      </c>
      <c r="Q18">
        <v>0</v>
      </c>
      <c r="R18" t="s">
        <v>46</v>
      </c>
    </row>
    <row r="19" spans="2:18" x14ac:dyDescent="0.3">
      <c r="B19" s="9">
        <v>150</v>
      </c>
      <c r="C19" s="9">
        <v>150</v>
      </c>
      <c r="D19" s="10" t="s">
        <v>36</v>
      </c>
      <c r="E19" s="8" t="s">
        <v>83</v>
      </c>
      <c r="G19" s="9">
        <v>50</v>
      </c>
      <c r="H19" s="9"/>
      <c r="I19" s="10" t="s">
        <v>36</v>
      </c>
      <c r="P19">
        <v>50</v>
      </c>
      <c r="Q19">
        <v>0</v>
      </c>
      <c r="R19" t="s">
        <v>49</v>
      </c>
    </row>
    <row r="20" spans="2:18" x14ac:dyDescent="0.3">
      <c r="B20" s="9">
        <v>40</v>
      </c>
      <c r="C20" s="9">
        <v>100</v>
      </c>
      <c r="D20" s="10" t="s">
        <v>116</v>
      </c>
      <c r="E20" s="8" t="s">
        <v>84</v>
      </c>
      <c r="G20" s="9">
        <v>50</v>
      </c>
      <c r="H20" s="9">
        <v>0</v>
      </c>
      <c r="I20" s="10" t="s">
        <v>116</v>
      </c>
      <c r="J20" s="31" t="s">
        <v>109</v>
      </c>
      <c r="K20" s="31"/>
      <c r="L20" s="31"/>
      <c r="M20" s="31"/>
      <c r="P20">
        <v>50</v>
      </c>
      <c r="Q20">
        <v>0</v>
      </c>
      <c r="R20" t="s">
        <v>50</v>
      </c>
    </row>
    <row r="21" spans="2:18" x14ac:dyDescent="0.3">
      <c r="B21" s="9">
        <v>100</v>
      </c>
      <c r="C21" s="9">
        <v>100</v>
      </c>
      <c r="D21" s="10" t="s">
        <v>110</v>
      </c>
      <c r="E21" s="8" t="s">
        <v>85</v>
      </c>
      <c r="G21" s="9">
        <v>50</v>
      </c>
      <c r="H21" s="9">
        <v>0</v>
      </c>
      <c r="I21" s="10" t="s">
        <v>110</v>
      </c>
      <c r="P21">
        <v>50</v>
      </c>
      <c r="Q21">
        <v>0</v>
      </c>
      <c r="R21" t="s">
        <v>51</v>
      </c>
    </row>
    <row r="22" spans="2:18" x14ac:dyDescent="0.3">
      <c r="B22" s="9">
        <v>100</v>
      </c>
      <c r="C22" s="9">
        <v>100</v>
      </c>
      <c r="D22" s="10" t="s">
        <v>33</v>
      </c>
      <c r="E22" s="8" t="s">
        <v>86</v>
      </c>
      <c r="G22" s="29"/>
      <c r="H22" s="29"/>
      <c r="I22" s="30" t="s">
        <v>33</v>
      </c>
      <c r="P22">
        <v>50</v>
      </c>
      <c r="Q22">
        <v>0</v>
      </c>
      <c r="R22" t="s">
        <v>47</v>
      </c>
    </row>
    <row r="23" spans="2:18" x14ac:dyDescent="0.3">
      <c r="B23" s="9">
        <v>40</v>
      </c>
      <c r="C23" s="9">
        <v>150</v>
      </c>
      <c r="D23" s="10" t="s">
        <v>44</v>
      </c>
      <c r="E23" s="8" t="s">
        <v>87</v>
      </c>
      <c r="G23" s="9">
        <v>50</v>
      </c>
      <c r="H23" s="9"/>
      <c r="I23" s="10" t="s">
        <v>44</v>
      </c>
      <c r="R23" t="s">
        <v>40</v>
      </c>
    </row>
    <row r="24" spans="2:18" x14ac:dyDescent="0.3">
      <c r="B24" s="9">
        <v>140</v>
      </c>
      <c r="C24" s="9">
        <v>150</v>
      </c>
      <c r="D24" s="10" t="s">
        <v>45</v>
      </c>
      <c r="E24" s="8" t="s">
        <v>88</v>
      </c>
      <c r="G24" s="9">
        <v>50</v>
      </c>
      <c r="H24" s="9"/>
      <c r="I24" s="10" t="s">
        <v>45</v>
      </c>
      <c r="R24" t="s">
        <v>41</v>
      </c>
    </row>
    <row r="25" spans="2:18" x14ac:dyDescent="0.3">
      <c r="B25" s="9">
        <v>150</v>
      </c>
      <c r="C25" s="9">
        <v>150</v>
      </c>
      <c r="D25" s="10" t="s">
        <v>46</v>
      </c>
      <c r="E25" s="8" t="s">
        <v>89</v>
      </c>
      <c r="G25" s="9">
        <v>50</v>
      </c>
      <c r="H25" s="9"/>
      <c r="I25" s="10" t="s">
        <v>46</v>
      </c>
      <c r="R25" t="s">
        <v>54</v>
      </c>
    </row>
    <row r="26" spans="2:18" x14ac:dyDescent="0.3">
      <c r="B26" s="9">
        <v>40</v>
      </c>
      <c r="C26" s="9">
        <v>77</v>
      </c>
      <c r="D26" s="10" t="s">
        <v>49</v>
      </c>
      <c r="E26" s="8" t="s">
        <v>90</v>
      </c>
      <c r="G26" s="9">
        <v>50</v>
      </c>
      <c r="H26" s="9"/>
      <c r="I26" s="10" t="s">
        <v>49</v>
      </c>
      <c r="R26" t="s">
        <v>55</v>
      </c>
    </row>
    <row r="27" spans="2:18" x14ac:dyDescent="0.3">
      <c r="B27" s="9">
        <v>110</v>
      </c>
      <c r="C27" s="9">
        <v>77</v>
      </c>
      <c r="D27" s="10" t="s">
        <v>50</v>
      </c>
      <c r="E27" s="8" t="s">
        <v>91</v>
      </c>
      <c r="G27" s="9">
        <v>50</v>
      </c>
      <c r="H27" s="9"/>
      <c r="I27" s="10" t="s">
        <v>50</v>
      </c>
      <c r="R27" t="s">
        <v>38</v>
      </c>
    </row>
    <row r="28" spans="2:18" x14ac:dyDescent="0.3">
      <c r="B28" s="9">
        <v>120</v>
      </c>
      <c r="C28" s="9">
        <v>77</v>
      </c>
      <c r="D28" s="10" t="s">
        <v>51</v>
      </c>
      <c r="E28" s="8" t="s">
        <v>92</v>
      </c>
      <c r="G28" s="9">
        <v>50</v>
      </c>
      <c r="H28" s="9"/>
      <c r="I28" s="10" t="s">
        <v>51</v>
      </c>
      <c r="R28" t="s">
        <v>37</v>
      </c>
    </row>
    <row r="29" spans="2:18" x14ac:dyDescent="0.3">
      <c r="B29" s="9">
        <v>40</v>
      </c>
      <c r="C29" s="9">
        <v>50</v>
      </c>
      <c r="D29" s="10" t="s">
        <v>47</v>
      </c>
      <c r="E29" s="8" t="s">
        <v>93</v>
      </c>
      <c r="G29" s="9">
        <v>50</v>
      </c>
      <c r="H29" s="9"/>
      <c r="I29" s="10" t="s">
        <v>47</v>
      </c>
      <c r="R29" t="s">
        <v>39</v>
      </c>
    </row>
    <row r="30" spans="2:18" x14ac:dyDescent="0.3">
      <c r="B30" s="9">
        <v>40</v>
      </c>
      <c r="C30" s="9">
        <v>60</v>
      </c>
      <c r="D30" s="10" t="s">
        <v>71</v>
      </c>
      <c r="E30" s="8" t="s">
        <v>94</v>
      </c>
      <c r="G30" s="9">
        <v>50</v>
      </c>
      <c r="H30" s="9"/>
      <c r="I30" s="10" t="s">
        <v>31</v>
      </c>
      <c r="R30" t="s">
        <v>52</v>
      </c>
    </row>
    <row r="31" spans="2:18" x14ac:dyDescent="0.3">
      <c r="B31" s="9">
        <v>40</v>
      </c>
      <c r="C31" s="9">
        <v>100</v>
      </c>
      <c r="D31" s="10" t="s">
        <v>43</v>
      </c>
      <c r="E31" s="8" t="s">
        <v>95</v>
      </c>
      <c r="G31" s="9">
        <v>50</v>
      </c>
      <c r="H31" s="9"/>
      <c r="I31" s="10" t="s">
        <v>43</v>
      </c>
      <c r="R31" t="s">
        <v>53</v>
      </c>
    </row>
    <row r="32" spans="2:18" x14ac:dyDescent="0.3">
      <c r="B32" s="9">
        <v>40</v>
      </c>
      <c r="C32" s="9">
        <v>60</v>
      </c>
      <c r="D32" s="10" t="s">
        <v>106</v>
      </c>
      <c r="E32" s="8" t="s">
        <v>96</v>
      </c>
      <c r="G32" s="9">
        <v>50</v>
      </c>
      <c r="H32" s="9"/>
      <c r="I32" s="10" t="s">
        <v>106</v>
      </c>
      <c r="R32" t="s">
        <v>60</v>
      </c>
    </row>
    <row r="33" spans="2:18" x14ac:dyDescent="0.3">
      <c r="B33" s="9">
        <v>40</v>
      </c>
      <c r="C33" s="9">
        <v>90</v>
      </c>
      <c r="D33" s="10" t="s">
        <v>63</v>
      </c>
      <c r="E33" s="8" t="s">
        <v>97</v>
      </c>
      <c r="G33" s="9">
        <v>50</v>
      </c>
      <c r="H33" s="9">
        <v>-2</v>
      </c>
      <c r="I33" s="10" t="s">
        <v>63</v>
      </c>
      <c r="R33" t="s">
        <v>61</v>
      </c>
    </row>
    <row r="34" spans="2:18" x14ac:dyDescent="0.3">
      <c r="B34" s="9">
        <v>40</v>
      </c>
      <c r="C34" s="9">
        <v>90</v>
      </c>
      <c r="D34" s="10" t="s">
        <v>64</v>
      </c>
      <c r="E34" s="8"/>
      <c r="G34" s="9">
        <v>50</v>
      </c>
      <c r="H34" s="9">
        <v>-2</v>
      </c>
      <c r="I34" s="10" t="s">
        <v>64</v>
      </c>
    </row>
    <row r="35" spans="2:18" x14ac:dyDescent="0.3">
      <c r="B35" s="9">
        <v>40</v>
      </c>
      <c r="C35" s="9">
        <v>90</v>
      </c>
      <c r="D35" s="10" t="s">
        <v>60</v>
      </c>
      <c r="E35" s="8" t="s">
        <v>98</v>
      </c>
      <c r="G35" s="9">
        <v>50</v>
      </c>
      <c r="H35" s="9">
        <v>-2</v>
      </c>
      <c r="I35" s="10" t="s">
        <v>60</v>
      </c>
      <c r="R35" t="s">
        <v>62</v>
      </c>
    </row>
    <row r="36" spans="2:18" x14ac:dyDescent="0.3">
      <c r="B36" s="27">
        <v>40</v>
      </c>
      <c r="C36" s="27">
        <v>90</v>
      </c>
      <c r="D36" s="28" t="s">
        <v>61</v>
      </c>
      <c r="G36" s="9">
        <v>50</v>
      </c>
      <c r="H36" s="9">
        <v>-2</v>
      </c>
      <c r="I36" s="10" t="s">
        <v>61</v>
      </c>
      <c r="R36" t="s">
        <v>63</v>
      </c>
    </row>
    <row r="37" spans="2:18" x14ac:dyDescent="0.3">
      <c r="B37" s="27">
        <v>40</v>
      </c>
      <c r="C37" s="27">
        <v>90</v>
      </c>
      <c r="D37" s="28" t="s">
        <v>62</v>
      </c>
      <c r="G37" s="9">
        <v>50</v>
      </c>
      <c r="H37" s="9">
        <v>-2</v>
      </c>
      <c r="I37" s="10" t="s">
        <v>62</v>
      </c>
      <c r="R37" t="s">
        <v>64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24" zoomScaleNormal="100" workbookViewId="0">
      <selection activeCell="A36" sqref="A36:F6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59</v>
      </c>
      <c r="L3" s="122"/>
      <c r="M3" s="122" t="s">
        <v>13</v>
      </c>
      <c r="N3" s="122"/>
    </row>
    <row r="4" spans="1:14" ht="15.75" customHeight="1" x14ac:dyDescent="0.3">
      <c r="A4" s="1"/>
      <c r="B4" s="1"/>
      <c r="C4" s="40" t="s">
        <v>25</v>
      </c>
      <c r="D4" s="14">
        <f>'4637'!G8</f>
        <v>7332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65</v>
      </c>
      <c r="D5" s="42" t="str">
        <f>'4637'!C10</f>
        <v>FMR MAKING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45996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59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108</v>
      </c>
      <c r="G13" s="1"/>
      <c r="J13" s="5" t="s">
        <v>7</v>
      </c>
      <c r="K13" s="5" t="s">
        <v>8</v>
      </c>
    </row>
    <row r="14" spans="1:14" ht="15.6" x14ac:dyDescent="0.3">
      <c r="A14" s="106" t="s">
        <v>133</v>
      </c>
      <c r="B14" s="25">
        <f t="shared" ref="B14" si="0">I14</f>
        <v>1</v>
      </c>
      <c r="C14" s="25"/>
      <c r="D14" s="25">
        <f>J14+D$13</f>
        <v>1880</v>
      </c>
      <c r="E14" s="35">
        <f>K14+E$13</f>
        <v>470</v>
      </c>
      <c r="F14" s="103" t="str">
        <f>C27</f>
        <v>CUB C/R R8</v>
      </c>
      <c r="G14" s="1"/>
      <c r="I14" s="3">
        <f>I21</f>
        <v>1</v>
      </c>
      <c r="J14" s="4">
        <f t="shared" ref="J14:K14" si="1">D27</f>
        <v>1800</v>
      </c>
      <c r="K14" s="4">
        <f t="shared" si="1"/>
        <v>500</v>
      </c>
    </row>
    <row r="15" spans="1:14" ht="15.6" x14ac:dyDescent="0.3">
      <c r="A15" s="52"/>
      <c r="B15" s="6"/>
      <c r="C15" s="6"/>
      <c r="D15" s="6"/>
      <c r="E15" s="89"/>
      <c r="F15" s="6"/>
      <c r="G15" s="1"/>
      <c r="I15" s="90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3" t="s">
        <v>13</v>
      </c>
      <c r="B17" s="123"/>
      <c r="C17" s="123"/>
      <c r="D17" s="123"/>
      <c r="E17" s="123"/>
      <c r="F17" s="123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108</v>
      </c>
      <c r="G20" s="1"/>
      <c r="J20" s="5" t="s">
        <v>7</v>
      </c>
      <c r="K20" s="5" t="s">
        <v>8</v>
      </c>
    </row>
    <row r="21" spans="1:11" ht="15.6" x14ac:dyDescent="0.3">
      <c r="A21" s="106" t="s">
        <v>134</v>
      </c>
      <c r="B21" s="16">
        <f t="shared" ref="B21" si="2">I21</f>
        <v>1</v>
      </c>
      <c r="C21" s="16"/>
      <c r="D21" s="16">
        <f>J21+D$20</f>
        <v>1840</v>
      </c>
      <c r="E21" s="16">
        <f>K21+E$20</f>
        <v>630</v>
      </c>
      <c r="F21" s="104" t="str">
        <f>C27</f>
        <v>CUB C/R R8</v>
      </c>
      <c r="G21" s="1"/>
      <c r="I21" s="3">
        <f>B27</f>
        <v>1</v>
      </c>
      <c r="J21" s="4">
        <f>D27</f>
        <v>1800</v>
      </c>
      <c r="K21" s="4">
        <f>E27</f>
        <v>500</v>
      </c>
    </row>
    <row r="22" spans="1:11" ht="15.6" x14ac:dyDescent="0.3">
      <c r="A22" s="96"/>
      <c r="B22" s="6"/>
      <c r="C22" s="6"/>
      <c r="D22" s="6"/>
      <c r="E22" s="6"/>
      <c r="F22" s="6"/>
      <c r="G22" s="1"/>
      <c r="I22" s="90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105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108</v>
      </c>
      <c r="D26" s="88" t="s">
        <v>7</v>
      </c>
      <c r="E26" s="88" t="s">
        <v>8</v>
      </c>
      <c r="F26" s="88" t="s">
        <v>21</v>
      </c>
      <c r="G26" s="1"/>
    </row>
    <row r="27" spans="1:11" ht="15.6" x14ac:dyDescent="0.3">
      <c r="A27" s="106" t="s">
        <v>133</v>
      </c>
      <c r="B27" s="25">
        <f>'4637'!B21</f>
        <v>1</v>
      </c>
      <c r="C27" s="103" t="str">
        <f>'4637'!C21</f>
        <v>CUB C/R R8</v>
      </c>
      <c r="D27" s="25">
        <f>'4637'!D21</f>
        <v>1800</v>
      </c>
      <c r="E27" s="25">
        <f>'4637'!E21</f>
        <v>500</v>
      </c>
      <c r="F27" s="25" t="str">
        <f>'4637'!F21</f>
        <v>LATE 2167 MT</v>
      </c>
      <c r="G27" s="1"/>
    </row>
    <row r="28" spans="1:11" ht="15.6" x14ac:dyDescent="0.3">
      <c r="A28" s="96"/>
      <c r="B28" s="6"/>
      <c r="C28" s="6"/>
      <c r="D28" s="6"/>
      <c r="E28" s="6"/>
      <c r="F28" s="6"/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25</v>
      </c>
      <c r="D39" s="14">
        <f>'4637'!G8</f>
        <v>7332</v>
      </c>
      <c r="E39" s="1"/>
      <c r="F39" s="1"/>
      <c r="G39" s="1"/>
    </row>
    <row r="40" spans="1:7" ht="17.25" customHeight="1" x14ac:dyDescent="0.3">
      <c r="A40" s="1"/>
      <c r="B40" s="1"/>
      <c r="C40" s="41" t="s">
        <v>65</v>
      </c>
      <c r="D40" s="42" t="str">
        <f>'4637'!C10</f>
        <v>FMR MAKING SPA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45996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3" t="s">
        <v>66</v>
      </c>
      <c r="B45" s="123"/>
      <c r="C45" s="123"/>
      <c r="D45" s="123"/>
      <c r="E45" s="123"/>
      <c r="F45" s="123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4" t="s">
        <v>67</v>
      </c>
      <c r="C47" s="125"/>
      <c r="D47" s="126"/>
      <c r="E47" s="126"/>
      <c r="F47" s="127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106" t="s">
        <v>135</v>
      </c>
      <c r="B49" s="38">
        <f>'4637'!B21</f>
        <v>1</v>
      </c>
      <c r="C49" s="101" t="str">
        <f>'4637'!C21</f>
        <v>CUB C/R R8</v>
      </c>
      <c r="D49" s="39">
        <f>'4637'!D21</f>
        <v>1800</v>
      </c>
      <c r="E49" s="39">
        <f>'4637'!E21</f>
        <v>500</v>
      </c>
      <c r="F49" s="38" t="str">
        <f>'4637'!F21</f>
        <v>LATE 2167 MT</v>
      </c>
      <c r="G49" s="1"/>
    </row>
    <row r="50" spans="1:7" s="15" customFormat="1" ht="15" customHeight="1" x14ac:dyDescent="0.3">
      <c r="A50" s="96"/>
      <c r="B50" s="52"/>
      <c r="C50" s="102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7:F17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2025-12-01T19:02:46Z</cp:lastPrinted>
  <dcterms:created xsi:type="dcterms:W3CDTF">2013-03-19T12:54:14Z</dcterms:created>
  <dcterms:modified xsi:type="dcterms:W3CDTF">2025-12-01T19:02:49Z</dcterms:modified>
</cp:coreProperties>
</file>