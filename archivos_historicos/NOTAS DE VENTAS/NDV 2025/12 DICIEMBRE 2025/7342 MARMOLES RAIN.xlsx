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NDV 2025\12 DICIEMBRE 2025\"/>
    </mc:Choice>
  </mc:AlternateContent>
  <xr:revisionPtr revIDLastSave="0" documentId="13_ncr:1_{FF8A66D0-1D4F-4E23-B710-9E4FA03457DD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'4637'!$A$1:$I$56</definedName>
    <definedName name="_xlnm.Print_Area" localSheetId="2">CUBIERTA!$A$99:$G$144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A15" i="3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J21" i="3"/>
  <c r="C21" i="3" s="1"/>
  <c r="J25" i="3"/>
  <c r="C25" i="3" s="1"/>
  <c r="J29" i="3"/>
  <c r="C29" i="3" s="1"/>
  <c r="J33" i="3"/>
  <c r="C33" i="3" s="1"/>
  <c r="J49" i="3"/>
  <c r="J22" i="3" s="1"/>
  <c r="C22" i="3" s="1"/>
  <c r="A42" i="3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9" i="3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112" i="3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C72" i="3"/>
  <c r="J45" i="3" s="1"/>
  <c r="J18" i="3" s="1"/>
  <c r="C18" i="3" s="1"/>
  <c r="D72" i="3"/>
  <c r="G45" i="3" s="1"/>
  <c r="E72" i="3"/>
  <c r="K45" i="3" s="1"/>
  <c r="E45" i="3" s="1"/>
  <c r="F72" i="3"/>
  <c r="L45" i="3" s="1"/>
  <c r="F45" i="3" s="1"/>
  <c r="G72" i="3"/>
  <c r="C73" i="3"/>
  <c r="D73" i="3"/>
  <c r="G46" i="3" s="1"/>
  <c r="E73" i="3"/>
  <c r="K46" i="3" s="1"/>
  <c r="E46" i="3" s="1"/>
  <c r="F73" i="3"/>
  <c r="L46" i="3" s="1"/>
  <c r="F46" i="3" s="1"/>
  <c r="G73" i="3"/>
  <c r="C74" i="3"/>
  <c r="J47" i="3" s="1"/>
  <c r="J20" i="3" s="1"/>
  <c r="C20" i="3" s="1"/>
  <c r="D74" i="3"/>
  <c r="G47" i="3" s="1"/>
  <c r="E74" i="3"/>
  <c r="K47" i="3" s="1"/>
  <c r="E47" i="3" s="1"/>
  <c r="F74" i="3"/>
  <c r="L47" i="3" s="1"/>
  <c r="F47" i="3" s="1"/>
  <c r="G74" i="3"/>
  <c r="C75" i="3"/>
  <c r="J48" i="3" s="1"/>
  <c r="D75" i="3"/>
  <c r="G48" i="3" s="1"/>
  <c r="E75" i="3"/>
  <c r="K48" i="3" s="1"/>
  <c r="E48" i="3" s="1"/>
  <c r="F75" i="3"/>
  <c r="L48" i="3" s="1"/>
  <c r="F48" i="3" s="1"/>
  <c r="G75" i="3"/>
  <c r="C76" i="3"/>
  <c r="D76" i="3"/>
  <c r="G49" i="3" s="1"/>
  <c r="E76" i="3"/>
  <c r="K49" i="3" s="1"/>
  <c r="E49" i="3" s="1"/>
  <c r="F76" i="3"/>
  <c r="L49" i="3" s="1"/>
  <c r="F49" i="3" s="1"/>
  <c r="G76" i="3"/>
  <c r="C77" i="3"/>
  <c r="D77" i="3"/>
  <c r="G50" i="3" s="1"/>
  <c r="E77" i="3"/>
  <c r="K50" i="3" s="1"/>
  <c r="E50" i="3" s="1"/>
  <c r="F77" i="3"/>
  <c r="L50" i="3" s="1"/>
  <c r="F50" i="3" s="1"/>
  <c r="G77" i="3"/>
  <c r="C78" i="3"/>
  <c r="J51" i="3" s="1"/>
  <c r="J24" i="3" s="1"/>
  <c r="C24" i="3" s="1"/>
  <c r="D78" i="3"/>
  <c r="G51" i="3" s="1"/>
  <c r="E78" i="3"/>
  <c r="K51" i="3" s="1"/>
  <c r="E51" i="3" s="1"/>
  <c r="F78" i="3"/>
  <c r="L51" i="3" s="1"/>
  <c r="F51" i="3" s="1"/>
  <c r="G78" i="3"/>
  <c r="C79" i="3"/>
  <c r="J52" i="3" s="1"/>
  <c r="D79" i="3"/>
  <c r="G52" i="3" s="1"/>
  <c r="E79" i="3"/>
  <c r="K52" i="3" s="1"/>
  <c r="E52" i="3" s="1"/>
  <c r="F79" i="3"/>
  <c r="L52" i="3" s="1"/>
  <c r="F52" i="3" s="1"/>
  <c r="G79" i="3"/>
  <c r="C80" i="3"/>
  <c r="J53" i="3" s="1"/>
  <c r="J26" i="3" s="1"/>
  <c r="C26" i="3" s="1"/>
  <c r="D80" i="3"/>
  <c r="G53" i="3" s="1"/>
  <c r="E80" i="3"/>
  <c r="K53" i="3" s="1"/>
  <c r="E53" i="3" s="1"/>
  <c r="F80" i="3"/>
  <c r="L53" i="3" s="1"/>
  <c r="F53" i="3" s="1"/>
  <c r="G80" i="3"/>
  <c r="C81" i="3"/>
  <c r="D81" i="3"/>
  <c r="G54" i="3" s="1"/>
  <c r="E81" i="3"/>
  <c r="K54" i="3" s="1"/>
  <c r="E54" i="3" s="1"/>
  <c r="F81" i="3"/>
  <c r="L54" i="3" s="1"/>
  <c r="F54" i="3" s="1"/>
  <c r="G81" i="3"/>
  <c r="C82" i="3"/>
  <c r="J55" i="3" s="1"/>
  <c r="J28" i="3" s="1"/>
  <c r="C28" i="3" s="1"/>
  <c r="D82" i="3"/>
  <c r="G55" i="3" s="1"/>
  <c r="E82" i="3"/>
  <c r="K55" i="3" s="1"/>
  <c r="E55" i="3" s="1"/>
  <c r="F82" i="3"/>
  <c r="L55" i="3" s="1"/>
  <c r="F55" i="3" s="1"/>
  <c r="G82" i="3"/>
  <c r="C83" i="3"/>
  <c r="J56" i="3" s="1"/>
  <c r="D83" i="3"/>
  <c r="G56" i="3" s="1"/>
  <c r="E83" i="3"/>
  <c r="K56" i="3" s="1"/>
  <c r="E56" i="3" s="1"/>
  <c r="F83" i="3"/>
  <c r="L29" i="3" s="1"/>
  <c r="G83" i="3"/>
  <c r="C84" i="3"/>
  <c r="J57" i="3" s="1"/>
  <c r="J30" i="3" s="1"/>
  <c r="C30" i="3" s="1"/>
  <c r="D84" i="3"/>
  <c r="G57" i="3" s="1"/>
  <c r="E84" i="3"/>
  <c r="K57" i="3" s="1"/>
  <c r="E57" i="3" s="1"/>
  <c r="F84" i="3"/>
  <c r="L57" i="3" s="1"/>
  <c r="F57" i="3" s="1"/>
  <c r="G84" i="3"/>
  <c r="C85" i="3"/>
  <c r="D85" i="3"/>
  <c r="G58" i="3" s="1"/>
  <c r="E85" i="3"/>
  <c r="K58" i="3" s="1"/>
  <c r="E58" i="3" s="1"/>
  <c r="F85" i="3"/>
  <c r="L58" i="3" s="1"/>
  <c r="F58" i="3" s="1"/>
  <c r="G85" i="3"/>
  <c r="C86" i="3"/>
  <c r="J59" i="3" s="1"/>
  <c r="J32" i="3" s="1"/>
  <c r="C32" i="3" s="1"/>
  <c r="D86" i="3"/>
  <c r="G59" i="3" s="1"/>
  <c r="E86" i="3"/>
  <c r="K59" i="3" s="1"/>
  <c r="E59" i="3" s="1"/>
  <c r="F86" i="3"/>
  <c r="L59" i="3" s="1"/>
  <c r="F59" i="3" s="1"/>
  <c r="G86" i="3"/>
  <c r="C87" i="3"/>
  <c r="J60" i="3" s="1"/>
  <c r="D87" i="3"/>
  <c r="G60" i="3" s="1"/>
  <c r="E87" i="3"/>
  <c r="K60" i="3" s="1"/>
  <c r="E60" i="3" s="1"/>
  <c r="F87" i="3"/>
  <c r="L60" i="3" s="1"/>
  <c r="F60" i="3" s="1"/>
  <c r="G87" i="3"/>
  <c r="C88" i="3"/>
  <c r="J61" i="3" s="1"/>
  <c r="D88" i="3"/>
  <c r="G61" i="3" s="1"/>
  <c r="E88" i="3"/>
  <c r="K61" i="3" s="1"/>
  <c r="E61" i="3" s="1"/>
  <c r="F88" i="3"/>
  <c r="L61" i="3" s="1"/>
  <c r="F61" i="3" s="1"/>
  <c r="G88" i="3"/>
  <c r="C89" i="3"/>
  <c r="D89" i="3"/>
  <c r="G62" i="3" s="1"/>
  <c r="E89" i="3"/>
  <c r="K62" i="3" s="1"/>
  <c r="E62" i="3" s="1"/>
  <c r="F89" i="3"/>
  <c r="L62" i="3" s="1"/>
  <c r="F62" i="3" s="1"/>
  <c r="G89" i="3"/>
  <c r="C131" i="3"/>
  <c r="D131" i="3"/>
  <c r="E131" i="3"/>
  <c r="F131" i="3"/>
  <c r="G131" i="3"/>
  <c r="C132" i="3"/>
  <c r="D132" i="3"/>
  <c r="E132" i="3"/>
  <c r="F132" i="3"/>
  <c r="G132" i="3"/>
  <c r="C115" i="3"/>
  <c r="D115" i="3"/>
  <c r="E115" i="3"/>
  <c r="F115" i="3"/>
  <c r="G115" i="3"/>
  <c r="C116" i="3"/>
  <c r="D116" i="3"/>
  <c r="E116" i="3"/>
  <c r="F116" i="3"/>
  <c r="G116" i="3"/>
  <c r="C117" i="3"/>
  <c r="D117" i="3"/>
  <c r="E117" i="3"/>
  <c r="F117" i="3"/>
  <c r="G117" i="3"/>
  <c r="C118" i="3"/>
  <c r="D118" i="3"/>
  <c r="E118" i="3"/>
  <c r="F118" i="3"/>
  <c r="G118" i="3"/>
  <c r="C119" i="3"/>
  <c r="D119" i="3"/>
  <c r="E119" i="3"/>
  <c r="F119" i="3"/>
  <c r="G119" i="3"/>
  <c r="C120" i="3"/>
  <c r="D120" i="3"/>
  <c r="E120" i="3"/>
  <c r="F120" i="3"/>
  <c r="G120" i="3"/>
  <c r="C121" i="3"/>
  <c r="D121" i="3"/>
  <c r="E121" i="3"/>
  <c r="F121" i="3"/>
  <c r="G121" i="3"/>
  <c r="C122" i="3"/>
  <c r="D122" i="3"/>
  <c r="E122" i="3"/>
  <c r="F122" i="3"/>
  <c r="G122" i="3"/>
  <c r="C123" i="3"/>
  <c r="D123" i="3"/>
  <c r="E123" i="3"/>
  <c r="F123" i="3"/>
  <c r="G123" i="3"/>
  <c r="C124" i="3"/>
  <c r="D124" i="3"/>
  <c r="E124" i="3"/>
  <c r="F124" i="3"/>
  <c r="G124" i="3"/>
  <c r="C125" i="3"/>
  <c r="D125" i="3"/>
  <c r="E125" i="3"/>
  <c r="F125" i="3"/>
  <c r="G125" i="3"/>
  <c r="C126" i="3"/>
  <c r="D126" i="3"/>
  <c r="E126" i="3"/>
  <c r="F126" i="3"/>
  <c r="G126" i="3"/>
  <c r="C127" i="3"/>
  <c r="D127" i="3"/>
  <c r="E127" i="3"/>
  <c r="F127" i="3"/>
  <c r="G127" i="3"/>
  <c r="C128" i="3"/>
  <c r="D128" i="3"/>
  <c r="E128" i="3"/>
  <c r="F128" i="3"/>
  <c r="G128" i="3"/>
  <c r="C129" i="3"/>
  <c r="D129" i="3"/>
  <c r="E129" i="3"/>
  <c r="F129" i="3"/>
  <c r="G129" i="3"/>
  <c r="C130" i="3"/>
  <c r="D130" i="3"/>
  <c r="E130" i="3"/>
  <c r="F130" i="3"/>
  <c r="G130" i="3"/>
  <c r="H45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G31" i="3" l="1"/>
  <c r="G19" i="3"/>
  <c r="G27" i="3"/>
  <c r="G23" i="3"/>
  <c r="G32" i="3"/>
  <c r="G28" i="3"/>
  <c r="G24" i="3"/>
  <c r="G20" i="3"/>
  <c r="G33" i="3"/>
  <c r="G29" i="3"/>
  <c r="G26" i="3"/>
  <c r="G25" i="3"/>
  <c r="G22" i="3"/>
  <c r="G21" i="3"/>
  <c r="G18" i="3"/>
  <c r="L56" i="3"/>
  <c r="F56" i="3" s="1"/>
  <c r="L33" i="3"/>
  <c r="L32" i="3"/>
  <c r="L31" i="3"/>
  <c r="L30" i="3"/>
  <c r="L28" i="3"/>
  <c r="L27" i="3"/>
  <c r="L26" i="3"/>
  <c r="L25" i="3"/>
  <c r="L24" i="3"/>
  <c r="L23" i="3"/>
  <c r="L22" i="3"/>
  <c r="L21" i="3"/>
  <c r="L20" i="3"/>
  <c r="L19" i="3"/>
  <c r="L18" i="3"/>
  <c r="G30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C60" i="3"/>
  <c r="C56" i="3"/>
  <c r="C52" i="3"/>
  <c r="C48" i="3"/>
  <c r="C59" i="3"/>
  <c r="C55" i="3"/>
  <c r="C51" i="3"/>
  <c r="C47" i="3"/>
  <c r="J62" i="3"/>
  <c r="J58" i="3"/>
  <c r="J54" i="3"/>
  <c r="J50" i="3"/>
  <c r="J46" i="3"/>
  <c r="J19" i="3" s="1"/>
  <c r="C19" i="3" s="1"/>
  <c r="C61" i="3"/>
  <c r="C57" i="3"/>
  <c r="C53" i="3"/>
  <c r="C49" i="3"/>
  <c r="C45" i="3"/>
  <c r="H46" i="4"/>
  <c r="H47" i="4" s="1"/>
  <c r="C15" i="3"/>
  <c r="C69" i="3"/>
  <c r="D69" i="3"/>
  <c r="G42" i="3" s="1"/>
  <c r="E69" i="3"/>
  <c r="K42" i="3" s="1"/>
  <c r="E42" i="3" s="1"/>
  <c r="F69" i="3"/>
  <c r="L42" i="3" s="1"/>
  <c r="F42" i="3" s="1"/>
  <c r="G69" i="3"/>
  <c r="C70" i="3"/>
  <c r="D70" i="3"/>
  <c r="G43" i="3" s="1"/>
  <c r="E70" i="3"/>
  <c r="K43" i="3" s="1"/>
  <c r="E43" i="3" s="1"/>
  <c r="F70" i="3"/>
  <c r="L43" i="3" s="1"/>
  <c r="F43" i="3" s="1"/>
  <c r="G70" i="3"/>
  <c r="C71" i="3"/>
  <c r="D71" i="3"/>
  <c r="G44" i="3" s="1"/>
  <c r="E71" i="3"/>
  <c r="K44" i="3" s="1"/>
  <c r="E44" i="3" s="1"/>
  <c r="F71" i="3"/>
  <c r="L44" i="3" s="1"/>
  <c r="F44" i="3" s="1"/>
  <c r="G71" i="3"/>
  <c r="C112" i="3"/>
  <c r="D112" i="3"/>
  <c r="E112" i="3"/>
  <c r="F112" i="3"/>
  <c r="G112" i="3"/>
  <c r="C113" i="3"/>
  <c r="D113" i="3"/>
  <c r="E113" i="3"/>
  <c r="F113" i="3"/>
  <c r="G113" i="3"/>
  <c r="C114" i="3"/>
  <c r="D114" i="3"/>
  <c r="E114" i="3"/>
  <c r="F114" i="3"/>
  <c r="G114" i="3"/>
  <c r="C46" i="3" l="1"/>
  <c r="C50" i="3"/>
  <c r="J23" i="3"/>
  <c r="C23" i="3" s="1"/>
  <c r="C62" i="3"/>
  <c r="C54" i="3"/>
  <c r="J27" i="3"/>
  <c r="C27" i="3" s="1"/>
  <c r="C58" i="3"/>
  <c r="J31" i="3"/>
  <c r="C31" i="3" s="1"/>
  <c r="J44" i="3"/>
  <c r="C44" i="3" s="1"/>
  <c r="J42" i="3"/>
  <c r="C42" i="3" s="1"/>
  <c r="J43" i="3"/>
  <c r="C43" i="3" s="1"/>
  <c r="K16" i="3"/>
  <c r="I70" i="3"/>
  <c r="K69" i="3"/>
  <c r="I71" i="3"/>
  <c r="I69" i="3"/>
  <c r="L15" i="3"/>
  <c r="K15" i="3"/>
  <c r="L17" i="3"/>
  <c r="L16" i="3"/>
  <c r="J17" i="3"/>
  <c r="C17" i="3" s="1"/>
  <c r="K17" i="3"/>
  <c r="G17" i="3"/>
  <c r="G16" i="3"/>
  <c r="G15" i="3"/>
  <c r="C68" i="3"/>
  <c r="D68" i="3"/>
  <c r="G14" i="3" s="1"/>
  <c r="E68" i="3"/>
  <c r="K41" i="3" s="1"/>
  <c r="E41" i="3" s="1"/>
  <c r="F68" i="3"/>
  <c r="L41" i="3" s="1"/>
  <c r="F41" i="3" s="1"/>
  <c r="G68" i="3"/>
  <c r="C111" i="3"/>
  <c r="C133" i="3" s="1"/>
  <c r="D111" i="3"/>
  <c r="E111" i="3"/>
  <c r="F111" i="3"/>
  <c r="G111" i="3"/>
  <c r="J16" i="3" l="1"/>
  <c r="C16" i="3" s="1"/>
  <c r="C90" i="3"/>
  <c r="J41" i="3"/>
  <c r="J14" i="3" s="1"/>
  <c r="I68" i="3"/>
  <c r="I91" i="3" s="1"/>
  <c r="K68" i="3"/>
  <c r="K91" i="3" s="1"/>
  <c r="K14" i="3"/>
  <c r="E14" i="3" s="1"/>
  <c r="L14" i="3"/>
  <c r="F14" i="3" s="1"/>
  <c r="C41" i="3"/>
  <c r="C63" i="3" s="1"/>
  <c r="G41" i="3"/>
  <c r="C14" i="3" l="1"/>
  <c r="J34" i="3"/>
  <c r="C34" i="3" s="1"/>
  <c r="I93" i="3"/>
  <c r="I94" i="3" s="1"/>
  <c r="I95" i="3" s="1"/>
  <c r="I96" i="3" s="1"/>
  <c r="O5" i="3" l="1"/>
  <c r="N5" i="3" l="1"/>
  <c r="M5" i="3"/>
  <c r="L5" i="3"/>
  <c r="D104" i="3" l="1"/>
  <c r="D7" i="3"/>
  <c r="E102" i="3"/>
  <c r="E5" i="3"/>
  <c r="E104" i="3"/>
  <c r="E7" i="3"/>
  <c r="E101" i="3"/>
  <c r="E4" i="3"/>
</calcChain>
</file>

<file path=xl/sharedStrings.xml><?xml version="1.0" encoding="utf-8"?>
<sst xmlns="http://schemas.openxmlformats.org/spreadsheetml/2006/main" count="286" uniqueCount="142">
  <si>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</si>
  <si>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</si>
  <si>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</si>
  <si>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</si>
  <si>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</si>
  <si>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</si>
  <si>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</si>
  <si>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</si>
  <si>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</si>
  <si>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</si>
  <si>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</si>
  <si>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</si>
  <si>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</si>
  <si>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</si>
  <si>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</si>
  <si>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</si>
  <si>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</si>
  <si>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</si>
  <si>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</si>
  <si>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</si>
  <si>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</si>
  <si>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</si>
  <si>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</si>
  <si>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</si>
  <si>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</si>
  <si>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</si>
  <si>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</si>
  <si>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</si>
  <si>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</si>
  <si>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</si>
  <si>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</si>
  <si>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</si>
  <si>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</si>
  <si>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</si>
  <si>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</si>
  <si>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</si>
  <si>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</si>
  <si>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</si>
  <si>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</si>
  <si>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</si>
  <si>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</si>
  <si>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</si>
  <si>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</si>
  <si>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</si>
  <si>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</si>
  <si>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</si>
  <si>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</si>
  <si>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</si>
  <si>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</si>
  <si>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</si>
  <si>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</si>
  <si>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</si>
  <si>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</si>
  <si>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</si>
  <si>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</si>
  <si>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</si>
  <si>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</si>
  <si>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</si>
  <si>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</si>
  <si>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</si>
  <si>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</si>
  <si>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</si>
  <si>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</si>
  <si>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</si>
  <si>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</si>
  <si>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</si>
  <si>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</si>
  <si>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</si>
  <si>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</si>
  <si>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</si>
  <si>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</si>
  <si>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</si>
  <si>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</si>
  <si>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</si>
  <si>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</si>
  <si>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</si>
  <si>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</si>
  <si>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</si>
  <si>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</si>
  <si>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</si>
  <si>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</si>
  <si>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</si>
  <si>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</si>
  <si>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</si>
  <si>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</si>
  <si>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</si>
  <si>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</si>
  <si>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</si>
  <si>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</si>
  <si>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</si>
  <si>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</si>
  <si>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</si>
  <si>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</si>
  <si>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</si>
  <si>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</si>
  <si>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</si>
  <si>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</si>
  <si>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</si>
  <si>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</si>
  <si>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</si>
  <si>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</si>
  <si>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</si>
  <si>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</si>
  <si>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</si>
  <si>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</si>
  <si>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</si>
  <si>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</si>
  <si>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</si>
  <si>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</si>
  <si>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</si>
  <si>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</si>
  <si>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</si>
  <si>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</si>
  <si>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</si>
  <si>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</si>
  <si>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</si>
  <si>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</si>
  <si>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</si>
  <si>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</si>
  <si>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</si>
  <si>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</si>
  <si>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</si>
  <si>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</si>
  <si>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</si>
  <si>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</si>
  <si>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</si>
  <si>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</si>
  <si>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</si>
  <si>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</si>
  <si>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</si>
  <si>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</si>
  <si>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</si>
  <si>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</si>
  <si>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</si>
  <si>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SHELL WHITE 22011 SF</t>
  </si>
  <si>
    <t>TROZO DE LAMINA</t>
  </si>
  <si>
    <t>IVA</t>
  </si>
  <si>
    <t>MELAMIL 18MM</t>
  </si>
  <si>
    <t>MARMOLES RAIN</t>
  </si>
  <si>
    <t>GEORGINA</t>
  </si>
  <si>
    <t>+569 5699 1929</t>
  </si>
  <si>
    <t>N° 11785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</si>
</sst>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.00_-;\-* #,##0.00_-;_-* &quot;-&quot;??_-;_-@_-"/>
    <numFmt numFmtId="165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Segoe UI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4" fillId="3" borderId="0" xfId="0" applyFont="1" applyFill="1"/>
    <xf numFmtId="0" fontId="6" fillId="3" borderId="0" xfId="2" applyFill="1"/>
    <xf numFmtId="0" fontId="16" fillId="0" borderId="9" xfId="2" applyFont="1" applyFill="1" applyBorder="1" applyAlignment="1">
      <alignment horizontal="left"/>
    </xf>
    <xf numFmtId="0" fontId="17" fillId="3" borderId="0" xfId="0" applyFont="1" applyFill="1"/>
    <xf numFmtId="0" fontId="18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9" fillId="3" borderId="0" xfId="0" applyFont="1" applyFill="1"/>
    <xf numFmtId="0" fontId="15" fillId="0" borderId="0" xfId="0" quotePrefix="1" applyFont="1"/>
    <xf numFmtId="3" fontId="14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3" fillId="0" borderId="11" xfId="0" applyFont="1" applyBorder="1" applyAlignment="1">
      <alignment horizontal="center"/>
    </xf>
    <xf numFmtId="42" fontId="20" fillId="0" borderId="12" xfId="3" applyFont="1" applyFill="1" applyBorder="1"/>
    <xf numFmtId="3" fontId="3" fillId="9" borderId="13" xfId="0" applyNumberFormat="1" applyFont="1" applyFill="1" applyBorder="1" applyAlignment="1">
      <alignment horizontal="center"/>
    </xf>
    <xf numFmtId="42" fontId="20" fillId="9" borderId="31" xfId="3" applyFont="1" applyFill="1" applyBorder="1"/>
    <xf numFmtId="0" fontId="3" fillId="0" borderId="14" xfId="0" applyFont="1" applyBorder="1" applyAlignment="1">
      <alignment horizontal="center"/>
    </xf>
    <xf numFmtId="42" fontId="20" fillId="0" borderId="30" xfId="3" applyFont="1" applyFill="1" applyBorder="1"/>
    <xf numFmtId="0" fontId="18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392430</xdr:colOff>
      <xdr:row>44</xdr:row>
      <xdr:rowOff>169545</xdr:rowOff>
    </xdr:from>
    <xdr:to>
      <xdr:col>5</xdr:col>
      <xdr:colOff>1771650</xdr:colOff>
      <xdr:row>49</xdr:row>
      <xdr:rowOff>93345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0550" y="940498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$ 500.000.-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24765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152400</xdr:colOff>
      <xdr:row>35</xdr:row>
      <xdr:rowOff>76200</xdr:rowOff>
    </xdr:from>
    <xdr:to>
      <xdr:col>6</xdr:col>
      <xdr:colOff>1676399</xdr:colOff>
      <xdr:row>37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105</xdr:row>
      <xdr:rowOff>171450</xdr:rowOff>
    </xdr:from>
    <xdr:to>
      <xdr:col>6</xdr:col>
      <xdr:colOff>1685924</xdr:colOff>
      <xdr:row>107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103</xdr:row>
      <xdr:rowOff>0</xdr:rowOff>
    </xdr:from>
    <xdr:to>
      <xdr:col>7</xdr:col>
      <xdr:colOff>0</xdr:colOff>
      <xdr:row>104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101</xdr:row>
      <xdr:rowOff>38100</xdr:rowOff>
    </xdr:from>
    <xdr:to>
      <xdr:col>7</xdr:col>
      <xdr:colOff>0</xdr:colOff>
      <xdr:row>102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100</xdr:row>
      <xdr:rowOff>0</xdr:rowOff>
    </xdr:from>
    <xdr:to>
      <xdr:col>7</xdr:col>
      <xdr:colOff>0</xdr:colOff>
      <xdr:row>101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38100</xdr:colOff>
      <xdr:row>135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134</xdr:row>
      <xdr:rowOff>0</xdr:rowOff>
    </xdr:from>
    <xdr:to>
      <xdr:col>3</xdr:col>
      <xdr:colOff>1019175</xdr:colOff>
      <xdr:row>134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134</xdr:row>
      <xdr:rowOff>0</xdr:rowOff>
    </xdr:from>
    <xdr:to>
      <xdr:col>4</xdr:col>
      <xdr:colOff>352425</xdr:colOff>
      <xdr:row>135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134</xdr:row>
      <xdr:rowOff>0</xdr:rowOff>
    </xdr:from>
    <xdr:to>
      <xdr:col>5</xdr:col>
      <xdr:colOff>257175</xdr:colOff>
      <xdr:row>135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134</xdr:row>
      <xdr:rowOff>0</xdr:rowOff>
    </xdr:from>
    <xdr:to>
      <xdr:col>6</xdr:col>
      <xdr:colOff>447675</xdr:colOff>
      <xdr:row>134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134</xdr:row>
      <xdr:rowOff>0</xdr:rowOff>
    </xdr:from>
    <xdr:to>
      <xdr:col>7</xdr:col>
      <xdr:colOff>0</xdr:colOff>
      <xdr:row>134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134</xdr:row>
      <xdr:rowOff>190500</xdr:rowOff>
    </xdr:from>
    <xdr:to>
      <xdr:col>3</xdr:col>
      <xdr:colOff>304800</xdr:colOff>
      <xdr:row>136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134</xdr:row>
      <xdr:rowOff>190500</xdr:rowOff>
    </xdr:from>
    <xdr:to>
      <xdr:col>3</xdr:col>
      <xdr:colOff>1276350</xdr:colOff>
      <xdr:row>136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134</xdr:row>
      <xdr:rowOff>190500</xdr:rowOff>
    </xdr:from>
    <xdr:to>
      <xdr:col>4</xdr:col>
      <xdr:colOff>619125</xdr:colOff>
      <xdr:row>136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134</xdr:row>
      <xdr:rowOff>190500</xdr:rowOff>
    </xdr:from>
    <xdr:to>
      <xdr:col>5</xdr:col>
      <xdr:colOff>523875</xdr:colOff>
      <xdr:row>136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134</xdr:row>
      <xdr:rowOff>190500</xdr:rowOff>
    </xdr:from>
    <xdr:to>
      <xdr:col>6</xdr:col>
      <xdr:colOff>723900</xdr:colOff>
      <xdr:row>136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134</xdr:row>
      <xdr:rowOff>190500</xdr:rowOff>
    </xdr:from>
    <xdr:to>
      <xdr:col>7</xdr:col>
      <xdr:colOff>0</xdr:colOff>
      <xdr:row>136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92</xdr:row>
      <xdr:rowOff>15239</xdr:rowOff>
    </xdr:from>
    <xdr:to>
      <xdr:col>7</xdr:col>
      <xdr:colOff>68580</xdr:colOff>
      <xdr:row>96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1</xdr:col>
      <xdr:colOff>190500</xdr:colOff>
      <xdr:row>63</xdr:row>
      <xdr:rowOff>200025</xdr:rowOff>
    </xdr:from>
    <xdr:to>
      <xdr:col>7</xdr:col>
      <xdr:colOff>19049</xdr:colOff>
      <xdr:row>65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137</xdr:row>
      <xdr:rowOff>32385</xdr:rowOff>
    </xdr:from>
    <xdr:to>
      <xdr:col>7</xdr:col>
      <xdr:colOff>19050</xdr:colOff>
      <xdr:row>141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1</xdr:col>
      <xdr:colOff>160020</xdr:colOff>
      <xdr:row>99</xdr:row>
      <xdr:rowOff>41910</xdr:rowOff>
    </xdr:from>
    <xdr:to>
      <xdr:col>2</xdr:col>
      <xdr:colOff>801763</xdr:colOff>
      <xdr:row>105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1</xdr:col>
      <xdr:colOff>129540</xdr:colOff>
      <xdr:row>1</xdr:row>
      <xdr:rowOff>114300</xdr:rowOff>
    </xdr:from>
    <xdr:to>
      <xdr:col>2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abSelected="1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3320312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12</v>
      </c>
      <c r="G7" s="1"/>
      <c r="H7" s="1"/>
      <c r="I7" s="1"/>
    </row>
    <row r="8" spans="1:17" ht="16.2" thickBot="1" x14ac:dyDescent="0.35">
      <c r="A8" s="1"/>
      <c r="B8" s="80" t="s">
        <v>15</v>
      </c>
      <c r="C8" s="81"/>
      <c r="D8" s="82" t="s">
        <v>141</v>
      </c>
      <c r="E8" s="1"/>
      <c r="F8" s="83" t="s">
        <v>25</v>
      </c>
      <c r="G8" s="84">
        <v>7342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125</v>
      </c>
      <c r="C10" s="75" t="s">
        <v>138</v>
      </c>
      <c r="D10" s="55"/>
      <c r="E10" s="55"/>
      <c r="F10" s="56" t="s">
        <v>26</v>
      </c>
      <c r="G10" s="57">
        <v>46000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99"/>
      <c r="D11" s="60"/>
      <c r="E11" s="60"/>
      <c r="F11" s="60" t="s">
        <v>120</v>
      </c>
      <c r="G11" s="61">
        <v>46008</v>
      </c>
      <c r="H11" s="62"/>
      <c r="I11" s="1"/>
    </row>
    <row r="12" spans="1:17" ht="15.6" x14ac:dyDescent="0.3">
      <c r="A12" s="1"/>
      <c r="B12" s="63" t="s">
        <v>126</v>
      </c>
      <c r="C12" s="97"/>
      <c r="D12" s="43"/>
      <c r="E12" s="43"/>
      <c r="F12" s="43" t="s">
        <v>28</v>
      </c>
      <c r="G12" s="64"/>
      <c r="H12" s="65"/>
      <c r="I12" s="1"/>
    </row>
    <row r="13" spans="1:17" ht="15.6" x14ac:dyDescent="0.3">
      <c r="A13" s="1"/>
      <c r="B13" s="63" t="s">
        <v>128</v>
      </c>
      <c r="C13" t="s">
        <v>139</v>
      </c>
      <c r="D13" s="43"/>
      <c r="E13" s="43"/>
      <c r="F13" s="43" t="s">
        <v>124</v>
      </c>
      <c r="G13" s="64"/>
      <c r="H13" s="65"/>
      <c r="I13" s="1"/>
    </row>
    <row r="14" spans="1:17" ht="15.6" x14ac:dyDescent="0.3">
      <c r="A14" s="1"/>
      <c r="B14" s="63" t="s">
        <v>129</v>
      </c>
      <c r="C14" s="92"/>
      <c r="D14" s="43"/>
      <c r="E14" s="43"/>
      <c r="F14" s="43" t="s">
        <v>130</v>
      </c>
      <c r="G14" s="64"/>
      <c r="H14" s="65"/>
      <c r="I14" s="1"/>
    </row>
    <row r="15" spans="1:17" ht="15.6" x14ac:dyDescent="0.3">
      <c r="A15" s="1"/>
      <c r="B15" s="59" t="s">
        <v>16</v>
      </c>
      <c r="C15" s="98" t="s">
        <v>140</v>
      </c>
      <c r="D15" s="66"/>
      <c r="E15" s="60"/>
      <c r="F15" s="60" t="s">
        <v>27</v>
      </c>
      <c r="G15" s="60"/>
      <c r="H15" s="62"/>
      <c r="I15" s="1"/>
    </row>
    <row r="16" spans="1:17" ht="16.8" x14ac:dyDescent="0.4">
      <c r="A16" s="1"/>
      <c r="B16" s="63" t="s">
        <v>1</v>
      </c>
      <c r="C16" s="91"/>
      <c r="D16" s="43"/>
      <c r="E16" s="43"/>
      <c r="F16" s="67" t="s">
        <v>73</v>
      </c>
      <c r="G16" s="94" t="s">
        <v>133</v>
      </c>
      <c r="H16" s="65"/>
      <c r="I16" s="1"/>
    </row>
    <row r="17" spans="1:16" ht="16.2" thickBot="1" x14ac:dyDescent="0.35">
      <c r="A17" s="1"/>
      <c r="B17" s="68" t="s">
        <v>3</v>
      </c>
      <c r="C17" s="93" t="s">
        <v>127</v>
      </c>
      <c r="D17" s="69"/>
      <c r="E17" s="70"/>
      <c r="F17" s="114" t="s">
        <v>17</v>
      </c>
      <c r="G17" s="114"/>
      <c r="H17" s="115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6" t="s">
        <v>18</v>
      </c>
      <c r="C20" s="117"/>
      <c r="D20" s="117"/>
      <c r="E20" s="117"/>
      <c r="F20" s="117"/>
      <c r="G20" s="117"/>
      <c r="H20" s="118"/>
      <c r="I20" s="1"/>
    </row>
    <row r="21" spans="1:16" ht="15.6" x14ac:dyDescent="0.3">
      <c r="A21" s="1"/>
      <c r="B21" s="71" t="s">
        <v>19</v>
      </c>
      <c r="C21" s="72" t="s">
        <v>20</v>
      </c>
      <c r="D21" s="72" t="s">
        <v>21</v>
      </c>
      <c r="E21" s="72" t="s">
        <v>7</v>
      </c>
      <c r="F21" s="73" t="s">
        <v>22</v>
      </c>
      <c r="G21" s="71" t="s">
        <v>23</v>
      </c>
      <c r="H21" s="73" t="s">
        <v>4</v>
      </c>
      <c r="I21" s="1"/>
    </row>
    <row r="22" spans="1:16" ht="18" customHeight="1" x14ac:dyDescent="0.3">
      <c r="A22" s="1"/>
      <c r="B22" s="88">
        <v>1</v>
      </c>
      <c r="C22" s="88" t="s">
        <v>61</v>
      </c>
      <c r="D22" s="90">
        <v>910</v>
      </c>
      <c r="E22" s="90">
        <v>397</v>
      </c>
      <c r="F22" s="88" t="s">
        <v>134</v>
      </c>
      <c r="G22" s="89">
        <v>28504</v>
      </c>
      <c r="H22" s="89">
        <f>G22*B22</f>
        <v>28504</v>
      </c>
      <c r="I22" s="1"/>
      <c r="J22" s="8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88">
        <v>2</v>
      </c>
      <c r="C23" s="88" t="s">
        <v>61</v>
      </c>
      <c r="D23" s="90">
        <v>910</v>
      </c>
      <c r="E23" s="90">
        <v>387</v>
      </c>
      <c r="F23" s="88" t="s">
        <v>134</v>
      </c>
      <c r="G23" s="89">
        <v>27862</v>
      </c>
      <c r="H23" s="89">
        <f t="shared" ref="H23:H43" si="0">G23*B23</f>
        <v>55724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88">
        <v>2</v>
      </c>
      <c r="C24" s="88" t="s">
        <v>61</v>
      </c>
      <c r="D24" s="90">
        <v>555</v>
      </c>
      <c r="E24" s="90">
        <v>297</v>
      </c>
      <c r="F24" s="88" t="s">
        <v>134</v>
      </c>
      <c r="G24" s="89">
        <v>15084</v>
      </c>
      <c r="H24" s="89">
        <f t="shared" si="0"/>
        <v>30168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88">
        <v>2</v>
      </c>
      <c r="C25" s="88" t="s">
        <v>61</v>
      </c>
      <c r="D25" s="90">
        <v>675</v>
      </c>
      <c r="E25" s="90">
        <v>297</v>
      </c>
      <c r="F25" s="88" t="s">
        <v>134</v>
      </c>
      <c r="G25" s="89">
        <v>17409</v>
      </c>
      <c r="H25" s="89">
        <f t="shared" si="0"/>
        <v>34818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88">
        <v>1</v>
      </c>
      <c r="C26" s="88" t="s">
        <v>61</v>
      </c>
      <c r="D26" s="90">
        <v>550</v>
      </c>
      <c r="E26" s="90">
        <v>497</v>
      </c>
      <c r="F26" s="88" t="s">
        <v>134</v>
      </c>
      <c r="G26" s="89">
        <v>22955</v>
      </c>
      <c r="H26" s="89">
        <f t="shared" si="0"/>
        <v>22955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88">
        <v>2</v>
      </c>
      <c r="C27" s="88" t="s">
        <v>61</v>
      </c>
      <c r="D27" s="90">
        <v>910</v>
      </c>
      <c r="E27" s="90">
        <v>297</v>
      </c>
      <c r="F27" s="88" t="s">
        <v>134</v>
      </c>
      <c r="G27" s="89">
        <v>22080</v>
      </c>
      <c r="H27" s="89">
        <f t="shared" si="0"/>
        <v>44160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88">
        <v>3</v>
      </c>
      <c r="C28" s="88" t="s">
        <v>61</v>
      </c>
      <c r="D28" s="90">
        <v>697</v>
      </c>
      <c r="E28" s="90">
        <v>397</v>
      </c>
      <c r="F28" s="88" t="s">
        <v>134</v>
      </c>
      <c r="G28" s="89">
        <v>22846</v>
      </c>
      <c r="H28" s="89">
        <f t="shared" si="0"/>
        <v>68538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88">
        <v>1</v>
      </c>
      <c r="C29" s="88" t="s">
        <v>61</v>
      </c>
      <c r="D29" s="90">
        <v>697</v>
      </c>
      <c r="E29" s="90">
        <v>597</v>
      </c>
      <c r="F29" s="88" t="s">
        <v>134</v>
      </c>
      <c r="G29" s="89">
        <v>34022</v>
      </c>
      <c r="H29" s="89">
        <f t="shared" si="0"/>
        <v>34022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88">
        <v>1</v>
      </c>
      <c r="C30" s="88" t="s">
        <v>61</v>
      </c>
      <c r="D30" s="90">
        <v>697</v>
      </c>
      <c r="E30" s="90">
        <v>495</v>
      </c>
      <c r="F30" s="88" t="s">
        <v>134</v>
      </c>
      <c r="G30" s="89">
        <v>27745</v>
      </c>
      <c r="H30" s="89">
        <f t="shared" si="0"/>
        <v>27745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88">
        <v>1</v>
      </c>
      <c r="C31" s="88" t="s">
        <v>61</v>
      </c>
      <c r="D31" s="90">
        <v>597</v>
      </c>
      <c r="E31" s="90">
        <v>100</v>
      </c>
      <c r="F31" s="88" t="s">
        <v>134</v>
      </c>
      <c r="G31" s="89">
        <v>8993</v>
      </c>
      <c r="H31" s="89">
        <f t="shared" si="0"/>
        <v>8993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88">
        <v>2</v>
      </c>
      <c r="C32" s="88" t="s">
        <v>61</v>
      </c>
      <c r="D32" s="90">
        <v>910</v>
      </c>
      <c r="E32" s="90">
        <v>497</v>
      </c>
      <c r="F32" s="88" t="s">
        <v>134</v>
      </c>
      <c r="G32" s="89">
        <v>36087</v>
      </c>
      <c r="H32" s="89">
        <f t="shared" si="0"/>
        <v>72174</v>
      </c>
      <c r="I32" s="1"/>
      <c r="K32" s="17"/>
      <c r="L32" s="26"/>
      <c r="M32" s="17"/>
      <c r="N32" s="17"/>
      <c r="O32" s="26"/>
      <c r="P32" s="33"/>
    </row>
    <row r="33" spans="1:16" ht="18" customHeight="1" x14ac:dyDescent="0.3">
      <c r="A33" s="1"/>
      <c r="B33" s="88">
        <v>1</v>
      </c>
      <c r="C33" s="88" t="s">
        <v>61</v>
      </c>
      <c r="D33" s="90">
        <v>910</v>
      </c>
      <c r="E33" s="90">
        <v>320</v>
      </c>
      <c r="F33" s="88" t="s">
        <v>134</v>
      </c>
      <c r="G33" s="89">
        <v>23558</v>
      </c>
      <c r="H33" s="89">
        <f t="shared" si="0"/>
        <v>23558</v>
      </c>
      <c r="I33" s="1"/>
      <c r="K33" s="17"/>
      <c r="L33" s="26"/>
      <c r="M33" s="17"/>
      <c r="N33" s="17"/>
      <c r="O33" s="26"/>
      <c r="P33" s="33"/>
    </row>
    <row r="34" spans="1:16" ht="18" customHeight="1" x14ac:dyDescent="0.3">
      <c r="A34" s="1"/>
      <c r="B34" s="88">
        <v>2</v>
      </c>
      <c r="C34" s="88" t="s">
        <v>61</v>
      </c>
      <c r="D34" s="90">
        <v>697</v>
      </c>
      <c r="E34" s="90">
        <v>497</v>
      </c>
      <c r="F34" s="88" t="s">
        <v>134</v>
      </c>
      <c r="G34" s="89">
        <v>27844</v>
      </c>
      <c r="H34" s="89">
        <f t="shared" si="0"/>
        <v>55688</v>
      </c>
      <c r="I34" s="1"/>
      <c r="K34" s="17"/>
      <c r="L34" s="26"/>
      <c r="M34" s="17"/>
      <c r="N34" s="17"/>
      <c r="O34" s="26"/>
      <c r="P34" s="33"/>
    </row>
    <row r="35" spans="1:16" ht="18" customHeight="1" x14ac:dyDescent="0.3">
      <c r="A35" s="1"/>
      <c r="B35" s="88">
        <v>1</v>
      </c>
      <c r="C35" s="88" t="s">
        <v>61</v>
      </c>
      <c r="D35" s="90">
        <v>697</v>
      </c>
      <c r="E35" s="90">
        <v>475</v>
      </c>
      <c r="F35" s="88" t="s">
        <v>134</v>
      </c>
      <c r="G35" s="89">
        <v>26745</v>
      </c>
      <c r="H35" s="89">
        <f t="shared" si="0"/>
        <v>26745</v>
      </c>
      <c r="I35" s="1"/>
    </row>
    <row r="36" spans="1:16" ht="15.6" x14ac:dyDescent="0.3">
      <c r="A36" s="1"/>
      <c r="B36" s="88">
        <v>2</v>
      </c>
      <c r="C36" s="88" t="s">
        <v>61</v>
      </c>
      <c r="D36" s="90">
        <v>697</v>
      </c>
      <c r="E36" s="90">
        <v>275</v>
      </c>
      <c r="F36" s="88" t="s">
        <v>134</v>
      </c>
      <c r="G36" s="89">
        <v>16747</v>
      </c>
      <c r="H36" s="89">
        <f t="shared" si="0"/>
        <v>33494</v>
      </c>
      <c r="I36" s="1"/>
    </row>
    <row r="37" spans="1:16" ht="15.6" x14ac:dyDescent="0.3">
      <c r="A37" s="1"/>
      <c r="B37" s="88">
        <v>2</v>
      </c>
      <c r="C37" s="88" t="s">
        <v>61</v>
      </c>
      <c r="D37" s="90">
        <v>697</v>
      </c>
      <c r="E37" s="90">
        <v>481</v>
      </c>
      <c r="F37" s="88" t="s">
        <v>134</v>
      </c>
      <c r="G37" s="89">
        <v>27411</v>
      </c>
      <c r="H37" s="89">
        <f t="shared" si="0"/>
        <v>54822</v>
      </c>
      <c r="I37" s="1"/>
    </row>
    <row r="38" spans="1:16" ht="15.6" x14ac:dyDescent="0.3">
      <c r="A38" s="1"/>
      <c r="B38" s="88">
        <v>2</v>
      </c>
      <c r="C38" s="88" t="s">
        <v>61</v>
      </c>
      <c r="D38" s="90">
        <v>420</v>
      </c>
      <c r="E38" s="90">
        <v>485</v>
      </c>
      <c r="F38" s="88" t="s">
        <v>134</v>
      </c>
      <c r="G38" s="89">
        <v>18675</v>
      </c>
      <c r="H38" s="89">
        <f t="shared" si="0"/>
        <v>37350</v>
      </c>
      <c r="I38" s="1"/>
    </row>
    <row r="39" spans="1:16" ht="15.6" x14ac:dyDescent="0.3">
      <c r="A39" s="1"/>
      <c r="B39" s="88">
        <v>2</v>
      </c>
      <c r="C39" s="88" t="s">
        <v>61</v>
      </c>
      <c r="D39" s="90">
        <v>910</v>
      </c>
      <c r="E39" s="90">
        <v>481</v>
      </c>
      <c r="F39" s="88" t="s">
        <v>134</v>
      </c>
      <c r="G39" s="89">
        <v>34926</v>
      </c>
      <c r="H39" s="89">
        <f t="shared" si="0"/>
        <v>69852</v>
      </c>
      <c r="I39" s="1"/>
    </row>
    <row r="40" spans="1:16" ht="15.6" x14ac:dyDescent="0.3">
      <c r="A40" s="1"/>
      <c r="B40" s="88">
        <v>1</v>
      </c>
      <c r="C40" s="88" t="s">
        <v>61</v>
      </c>
      <c r="D40" s="90">
        <v>1525</v>
      </c>
      <c r="E40" s="90">
        <v>235</v>
      </c>
      <c r="F40" s="88" t="s">
        <v>134</v>
      </c>
      <c r="G40" s="89">
        <v>27663</v>
      </c>
      <c r="H40" s="89">
        <f t="shared" si="0"/>
        <v>27663</v>
      </c>
      <c r="I40" s="1"/>
    </row>
    <row r="41" spans="1:16" ht="15.6" x14ac:dyDescent="0.3">
      <c r="A41" s="1"/>
      <c r="B41" s="88">
        <v>1</v>
      </c>
      <c r="C41" s="88" t="s">
        <v>61</v>
      </c>
      <c r="D41" s="90">
        <v>598</v>
      </c>
      <c r="E41" s="90">
        <v>235</v>
      </c>
      <c r="F41" s="88" t="s">
        <v>134</v>
      </c>
      <c r="G41" s="89">
        <v>11686</v>
      </c>
      <c r="H41" s="89">
        <f t="shared" si="0"/>
        <v>11686</v>
      </c>
      <c r="I41" s="1"/>
    </row>
    <row r="42" spans="1:16" ht="15.6" x14ac:dyDescent="0.3">
      <c r="A42" s="1"/>
      <c r="B42" s="88">
        <v>1</v>
      </c>
      <c r="C42" s="88" t="s">
        <v>135</v>
      </c>
      <c r="D42" s="90">
        <v>1500</v>
      </c>
      <c r="E42" s="90">
        <v>600</v>
      </c>
      <c r="F42" s="88" t="s">
        <v>134</v>
      </c>
      <c r="G42" s="89">
        <v>17000</v>
      </c>
      <c r="H42" s="89">
        <f t="shared" si="0"/>
        <v>17000</v>
      </c>
      <c r="I42" s="1"/>
    </row>
    <row r="43" spans="1:16" ht="15.6" x14ac:dyDescent="0.3">
      <c r="A43" s="1"/>
      <c r="B43" s="88">
        <v>1</v>
      </c>
      <c r="C43" s="88" t="s">
        <v>135</v>
      </c>
      <c r="D43" s="90">
        <v>500</v>
      </c>
      <c r="E43" s="90">
        <v>350</v>
      </c>
      <c r="F43" s="88" t="s">
        <v>134</v>
      </c>
      <c r="G43" s="89">
        <v>5000</v>
      </c>
      <c r="H43" s="89">
        <f t="shared" si="0"/>
        <v>5000</v>
      </c>
      <c r="I43" s="1"/>
    </row>
    <row r="44" spans="1:16" ht="16.2" thickBo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16" ht="15.6" x14ac:dyDescent="0.3">
      <c r="G45" s="106" t="s">
        <v>5</v>
      </c>
      <c r="H45" s="107">
        <f>SUM(H22:H44)</f>
        <v>790659</v>
      </c>
    </row>
    <row r="46" spans="1:16" ht="15.6" x14ac:dyDescent="0.3">
      <c r="G46" s="108" t="s">
        <v>136</v>
      </c>
      <c r="H46" s="109">
        <f>H45*19%</f>
        <v>150225.21</v>
      </c>
    </row>
    <row r="47" spans="1:16" ht="16.2" thickBot="1" x14ac:dyDescent="0.35">
      <c r="G47" s="110" t="s">
        <v>4</v>
      </c>
      <c r="H47" s="111">
        <f>H45+H46</f>
        <v>940884.21</v>
      </c>
    </row>
    <row r="51" spans="2:2" ht="15.6" x14ac:dyDescent="0.3">
      <c r="B51" s="74" t="s">
        <v>131</v>
      </c>
    </row>
    <row r="52" spans="2:2" ht="15.6" x14ac:dyDescent="0.3">
      <c r="B52" s="74" t="s">
        <v>132</v>
      </c>
    </row>
    <row r="53" spans="2:2" ht="15.6" x14ac:dyDescent="0.3">
      <c r="B53" s="1" t="s">
        <v>24</v>
      </c>
    </row>
  </sheetData>
  <sortState xmlns:xlrd2="http://schemas.microsoft.com/office/spreadsheetml/2017/richdata2" ref="B52">
    <sortCondition sortBy="fontColor" ref="B52" dxfId="0"/>
  </sortState>
  <mergeCells count="2">
    <mergeCell ref="F17:H17"/>
    <mergeCell ref="B20:H2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29</v>
      </c>
      <c r="C2" s="119"/>
      <c r="D2" s="119"/>
      <c r="E2" s="18"/>
      <c r="G2" s="119" t="s">
        <v>68</v>
      </c>
      <c r="H2" s="119"/>
      <c r="I2" s="119"/>
      <c r="P2" s="120" t="s">
        <v>56</v>
      </c>
      <c r="Q2" s="120"/>
      <c r="R2" s="120"/>
    </row>
    <row r="3" spans="2:18" x14ac:dyDescent="0.3">
      <c r="B3" s="11" t="s">
        <v>6</v>
      </c>
      <c r="C3" s="11" t="s">
        <v>7</v>
      </c>
      <c r="D3" s="11" t="s">
        <v>20</v>
      </c>
      <c r="E3" s="19"/>
      <c r="G3" s="11" t="s">
        <v>6</v>
      </c>
      <c r="H3" s="11" t="s">
        <v>7</v>
      </c>
      <c r="I3" s="11" t="s">
        <v>20</v>
      </c>
      <c r="P3" s="11" t="s">
        <v>6</v>
      </c>
      <c r="Q3" s="11" t="s">
        <v>7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20" t="s">
        <v>56</v>
      </c>
      <c r="M8" s="120"/>
      <c r="N8" s="120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6</v>
      </c>
      <c r="M9" s="11" t="s">
        <v>7</v>
      </c>
      <c r="N9" s="11" t="s">
        <v>20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123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5"/>
  <sheetViews>
    <sheetView topLeftCell="A87" zoomScaleNormal="100" workbookViewId="0">
      <selection activeCell="A99" sqref="A99:G144"/>
    </sheetView>
  </sheetViews>
  <sheetFormatPr baseColWidth="10" defaultRowHeight="14.4" x14ac:dyDescent="0.3"/>
  <cols>
    <col min="2" max="2" width="13.88671875" customWidth="1"/>
    <col min="3" max="3" width="13.5546875" customWidth="1"/>
    <col min="4" max="4" width="24.109375" customWidth="1"/>
    <col min="5" max="5" width="13.77734375" customWidth="1"/>
    <col min="6" max="6" width="11" customWidth="1"/>
    <col min="7" max="7" width="28.4414062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4" t="s">
        <v>122</v>
      </c>
      <c r="M2" s="34"/>
      <c r="N2" s="34"/>
    </row>
    <row r="3" spans="1:15" ht="15.6" x14ac:dyDescent="0.3">
      <c r="B3" s="1"/>
      <c r="C3" s="1"/>
      <c r="D3" s="1"/>
      <c r="E3" s="1"/>
      <c r="F3" s="1"/>
      <c r="G3" s="1"/>
      <c r="H3" s="1"/>
      <c r="L3" s="121" t="s">
        <v>59</v>
      </c>
      <c r="M3" s="121"/>
      <c r="N3" s="121" t="s">
        <v>13</v>
      </c>
      <c r="O3" s="121"/>
    </row>
    <row r="4" spans="1:15" ht="15.75" customHeight="1" x14ac:dyDescent="0.3">
      <c r="B4" s="1"/>
      <c r="C4" s="1"/>
      <c r="D4" s="40" t="s">
        <v>25</v>
      </c>
      <c r="E4" s="14">
        <f>'4637'!G8</f>
        <v>7342</v>
      </c>
      <c r="F4" s="1"/>
      <c r="G4" s="1"/>
      <c r="H4" s="1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">
      <c r="B5" s="1"/>
      <c r="C5" s="1"/>
      <c r="D5" s="41" t="s">
        <v>65</v>
      </c>
      <c r="E5" s="42" t="str">
        <f>'4637'!C10</f>
        <v>MARMOLES RAIN</v>
      </c>
      <c r="F5" s="43"/>
      <c r="G5" s="43"/>
      <c r="H5" s="1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">
      <c r="B6" s="1"/>
      <c r="C6" s="1"/>
      <c r="D6" s="44"/>
      <c r="E6" s="45"/>
      <c r="F6" s="1"/>
      <c r="G6" s="1"/>
      <c r="H6" s="1"/>
    </row>
    <row r="7" spans="1:15" ht="15.6" x14ac:dyDescent="0.3">
      <c r="B7" s="1"/>
      <c r="C7" s="1"/>
      <c r="D7" s="76" t="str">
        <f>'4637'!F11</f>
        <v>FECHA LIMITE :</v>
      </c>
      <c r="E7" s="13">
        <f>'4637'!G11</f>
        <v>46008</v>
      </c>
      <c r="F7" s="1"/>
      <c r="G7" s="1"/>
      <c r="H7" s="1"/>
    </row>
    <row r="8" spans="1:15" ht="15.6" x14ac:dyDescent="0.3">
      <c r="B8" s="1"/>
      <c r="C8" s="1"/>
      <c r="D8" s="53" t="s">
        <v>121</v>
      </c>
      <c r="E8" s="1"/>
      <c r="F8" s="1"/>
      <c r="G8" s="1"/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2" t="s">
        <v>59</v>
      </c>
      <c r="C10" s="122"/>
      <c r="D10" s="122"/>
      <c r="E10" s="122"/>
      <c r="F10" s="122"/>
      <c r="G10" s="122"/>
      <c r="H10" s="1"/>
    </row>
    <row r="11" spans="1:15" ht="15.6" x14ac:dyDescent="0.3">
      <c r="B11" s="1"/>
      <c r="C11" s="1"/>
      <c r="D11" s="12"/>
      <c r="E11" s="1"/>
      <c r="F11" s="1"/>
      <c r="G11" s="1"/>
      <c r="H11" s="1"/>
    </row>
    <row r="12" spans="1:15" ht="15.6" x14ac:dyDescent="0.3">
      <c r="B12" s="1"/>
      <c r="C12" s="1"/>
      <c r="D12" s="1"/>
      <c r="E12" s="52" t="s">
        <v>6</v>
      </c>
      <c r="F12" s="52" t="s">
        <v>7</v>
      </c>
      <c r="G12" s="1"/>
      <c r="H12" s="1"/>
    </row>
    <row r="13" spans="1:15" ht="15.6" x14ac:dyDescent="0.3">
      <c r="B13" s="52" t="s">
        <v>8</v>
      </c>
      <c r="C13" s="37" t="s">
        <v>9</v>
      </c>
      <c r="D13" s="37" t="s">
        <v>10</v>
      </c>
      <c r="E13" s="32">
        <v>50</v>
      </c>
      <c r="F13" s="32">
        <v>-2</v>
      </c>
      <c r="G13" s="37" t="s">
        <v>108</v>
      </c>
      <c r="H13" s="1"/>
      <c r="K13" s="5" t="s">
        <v>6</v>
      </c>
      <c r="L13" s="5" t="s">
        <v>7</v>
      </c>
    </row>
    <row r="14" spans="1:15" ht="16.2" customHeight="1" x14ac:dyDescent="0.3">
      <c r="A14" s="2">
        <v>1</v>
      </c>
      <c r="B14" s="85" t="s">
        <v>137</v>
      </c>
      <c r="C14" s="25">
        <f t="shared" ref="C14" si="0">J14</f>
        <v>1</v>
      </c>
      <c r="D14" s="25"/>
      <c r="E14" s="25">
        <f>K14+E$13</f>
        <v>960</v>
      </c>
      <c r="F14" s="35">
        <f t="shared" ref="F14:F33" si="1">L14+F$13</f>
        <v>395</v>
      </c>
      <c r="G14" s="86" t="str">
        <f t="shared" ref="G14:G17" si="2">D68</f>
        <v>PR6</v>
      </c>
      <c r="H14" s="1"/>
      <c r="J14" s="3">
        <f>J41</f>
        <v>1</v>
      </c>
      <c r="K14" s="4">
        <f>K41</f>
        <v>910</v>
      </c>
      <c r="L14" s="4">
        <f t="shared" ref="L14:L17" si="3">F68</f>
        <v>397</v>
      </c>
    </row>
    <row r="15" spans="1:15" ht="16.2" customHeight="1" x14ac:dyDescent="0.3">
      <c r="A15" s="2">
        <f>A14+1</f>
        <v>2</v>
      </c>
      <c r="B15" s="85"/>
      <c r="C15" s="25">
        <f t="shared" ref="C15:C17" si="4">J15</f>
        <v>2</v>
      </c>
      <c r="D15" s="25"/>
      <c r="E15" s="25">
        <f t="shared" ref="E15:E33" si="5">K15+E$13</f>
        <v>960</v>
      </c>
      <c r="F15" s="35">
        <f t="shared" si="1"/>
        <v>385</v>
      </c>
      <c r="G15" s="86" t="str">
        <f t="shared" si="2"/>
        <v>PR6</v>
      </c>
      <c r="H15" s="1"/>
      <c r="J15" s="3">
        <v>2</v>
      </c>
      <c r="K15" s="4">
        <f>K42</f>
        <v>910</v>
      </c>
      <c r="L15" s="4">
        <f t="shared" si="3"/>
        <v>387</v>
      </c>
    </row>
    <row r="16" spans="1:15" ht="16.2" customHeight="1" x14ac:dyDescent="0.3">
      <c r="A16" s="2">
        <f t="shared" ref="A16:A33" si="6">A15+1</f>
        <v>3</v>
      </c>
      <c r="B16" s="85"/>
      <c r="C16" s="25">
        <f t="shared" si="4"/>
        <v>2</v>
      </c>
      <c r="D16" s="25"/>
      <c r="E16" s="25">
        <f t="shared" si="5"/>
        <v>605</v>
      </c>
      <c r="F16" s="35">
        <f t="shared" si="1"/>
        <v>295</v>
      </c>
      <c r="G16" s="86" t="str">
        <f t="shared" si="2"/>
        <v>PR6</v>
      </c>
      <c r="H16" s="1"/>
      <c r="J16" s="3">
        <f t="shared" ref="J16:K16" si="7">J43</f>
        <v>2</v>
      </c>
      <c r="K16" s="4">
        <f t="shared" si="7"/>
        <v>555</v>
      </c>
      <c r="L16" s="4">
        <f t="shared" si="3"/>
        <v>297</v>
      </c>
    </row>
    <row r="17" spans="1:12" ht="16.2" customHeight="1" x14ac:dyDescent="0.3">
      <c r="A17" s="2">
        <f t="shared" si="6"/>
        <v>4</v>
      </c>
      <c r="B17" s="85"/>
      <c r="C17" s="25">
        <f t="shared" si="4"/>
        <v>2</v>
      </c>
      <c r="D17" s="25"/>
      <c r="E17" s="25">
        <f t="shared" si="5"/>
        <v>725</v>
      </c>
      <c r="F17" s="35">
        <f t="shared" si="1"/>
        <v>295</v>
      </c>
      <c r="G17" s="86" t="str">
        <f t="shared" si="2"/>
        <v>PR6</v>
      </c>
      <c r="H17" s="1"/>
      <c r="J17" s="3">
        <f t="shared" ref="J17:K17" si="8">J44</f>
        <v>2</v>
      </c>
      <c r="K17" s="4">
        <f t="shared" si="8"/>
        <v>675</v>
      </c>
      <c r="L17" s="4">
        <f t="shared" si="3"/>
        <v>297</v>
      </c>
    </row>
    <row r="18" spans="1:12" ht="16.2" customHeight="1" x14ac:dyDescent="0.3">
      <c r="A18" s="2">
        <f t="shared" si="6"/>
        <v>5</v>
      </c>
      <c r="B18" s="85"/>
      <c r="C18" s="25">
        <f t="shared" ref="C18:C34" si="9">J18</f>
        <v>1</v>
      </c>
      <c r="D18" s="25"/>
      <c r="E18" s="25">
        <f t="shared" si="5"/>
        <v>600</v>
      </c>
      <c r="F18" s="35">
        <f t="shared" si="1"/>
        <v>495</v>
      </c>
      <c r="G18" s="86" t="str">
        <f t="shared" ref="G18:G33" si="10">D72</f>
        <v>PR6</v>
      </c>
      <c r="H18" s="1"/>
      <c r="J18" s="3">
        <f t="shared" ref="J18:K18" si="11">J45</f>
        <v>1</v>
      </c>
      <c r="K18" s="4">
        <f t="shared" si="11"/>
        <v>550</v>
      </c>
      <c r="L18" s="4">
        <f t="shared" ref="L18:L33" si="12">F72</f>
        <v>497</v>
      </c>
    </row>
    <row r="19" spans="1:12" ht="16.2" customHeight="1" x14ac:dyDescent="0.3">
      <c r="A19" s="2">
        <f t="shared" si="6"/>
        <v>6</v>
      </c>
      <c r="B19" s="85"/>
      <c r="C19" s="25">
        <f t="shared" si="9"/>
        <v>2</v>
      </c>
      <c r="D19" s="25"/>
      <c r="E19" s="25">
        <f t="shared" si="5"/>
        <v>960</v>
      </c>
      <c r="F19" s="35">
        <f t="shared" si="1"/>
        <v>295</v>
      </c>
      <c r="G19" s="86" t="str">
        <f t="shared" si="10"/>
        <v>PR6</v>
      </c>
      <c r="H19" s="1"/>
      <c r="J19" s="3">
        <f t="shared" ref="J19:K19" si="13">J46</f>
        <v>2</v>
      </c>
      <c r="K19" s="4">
        <f t="shared" si="13"/>
        <v>910</v>
      </c>
      <c r="L19" s="4">
        <f t="shared" si="12"/>
        <v>297</v>
      </c>
    </row>
    <row r="20" spans="1:12" ht="16.2" customHeight="1" x14ac:dyDescent="0.3">
      <c r="A20" s="2">
        <f t="shared" si="6"/>
        <v>7</v>
      </c>
      <c r="B20" s="85"/>
      <c r="C20" s="25">
        <f t="shared" si="9"/>
        <v>3</v>
      </c>
      <c r="D20" s="25"/>
      <c r="E20" s="25">
        <f t="shared" si="5"/>
        <v>747</v>
      </c>
      <c r="F20" s="35">
        <f t="shared" si="1"/>
        <v>395</v>
      </c>
      <c r="G20" s="86" t="str">
        <f t="shared" si="10"/>
        <v>PR6</v>
      </c>
      <c r="H20" s="1"/>
      <c r="J20" s="3">
        <f t="shared" ref="J20:K20" si="14">J47</f>
        <v>3</v>
      </c>
      <c r="K20" s="4">
        <f t="shared" si="14"/>
        <v>697</v>
      </c>
      <c r="L20" s="4">
        <f t="shared" si="12"/>
        <v>397</v>
      </c>
    </row>
    <row r="21" spans="1:12" ht="16.2" customHeight="1" x14ac:dyDescent="0.3">
      <c r="A21" s="2">
        <f t="shared" si="6"/>
        <v>8</v>
      </c>
      <c r="B21" s="85"/>
      <c r="C21" s="25">
        <f t="shared" si="9"/>
        <v>1</v>
      </c>
      <c r="D21" s="25"/>
      <c r="E21" s="25">
        <f t="shared" si="5"/>
        <v>747</v>
      </c>
      <c r="F21" s="35">
        <f t="shared" si="1"/>
        <v>595</v>
      </c>
      <c r="G21" s="86" t="str">
        <f t="shared" si="10"/>
        <v>PR6</v>
      </c>
      <c r="H21" s="1"/>
      <c r="J21" s="3">
        <f t="shared" ref="J21:K21" si="15">J48</f>
        <v>1</v>
      </c>
      <c r="K21" s="4">
        <f t="shared" si="15"/>
        <v>697</v>
      </c>
      <c r="L21" s="4">
        <f t="shared" si="12"/>
        <v>597</v>
      </c>
    </row>
    <row r="22" spans="1:12" ht="16.2" customHeight="1" x14ac:dyDescent="0.3">
      <c r="A22" s="2">
        <f t="shared" si="6"/>
        <v>9</v>
      </c>
      <c r="B22" s="85"/>
      <c r="C22" s="25">
        <f t="shared" si="9"/>
        <v>1</v>
      </c>
      <c r="D22" s="25"/>
      <c r="E22" s="25">
        <f t="shared" si="5"/>
        <v>747</v>
      </c>
      <c r="F22" s="35">
        <f t="shared" si="1"/>
        <v>493</v>
      </c>
      <c r="G22" s="86" t="str">
        <f t="shared" si="10"/>
        <v>PR6</v>
      </c>
      <c r="H22" s="1"/>
      <c r="J22" s="3">
        <f t="shared" ref="J22:K22" si="16">J49</f>
        <v>1</v>
      </c>
      <c r="K22" s="4">
        <f t="shared" si="16"/>
        <v>697</v>
      </c>
      <c r="L22" s="4">
        <f t="shared" si="12"/>
        <v>495</v>
      </c>
    </row>
    <row r="23" spans="1:12" ht="16.2" customHeight="1" x14ac:dyDescent="0.3">
      <c r="A23" s="2">
        <f t="shared" si="6"/>
        <v>10</v>
      </c>
      <c r="B23" s="85"/>
      <c r="C23" s="25">
        <f t="shared" si="9"/>
        <v>1</v>
      </c>
      <c r="D23" s="25"/>
      <c r="E23" s="25">
        <f t="shared" si="5"/>
        <v>647</v>
      </c>
      <c r="F23" s="35">
        <f t="shared" si="1"/>
        <v>98</v>
      </c>
      <c r="G23" s="86" t="str">
        <f t="shared" si="10"/>
        <v>PR6</v>
      </c>
      <c r="H23" s="1"/>
      <c r="J23" s="3">
        <f t="shared" ref="J23:K23" si="17">J50</f>
        <v>1</v>
      </c>
      <c r="K23" s="4">
        <f t="shared" si="17"/>
        <v>597</v>
      </c>
      <c r="L23" s="4">
        <f t="shared" si="12"/>
        <v>100</v>
      </c>
    </row>
    <row r="24" spans="1:12" ht="16.2" customHeight="1" x14ac:dyDescent="0.3">
      <c r="A24" s="2">
        <f t="shared" si="6"/>
        <v>11</v>
      </c>
      <c r="B24" s="85"/>
      <c r="C24" s="25">
        <f t="shared" si="9"/>
        <v>2</v>
      </c>
      <c r="D24" s="25"/>
      <c r="E24" s="25">
        <f t="shared" si="5"/>
        <v>960</v>
      </c>
      <c r="F24" s="35">
        <f t="shared" si="1"/>
        <v>495</v>
      </c>
      <c r="G24" s="86" t="str">
        <f t="shared" si="10"/>
        <v>PR6</v>
      </c>
      <c r="H24" s="1"/>
      <c r="J24" s="3">
        <f t="shared" ref="J24:K24" si="18">J51</f>
        <v>2</v>
      </c>
      <c r="K24" s="4">
        <f t="shared" si="18"/>
        <v>910</v>
      </c>
      <c r="L24" s="4">
        <f t="shared" si="12"/>
        <v>497</v>
      </c>
    </row>
    <row r="25" spans="1:12" ht="16.2" customHeight="1" x14ac:dyDescent="0.3">
      <c r="A25" s="2">
        <f t="shared" si="6"/>
        <v>12</v>
      </c>
      <c r="B25" s="85"/>
      <c r="C25" s="25">
        <f t="shared" si="9"/>
        <v>1</v>
      </c>
      <c r="D25" s="25"/>
      <c r="E25" s="25">
        <f t="shared" si="5"/>
        <v>960</v>
      </c>
      <c r="F25" s="35">
        <f t="shared" si="1"/>
        <v>318</v>
      </c>
      <c r="G25" s="86" t="str">
        <f t="shared" si="10"/>
        <v>PR6</v>
      </c>
      <c r="H25" s="1"/>
      <c r="J25" s="3">
        <f t="shared" ref="J25:K25" si="19">J52</f>
        <v>1</v>
      </c>
      <c r="K25" s="4">
        <f t="shared" si="19"/>
        <v>910</v>
      </c>
      <c r="L25" s="4">
        <f t="shared" si="12"/>
        <v>320</v>
      </c>
    </row>
    <row r="26" spans="1:12" ht="16.2" customHeight="1" x14ac:dyDescent="0.3">
      <c r="A26" s="2">
        <f t="shared" si="6"/>
        <v>13</v>
      </c>
      <c r="B26" s="85"/>
      <c r="C26" s="25">
        <f t="shared" si="9"/>
        <v>2</v>
      </c>
      <c r="D26" s="25"/>
      <c r="E26" s="25">
        <f t="shared" si="5"/>
        <v>747</v>
      </c>
      <c r="F26" s="35">
        <f t="shared" si="1"/>
        <v>495</v>
      </c>
      <c r="G26" s="86" t="str">
        <f t="shared" si="10"/>
        <v>PR6</v>
      </c>
      <c r="H26" s="1"/>
      <c r="J26" s="3">
        <f t="shared" ref="J26:K26" si="20">J53</f>
        <v>2</v>
      </c>
      <c r="K26" s="4">
        <f t="shared" si="20"/>
        <v>697</v>
      </c>
      <c r="L26" s="4">
        <f t="shared" si="12"/>
        <v>497</v>
      </c>
    </row>
    <row r="27" spans="1:12" ht="16.2" customHeight="1" x14ac:dyDescent="0.3">
      <c r="A27" s="2">
        <f t="shared" si="6"/>
        <v>14</v>
      </c>
      <c r="B27" s="85"/>
      <c r="C27" s="25">
        <f t="shared" si="9"/>
        <v>1</v>
      </c>
      <c r="D27" s="25"/>
      <c r="E27" s="25">
        <f t="shared" si="5"/>
        <v>747</v>
      </c>
      <c r="F27" s="35">
        <f t="shared" si="1"/>
        <v>473</v>
      </c>
      <c r="G27" s="86" t="str">
        <f t="shared" si="10"/>
        <v>PR6</v>
      </c>
      <c r="H27" s="1"/>
      <c r="J27" s="3">
        <f t="shared" ref="J27:K27" si="21">J54</f>
        <v>1</v>
      </c>
      <c r="K27" s="4">
        <f t="shared" si="21"/>
        <v>697</v>
      </c>
      <c r="L27" s="4">
        <f t="shared" si="12"/>
        <v>475</v>
      </c>
    </row>
    <row r="28" spans="1:12" ht="16.2" customHeight="1" x14ac:dyDescent="0.3">
      <c r="A28" s="2">
        <f t="shared" si="6"/>
        <v>15</v>
      </c>
      <c r="B28" s="85"/>
      <c r="C28" s="25">
        <f t="shared" si="9"/>
        <v>2</v>
      </c>
      <c r="D28" s="25"/>
      <c r="E28" s="25">
        <f t="shared" si="5"/>
        <v>747</v>
      </c>
      <c r="F28" s="35">
        <f t="shared" si="1"/>
        <v>273</v>
      </c>
      <c r="G28" s="86" t="str">
        <f t="shared" si="10"/>
        <v>PR6</v>
      </c>
      <c r="H28" s="1"/>
      <c r="J28" s="3">
        <f t="shared" ref="J28:K28" si="22">J55</f>
        <v>2</v>
      </c>
      <c r="K28" s="4">
        <f t="shared" si="22"/>
        <v>697</v>
      </c>
      <c r="L28" s="4">
        <f t="shared" si="12"/>
        <v>275</v>
      </c>
    </row>
    <row r="29" spans="1:12" ht="16.2" customHeight="1" x14ac:dyDescent="0.3">
      <c r="A29" s="2">
        <f t="shared" si="6"/>
        <v>16</v>
      </c>
      <c r="B29" s="85"/>
      <c r="C29" s="25">
        <f t="shared" si="9"/>
        <v>2</v>
      </c>
      <c r="D29" s="25"/>
      <c r="E29" s="25">
        <f t="shared" si="5"/>
        <v>747</v>
      </c>
      <c r="F29" s="35">
        <f t="shared" si="1"/>
        <v>479</v>
      </c>
      <c r="G29" s="86" t="str">
        <f t="shared" si="10"/>
        <v>PR6</v>
      </c>
      <c r="H29" s="1"/>
      <c r="J29" s="3">
        <f t="shared" ref="J29:K29" si="23">J56</f>
        <v>2</v>
      </c>
      <c r="K29" s="4">
        <f t="shared" si="23"/>
        <v>697</v>
      </c>
      <c r="L29" s="4">
        <f t="shared" si="12"/>
        <v>481</v>
      </c>
    </row>
    <row r="30" spans="1:12" ht="16.2" customHeight="1" x14ac:dyDescent="0.3">
      <c r="A30" s="2">
        <f t="shared" si="6"/>
        <v>17</v>
      </c>
      <c r="B30" s="85"/>
      <c r="C30" s="25">
        <f t="shared" si="9"/>
        <v>2</v>
      </c>
      <c r="D30" s="25"/>
      <c r="E30" s="25">
        <f t="shared" si="5"/>
        <v>470</v>
      </c>
      <c r="F30" s="35">
        <f t="shared" si="1"/>
        <v>483</v>
      </c>
      <c r="G30" s="86" t="str">
        <f t="shared" si="10"/>
        <v>PR6</v>
      </c>
      <c r="H30" s="1"/>
      <c r="J30" s="3">
        <f t="shared" ref="J30:K30" si="24">J57</f>
        <v>2</v>
      </c>
      <c r="K30" s="4">
        <f t="shared" si="24"/>
        <v>420</v>
      </c>
      <c r="L30" s="4">
        <f t="shared" si="12"/>
        <v>485</v>
      </c>
    </row>
    <row r="31" spans="1:12" ht="16.2" customHeight="1" x14ac:dyDescent="0.3">
      <c r="A31" s="2">
        <f t="shared" si="6"/>
        <v>18</v>
      </c>
      <c r="B31" s="85"/>
      <c r="C31" s="25">
        <f t="shared" si="9"/>
        <v>2</v>
      </c>
      <c r="D31" s="25"/>
      <c r="E31" s="25">
        <f t="shared" si="5"/>
        <v>960</v>
      </c>
      <c r="F31" s="35">
        <f t="shared" si="1"/>
        <v>479</v>
      </c>
      <c r="G31" s="86" t="str">
        <f t="shared" si="10"/>
        <v>PR6</v>
      </c>
      <c r="H31" s="1"/>
      <c r="J31" s="3">
        <f t="shared" ref="J31:K31" si="25">J58</f>
        <v>2</v>
      </c>
      <c r="K31" s="4">
        <f t="shared" si="25"/>
        <v>910</v>
      </c>
      <c r="L31" s="4">
        <f t="shared" si="12"/>
        <v>481</v>
      </c>
    </row>
    <row r="32" spans="1:12" ht="16.2" customHeight="1" x14ac:dyDescent="0.3">
      <c r="A32" s="2">
        <f t="shared" si="6"/>
        <v>19</v>
      </c>
      <c r="B32" s="85"/>
      <c r="C32" s="25">
        <f t="shared" si="9"/>
        <v>1</v>
      </c>
      <c r="D32" s="25"/>
      <c r="E32" s="25">
        <f t="shared" si="5"/>
        <v>1575</v>
      </c>
      <c r="F32" s="35">
        <f t="shared" si="1"/>
        <v>233</v>
      </c>
      <c r="G32" s="86" t="str">
        <f t="shared" si="10"/>
        <v>PR6</v>
      </c>
      <c r="H32" s="1"/>
      <c r="J32" s="3">
        <f t="shared" ref="J32:K32" si="26">J59</f>
        <v>1</v>
      </c>
      <c r="K32" s="4">
        <f t="shared" si="26"/>
        <v>1525</v>
      </c>
      <c r="L32" s="4">
        <f t="shared" si="12"/>
        <v>235</v>
      </c>
    </row>
    <row r="33" spans="1:14" ht="16.2" customHeight="1" x14ac:dyDescent="0.3">
      <c r="A33" s="2">
        <f t="shared" si="6"/>
        <v>20</v>
      </c>
      <c r="B33" s="85"/>
      <c r="C33" s="25">
        <f t="shared" si="9"/>
        <v>1</v>
      </c>
      <c r="D33" s="25"/>
      <c r="E33" s="25">
        <f t="shared" si="5"/>
        <v>648</v>
      </c>
      <c r="F33" s="35">
        <f t="shared" si="1"/>
        <v>233</v>
      </c>
      <c r="G33" s="86" t="str">
        <f t="shared" si="10"/>
        <v>PR6</v>
      </c>
      <c r="H33" s="1"/>
      <c r="J33" s="3">
        <f t="shared" ref="J33:K33" si="27">J60</f>
        <v>1</v>
      </c>
      <c r="K33" s="4">
        <f t="shared" si="27"/>
        <v>598</v>
      </c>
      <c r="L33" s="4">
        <f t="shared" si="12"/>
        <v>235</v>
      </c>
    </row>
    <row r="34" spans="1:14" ht="16.2" customHeight="1" x14ac:dyDescent="0.3">
      <c r="B34" s="85"/>
      <c r="C34" s="6">
        <f t="shared" si="9"/>
        <v>32</v>
      </c>
      <c r="D34" s="6"/>
      <c r="E34" s="6"/>
      <c r="F34" s="78"/>
      <c r="G34" s="104"/>
      <c r="H34" s="1"/>
      <c r="J34" s="79">
        <f>SUM(J14:J33)</f>
        <v>32</v>
      </c>
      <c r="K34" s="2"/>
      <c r="L34" s="2"/>
    </row>
    <row r="35" spans="1:14" ht="15.6" x14ac:dyDescent="0.3">
      <c r="B35" s="52"/>
      <c r="C35" s="6"/>
      <c r="D35" s="6"/>
      <c r="E35" s="6"/>
      <c r="F35" s="78"/>
      <c r="G35" s="6"/>
      <c r="H35" s="1"/>
      <c r="J35" s="79"/>
      <c r="K35" s="2"/>
      <c r="L35" s="2"/>
    </row>
    <row r="36" spans="1:14" ht="6.75" customHeight="1" x14ac:dyDescent="0.3">
      <c r="B36" s="1"/>
      <c r="C36" s="1"/>
      <c r="D36" s="1"/>
      <c r="E36" s="1"/>
      <c r="F36" s="1"/>
      <c r="G36" s="1"/>
      <c r="H36" s="1"/>
    </row>
    <row r="37" spans="1:14" ht="15.6" x14ac:dyDescent="0.3">
      <c r="B37" s="122" t="s">
        <v>13</v>
      </c>
      <c r="C37" s="122"/>
      <c r="D37" s="122"/>
      <c r="E37" s="122"/>
      <c r="F37" s="122"/>
      <c r="G37" s="122"/>
      <c r="H37" s="1"/>
    </row>
    <row r="38" spans="1:14" ht="10.5" customHeight="1" x14ac:dyDescent="0.3">
      <c r="B38" s="1"/>
      <c r="C38" s="1"/>
      <c r="D38" s="12"/>
      <c r="E38" s="1"/>
      <c r="F38" s="1"/>
      <c r="G38" s="1"/>
      <c r="H38" s="1"/>
    </row>
    <row r="39" spans="1:14" ht="15.6" x14ac:dyDescent="0.3">
      <c r="B39" s="1"/>
      <c r="C39" s="1"/>
      <c r="D39" s="1"/>
      <c r="E39" s="52" t="s">
        <v>6</v>
      </c>
      <c r="F39" s="52" t="s">
        <v>7</v>
      </c>
      <c r="G39" s="1"/>
      <c r="H39" s="1"/>
    </row>
    <row r="40" spans="1:14" ht="15.6" x14ac:dyDescent="0.3">
      <c r="B40" s="52" t="s">
        <v>8</v>
      </c>
      <c r="C40" s="36" t="s">
        <v>9</v>
      </c>
      <c r="D40" s="36" t="s">
        <v>10</v>
      </c>
      <c r="E40" s="21">
        <v>40</v>
      </c>
      <c r="F40" s="21">
        <v>90</v>
      </c>
      <c r="G40" s="36" t="s">
        <v>108</v>
      </c>
      <c r="H40" s="1"/>
      <c r="K40" s="5" t="s">
        <v>6</v>
      </c>
      <c r="L40" s="5" t="s">
        <v>7</v>
      </c>
    </row>
    <row r="41" spans="1:14" ht="15.6" x14ac:dyDescent="0.3">
      <c r="A41" s="104">
        <v>1</v>
      </c>
      <c r="C41" s="16">
        <f t="shared" ref="C41" si="28">J41</f>
        <v>1</v>
      </c>
      <c r="D41" s="16"/>
      <c r="E41" s="16">
        <f>K41+E$40</f>
        <v>950</v>
      </c>
      <c r="F41" s="16">
        <f>L41+F$40</f>
        <v>487</v>
      </c>
      <c r="G41" s="87" t="str">
        <f>D68</f>
        <v>PR6</v>
      </c>
      <c r="H41" s="1"/>
      <c r="J41" s="3">
        <f>C68</f>
        <v>1</v>
      </c>
      <c r="K41" s="4">
        <f t="shared" ref="K41:L43" si="29">E68</f>
        <v>910</v>
      </c>
      <c r="L41" s="4">
        <f t="shared" si="29"/>
        <v>397</v>
      </c>
      <c r="N41">
        <v>185</v>
      </c>
    </row>
    <row r="42" spans="1:14" ht="15.6" x14ac:dyDescent="0.3">
      <c r="A42" s="104">
        <f>A41+1</f>
        <v>2</v>
      </c>
      <c r="C42" s="16">
        <f t="shared" ref="C42:C44" si="30">J42</f>
        <v>2</v>
      </c>
      <c r="D42" s="16"/>
      <c r="E42" s="16">
        <f t="shared" ref="E42:E60" si="31">K42+E$40</f>
        <v>950</v>
      </c>
      <c r="F42" s="16">
        <f t="shared" ref="F42:F60" si="32">L42+F$40</f>
        <v>477</v>
      </c>
      <c r="G42" s="87" t="str">
        <f>D69</f>
        <v>PR6</v>
      </c>
      <c r="H42" s="1"/>
      <c r="J42" s="3">
        <f t="shared" ref="J42:J62" si="33">C69</f>
        <v>2</v>
      </c>
      <c r="K42" s="4">
        <f t="shared" si="29"/>
        <v>910</v>
      </c>
      <c r="L42" s="4">
        <f t="shared" si="29"/>
        <v>387</v>
      </c>
    </row>
    <row r="43" spans="1:14" ht="15.6" x14ac:dyDescent="0.3">
      <c r="A43" s="104">
        <f t="shared" ref="A43:A62" si="34">A42+1</f>
        <v>3</v>
      </c>
      <c r="C43" s="16">
        <f t="shared" si="30"/>
        <v>2</v>
      </c>
      <c r="D43" s="16"/>
      <c r="E43" s="16">
        <f t="shared" si="31"/>
        <v>595</v>
      </c>
      <c r="F43" s="16">
        <f t="shared" si="32"/>
        <v>387</v>
      </c>
      <c r="G43" s="87" t="str">
        <f>D70</f>
        <v>PR6</v>
      </c>
      <c r="H43" s="1"/>
      <c r="J43" s="3">
        <f t="shared" si="33"/>
        <v>2</v>
      </c>
      <c r="K43" s="4">
        <f t="shared" si="29"/>
        <v>555</v>
      </c>
      <c r="L43" s="4">
        <f t="shared" si="29"/>
        <v>297</v>
      </c>
    </row>
    <row r="44" spans="1:14" ht="15.6" x14ac:dyDescent="0.3">
      <c r="A44" s="104">
        <f t="shared" si="34"/>
        <v>4</v>
      </c>
      <c r="C44" s="16">
        <f t="shared" si="30"/>
        <v>2</v>
      </c>
      <c r="D44" s="105"/>
      <c r="E44" s="16">
        <f t="shared" si="31"/>
        <v>715</v>
      </c>
      <c r="F44" s="16">
        <f t="shared" si="32"/>
        <v>387</v>
      </c>
      <c r="G44" s="87" t="str">
        <f t="shared" ref="G44" si="35">D71</f>
        <v>PR6</v>
      </c>
      <c r="H44" s="1"/>
      <c r="J44" s="3">
        <f t="shared" si="33"/>
        <v>2</v>
      </c>
      <c r="K44" s="4">
        <f t="shared" ref="K44" si="36">E71</f>
        <v>675</v>
      </c>
      <c r="L44" s="4">
        <f t="shared" ref="L44" si="37">F71</f>
        <v>297</v>
      </c>
    </row>
    <row r="45" spans="1:14" ht="15.6" x14ac:dyDescent="0.3">
      <c r="A45" s="104">
        <f t="shared" si="34"/>
        <v>5</v>
      </c>
      <c r="C45" s="16">
        <f t="shared" ref="C45:C62" si="38">J45</f>
        <v>1</v>
      </c>
      <c r="D45" s="105"/>
      <c r="E45" s="16">
        <f t="shared" si="31"/>
        <v>590</v>
      </c>
      <c r="F45" s="16">
        <f t="shared" si="32"/>
        <v>587</v>
      </c>
      <c r="G45" s="87" t="str">
        <f t="shared" ref="G45:G62" si="39">D72</f>
        <v>PR6</v>
      </c>
      <c r="H45" s="1"/>
      <c r="J45" s="3">
        <f t="shared" si="33"/>
        <v>1</v>
      </c>
      <c r="K45" s="4">
        <f t="shared" ref="K45:K62" si="40">E72</f>
        <v>550</v>
      </c>
      <c r="L45" s="4">
        <f t="shared" ref="L45:L62" si="41">F72</f>
        <v>497</v>
      </c>
    </row>
    <row r="46" spans="1:14" ht="15.6" x14ac:dyDescent="0.3">
      <c r="A46" s="104">
        <f t="shared" si="34"/>
        <v>6</v>
      </c>
      <c r="C46" s="16">
        <f t="shared" si="38"/>
        <v>2</v>
      </c>
      <c r="D46" s="105"/>
      <c r="E46" s="16">
        <f t="shared" si="31"/>
        <v>950</v>
      </c>
      <c r="F46" s="16">
        <f t="shared" si="32"/>
        <v>387</v>
      </c>
      <c r="G46" s="87" t="str">
        <f t="shared" si="39"/>
        <v>PR6</v>
      </c>
      <c r="H46" s="1"/>
      <c r="J46" s="3">
        <f t="shared" si="33"/>
        <v>2</v>
      </c>
      <c r="K46" s="4">
        <f t="shared" si="40"/>
        <v>910</v>
      </c>
      <c r="L46" s="4">
        <f t="shared" si="41"/>
        <v>297</v>
      </c>
    </row>
    <row r="47" spans="1:14" ht="15.6" x14ac:dyDescent="0.3">
      <c r="A47" s="104">
        <f t="shared" si="34"/>
        <v>7</v>
      </c>
      <c r="C47" s="16">
        <f t="shared" si="38"/>
        <v>3</v>
      </c>
      <c r="D47" s="105"/>
      <c r="E47" s="16">
        <f t="shared" si="31"/>
        <v>737</v>
      </c>
      <c r="F47" s="16">
        <f t="shared" si="32"/>
        <v>487</v>
      </c>
      <c r="G47" s="87" t="str">
        <f t="shared" si="39"/>
        <v>PR6</v>
      </c>
      <c r="H47" s="1"/>
      <c r="J47" s="3">
        <f t="shared" si="33"/>
        <v>3</v>
      </c>
      <c r="K47" s="4">
        <f t="shared" si="40"/>
        <v>697</v>
      </c>
      <c r="L47" s="4">
        <f t="shared" si="41"/>
        <v>397</v>
      </c>
    </row>
    <row r="48" spans="1:14" ht="15.6" x14ac:dyDescent="0.3">
      <c r="A48" s="104">
        <f t="shared" si="34"/>
        <v>8</v>
      </c>
      <c r="C48" s="16">
        <f t="shared" si="38"/>
        <v>1</v>
      </c>
      <c r="D48" s="105"/>
      <c r="E48" s="16">
        <f t="shared" si="31"/>
        <v>737</v>
      </c>
      <c r="F48" s="16">
        <f t="shared" si="32"/>
        <v>687</v>
      </c>
      <c r="G48" s="87" t="str">
        <f t="shared" si="39"/>
        <v>PR6</v>
      </c>
      <c r="H48" s="1"/>
      <c r="J48" s="3">
        <f t="shared" si="33"/>
        <v>1</v>
      </c>
      <c r="K48" s="4">
        <f t="shared" si="40"/>
        <v>697</v>
      </c>
      <c r="L48" s="4">
        <f t="shared" si="41"/>
        <v>597</v>
      </c>
    </row>
    <row r="49" spans="1:12" ht="15.6" x14ac:dyDescent="0.3">
      <c r="A49" s="104">
        <f t="shared" si="34"/>
        <v>9</v>
      </c>
      <c r="C49" s="16">
        <f t="shared" si="38"/>
        <v>1</v>
      </c>
      <c r="D49" s="105"/>
      <c r="E49" s="16">
        <f t="shared" si="31"/>
        <v>737</v>
      </c>
      <c r="F49" s="16">
        <f t="shared" si="32"/>
        <v>585</v>
      </c>
      <c r="G49" s="87" t="str">
        <f t="shared" si="39"/>
        <v>PR6</v>
      </c>
      <c r="H49" s="1"/>
      <c r="J49" s="3">
        <f t="shared" si="33"/>
        <v>1</v>
      </c>
      <c r="K49" s="4">
        <f t="shared" si="40"/>
        <v>697</v>
      </c>
      <c r="L49" s="4">
        <f t="shared" si="41"/>
        <v>495</v>
      </c>
    </row>
    <row r="50" spans="1:12" ht="15.6" x14ac:dyDescent="0.3">
      <c r="A50" s="104">
        <f t="shared" si="34"/>
        <v>10</v>
      </c>
      <c r="C50" s="16">
        <f t="shared" si="38"/>
        <v>1</v>
      </c>
      <c r="D50" s="105"/>
      <c r="E50" s="16">
        <f t="shared" si="31"/>
        <v>637</v>
      </c>
      <c r="F50" s="16">
        <f t="shared" si="32"/>
        <v>190</v>
      </c>
      <c r="G50" s="87" t="str">
        <f t="shared" si="39"/>
        <v>PR6</v>
      </c>
      <c r="H50" s="1"/>
      <c r="J50" s="3">
        <f t="shared" si="33"/>
        <v>1</v>
      </c>
      <c r="K50" s="4">
        <f t="shared" si="40"/>
        <v>597</v>
      </c>
      <c r="L50" s="4">
        <f t="shared" si="41"/>
        <v>100</v>
      </c>
    </row>
    <row r="51" spans="1:12" ht="15.6" x14ac:dyDescent="0.3">
      <c r="A51" s="104">
        <f t="shared" si="34"/>
        <v>11</v>
      </c>
      <c r="C51" s="16">
        <f t="shared" si="38"/>
        <v>2</v>
      </c>
      <c r="D51" s="105"/>
      <c r="E51" s="16">
        <f t="shared" si="31"/>
        <v>950</v>
      </c>
      <c r="F51" s="16">
        <f t="shared" si="32"/>
        <v>587</v>
      </c>
      <c r="G51" s="87" t="str">
        <f t="shared" si="39"/>
        <v>PR6</v>
      </c>
      <c r="H51" s="1"/>
      <c r="J51" s="3">
        <f t="shared" si="33"/>
        <v>2</v>
      </c>
      <c r="K51" s="4">
        <f t="shared" si="40"/>
        <v>910</v>
      </c>
      <c r="L51" s="4">
        <f t="shared" si="41"/>
        <v>497</v>
      </c>
    </row>
    <row r="52" spans="1:12" ht="15.6" x14ac:dyDescent="0.3">
      <c r="A52" s="104">
        <f t="shared" si="34"/>
        <v>12</v>
      </c>
      <c r="C52" s="16">
        <f t="shared" si="38"/>
        <v>1</v>
      </c>
      <c r="D52" s="105"/>
      <c r="E52" s="16">
        <f t="shared" si="31"/>
        <v>950</v>
      </c>
      <c r="F52" s="16">
        <f t="shared" si="32"/>
        <v>410</v>
      </c>
      <c r="G52" s="87" t="str">
        <f t="shared" si="39"/>
        <v>PR6</v>
      </c>
      <c r="H52" s="1"/>
      <c r="J52" s="3">
        <f t="shared" si="33"/>
        <v>1</v>
      </c>
      <c r="K52" s="4">
        <f t="shared" si="40"/>
        <v>910</v>
      </c>
      <c r="L52" s="4">
        <f t="shared" si="41"/>
        <v>320</v>
      </c>
    </row>
    <row r="53" spans="1:12" ht="15.6" x14ac:dyDescent="0.3">
      <c r="A53" s="104">
        <f t="shared" si="34"/>
        <v>13</v>
      </c>
      <c r="C53" s="16">
        <f t="shared" si="38"/>
        <v>2</v>
      </c>
      <c r="D53" s="105"/>
      <c r="E53" s="16">
        <f t="shared" si="31"/>
        <v>737</v>
      </c>
      <c r="F53" s="16">
        <f t="shared" si="32"/>
        <v>587</v>
      </c>
      <c r="G53" s="87" t="str">
        <f t="shared" si="39"/>
        <v>PR6</v>
      </c>
      <c r="H53" s="1"/>
      <c r="J53" s="3">
        <f t="shared" si="33"/>
        <v>2</v>
      </c>
      <c r="K53" s="4">
        <f t="shared" si="40"/>
        <v>697</v>
      </c>
      <c r="L53" s="4">
        <f t="shared" si="41"/>
        <v>497</v>
      </c>
    </row>
    <row r="54" spans="1:12" ht="15.6" x14ac:dyDescent="0.3">
      <c r="A54" s="104">
        <f t="shared" si="34"/>
        <v>14</v>
      </c>
      <c r="C54" s="16">
        <f t="shared" si="38"/>
        <v>1</v>
      </c>
      <c r="D54" s="105"/>
      <c r="E54" s="16">
        <f t="shared" si="31"/>
        <v>737</v>
      </c>
      <c r="F54" s="16">
        <f t="shared" si="32"/>
        <v>565</v>
      </c>
      <c r="G54" s="87" t="str">
        <f t="shared" si="39"/>
        <v>PR6</v>
      </c>
      <c r="H54" s="1"/>
      <c r="J54" s="3">
        <f t="shared" si="33"/>
        <v>1</v>
      </c>
      <c r="K54" s="4">
        <f t="shared" si="40"/>
        <v>697</v>
      </c>
      <c r="L54" s="4">
        <f t="shared" si="41"/>
        <v>475</v>
      </c>
    </row>
    <row r="55" spans="1:12" ht="15.6" x14ac:dyDescent="0.3">
      <c r="A55" s="104">
        <f t="shared" si="34"/>
        <v>15</v>
      </c>
      <c r="C55" s="16">
        <f t="shared" si="38"/>
        <v>2</v>
      </c>
      <c r="D55" s="105"/>
      <c r="E55" s="16">
        <f t="shared" si="31"/>
        <v>737</v>
      </c>
      <c r="F55" s="16">
        <f t="shared" si="32"/>
        <v>365</v>
      </c>
      <c r="G55" s="87" t="str">
        <f t="shared" si="39"/>
        <v>PR6</v>
      </c>
      <c r="H55" s="1"/>
      <c r="J55" s="3">
        <f t="shared" si="33"/>
        <v>2</v>
      </c>
      <c r="K55" s="4">
        <f t="shared" si="40"/>
        <v>697</v>
      </c>
      <c r="L55" s="4">
        <f t="shared" si="41"/>
        <v>275</v>
      </c>
    </row>
    <row r="56" spans="1:12" ht="15.6" x14ac:dyDescent="0.3">
      <c r="A56" s="104">
        <f t="shared" si="34"/>
        <v>16</v>
      </c>
      <c r="C56" s="16">
        <f t="shared" si="38"/>
        <v>2</v>
      </c>
      <c r="D56" s="105"/>
      <c r="E56" s="16">
        <f t="shared" si="31"/>
        <v>737</v>
      </c>
      <c r="F56" s="16">
        <f t="shared" si="32"/>
        <v>571</v>
      </c>
      <c r="G56" s="87" t="str">
        <f t="shared" si="39"/>
        <v>PR6</v>
      </c>
      <c r="H56" s="1"/>
      <c r="J56" s="3">
        <f t="shared" si="33"/>
        <v>2</v>
      </c>
      <c r="K56" s="4">
        <f t="shared" si="40"/>
        <v>697</v>
      </c>
      <c r="L56" s="4">
        <f t="shared" si="41"/>
        <v>481</v>
      </c>
    </row>
    <row r="57" spans="1:12" ht="15.6" x14ac:dyDescent="0.3">
      <c r="A57" s="104">
        <f t="shared" si="34"/>
        <v>17</v>
      </c>
      <c r="C57" s="16">
        <f t="shared" si="38"/>
        <v>2</v>
      </c>
      <c r="D57" s="105"/>
      <c r="E57" s="16">
        <f t="shared" si="31"/>
        <v>460</v>
      </c>
      <c r="F57" s="16">
        <f t="shared" si="32"/>
        <v>575</v>
      </c>
      <c r="G57" s="87" t="str">
        <f t="shared" si="39"/>
        <v>PR6</v>
      </c>
      <c r="H57" s="1"/>
      <c r="J57" s="3">
        <f t="shared" si="33"/>
        <v>2</v>
      </c>
      <c r="K57" s="4">
        <f t="shared" si="40"/>
        <v>420</v>
      </c>
      <c r="L57" s="4">
        <f t="shared" si="41"/>
        <v>485</v>
      </c>
    </row>
    <row r="58" spans="1:12" ht="15.6" x14ac:dyDescent="0.3">
      <c r="A58" s="104">
        <f t="shared" si="34"/>
        <v>18</v>
      </c>
      <c r="C58" s="16">
        <f t="shared" si="38"/>
        <v>2</v>
      </c>
      <c r="D58" s="105"/>
      <c r="E58" s="16">
        <f t="shared" si="31"/>
        <v>950</v>
      </c>
      <c r="F58" s="16">
        <f t="shared" si="32"/>
        <v>571</v>
      </c>
      <c r="G58" s="87" t="str">
        <f t="shared" si="39"/>
        <v>PR6</v>
      </c>
      <c r="H58" s="1"/>
      <c r="J58" s="3">
        <f t="shared" si="33"/>
        <v>2</v>
      </c>
      <c r="K58" s="4">
        <f t="shared" si="40"/>
        <v>910</v>
      </c>
      <c r="L58" s="4">
        <f t="shared" si="41"/>
        <v>481</v>
      </c>
    </row>
    <row r="59" spans="1:12" ht="15.6" x14ac:dyDescent="0.3">
      <c r="A59" s="104">
        <f t="shared" si="34"/>
        <v>19</v>
      </c>
      <c r="C59" s="16">
        <f t="shared" si="38"/>
        <v>1</v>
      </c>
      <c r="D59" s="105"/>
      <c r="E59" s="16">
        <f t="shared" si="31"/>
        <v>1565</v>
      </c>
      <c r="F59" s="16">
        <f t="shared" si="32"/>
        <v>325</v>
      </c>
      <c r="G59" s="87" t="str">
        <f t="shared" si="39"/>
        <v>PR6</v>
      </c>
      <c r="H59" s="1"/>
      <c r="J59" s="3">
        <f t="shared" si="33"/>
        <v>1</v>
      </c>
      <c r="K59" s="4">
        <f t="shared" si="40"/>
        <v>1525</v>
      </c>
      <c r="L59" s="4">
        <f t="shared" si="41"/>
        <v>235</v>
      </c>
    </row>
    <row r="60" spans="1:12" ht="15.6" x14ac:dyDescent="0.3">
      <c r="A60" s="104">
        <f t="shared" si="34"/>
        <v>20</v>
      </c>
      <c r="C60" s="16">
        <f t="shared" si="38"/>
        <v>1</v>
      </c>
      <c r="D60" s="105"/>
      <c r="E60" s="16">
        <f t="shared" si="31"/>
        <v>638</v>
      </c>
      <c r="F60" s="16">
        <f t="shared" si="32"/>
        <v>325</v>
      </c>
      <c r="G60" s="87" t="str">
        <f t="shared" si="39"/>
        <v>PR6</v>
      </c>
      <c r="H60" s="1"/>
      <c r="J60" s="3">
        <f t="shared" si="33"/>
        <v>1</v>
      </c>
      <c r="K60" s="4">
        <f t="shared" si="40"/>
        <v>598</v>
      </c>
      <c r="L60" s="4">
        <f t="shared" si="41"/>
        <v>235</v>
      </c>
    </row>
    <row r="61" spans="1:12" ht="15.6" x14ac:dyDescent="0.3">
      <c r="A61" s="104">
        <f t="shared" si="34"/>
        <v>21</v>
      </c>
      <c r="C61" s="16">
        <f t="shared" si="38"/>
        <v>1</v>
      </c>
      <c r="D61" s="105"/>
      <c r="E61" s="16">
        <f>K61</f>
        <v>1500</v>
      </c>
      <c r="F61" s="16">
        <f>L61</f>
        <v>600</v>
      </c>
      <c r="G61" s="87" t="str">
        <f t="shared" si="39"/>
        <v>TROZO DE LAMINA</v>
      </c>
      <c r="H61" s="1"/>
      <c r="J61" s="3">
        <f t="shared" si="33"/>
        <v>1</v>
      </c>
      <c r="K61" s="4">
        <f t="shared" si="40"/>
        <v>1500</v>
      </c>
      <c r="L61" s="4">
        <f t="shared" si="41"/>
        <v>600</v>
      </c>
    </row>
    <row r="62" spans="1:12" ht="15.6" x14ac:dyDescent="0.3">
      <c r="A62" s="104">
        <f t="shared" si="34"/>
        <v>22</v>
      </c>
      <c r="C62" s="16">
        <f t="shared" si="38"/>
        <v>1</v>
      </c>
      <c r="D62" s="105"/>
      <c r="E62" s="16">
        <f>K62</f>
        <v>500</v>
      </c>
      <c r="F62" s="16">
        <f>L62</f>
        <v>350</v>
      </c>
      <c r="G62" s="87" t="str">
        <f t="shared" si="39"/>
        <v>TROZO DE LAMINA</v>
      </c>
      <c r="H62" s="1"/>
      <c r="J62" s="3">
        <f t="shared" si="33"/>
        <v>1</v>
      </c>
      <c r="K62" s="4">
        <f t="shared" si="40"/>
        <v>500</v>
      </c>
      <c r="L62" s="4">
        <f t="shared" si="41"/>
        <v>350</v>
      </c>
    </row>
    <row r="63" spans="1:12" ht="15.6" x14ac:dyDescent="0.3">
      <c r="A63" s="85"/>
      <c r="C63" s="6">
        <f>SUM(C41:C62)</f>
        <v>34</v>
      </c>
      <c r="D63" s="6"/>
      <c r="E63" s="6"/>
      <c r="F63" s="6"/>
      <c r="G63" s="104"/>
      <c r="H63" s="1"/>
      <c r="J63" s="79"/>
      <c r="K63" s="2"/>
      <c r="L63" s="2"/>
    </row>
    <row r="64" spans="1:12" ht="16.2" thickBot="1" x14ac:dyDescent="0.35">
      <c r="B64" s="52"/>
      <c r="C64" s="6"/>
      <c r="D64" s="6"/>
      <c r="E64" s="6"/>
      <c r="F64" s="6"/>
      <c r="G64" s="6"/>
      <c r="H64" s="1"/>
      <c r="J64" s="2"/>
      <c r="K64" s="2"/>
      <c r="L64" s="2"/>
    </row>
    <row r="65" spans="1:12" ht="16.2" thickBot="1" x14ac:dyDescent="0.35">
      <c r="B65" s="52"/>
      <c r="C65" s="22" t="s">
        <v>105</v>
      </c>
      <c r="D65" s="23"/>
      <c r="E65" s="23"/>
      <c r="F65" s="23"/>
      <c r="G65" s="24"/>
      <c r="H65" s="1"/>
      <c r="J65" s="2"/>
      <c r="K65" s="2"/>
      <c r="L65" s="2"/>
    </row>
    <row r="66" spans="1:12" ht="10.5" customHeight="1" x14ac:dyDescent="0.3">
      <c r="B66" s="1"/>
      <c r="C66" s="1"/>
      <c r="D66" s="1"/>
      <c r="E66" s="1"/>
      <c r="F66" s="1"/>
      <c r="G66" s="1"/>
      <c r="H66" s="1"/>
    </row>
    <row r="67" spans="1:12" ht="15.6" x14ac:dyDescent="0.3">
      <c r="B67" s="52" t="s">
        <v>8</v>
      </c>
      <c r="C67" s="77" t="s">
        <v>9</v>
      </c>
      <c r="D67" s="77" t="s">
        <v>108</v>
      </c>
      <c r="E67" s="77" t="s">
        <v>6</v>
      </c>
      <c r="F67" s="77" t="s">
        <v>7</v>
      </c>
      <c r="G67" s="77" t="s">
        <v>22</v>
      </c>
      <c r="H67" s="1"/>
    </row>
    <row r="68" spans="1:12" ht="15.6" x14ac:dyDescent="0.3">
      <c r="A68" s="104">
        <v>1</v>
      </c>
      <c r="C68" s="25">
        <f>'4637'!B22</f>
        <v>1</v>
      </c>
      <c r="D68" s="96" t="str">
        <f>'4637'!C22</f>
        <v>PR6</v>
      </c>
      <c r="E68" s="25">
        <f>'4637'!D22</f>
        <v>910</v>
      </c>
      <c r="F68" s="25">
        <f>'4637'!E22</f>
        <v>397</v>
      </c>
      <c r="G68" s="25" t="str">
        <f>'4637'!F22</f>
        <v>SHELL WHITE 22011 SF</v>
      </c>
      <c r="H68" s="1"/>
      <c r="I68">
        <f>E68*2*C68</f>
        <v>1820</v>
      </c>
      <c r="K68">
        <f>F68*C68</f>
        <v>397</v>
      </c>
    </row>
    <row r="69" spans="1:12" ht="15.6" x14ac:dyDescent="0.3">
      <c r="A69" s="104">
        <f>A68+1</f>
        <v>2</v>
      </c>
      <c r="C69" s="25">
        <f>'4637'!B23</f>
        <v>2</v>
      </c>
      <c r="D69" s="96" t="str">
        <f>'4637'!C23</f>
        <v>PR6</v>
      </c>
      <c r="E69" s="25">
        <f>'4637'!D23</f>
        <v>910</v>
      </c>
      <c r="F69" s="25">
        <f>'4637'!E23</f>
        <v>387</v>
      </c>
      <c r="G69" s="25" t="str">
        <f>'4637'!F23</f>
        <v>SHELL WHITE 22011 SF</v>
      </c>
      <c r="H69" s="1"/>
      <c r="I69">
        <f>E69*2*C69</f>
        <v>3640</v>
      </c>
      <c r="K69">
        <f>F69*C69</f>
        <v>774</v>
      </c>
    </row>
    <row r="70" spans="1:12" ht="15.6" x14ac:dyDescent="0.3">
      <c r="A70" s="104">
        <f t="shared" ref="A70:A89" si="42">A69+1</f>
        <v>3</v>
      </c>
      <c r="C70" s="25">
        <f>'4637'!B24</f>
        <v>2</v>
      </c>
      <c r="D70" s="96" t="str">
        <f>'4637'!C24</f>
        <v>PR6</v>
      </c>
      <c r="E70" s="25">
        <f>'4637'!D24</f>
        <v>555</v>
      </c>
      <c r="F70" s="25">
        <f>'4637'!E24</f>
        <v>297</v>
      </c>
      <c r="G70" s="25" t="str">
        <f>'4637'!F24</f>
        <v>SHELL WHITE 22011 SF</v>
      </c>
      <c r="H70" s="1"/>
      <c r="I70">
        <f>E70*C70</f>
        <v>1110</v>
      </c>
    </row>
    <row r="71" spans="1:12" ht="15.6" x14ac:dyDescent="0.3">
      <c r="A71" s="104">
        <f t="shared" si="42"/>
        <v>4</v>
      </c>
      <c r="C71" s="25">
        <f>'4637'!B25</f>
        <v>2</v>
      </c>
      <c r="D71" s="96" t="str">
        <f>'4637'!C25</f>
        <v>PR6</v>
      </c>
      <c r="E71" s="25">
        <f>'4637'!D25</f>
        <v>675</v>
      </c>
      <c r="F71" s="25">
        <f>'4637'!E25</f>
        <v>297</v>
      </c>
      <c r="G71" s="25" t="str">
        <f>'4637'!F25</f>
        <v>SHELL WHITE 22011 SF</v>
      </c>
      <c r="H71" s="1"/>
      <c r="I71">
        <f>E71*2</f>
        <v>1350</v>
      </c>
    </row>
    <row r="72" spans="1:12" ht="15.6" x14ac:dyDescent="0.3">
      <c r="A72" s="104">
        <f t="shared" si="42"/>
        <v>5</v>
      </c>
      <c r="C72" s="25">
        <f>'4637'!B26</f>
        <v>1</v>
      </c>
      <c r="D72" s="96" t="str">
        <f>'4637'!C26</f>
        <v>PR6</v>
      </c>
      <c r="E72" s="25">
        <f>'4637'!D26</f>
        <v>550</v>
      </c>
      <c r="F72" s="25">
        <f>'4637'!E26</f>
        <v>497</v>
      </c>
      <c r="G72" s="25" t="str">
        <f>'4637'!F26</f>
        <v>SHELL WHITE 22011 SF</v>
      </c>
      <c r="H72" s="1"/>
    </row>
    <row r="73" spans="1:12" ht="15.6" x14ac:dyDescent="0.3">
      <c r="A73" s="104">
        <f t="shared" si="42"/>
        <v>6</v>
      </c>
      <c r="C73" s="25">
        <f>'4637'!B27</f>
        <v>2</v>
      </c>
      <c r="D73" s="96" t="str">
        <f>'4637'!C27</f>
        <v>PR6</v>
      </c>
      <c r="E73" s="25">
        <f>'4637'!D27</f>
        <v>910</v>
      </c>
      <c r="F73" s="25">
        <f>'4637'!E27</f>
        <v>297</v>
      </c>
      <c r="G73" s="25" t="str">
        <f>'4637'!F27</f>
        <v>SHELL WHITE 22011 SF</v>
      </c>
      <c r="H73" s="1"/>
    </row>
    <row r="74" spans="1:12" ht="15.6" x14ac:dyDescent="0.3">
      <c r="A74" s="104">
        <f t="shared" si="42"/>
        <v>7</v>
      </c>
      <c r="C74" s="25">
        <f>'4637'!B28</f>
        <v>3</v>
      </c>
      <c r="D74" s="96" t="str">
        <f>'4637'!C28</f>
        <v>PR6</v>
      </c>
      <c r="E74" s="25">
        <f>'4637'!D28</f>
        <v>697</v>
      </c>
      <c r="F74" s="25">
        <f>'4637'!E28</f>
        <v>397</v>
      </c>
      <c r="G74" s="25" t="str">
        <f>'4637'!F28</f>
        <v>SHELL WHITE 22011 SF</v>
      </c>
      <c r="H74" s="1"/>
    </row>
    <row r="75" spans="1:12" ht="15.6" x14ac:dyDescent="0.3">
      <c r="A75" s="104">
        <f t="shared" si="42"/>
        <v>8</v>
      </c>
      <c r="C75" s="25">
        <f>'4637'!B29</f>
        <v>1</v>
      </c>
      <c r="D75" s="96" t="str">
        <f>'4637'!C29</f>
        <v>PR6</v>
      </c>
      <c r="E75" s="25">
        <f>'4637'!D29</f>
        <v>697</v>
      </c>
      <c r="F75" s="25">
        <f>'4637'!E29</f>
        <v>597</v>
      </c>
      <c r="G75" s="25" t="str">
        <f>'4637'!F29</f>
        <v>SHELL WHITE 22011 SF</v>
      </c>
      <c r="H75" s="1"/>
    </row>
    <row r="76" spans="1:12" ht="15.6" x14ac:dyDescent="0.3">
      <c r="A76" s="104">
        <f t="shared" si="42"/>
        <v>9</v>
      </c>
      <c r="C76" s="25">
        <f>'4637'!B30</f>
        <v>1</v>
      </c>
      <c r="D76" s="96" t="str">
        <f>'4637'!C30</f>
        <v>PR6</v>
      </c>
      <c r="E76" s="25">
        <f>'4637'!D30</f>
        <v>697</v>
      </c>
      <c r="F76" s="25">
        <f>'4637'!E30</f>
        <v>495</v>
      </c>
      <c r="G76" s="25" t="str">
        <f>'4637'!F30</f>
        <v>SHELL WHITE 22011 SF</v>
      </c>
      <c r="H76" s="1"/>
    </row>
    <row r="77" spans="1:12" ht="15.6" x14ac:dyDescent="0.3">
      <c r="A77" s="104">
        <f t="shared" si="42"/>
        <v>10</v>
      </c>
      <c r="C77" s="25">
        <f>'4637'!B31</f>
        <v>1</v>
      </c>
      <c r="D77" s="96" t="str">
        <f>'4637'!C31</f>
        <v>PR6</v>
      </c>
      <c r="E77" s="25">
        <f>'4637'!D31</f>
        <v>597</v>
      </c>
      <c r="F77" s="25">
        <f>'4637'!E31</f>
        <v>100</v>
      </c>
      <c r="G77" s="25" t="str">
        <f>'4637'!F31</f>
        <v>SHELL WHITE 22011 SF</v>
      </c>
      <c r="H77" s="1"/>
    </row>
    <row r="78" spans="1:12" ht="15.6" x14ac:dyDescent="0.3">
      <c r="A78" s="104">
        <f t="shared" si="42"/>
        <v>11</v>
      </c>
      <c r="C78" s="25">
        <f>'4637'!B32</f>
        <v>2</v>
      </c>
      <c r="D78" s="96" t="str">
        <f>'4637'!C32</f>
        <v>PR6</v>
      </c>
      <c r="E78" s="25">
        <f>'4637'!D32</f>
        <v>910</v>
      </c>
      <c r="F78" s="25">
        <f>'4637'!E32</f>
        <v>497</v>
      </c>
      <c r="G78" s="25" t="str">
        <f>'4637'!F32</f>
        <v>SHELL WHITE 22011 SF</v>
      </c>
      <c r="H78" s="1"/>
    </row>
    <row r="79" spans="1:12" ht="15.6" x14ac:dyDescent="0.3">
      <c r="A79" s="104">
        <f t="shared" si="42"/>
        <v>12</v>
      </c>
      <c r="C79" s="25">
        <f>'4637'!B33</f>
        <v>1</v>
      </c>
      <c r="D79" s="96" t="str">
        <f>'4637'!C33</f>
        <v>PR6</v>
      </c>
      <c r="E79" s="25">
        <f>'4637'!D33</f>
        <v>910</v>
      </c>
      <c r="F79" s="25">
        <f>'4637'!E33</f>
        <v>320</v>
      </c>
      <c r="G79" s="25" t="str">
        <f>'4637'!F33</f>
        <v>SHELL WHITE 22011 SF</v>
      </c>
      <c r="H79" s="1"/>
    </row>
    <row r="80" spans="1:12" ht="15.6" x14ac:dyDescent="0.3">
      <c r="A80" s="104">
        <f t="shared" si="42"/>
        <v>13</v>
      </c>
      <c r="C80" s="25">
        <f>'4637'!B34</f>
        <v>2</v>
      </c>
      <c r="D80" s="96" t="str">
        <f>'4637'!C34</f>
        <v>PR6</v>
      </c>
      <c r="E80" s="25">
        <f>'4637'!D34</f>
        <v>697</v>
      </c>
      <c r="F80" s="25">
        <f>'4637'!E34</f>
        <v>497</v>
      </c>
      <c r="G80" s="25" t="str">
        <f>'4637'!F34</f>
        <v>SHELL WHITE 22011 SF</v>
      </c>
      <c r="H80" s="1"/>
    </row>
    <row r="81" spans="1:11" ht="15.6" x14ac:dyDescent="0.3">
      <c r="A81" s="104">
        <f t="shared" si="42"/>
        <v>14</v>
      </c>
      <c r="C81" s="25">
        <f>'4637'!B35</f>
        <v>1</v>
      </c>
      <c r="D81" s="96" t="str">
        <f>'4637'!C35</f>
        <v>PR6</v>
      </c>
      <c r="E81" s="25">
        <f>'4637'!D35</f>
        <v>697</v>
      </c>
      <c r="F81" s="25">
        <f>'4637'!E35</f>
        <v>475</v>
      </c>
      <c r="G81" s="25" t="str">
        <f>'4637'!F35</f>
        <v>SHELL WHITE 22011 SF</v>
      </c>
      <c r="H81" s="1"/>
    </row>
    <row r="82" spans="1:11" ht="15.6" x14ac:dyDescent="0.3">
      <c r="A82" s="104">
        <f t="shared" si="42"/>
        <v>15</v>
      </c>
      <c r="C82" s="25">
        <f>'4637'!B36</f>
        <v>2</v>
      </c>
      <c r="D82" s="96" t="str">
        <f>'4637'!C36</f>
        <v>PR6</v>
      </c>
      <c r="E82" s="25">
        <f>'4637'!D36</f>
        <v>697</v>
      </c>
      <c r="F82" s="25">
        <f>'4637'!E36</f>
        <v>275</v>
      </c>
      <c r="G82" s="25" t="str">
        <f>'4637'!F36</f>
        <v>SHELL WHITE 22011 SF</v>
      </c>
      <c r="H82" s="1"/>
    </row>
    <row r="83" spans="1:11" ht="15.6" x14ac:dyDescent="0.3">
      <c r="A83" s="104">
        <f t="shared" si="42"/>
        <v>16</v>
      </c>
      <c r="C83" s="25">
        <f>'4637'!B37</f>
        <v>2</v>
      </c>
      <c r="D83" s="96" t="str">
        <f>'4637'!C37</f>
        <v>PR6</v>
      </c>
      <c r="E83" s="25">
        <f>'4637'!D37</f>
        <v>697</v>
      </c>
      <c r="F83" s="25">
        <f>'4637'!E37</f>
        <v>481</v>
      </c>
      <c r="G83" s="25" t="str">
        <f>'4637'!F37</f>
        <v>SHELL WHITE 22011 SF</v>
      </c>
      <c r="H83" s="1"/>
    </row>
    <row r="84" spans="1:11" ht="15.6" x14ac:dyDescent="0.3">
      <c r="A84" s="104">
        <f t="shared" si="42"/>
        <v>17</v>
      </c>
      <c r="C84" s="25">
        <f>'4637'!B38</f>
        <v>2</v>
      </c>
      <c r="D84" s="96" t="str">
        <f>'4637'!C38</f>
        <v>PR6</v>
      </c>
      <c r="E84" s="25">
        <f>'4637'!D38</f>
        <v>420</v>
      </c>
      <c r="F84" s="25">
        <f>'4637'!E38</f>
        <v>485</v>
      </c>
      <c r="G84" s="25" t="str">
        <f>'4637'!F38</f>
        <v>SHELL WHITE 22011 SF</v>
      </c>
      <c r="H84" s="1"/>
    </row>
    <row r="85" spans="1:11" ht="15.6" x14ac:dyDescent="0.3">
      <c r="A85" s="104">
        <f t="shared" si="42"/>
        <v>18</v>
      </c>
      <c r="C85" s="25">
        <f>'4637'!B39</f>
        <v>2</v>
      </c>
      <c r="D85" s="96" t="str">
        <f>'4637'!C39</f>
        <v>PR6</v>
      </c>
      <c r="E85" s="25">
        <f>'4637'!D39</f>
        <v>910</v>
      </c>
      <c r="F85" s="25">
        <f>'4637'!E39</f>
        <v>481</v>
      </c>
      <c r="G85" s="25" t="str">
        <f>'4637'!F39</f>
        <v>SHELL WHITE 22011 SF</v>
      </c>
      <c r="H85" s="1"/>
    </row>
    <row r="86" spans="1:11" ht="15.6" x14ac:dyDescent="0.3">
      <c r="A86" s="104">
        <f t="shared" si="42"/>
        <v>19</v>
      </c>
      <c r="C86" s="25">
        <f>'4637'!B40</f>
        <v>1</v>
      </c>
      <c r="D86" s="96" t="str">
        <f>'4637'!C40</f>
        <v>PR6</v>
      </c>
      <c r="E86" s="25">
        <f>'4637'!D40</f>
        <v>1525</v>
      </c>
      <c r="F86" s="25">
        <f>'4637'!E40</f>
        <v>235</v>
      </c>
      <c r="G86" s="25" t="str">
        <f>'4637'!F40</f>
        <v>SHELL WHITE 22011 SF</v>
      </c>
      <c r="H86" s="1"/>
    </row>
    <row r="87" spans="1:11" ht="15.6" x14ac:dyDescent="0.3">
      <c r="A87" s="104">
        <f t="shared" si="42"/>
        <v>20</v>
      </c>
      <c r="C87" s="25">
        <f>'4637'!B41</f>
        <v>1</v>
      </c>
      <c r="D87" s="96" t="str">
        <f>'4637'!C41</f>
        <v>PR6</v>
      </c>
      <c r="E87" s="25">
        <f>'4637'!D41</f>
        <v>598</v>
      </c>
      <c r="F87" s="25">
        <f>'4637'!E41</f>
        <v>235</v>
      </c>
      <c r="G87" s="25" t="str">
        <f>'4637'!F41</f>
        <v>SHELL WHITE 22011 SF</v>
      </c>
      <c r="H87" s="1"/>
    </row>
    <row r="88" spans="1:11" ht="15.6" x14ac:dyDescent="0.3">
      <c r="A88" s="104">
        <f t="shared" si="42"/>
        <v>21</v>
      </c>
      <c r="C88" s="25">
        <f>'4637'!B42</f>
        <v>1</v>
      </c>
      <c r="D88" s="96" t="str">
        <f>'4637'!C42</f>
        <v>TROZO DE LAMINA</v>
      </c>
      <c r="E88" s="25">
        <f>'4637'!D42</f>
        <v>1500</v>
      </c>
      <c r="F88" s="25">
        <f>'4637'!E42</f>
        <v>600</v>
      </c>
      <c r="G88" s="25" t="str">
        <f>'4637'!F42</f>
        <v>SHELL WHITE 22011 SF</v>
      </c>
      <c r="H88" s="1"/>
    </row>
    <row r="89" spans="1:11" ht="15.6" x14ac:dyDescent="0.3">
      <c r="A89" s="104">
        <f t="shared" si="42"/>
        <v>22</v>
      </c>
      <c r="C89" s="25">
        <f>'4637'!B43</f>
        <v>1</v>
      </c>
      <c r="D89" s="96" t="str">
        <f>'4637'!C43</f>
        <v>TROZO DE LAMINA</v>
      </c>
      <c r="E89" s="25">
        <f>'4637'!D43</f>
        <v>500</v>
      </c>
      <c r="F89" s="25">
        <f>'4637'!E43</f>
        <v>350</v>
      </c>
      <c r="G89" s="25" t="str">
        <f>'4637'!F43</f>
        <v>SHELL WHITE 22011 SF</v>
      </c>
      <c r="H89" s="1"/>
    </row>
    <row r="90" spans="1:11" ht="15.6" x14ac:dyDescent="0.3">
      <c r="B90" s="85"/>
      <c r="C90" s="6">
        <f>SUM(C68:C89)</f>
        <v>34</v>
      </c>
      <c r="D90" s="103"/>
      <c r="E90" s="6"/>
      <c r="F90" s="6"/>
      <c r="G90" s="6"/>
      <c r="H90" s="1"/>
    </row>
    <row r="91" spans="1:11" ht="15.6" x14ac:dyDescent="0.3">
      <c r="B91" s="85"/>
      <c r="C91" s="6"/>
      <c r="D91" s="103"/>
      <c r="E91" s="6"/>
      <c r="F91" s="6"/>
      <c r="G91" s="6"/>
      <c r="H91" s="1"/>
      <c r="I91">
        <f>SUM(I68:I71)</f>
        <v>7920</v>
      </c>
      <c r="K91">
        <f>SUM(K68:K71)</f>
        <v>1171</v>
      </c>
    </row>
    <row r="92" spans="1:11" ht="15.6" x14ac:dyDescent="0.3">
      <c r="B92" s="1"/>
      <c r="C92" s="6"/>
      <c r="D92" s="6"/>
      <c r="E92" s="6"/>
      <c r="F92" s="6"/>
      <c r="G92" s="6"/>
      <c r="H92" s="1"/>
    </row>
    <row r="93" spans="1:11" ht="15.6" x14ac:dyDescent="0.3">
      <c r="B93" s="1"/>
      <c r="C93" s="6"/>
      <c r="D93" s="6"/>
      <c r="E93" s="6"/>
      <c r="F93" s="6"/>
      <c r="G93" s="6"/>
      <c r="H93" s="1"/>
      <c r="I93">
        <f>I91+K91</f>
        <v>9091</v>
      </c>
    </row>
    <row r="94" spans="1:11" ht="15.6" x14ac:dyDescent="0.3">
      <c r="B94" s="1"/>
      <c r="C94" s="6"/>
      <c r="D94" s="6"/>
      <c r="E94" s="6"/>
      <c r="F94" s="6"/>
      <c r="G94" s="6"/>
      <c r="H94" s="1"/>
      <c r="I94">
        <f>I93*20%</f>
        <v>1818.2</v>
      </c>
    </row>
    <row r="95" spans="1:11" ht="15.6" x14ac:dyDescent="0.3">
      <c r="B95" s="1"/>
      <c r="C95" s="6"/>
      <c r="D95" s="6"/>
      <c r="E95" s="6"/>
      <c r="F95" s="6"/>
      <c r="G95" s="6"/>
      <c r="H95" s="1"/>
      <c r="I95">
        <f>I93+I94</f>
        <v>10909.2</v>
      </c>
    </row>
    <row r="96" spans="1:11" ht="15.6" x14ac:dyDescent="0.3">
      <c r="B96" s="1"/>
      <c r="C96" s="6"/>
      <c r="D96" s="6"/>
      <c r="E96" s="6"/>
      <c r="F96" s="6"/>
      <c r="G96" s="6"/>
      <c r="H96" s="1"/>
      <c r="I96">
        <f>I95/1000</f>
        <v>10.9092</v>
      </c>
    </row>
    <row r="97" spans="1:8" ht="15.6" x14ac:dyDescent="0.3">
      <c r="B97" s="1"/>
      <c r="C97" s="6"/>
      <c r="D97" s="6"/>
      <c r="E97" s="6"/>
      <c r="F97" s="6"/>
      <c r="G97" s="6"/>
      <c r="H97" s="1"/>
    </row>
    <row r="98" spans="1:8" ht="15.6" x14ac:dyDescent="0.3">
      <c r="B98" s="1"/>
      <c r="C98" s="6"/>
      <c r="D98" s="6"/>
      <c r="E98" s="6"/>
      <c r="F98" s="6"/>
      <c r="G98" s="6"/>
      <c r="H98" s="1"/>
    </row>
    <row r="99" spans="1:8" ht="15.6" x14ac:dyDescent="0.3">
      <c r="B99" s="1"/>
      <c r="C99" s="6"/>
      <c r="D99" s="6"/>
      <c r="E99" s="6"/>
      <c r="F99" s="6"/>
      <c r="G99" s="6"/>
      <c r="H99" s="1"/>
    </row>
    <row r="100" spans="1:8" ht="15.6" x14ac:dyDescent="0.3">
      <c r="B100" s="1"/>
      <c r="C100" s="1"/>
      <c r="D100" s="1"/>
      <c r="E100" s="1"/>
      <c r="F100" s="1"/>
      <c r="G100" s="1"/>
      <c r="H100" s="1"/>
    </row>
    <row r="101" spans="1:8" ht="15.6" x14ac:dyDescent="0.3">
      <c r="B101" s="1"/>
      <c r="C101" s="1"/>
      <c r="D101" s="40" t="s">
        <v>25</v>
      </c>
      <c r="E101" s="14">
        <f>'4637'!G8</f>
        <v>7342</v>
      </c>
      <c r="F101" s="1"/>
      <c r="G101" s="1"/>
      <c r="H101" s="1"/>
    </row>
    <row r="102" spans="1:8" ht="17.25" customHeight="1" x14ac:dyDescent="0.3">
      <c r="B102" s="1"/>
      <c r="C102" s="1"/>
      <c r="D102" s="41" t="s">
        <v>65</v>
      </c>
      <c r="E102" s="42" t="str">
        <f>'4637'!C10</f>
        <v>MARMOLES RAIN</v>
      </c>
      <c r="F102" s="43"/>
      <c r="G102" s="43"/>
      <c r="H102" s="1"/>
    </row>
    <row r="103" spans="1:8" ht="4.5" customHeight="1" x14ac:dyDescent="0.3">
      <c r="B103" s="1"/>
      <c r="C103" s="1"/>
      <c r="D103" s="44"/>
      <c r="E103" s="45"/>
      <c r="F103" s="1"/>
      <c r="G103" s="1"/>
      <c r="H103" s="1"/>
    </row>
    <row r="104" spans="1:8" ht="15.6" x14ac:dyDescent="0.3">
      <c r="B104" s="1"/>
      <c r="C104" s="1"/>
      <c r="D104" s="46" t="str">
        <f>'4637'!F11</f>
        <v>FECHA LIMITE :</v>
      </c>
      <c r="E104" s="13">
        <f>'4637'!G11</f>
        <v>46008</v>
      </c>
      <c r="F104" s="1"/>
      <c r="G104" s="1"/>
      <c r="H104" s="1"/>
    </row>
    <row r="105" spans="1:8" ht="15.6" x14ac:dyDescent="0.3">
      <c r="B105" s="1"/>
      <c r="C105" s="1"/>
      <c r="D105" s="1"/>
      <c r="E105" s="1"/>
      <c r="F105" s="1"/>
      <c r="G105" s="1"/>
      <c r="H105" s="1"/>
    </row>
    <row r="106" spans="1:8" ht="15.6" x14ac:dyDescent="0.3">
      <c r="B106" s="1"/>
      <c r="C106" s="1"/>
      <c r="D106" s="1"/>
      <c r="E106" s="1"/>
      <c r="F106" s="1"/>
      <c r="G106" s="1"/>
      <c r="H106" s="1"/>
    </row>
    <row r="107" spans="1:8" ht="15.6" x14ac:dyDescent="0.3">
      <c r="B107" s="122" t="s">
        <v>66</v>
      </c>
      <c r="C107" s="122"/>
      <c r="D107" s="122"/>
      <c r="E107" s="122"/>
      <c r="F107" s="122"/>
      <c r="G107" s="122"/>
      <c r="H107" s="1"/>
    </row>
    <row r="108" spans="1:8" ht="15.6" x14ac:dyDescent="0.3">
      <c r="B108" s="1"/>
      <c r="C108" s="1"/>
      <c r="D108" s="1"/>
      <c r="E108" s="1"/>
      <c r="F108" s="1"/>
      <c r="G108" s="1"/>
      <c r="H108" s="1"/>
    </row>
    <row r="109" spans="1:8" ht="15.75" customHeight="1" x14ac:dyDescent="0.3">
      <c r="B109" s="1"/>
      <c r="C109" s="123" t="s">
        <v>67</v>
      </c>
      <c r="D109" s="124"/>
      <c r="E109" s="125"/>
      <c r="F109" s="125"/>
      <c r="G109" s="126"/>
      <c r="H109" s="1"/>
    </row>
    <row r="110" spans="1:8" s="15" customFormat="1" ht="12.75" customHeight="1" x14ac:dyDescent="0.3">
      <c r="B110" s="1"/>
      <c r="C110" s="36" t="s">
        <v>9</v>
      </c>
      <c r="D110" s="47" t="s">
        <v>10</v>
      </c>
      <c r="E110" s="48" t="s">
        <v>6</v>
      </c>
      <c r="F110" s="100" t="s">
        <v>7</v>
      </c>
      <c r="G110" s="49" t="s">
        <v>11</v>
      </c>
      <c r="H110" s="1"/>
    </row>
    <row r="111" spans="1:8" s="15" customFormat="1" ht="15" customHeight="1" x14ac:dyDescent="0.3">
      <c r="A111" s="104">
        <v>1</v>
      </c>
      <c r="B111" s="113" t="s">
        <v>137</v>
      </c>
      <c r="C111" s="38">
        <f>'4637'!B22</f>
        <v>1</v>
      </c>
      <c r="D111" s="95" t="str">
        <f>'4637'!C22</f>
        <v>PR6</v>
      </c>
      <c r="E111" s="39">
        <f>'4637'!D22</f>
        <v>910</v>
      </c>
      <c r="F111" s="101">
        <f>'4637'!E22</f>
        <v>397</v>
      </c>
      <c r="G111" s="102" t="str">
        <f>'4637'!F22</f>
        <v>SHELL WHITE 22011 SF</v>
      </c>
      <c r="H111" s="1"/>
    </row>
    <row r="112" spans="1:8" s="15" customFormat="1" ht="15" customHeight="1" x14ac:dyDescent="0.3">
      <c r="A112" s="104">
        <f>A111+1</f>
        <v>2</v>
      </c>
      <c r="C112" s="38">
        <f>'4637'!B23</f>
        <v>2</v>
      </c>
      <c r="D112" s="95" t="str">
        <f>'4637'!C23</f>
        <v>PR6</v>
      </c>
      <c r="E112" s="39">
        <f>'4637'!D23</f>
        <v>910</v>
      </c>
      <c r="F112" s="101">
        <f>'4637'!E23</f>
        <v>387</v>
      </c>
      <c r="G112" s="102" t="str">
        <f>'4637'!F23</f>
        <v>SHELL WHITE 22011 SF</v>
      </c>
      <c r="H112" s="1"/>
    </row>
    <row r="113" spans="1:8" s="15" customFormat="1" ht="15" customHeight="1" x14ac:dyDescent="0.3">
      <c r="A113" s="104">
        <f t="shared" ref="A113:A132" si="43">A112+1</f>
        <v>3</v>
      </c>
      <c r="C113" s="38">
        <f>'4637'!B24</f>
        <v>2</v>
      </c>
      <c r="D113" s="95" t="str">
        <f>'4637'!C24</f>
        <v>PR6</v>
      </c>
      <c r="E113" s="39">
        <f>'4637'!D24</f>
        <v>555</v>
      </c>
      <c r="F113" s="101">
        <f>'4637'!E24</f>
        <v>297</v>
      </c>
      <c r="G113" s="102" t="str">
        <f>'4637'!F24</f>
        <v>SHELL WHITE 22011 SF</v>
      </c>
      <c r="H113" s="1"/>
    </row>
    <row r="114" spans="1:8" s="15" customFormat="1" ht="15" customHeight="1" x14ac:dyDescent="0.3">
      <c r="A114" s="104">
        <f t="shared" si="43"/>
        <v>4</v>
      </c>
      <c r="C114" s="38">
        <f>'4637'!B25</f>
        <v>2</v>
      </c>
      <c r="D114" s="95" t="str">
        <f>'4637'!C25</f>
        <v>PR6</v>
      </c>
      <c r="E114" s="39">
        <f>'4637'!D25</f>
        <v>675</v>
      </c>
      <c r="F114" s="101">
        <f>'4637'!E25</f>
        <v>297</v>
      </c>
      <c r="G114" s="102" t="str">
        <f>'4637'!F25</f>
        <v>SHELL WHITE 22011 SF</v>
      </c>
      <c r="H114" s="1"/>
    </row>
    <row r="115" spans="1:8" s="15" customFormat="1" ht="15" customHeight="1" x14ac:dyDescent="0.3">
      <c r="A115" s="104">
        <f t="shared" si="43"/>
        <v>5</v>
      </c>
      <c r="C115" s="38">
        <f>'4637'!B26</f>
        <v>1</v>
      </c>
      <c r="D115" s="95" t="str">
        <f>'4637'!C26</f>
        <v>PR6</v>
      </c>
      <c r="E115" s="39">
        <f>'4637'!D26</f>
        <v>550</v>
      </c>
      <c r="F115" s="101">
        <f>'4637'!E26</f>
        <v>497</v>
      </c>
      <c r="G115" s="102" t="str">
        <f>'4637'!F26</f>
        <v>SHELL WHITE 22011 SF</v>
      </c>
      <c r="H115" s="1"/>
    </row>
    <row r="116" spans="1:8" s="15" customFormat="1" ht="15" customHeight="1" x14ac:dyDescent="0.3">
      <c r="A116" s="104">
        <f t="shared" si="43"/>
        <v>6</v>
      </c>
      <c r="C116" s="38">
        <f>'4637'!B27</f>
        <v>2</v>
      </c>
      <c r="D116" s="95" t="str">
        <f>'4637'!C27</f>
        <v>PR6</v>
      </c>
      <c r="E116" s="39">
        <f>'4637'!D27</f>
        <v>910</v>
      </c>
      <c r="F116" s="101">
        <f>'4637'!E27</f>
        <v>297</v>
      </c>
      <c r="G116" s="102" t="str">
        <f>'4637'!F27</f>
        <v>SHELL WHITE 22011 SF</v>
      </c>
      <c r="H116" s="1"/>
    </row>
    <row r="117" spans="1:8" s="15" customFormat="1" ht="15" customHeight="1" x14ac:dyDescent="0.3">
      <c r="A117" s="104">
        <f t="shared" si="43"/>
        <v>7</v>
      </c>
      <c r="C117" s="38">
        <f>'4637'!B28</f>
        <v>3</v>
      </c>
      <c r="D117" s="95" t="str">
        <f>'4637'!C28</f>
        <v>PR6</v>
      </c>
      <c r="E117" s="39">
        <f>'4637'!D28</f>
        <v>697</v>
      </c>
      <c r="F117" s="101">
        <f>'4637'!E28</f>
        <v>397</v>
      </c>
      <c r="G117" s="102" t="str">
        <f>'4637'!F28</f>
        <v>SHELL WHITE 22011 SF</v>
      </c>
      <c r="H117" s="1"/>
    </row>
    <row r="118" spans="1:8" s="15" customFormat="1" ht="15" customHeight="1" x14ac:dyDescent="0.3">
      <c r="A118" s="104">
        <f t="shared" si="43"/>
        <v>8</v>
      </c>
      <c r="C118" s="38">
        <f>'4637'!B29</f>
        <v>1</v>
      </c>
      <c r="D118" s="95" t="str">
        <f>'4637'!C29</f>
        <v>PR6</v>
      </c>
      <c r="E118" s="39">
        <f>'4637'!D29</f>
        <v>697</v>
      </c>
      <c r="F118" s="101">
        <f>'4637'!E29</f>
        <v>597</v>
      </c>
      <c r="G118" s="102" t="str">
        <f>'4637'!F29</f>
        <v>SHELL WHITE 22011 SF</v>
      </c>
      <c r="H118" s="1"/>
    </row>
    <row r="119" spans="1:8" s="15" customFormat="1" ht="15" customHeight="1" x14ac:dyDescent="0.3">
      <c r="A119" s="104">
        <f t="shared" si="43"/>
        <v>9</v>
      </c>
      <c r="C119" s="38">
        <f>'4637'!B30</f>
        <v>1</v>
      </c>
      <c r="D119" s="95" t="str">
        <f>'4637'!C30</f>
        <v>PR6</v>
      </c>
      <c r="E119" s="39">
        <f>'4637'!D30</f>
        <v>697</v>
      </c>
      <c r="F119" s="101">
        <f>'4637'!E30</f>
        <v>495</v>
      </c>
      <c r="G119" s="102" t="str">
        <f>'4637'!F30</f>
        <v>SHELL WHITE 22011 SF</v>
      </c>
      <c r="H119" s="1"/>
    </row>
    <row r="120" spans="1:8" s="15" customFormat="1" ht="15" customHeight="1" x14ac:dyDescent="0.3">
      <c r="A120" s="104">
        <f t="shared" si="43"/>
        <v>10</v>
      </c>
      <c r="C120" s="38">
        <f>'4637'!B31</f>
        <v>1</v>
      </c>
      <c r="D120" s="95" t="str">
        <f>'4637'!C31</f>
        <v>PR6</v>
      </c>
      <c r="E120" s="39">
        <f>'4637'!D31</f>
        <v>597</v>
      </c>
      <c r="F120" s="101">
        <f>'4637'!E31</f>
        <v>100</v>
      </c>
      <c r="G120" s="102" t="str">
        <f>'4637'!F31</f>
        <v>SHELL WHITE 22011 SF</v>
      </c>
      <c r="H120" s="1"/>
    </row>
    <row r="121" spans="1:8" s="15" customFormat="1" ht="15" customHeight="1" x14ac:dyDescent="0.3">
      <c r="A121" s="104">
        <f t="shared" si="43"/>
        <v>11</v>
      </c>
      <c r="C121" s="38">
        <f>'4637'!B32</f>
        <v>2</v>
      </c>
      <c r="D121" s="95" t="str">
        <f>'4637'!C32</f>
        <v>PR6</v>
      </c>
      <c r="E121" s="39">
        <f>'4637'!D32</f>
        <v>910</v>
      </c>
      <c r="F121" s="101">
        <f>'4637'!E32</f>
        <v>497</v>
      </c>
      <c r="G121" s="102" t="str">
        <f>'4637'!F32</f>
        <v>SHELL WHITE 22011 SF</v>
      </c>
      <c r="H121" s="1"/>
    </row>
    <row r="122" spans="1:8" s="15" customFormat="1" ht="15" customHeight="1" x14ac:dyDescent="0.3">
      <c r="A122" s="104">
        <f t="shared" si="43"/>
        <v>12</v>
      </c>
      <c r="C122" s="38">
        <f>'4637'!B33</f>
        <v>1</v>
      </c>
      <c r="D122" s="95" t="str">
        <f>'4637'!C33</f>
        <v>PR6</v>
      </c>
      <c r="E122" s="39">
        <f>'4637'!D33</f>
        <v>910</v>
      </c>
      <c r="F122" s="101">
        <f>'4637'!E33</f>
        <v>320</v>
      </c>
      <c r="G122" s="102" t="str">
        <f>'4637'!F33</f>
        <v>SHELL WHITE 22011 SF</v>
      </c>
      <c r="H122" s="1"/>
    </row>
    <row r="123" spans="1:8" s="15" customFormat="1" ht="15" customHeight="1" x14ac:dyDescent="0.3">
      <c r="A123" s="104">
        <f t="shared" si="43"/>
        <v>13</v>
      </c>
      <c r="C123" s="38">
        <f>'4637'!B34</f>
        <v>2</v>
      </c>
      <c r="D123" s="95" t="str">
        <f>'4637'!C34</f>
        <v>PR6</v>
      </c>
      <c r="E123" s="39">
        <f>'4637'!D34</f>
        <v>697</v>
      </c>
      <c r="F123" s="101">
        <f>'4637'!E34</f>
        <v>497</v>
      </c>
      <c r="G123" s="102" t="str">
        <f>'4637'!F34</f>
        <v>SHELL WHITE 22011 SF</v>
      </c>
      <c r="H123" s="1"/>
    </row>
    <row r="124" spans="1:8" s="15" customFormat="1" ht="15" customHeight="1" x14ac:dyDescent="0.3">
      <c r="A124" s="104">
        <f t="shared" si="43"/>
        <v>14</v>
      </c>
      <c r="C124" s="38">
        <f>'4637'!B35</f>
        <v>1</v>
      </c>
      <c r="D124" s="95" t="str">
        <f>'4637'!C35</f>
        <v>PR6</v>
      </c>
      <c r="E124" s="39">
        <f>'4637'!D35</f>
        <v>697</v>
      </c>
      <c r="F124" s="101">
        <f>'4637'!E35</f>
        <v>475</v>
      </c>
      <c r="G124" s="102" t="str">
        <f>'4637'!F35</f>
        <v>SHELL WHITE 22011 SF</v>
      </c>
      <c r="H124" s="1"/>
    </row>
    <row r="125" spans="1:8" s="15" customFormat="1" ht="15" customHeight="1" x14ac:dyDescent="0.3">
      <c r="A125" s="104">
        <f t="shared" si="43"/>
        <v>15</v>
      </c>
      <c r="C125" s="38">
        <f>'4637'!B36</f>
        <v>2</v>
      </c>
      <c r="D125" s="95" t="str">
        <f>'4637'!C36</f>
        <v>PR6</v>
      </c>
      <c r="E125" s="39">
        <f>'4637'!D36</f>
        <v>697</v>
      </c>
      <c r="F125" s="101">
        <f>'4637'!E36</f>
        <v>275</v>
      </c>
      <c r="G125" s="102" t="str">
        <f>'4637'!F36</f>
        <v>SHELL WHITE 22011 SF</v>
      </c>
      <c r="H125" s="1"/>
    </row>
    <row r="126" spans="1:8" s="15" customFormat="1" ht="15" customHeight="1" x14ac:dyDescent="0.3">
      <c r="A126" s="104">
        <f t="shared" si="43"/>
        <v>16</v>
      </c>
      <c r="C126" s="38">
        <f>'4637'!B37</f>
        <v>2</v>
      </c>
      <c r="D126" s="95" t="str">
        <f>'4637'!C37</f>
        <v>PR6</v>
      </c>
      <c r="E126" s="39">
        <f>'4637'!D37</f>
        <v>697</v>
      </c>
      <c r="F126" s="101">
        <f>'4637'!E37</f>
        <v>481</v>
      </c>
      <c r="G126" s="102" t="str">
        <f>'4637'!F37</f>
        <v>SHELL WHITE 22011 SF</v>
      </c>
      <c r="H126" s="1"/>
    </row>
    <row r="127" spans="1:8" s="15" customFormat="1" ht="15" customHeight="1" x14ac:dyDescent="0.3">
      <c r="A127" s="104">
        <f t="shared" si="43"/>
        <v>17</v>
      </c>
      <c r="C127" s="38">
        <f>'4637'!B38</f>
        <v>2</v>
      </c>
      <c r="D127" s="95" t="str">
        <f>'4637'!C38</f>
        <v>PR6</v>
      </c>
      <c r="E127" s="39">
        <f>'4637'!D38</f>
        <v>420</v>
      </c>
      <c r="F127" s="101">
        <f>'4637'!E38</f>
        <v>485</v>
      </c>
      <c r="G127" s="102" t="str">
        <f>'4637'!F38</f>
        <v>SHELL WHITE 22011 SF</v>
      </c>
      <c r="H127" s="1"/>
    </row>
    <row r="128" spans="1:8" s="15" customFormat="1" ht="15" customHeight="1" x14ac:dyDescent="0.3">
      <c r="A128" s="104">
        <f t="shared" si="43"/>
        <v>18</v>
      </c>
      <c r="C128" s="38">
        <f>'4637'!B39</f>
        <v>2</v>
      </c>
      <c r="D128" s="95" t="str">
        <f>'4637'!C39</f>
        <v>PR6</v>
      </c>
      <c r="E128" s="39">
        <f>'4637'!D39</f>
        <v>910</v>
      </c>
      <c r="F128" s="101">
        <f>'4637'!E39</f>
        <v>481</v>
      </c>
      <c r="G128" s="102" t="str">
        <f>'4637'!F39</f>
        <v>SHELL WHITE 22011 SF</v>
      </c>
      <c r="H128" s="1"/>
    </row>
    <row r="129" spans="1:8" s="15" customFormat="1" ht="15" customHeight="1" x14ac:dyDescent="0.3">
      <c r="A129" s="104">
        <f t="shared" si="43"/>
        <v>19</v>
      </c>
      <c r="C129" s="38">
        <f>'4637'!B40</f>
        <v>1</v>
      </c>
      <c r="D129" s="95" t="str">
        <f>'4637'!C40</f>
        <v>PR6</v>
      </c>
      <c r="E129" s="39">
        <f>'4637'!D40</f>
        <v>1525</v>
      </c>
      <c r="F129" s="101">
        <f>'4637'!E40</f>
        <v>235</v>
      </c>
      <c r="G129" s="102" t="str">
        <f>'4637'!F40</f>
        <v>SHELL WHITE 22011 SF</v>
      </c>
      <c r="H129" s="1"/>
    </row>
    <row r="130" spans="1:8" s="15" customFormat="1" ht="15" customHeight="1" x14ac:dyDescent="0.3">
      <c r="A130" s="104">
        <f t="shared" si="43"/>
        <v>20</v>
      </c>
      <c r="C130" s="38">
        <f>'4637'!B41</f>
        <v>1</v>
      </c>
      <c r="D130" s="95" t="str">
        <f>'4637'!C41</f>
        <v>PR6</v>
      </c>
      <c r="E130" s="39">
        <f>'4637'!D41</f>
        <v>598</v>
      </c>
      <c r="F130" s="101">
        <f>'4637'!E41</f>
        <v>235</v>
      </c>
      <c r="G130" s="102" t="str">
        <f>'4637'!F41</f>
        <v>SHELL WHITE 22011 SF</v>
      </c>
      <c r="H130" s="1"/>
    </row>
    <row r="131" spans="1:8" s="15" customFormat="1" ht="15" customHeight="1" x14ac:dyDescent="0.3">
      <c r="A131" s="104">
        <f t="shared" si="43"/>
        <v>21</v>
      </c>
      <c r="C131" s="38">
        <f>'4637'!B42</f>
        <v>1</v>
      </c>
      <c r="D131" s="95" t="str">
        <f>'4637'!C42</f>
        <v>TROZO DE LAMINA</v>
      </c>
      <c r="E131" s="39">
        <f>'4637'!D42</f>
        <v>1500</v>
      </c>
      <c r="F131" s="101">
        <f>'4637'!E42</f>
        <v>600</v>
      </c>
      <c r="G131" s="102" t="str">
        <f>'4637'!F42</f>
        <v>SHELL WHITE 22011 SF</v>
      </c>
      <c r="H131" s="1"/>
    </row>
    <row r="132" spans="1:8" s="15" customFormat="1" ht="15" customHeight="1" x14ac:dyDescent="0.3">
      <c r="A132" s="104">
        <f t="shared" si="43"/>
        <v>22</v>
      </c>
      <c r="C132" s="38">
        <f>'4637'!B43</f>
        <v>1</v>
      </c>
      <c r="D132" s="95" t="str">
        <f>'4637'!C43</f>
        <v>TROZO DE LAMINA</v>
      </c>
      <c r="E132" s="39">
        <f>'4637'!D43</f>
        <v>500</v>
      </c>
      <c r="F132" s="101">
        <f>'4637'!E43</f>
        <v>350</v>
      </c>
      <c r="G132" s="102" t="str">
        <f>'4637'!F43</f>
        <v>SHELL WHITE 22011 SF</v>
      </c>
      <c r="H132" s="1"/>
    </row>
    <row r="133" spans="1:8" s="15" customFormat="1" ht="15" customHeight="1" x14ac:dyDescent="0.3">
      <c r="B133" s="85"/>
      <c r="C133" s="52">
        <f>SUM(C111:C132)</f>
        <v>34</v>
      </c>
      <c r="D133" s="112"/>
      <c r="E133" s="52"/>
      <c r="F133" s="52"/>
      <c r="G133" s="52"/>
      <c r="H133" s="1"/>
    </row>
    <row r="134" spans="1:8" s="15" customFormat="1" ht="15" customHeight="1" x14ac:dyDescent="0.3">
      <c r="B134" s="50"/>
      <c r="C134" s="52"/>
      <c r="D134" s="52"/>
      <c r="E134" s="52"/>
      <c r="F134" s="52"/>
      <c r="G134" s="52"/>
      <c r="H134" s="1"/>
    </row>
    <row r="135" spans="1:8" ht="15.6" x14ac:dyDescent="0.3">
      <c r="B135" s="6"/>
      <c r="C135" s="6"/>
      <c r="D135" s="1"/>
      <c r="E135" s="6"/>
      <c r="F135" s="6"/>
      <c r="G135" s="44"/>
      <c r="H135" s="1"/>
    </row>
    <row r="136" spans="1:8" ht="15.6" x14ac:dyDescent="0.3">
      <c r="B136" s="6"/>
      <c r="C136" s="6"/>
      <c r="D136" s="1"/>
      <c r="E136" s="6"/>
      <c r="F136" s="6"/>
      <c r="G136" s="6"/>
      <c r="H136" s="1"/>
    </row>
    <row r="137" spans="1:8" ht="15.6" x14ac:dyDescent="0.3">
      <c r="B137" s="1"/>
      <c r="C137" s="1"/>
      <c r="D137" s="1"/>
      <c r="E137" s="1"/>
      <c r="F137" s="1"/>
      <c r="G137" s="1"/>
      <c r="H137" s="1"/>
    </row>
    <row r="138" spans="1:8" ht="15.6" x14ac:dyDescent="0.3">
      <c r="B138" s="1"/>
      <c r="C138" s="1"/>
      <c r="D138" s="1"/>
      <c r="E138" s="1"/>
      <c r="F138" s="1"/>
      <c r="G138" s="1"/>
      <c r="H138" s="1"/>
    </row>
    <row r="139" spans="1:8" ht="15.6" x14ac:dyDescent="0.3">
      <c r="B139" s="1"/>
      <c r="C139" s="1"/>
      <c r="D139" s="1"/>
      <c r="E139" s="1"/>
      <c r="F139" s="1"/>
      <c r="G139" s="1"/>
      <c r="H139" s="1"/>
    </row>
    <row r="140" spans="1:8" ht="15" customHeight="1" x14ac:dyDescent="0.3">
      <c r="B140" s="1"/>
      <c r="C140" s="1"/>
      <c r="D140" s="1"/>
      <c r="E140" s="1"/>
      <c r="F140" s="1"/>
      <c r="G140" s="1"/>
      <c r="H140" s="1"/>
    </row>
    <row r="141" spans="1:8" ht="15.6" x14ac:dyDescent="0.3">
      <c r="B141" s="1"/>
      <c r="C141" s="1"/>
      <c r="D141" s="1"/>
      <c r="E141" s="1"/>
      <c r="F141" s="1"/>
      <c r="G141" s="1"/>
      <c r="H141" s="1"/>
    </row>
    <row r="142" spans="1:8" ht="15.6" x14ac:dyDescent="0.3">
      <c r="B142" s="6"/>
      <c r="C142" s="51"/>
      <c r="D142" s="1"/>
      <c r="E142" s="1"/>
      <c r="F142" s="1"/>
      <c r="G142" s="1"/>
      <c r="H142" s="1"/>
    </row>
    <row r="143" spans="1:8" ht="15.6" x14ac:dyDescent="0.3">
      <c r="B143" s="1"/>
      <c r="C143" s="1"/>
      <c r="D143" s="1"/>
      <c r="E143" s="1"/>
      <c r="F143" s="1"/>
      <c r="G143" s="1"/>
      <c r="H143" s="1"/>
    </row>
    <row r="144" spans="1:8" x14ac:dyDescent="0.3">
      <c r="C144" s="20"/>
      <c r="D144" s="20"/>
      <c r="E144" s="20"/>
      <c r="F144" s="20"/>
      <c r="G144" s="20"/>
    </row>
    <row r="145" spans="3:7" x14ac:dyDescent="0.3">
      <c r="C145" s="20"/>
      <c r="D145" s="20"/>
      <c r="F145" s="20"/>
      <c r="G145" s="20"/>
    </row>
  </sheetData>
  <mergeCells count="6">
    <mergeCell ref="N3:O3"/>
    <mergeCell ref="B37:G37"/>
    <mergeCell ref="B10:G10"/>
    <mergeCell ref="B107:G107"/>
    <mergeCell ref="C109:G109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7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2026-02-19T15:39:17Z</cp:lastPrinted>
  <dcterms:created xsi:type="dcterms:W3CDTF">2013-03-19T12:54:14Z</dcterms:created>
  <dcterms:modified xsi:type="dcterms:W3CDTF">2026-02-19T15:40:37Z</dcterms:modified>
</cp:coreProperties>
</file>