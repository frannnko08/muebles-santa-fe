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03610BE1-7966-4877-AE12-6508B3734D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B21" i="3" s="1"/>
  <c r="C27" i="3"/>
  <c r="F21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H22" i="4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<sst xmlns="http://schemas.openxmlformats.org/spreadsheetml/2006/main" count="250" uniqueCount="147">
  <si>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</si>
  <si>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</si>
  <si>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</si>
  <si>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</si>
  <si>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</si>
  <si>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</si>
  <si>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</si>
  <si>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</si>
  <si>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</si>
  <si>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</si>
  <si>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</si>
  <si>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</si>
  <si>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</si>
  <si>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</si>
  <si>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</si>
  <si>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</si>
  <si>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</si>
  <si>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</si>
  <si>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</si>
  <si>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</si>
  <si>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</si>
  <si>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</si>
  <si>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</si>
  <si>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</si>
  <si>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</si>
  <si>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</si>
  <si>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</si>
  <si>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</si>
  <si>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</si>
  <si>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</si>
  <si>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</si>
  <si>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</si>
  <si>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</si>
  <si>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</si>
  <si>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</si>
  <si>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</si>
  <si>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</si>
  <si>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</si>
  <si>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</si>
  <si>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</si>
  <si>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</si>
  <si>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</si>
  <si>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</si>
  <si>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</si>
  <si>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</si>
  <si>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</si>
  <si>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</si>
  <si>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</si>
  <si>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</si>
  <si>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</si>
  <si>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</si>
  <si>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</si>
  <si>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</si>
  <si>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</si>
  <si>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</si>
  <si>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</si>
  <si>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</si>
  <si>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</si>
  <si>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</si>
  <si>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</si>
  <si>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</si>
  <si>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</si>
  <si>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</si>
  <si>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</si>
  <si>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</si>
  <si>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</si>
  <si>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</si>
  <si>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</si>
  <si>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</si>
  <si>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</si>
  <si>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</si>
  <si>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</si>
  <si>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</si>
  <si>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</si>
  <si>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</si>
  <si>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</si>
  <si>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</si>
  <si>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</si>
  <si>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</si>
  <si>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</si>
  <si>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</si>
  <si>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</si>
  <si>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</si>
  <si>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</si>
  <si>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</si>
  <si>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</si>
  <si>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</si>
  <si>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</si>
  <si>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</si>
  <si>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</si>
  <si>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</si>
  <si>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</si>
  <si>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</si>
  <si>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</si>
  <si>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</si>
  <si>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</si>
  <si>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</si>
  <si>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</si>
  <si>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</si>
  <si>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</si>
  <si>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</si>
  <si>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</si>
  <si>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</si>
  <si>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</si>
  <si>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</si>
  <si>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</si>
  <si>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</si>
  <si>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</si>
  <si>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</si>
  <si>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</si>
  <si>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</si>
  <si>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</si>
  <si>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</si>
  <si>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</si>
  <si>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</si>
  <si>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</si>
  <si>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</si>
  <si>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</si>
  <si>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</si>
  <si>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</si>
  <si>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</si>
  <si>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</si>
  <si>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</si>
  <si>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</si>
  <si>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</si>
  <si>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</si>
  <si>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</si>
  <si>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</si>
  <si>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</si>
  <si>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</si>
  <si>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</si>
  <si>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</si>
  <si>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</si>
  <si>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</si>
  <si>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</si>
  <si>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</si>
  <si>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</si>
  <si>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N° 11810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</si>
  <si>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</si>
  <si>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</si>
  <si>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</si>
  <si>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</si>
  <si>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</si>
  <si>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</si>
  <si>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</si>
  <si>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VAINILLA 2109 MT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</si>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</sst>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$ 75.000.-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4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4CMS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N18" sqref="N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7356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22" t="s">
        <v>138</v>
      </c>
      <c r="D10" s="54"/>
      <c r="E10" s="54"/>
      <c r="F10" s="55" t="s">
        <v>28</v>
      </c>
      <c r="G10" s="56">
        <v>46009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23" t="s">
        <v>139</v>
      </c>
      <c r="D11" s="59"/>
      <c r="E11" s="59"/>
      <c r="F11" s="59" t="s">
        <v>124</v>
      </c>
      <c r="G11" s="60">
        <v>46013</v>
      </c>
      <c r="H11" s="61"/>
      <c r="I11" s="1"/>
    </row>
    <row r="12" spans="1:17" ht="15.6" x14ac:dyDescent="0.3">
      <c r="A12" s="1"/>
      <c r="B12" s="62" t="s">
        <v>130</v>
      </c>
      <c r="C12" s="124" t="s">
        <v>140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141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142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25">
        <v>56973069852</v>
      </c>
      <c r="D15" s="65"/>
      <c r="E15" s="59"/>
      <c r="F15" s="59" t="s">
        <v>29</v>
      </c>
      <c r="G15" s="59" t="s">
        <v>146</v>
      </c>
      <c r="H15" s="61"/>
      <c r="I15" s="1"/>
    </row>
    <row r="16" spans="1:17" ht="16.8" x14ac:dyDescent="0.4">
      <c r="A16" s="1"/>
      <c r="B16" s="62" t="s">
        <v>1</v>
      </c>
      <c r="C16" s="102" t="s">
        <v>143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09" t="s">
        <v>18</v>
      </c>
      <c r="G17" s="109"/>
      <c r="H17" s="11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2</v>
      </c>
      <c r="C22" s="98" t="s">
        <v>144</v>
      </c>
      <c r="D22" s="101">
        <v>1700</v>
      </c>
      <c r="E22" s="101">
        <v>500</v>
      </c>
      <c r="F22" s="98" t="s">
        <v>145</v>
      </c>
      <c r="G22" s="99">
        <v>73266</v>
      </c>
      <c r="H22" s="99">
        <f t="shared" ref="H22" si="0">G22*B22</f>
        <v>146532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/>
      <c r="C23" s="107"/>
      <c r="D23" s="108"/>
      <c r="E23" s="108"/>
      <c r="F23" s="107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146532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27841.08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174373.08000000002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9" t="s">
        <v>27</v>
      </c>
      <c r="D4" s="14">
        <f>'4637'!G8</f>
        <v>7356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46013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2</v>
      </c>
      <c r="C14" s="25"/>
      <c r="D14" s="25">
        <f t="shared" ref="D14" si="1">J14+D$13</f>
        <v>1780</v>
      </c>
      <c r="E14" s="25">
        <f t="shared" ref="E14" si="2">K14+E$13</f>
        <v>500</v>
      </c>
      <c r="F14" s="96" t="str">
        <f>C27</f>
        <v>CUB S/R 180°</v>
      </c>
      <c r="G14" s="1"/>
      <c r="I14" s="3">
        <f t="shared" ref="I14:J14" si="3">I21</f>
        <v>2</v>
      </c>
      <c r="J14" s="4">
        <f t="shared" si="3"/>
        <v>1700</v>
      </c>
      <c r="K14" s="4">
        <f>E27</f>
        <v>500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14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70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2</v>
      </c>
      <c r="C21" s="16"/>
      <c r="D21" s="16">
        <f>J21+D$20</f>
        <v>1740</v>
      </c>
      <c r="E21" s="16">
        <f>K21+E20</f>
        <v>570</v>
      </c>
      <c r="F21" s="97" t="str">
        <f>C27</f>
        <v>CUB S/R 180°</v>
      </c>
      <c r="G21" s="1"/>
      <c r="I21" s="3">
        <f>B27</f>
        <v>2</v>
      </c>
      <c r="J21" s="4">
        <f>D27</f>
        <v>1700</v>
      </c>
      <c r="K21" s="4">
        <f>E27</f>
        <v>500</v>
      </c>
    </row>
    <row r="22" spans="1:11" ht="15.6" x14ac:dyDescent="0.3">
      <c r="A22" s="93"/>
      <c r="B22" s="6"/>
      <c r="C22" s="6"/>
      <c r="D22" s="6"/>
      <c r="E22" s="6"/>
      <c r="F22" s="100"/>
      <c r="G22" s="1"/>
      <c r="I22" s="87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134</v>
      </c>
      <c r="B27" s="25">
        <f>'4637'!B22</f>
        <v>2</v>
      </c>
      <c r="C27" s="96" t="str">
        <f>'4637'!C22</f>
        <v>CUB S/R 180°</v>
      </c>
      <c r="D27" s="25">
        <f>'4637'!D22</f>
        <v>1700</v>
      </c>
      <c r="E27" s="25">
        <f>'4637'!E22</f>
        <v>500</v>
      </c>
      <c r="F27" s="25" t="str">
        <f>'4637'!F22</f>
        <v>VAINILLA 2109 MT</v>
      </c>
      <c r="G27" s="1"/>
    </row>
    <row r="28" spans="1:11" ht="15.6" x14ac:dyDescent="0.3">
      <c r="A28" s="93"/>
      <c r="B28" s="6"/>
      <c r="C28" s="10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7356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FCA. DE MUEBLES ALVEAR Y ALVEAR LTDA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46013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7" t="s">
        <v>68</v>
      </c>
      <c r="B44" s="117"/>
      <c r="C44" s="117"/>
      <c r="D44" s="117"/>
      <c r="E44" s="117"/>
      <c r="F44" s="117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8" t="s">
        <v>69</v>
      </c>
      <c r="C46" s="119"/>
      <c r="D46" s="120"/>
      <c r="E46" s="120"/>
      <c r="F46" s="121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3" t="s">
        <v>134</v>
      </c>
      <c r="B48" s="37">
        <f>'4637'!B22</f>
        <v>2</v>
      </c>
      <c r="C48" s="95" t="str">
        <f>'4637'!C22</f>
        <v>CUB S/R 180°</v>
      </c>
      <c r="D48" s="38">
        <f>'4637'!D22</f>
        <v>1700</v>
      </c>
      <c r="E48" s="38">
        <f>'4637'!E22</f>
        <v>500</v>
      </c>
      <c r="F48" s="37" t="str">
        <f>'4637'!F22</f>
        <v>VAINILLA 2109 MT</v>
      </c>
      <c r="G48" s="1"/>
    </row>
    <row r="49" spans="1:7" s="15" customFormat="1" ht="15" customHeight="1" x14ac:dyDescent="0.3">
      <c r="A49" s="93"/>
      <c r="B49" s="51"/>
      <c r="C49" s="106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2025-12-19T12:18:49Z</cp:lastPrinted>
  <dcterms:created xsi:type="dcterms:W3CDTF">2013-03-19T12:54:14Z</dcterms:created>
  <dcterms:modified xsi:type="dcterms:W3CDTF">2025-12-19T12:20:04Z</dcterms:modified>
</cp:coreProperties>
</file>