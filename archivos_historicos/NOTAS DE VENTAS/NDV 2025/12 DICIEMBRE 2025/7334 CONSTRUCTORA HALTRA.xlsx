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D81C9753-27B7-4348-8330-BA23B0A487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CUBIERTA!$A$58:$G$88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35" i="3"/>
  <c r="E36" i="3"/>
  <c r="E33" i="3"/>
  <c r="D34" i="3"/>
  <c r="D35" i="3"/>
  <c r="D36" i="3"/>
  <c r="D33" i="3"/>
  <c r="D31" i="3"/>
  <c r="D32" i="3"/>
  <c r="E31" i="3"/>
  <c r="E32" i="3"/>
  <c r="E19" i="3"/>
  <c r="E20" i="3"/>
  <c r="E21" i="3"/>
  <c r="D19" i="3"/>
  <c r="D20" i="3"/>
  <c r="D21" i="3"/>
  <c r="E18" i="3"/>
  <c r="D18" i="3"/>
  <c r="I14" i="3"/>
  <c r="B15" i="3" l="1"/>
  <c r="B43" i="3"/>
  <c r="B30" i="3" s="1"/>
  <c r="C43" i="3"/>
  <c r="F30" i="3" s="1"/>
  <c r="D43" i="3"/>
  <c r="J30" i="3" s="1"/>
  <c r="D30" i="3" s="1"/>
  <c r="E43" i="3"/>
  <c r="K30" i="3" s="1"/>
  <c r="F43" i="3"/>
  <c r="B44" i="3"/>
  <c r="I31" i="3" s="1"/>
  <c r="B31" i="3" s="1"/>
  <c r="C44" i="3"/>
  <c r="F31" i="3" s="1"/>
  <c r="D44" i="3"/>
  <c r="J31" i="3" s="1"/>
  <c r="J16" i="3" s="1"/>
  <c r="D16" i="3" s="1"/>
  <c r="E44" i="3"/>
  <c r="K31" i="3" s="1"/>
  <c r="F44" i="3"/>
  <c r="B45" i="3"/>
  <c r="I32" i="3" s="1"/>
  <c r="B32" i="3" s="1"/>
  <c r="C45" i="3"/>
  <c r="F32" i="3" s="1"/>
  <c r="D45" i="3"/>
  <c r="J32" i="3" s="1"/>
  <c r="E45" i="3"/>
  <c r="K32" i="3" s="1"/>
  <c r="F45" i="3"/>
  <c r="B46" i="3"/>
  <c r="I33" i="3" s="1"/>
  <c r="B33" i="3" s="1"/>
  <c r="C46" i="3"/>
  <c r="F33" i="3" s="1"/>
  <c r="D46" i="3"/>
  <c r="J33" i="3" s="1"/>
  <c r="E46" i="3"/>
  <c r="K33" i="3" s="1"/>
  <c r="F46" i="3"/>
  <c r="B47" i="3"/>
  <c r="I34" i="3" s="1"/>
  <c r="B34" i="3" s="1"/>
  <c r="C47" i="3"/>
  <c r="F34" i="3" s="1"/>
  <c r="D47" i="3"/>
  <c r="J34" i="3" s="1"/>
  <c r="E47" i="3"/>
  <c r="K34" i="3" s="1"/>
  <c r="F47" i="3"/>
  <c r="B48" i="3"/>
  <c r="I35" i="3" s="1"/>
  <c r="B35" i="3" s="1"/>
  <c r="C48" i="3"/>
  <c r="F35" i="3" s="1"/>
  <c r="D48" i="3"/>
  <c r="J35" i="3" s="1"/>
  <c r="E48" i="3"/>
  <c r="K35" i="3" s="1"/>
  <c r="F48" i="3"/>
  <c r="B49" i="3"/>
  <c r="I36" i="3" s="1"/>
  <c r="B36" i="3" s="1"/>
  <c r="C49" i="3"/>
  <c r="F36" i="3" s="1"/>
  <c r="D49" i="3"/>
  <c r="J36" i="3" s="1"/>
  <c r="E49" i="3"/>
  <c r="K36" i="3" s="1"/>
  <c r="F49" i="3"/>
  <c r="B71" i="3"/>
  <c r="C71" i="3"/>
  <c r="D71" i="3"/>
  <c r="E71" i="3"/>
  <c r="F71" i="3"/>
  <c r="B72" i="3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H44" i="3" l="1"/>
  <c r="J43" i="3"/>
  <c r="H45" i="3"/>
  <c r="H48" i="3"/>
  <c r="J47" i="3"/>
  <c r="H46" i="3"/>
  <c r="H43" i="3"/>
  <c r="H49" i="3"/>
  <c r="I21" i="3"/>
  <c r="B21" i="3" s="1"/>
  <c r="K18" i="3"/>
  <c r="K15" i="3"/>
  <c r="J18" i="3"/>
  <c r="J15" i="3"/>
  <c r="D15" i="3" s="1"/>
  <c r="K17" i="3"/>
  <c r="E17" i="3" s="1"/>
  <c r="K19" i="3"/>
  <c r="J19" i="3"/>
  <c r="K16" i="3"/>
  <c r="E16" i="3" s="1"/>
  <c r="J20" i="3"/>
  <c r="F21" i="3"/>
  <c r="I20" i="3"/>
  <c r="B20" i="3" s="1"/>
  <c r="I19" i="3"/>
  <c r="B19" i="3" s="1"/>
  <c r="I18" i="3"/>
  <c r="B18" i="3" s="1"/>
  <c r="I17" i="3"/>
  <c r="B17" i="3" s="1"/>
  <c r="I16" i="3"/>
  <c r="B16" i="3" s="1"/>
  <c r="J21" i="3"/>
  <c r="K20" i="3"/>
  <c r="J17" i="3"/>
  <c r="D17" i="3" s="1"/>
  <c r="K21" i="3"/>
  <c r="F20" i="3"/>
  <c r="F19" i="3"/>
  <c r="F18" i="3"/>
  <c r="F17" i="3"/>
  <c r="F16" i="3"/>
  <c r="F15" i="3"/>
  <c r="B42" i="3"/>
  <c r="C42" i="3"/>
  <c r="F14" i="3" s="1"/>
  <c r="D42" i="3"/>
  <c r="J29" i="3" s="1"/>
  <c r="D29" i="3" s="1"/>
  <c r="E42" i="3"/>
  <c r="K29" i="3" s="1"/>
  <c r="F42" i="3"/>
  <c r="B70" i="3"/>
  <c r="C70" i="3"/>
  <c r="D70" i="3"/>
  <c r="E70" i="3"/>
  <c r="F70" i="3"/>
  <c r="H42" i="3" l="1"/>
  <c r="H50" i="3" s="1"/>
  <c r="J42" i="3"/>
  <c r="J50" i="3" s="1"/>
  <c r="J14" i="3"/>
  <c r="D14" i="3" s="1"/>
  <c r="K14" i="3"/>
  <c r="B29" i="3"/>
  <c r="B14" i="3"/>
  <c r="F29" i="3"/>
  <c r="H52" i="3" l="1"/>
  <c r="H53" i="3" s="1"/>
  <c r="H54" i="3" s="1"/>
  <c r="H55" i="3" s="1"/>
  <c r="N5" i="3" l="1"/>
  <c r="M5" i="3" l="1"/>
  <c r="L5" i="3"/>
  <c r="K5" i="3"/>
  <c r="C63" i="3" l="1"/>
  <c r="C7" i="3"/>
  <c r="D61" i="3"/>
  <c r="D5" i="3"/>
  <c r="D63" i="3"/>
  <c r="D7" i="3"/>
  <c r="D60" i="3"/>
  <c r="D4" i="3"/>
</calcChain>
</file>

<file path=xl/sharedStrings.xml><?xml version="1.0" encoding="utf-8"?>
<sst xmlns="http://schemas.openxmlformats.org/spreadsheetml/2006/main" count="260" uniqueCount="148">
  <si>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</si>
  <si>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</si>
  <si>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</si>
  <si>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</si>
  <si>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</si>
  <si>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</si>
  <si>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</si>
  <si>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</si>
  <si>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</si>
  <si>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</si>
  <si>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</si>
  <si>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</si>
  <si>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</si>
  <si>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</si>
  <si>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</si>
  <si>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</si>
  <si>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</si>
  <si>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</si>
  <si>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</si>
  <si>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</si>
  <si>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</si>
  <si>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</si>
  <si>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</si>
  <si>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</si>
  <si>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</si>
  <si>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</si>
  <si>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</si>
  <si>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</si>
  <si>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</si>
  <si>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</si>
  <si>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</si>
  <si>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</si>
  <si>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</si>
  <si>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</si>
  <si>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</si>
  <si>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</si>
  <si>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</si>
  <si>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</si>
  <si>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</si>
  <si>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</si>
  <si>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</si>
  <si>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</si>
  <si>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</si>
  <si>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</si>
  <si>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</si>
  <si>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</si>
  <si>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</si>
  <si>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</si>
  <si>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</si>
  <si>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</si>
  <si>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</si>
  <si>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</si>
  <si>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</si>
  <si>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</si>
  <si>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</si>
  <si>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</si>
  <si>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</si>
  <si>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</si>
  <si>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</si>
  <si>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</si>
  <si>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</si>
  <si>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</si>
  <si>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</si>
  <si>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</si>
  <si>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</si>
  <si>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</si>
  <si>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</si>
  <si>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</si>
  <si>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</si>
  <si>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</si>
  <si>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</si>
  <si>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</si>
  <si>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</si>
  <si>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</si>
  <si>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</si>
  <si>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</si>
  <si>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</si>
  <si>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</si>
  <si>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</si>
  <si>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</si>
  <si>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</si>
  <si>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</si>
  <si>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</si>
  <si>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</si>
  <si>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</si>
  <si>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</si>
  <si>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</si>
  <si>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</si>
  <si>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</si>
  <si>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</si>
  <si>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</si>
  <si>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</si>
  <si>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</si>
  <si>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</si>
  <si>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</si>
  <si>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</si>
  <si>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</si>
  <si>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</si>
  <si>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</si>
  <si>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</si>
  <si>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</si>
  <si>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</si>
  <si>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</si>
  <si>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</si>
  <si>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</si>
  <si>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</si>
  <si>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</si>
  <si>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</si>
  <si>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</si>
  <si>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</si>
  <si>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</si>
  <si>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</si>
  <si>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</si>
  <si>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</si>
  <si>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</si>
  <si>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</si>
  <si>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</si>
  <si>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</si>
  <si>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</si>
  <si>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</si>
  <si>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</si>
  <si>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</si>
  <si>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</si>
  <si>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</si>
  <si>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</si>
  <si>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</si>
  <si>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</si>
  <si>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</si>
  <si>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</si>
  <si>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</si>
  <si>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</si>
  <si>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</si>
  <si>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</si>
  <si>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</si>
  <si>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</si>
  <si>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</si>
  <si>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</si>
  <si>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11758</t>
  </si>
  <si>
    <t>FABRICACION DE MUEBLES</t>
  </si>
  <si>
    <t>CONSTRUCTORA HALTRA</t>
  </si>
  <si>
    <t>77.641.901-3</t>
  </si>
  <si>
    <t>CRISTIAN SUAZO</t>
  </si>
  <si>
    <t>+569 9230 4650</t>
  </si>
  <si>
    <t>FASHION GREY 21371 SF</t>
  </si>
  <si>
    <t>SILVER LEGNO OAK 10879 SF</t>
  </si>
  <si>
    <t>CUB S/R FRENTE 5CMS</t>
  </si>
  <si>
    <t>CEN 2V R6</t>
  </si>
  <si>
    <t>ENCHAPE RECTO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</si>
</sst>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3" borderId="0" xfId="0" applyFont="1" applyFill="1"/>
    <xf numFmtId="0" fontId="6" fillId="3" borderId="0" xfId="2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3" borderId="0" xfId="0" applyFont="1" applyFill="1"/>
    <xf numFmtId="0" fontId="17" fillId="0" borderId="0" xfId="0" quotePrefix="1" applyFont="1"/>
    <xf numFmtId="0" fontId="21" fillId="0" borderId="2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3" fillId="0" borderId="2" xfId="0" applyFont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33</xdr:row>
      <xdr:rowOff>55245</xdr:rowOff>
    </xdr:from>
    <xdr:to>
      <xdr:col>5</xdr:col>
      <xdr:colOff>1504950</xdr:colOff>
      <xdr:row>37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OBSERVACIONES:SON PARA PROYECTO HOSPITAL DE CARABINEROS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23</xdr:row>
      <xdr:rowOff>76200</xdr:rowOff>
    </xdr:from>
    <xdr:to>
      <xdr:col>5</xdr:col>
      <xdr:colOff>1676399</xdr:colOff>
      <xdr:row>25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64</xdr:row>
      <xdr:rowOff>171450</xdr:rowOff>
    </xdr:from>
    <xdr:to>
      <xdr:col>5</xdr:col>
      <xdr:colOff>1685924</xdr:colOff>
      <xdr:row>66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60</xdr:row>
      <xdr:rowOff>38100</xdr:rowOff>
    </xdr:from>
    <xdr:to>
      <xdr:col>6</xdr:col>
      <xdr:colOff>0</xdr:colOff>
      <xdr:row>61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2</xdr:col>
      <xdr:colOff>38100</xdr:colOff>
      <xdr:row>80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79</xdr:row>
      <xdr:rowOff>0</xdr:rowOff>
    </xdr:from>
    <xdr:to>
      <xdr:col>2</xdr:col>
      <xdr:colOff>1019175</xdr:colOff>
      <xdr:row>79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0</xdr:rowOff>
    </xdr:from>
    <xdr:to>
      <xdr:col>3</xdr:col>
      <xdr:colOff>352425</xdr:colOff>
      <xdr:row>80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0</xdr:rowOff>
    </xdr:from>
    <xdr:to>
      <xdr:col>4</xdr:col>
      <xdr:colOff>257175</xdr:colOff>
      <xdr:row>80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0</xdr:rowOff>
    </xdr:from>
    <xdr:to>
      <xdr:col>5</xdr:col>
      <xdr:colOff>447675</xdr:colOff>
      <xdr:row>79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0</xdr:rowOff>
    </xdr:from>
    <xdr:to>
      <xdr:col>6</xdr:col>
      <xdr:colOff>0</xdr:colOff>
      <xdr:row>79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79</xdr:row>
      <xdr:rowOff>190500</xdr:rowOff>
    </xdr:from>
    <xdr:to>
      <xdr:col>2</xdr:col>
      <xdr:colOff>304800</xdr:colOff>
      <xdr:row>81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79</xdr:row>
      <xdr:rowOff>190500</xdr:rowOff>
    </xdr:from>
    <xdr:to>
      <xdr:col>2</xdr:col>
      <xdr:colOff>1276350</xdr:colOff>
      <xdr:row>81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190500</xdr:rowOff>
    </xdr:from>
    <xdr:to>
      <xdr:col>3</xdr:col>
      <xdr:colOff>619125</xdr:colOff>
      <xdr:row>81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190500</xdr:rowOff>
    </xdr:from>
    <xdr:to>
      <xdr:col>4</xdr:col>
      <xdr:colOff>523875</xdr:colOff>
      <xdr:row>81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190500</xdr:rowOff>
    </xdr:from>
    <xdr:to>
      <xdr:col>5</xdr:col>
      <xdr:colOff>723900</xdr:colOff>
      <xdr:row>81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190500</xdr:rowOff>
    </xdr:from>
    <xdr:to>
      <xdr:col>6</xdr:col>
      <xdr:colOff>0</xdr:colOff>
      <xdr:row>81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51</xdr:row>
      <xdr:rowOff>15239</xdr:rowOff>
    </xdr:from>
    <xdr:to>
      <xdr:col>6</xdr:col>
      <xdr:colOff>68580</xdr:colOff>
      <xdr:row>55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CON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INSTALACION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37</xdr:row>
      <xdr:rowOff>200025</xdr:rowOff>
    </xdr:from>
    <xdr:to>
      <xdr:col>6</xdr:col>
      <xdr:colOff>19049</xdr:colOff>
      <xdr:row>39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82</xdr:row>
      <xdr:rowOff>32385</xdr:rowOff>
    </xdr:from>
    <xdr:to>
      <xdr:col>6</xdr:col>
      <xdr:colOff>19050</xdr:colOff>
      <xdr:row>86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SON PARA PROYECTO HOSPITAL DE CARABINEROS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58</xdr:row>
      <xdr:rowOff>41910</xdr:rowOff>
    </xdr:from>
    <xdr:to>
      <xdr:col>1</xdr:col>
      <xdr:colOff>801763</xdr:colOff>
      <xdr:row>64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20" workbookViewId="0">
      <selection activeCell="C26" sqref="C26:C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7334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139</v>
      </c>
      <c r="D10" s="55"/>
      <c r="E10" s="55"/>
      <c r="F10" s="56" t="s">
        <v>28</v>
      </c>
      <c r="G10" s="57">
        <v>45992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0" t="s">
        <v>140</v>
      </c>
      <c r="D11" s="60"/>
      <c r="E11" s="60"/>
      <c r="F11" s="60" t="s">
        <v>122</v>
      </c>
      <c r="G11" s="61">
        <v>46001</v>
      </c>
      <c r="H11" s="62"/>
      <c r="I11" s="1"/>
    </row>
    <row r="12" spans="1:17" ht="15.6" x14ac:dyDescent="0.3">
      <c r="A12" s="1"/>
      <c r="B12" s="63" t="s">
        <v>128</v>
      </c>
      <c r="C12" s="107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C13" t="s">
        <v>141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2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08" t="s">
        <v>142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1"/>
      <c r="D16" s="43"/>
      <c r="E16" s="43"/>
      <c r="F16" s="67" t="s">
        <v>75</v>
      </c>
      <c r="G16" s="104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3" t="s">
        <v>129</v>
      </c>
      <c r="D17" s="69"/>
      <c r="E17" s="70"/>
      <c r="F17" s="119" t="s">
        <v>18</v>
      </c>
      <c r="G17" s="119"/>
      <c r="H17" s="120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1" t="s">
        <v>19</v>
      </c>
      <c r="C20" s="122"/>
      <c r="D20" s="122"/>
      <c r="E20" s="122"/>
      <c r="F20" s="122"/>
      <c r="G20" s="122"/>
      <c r="H20" s="123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98">
        <v>4</v>
      </c>
      <c r="C22" s="109" t="s">
        <v>145</v>
      </c>
      <c r="D22" s="100">
        <v>2200</v>
      </c>
      <c r="E22" s="100">
        <v>400</v>
      </c>
      <c r="F22" s="98" t="s">
        <v>143</v>
      </c>
      <c r="G22" s="99"/>
      <c r="H22" s="99"/>
      <c r="I22" s="1"/>
      <c r="J22" s="98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2</v>
      </c>
      <c r="C23" s="109" t="s">
        <v>145</v>
      </c>
      <c r="D23" s="100">
        <v>1950</v>
      </c>
      <c r="E23" s="100">
        <v>400</v>
      </c>
      <c r="F23" s="98" t="s">
        <v>143</v>
      </c>
      <c r="G23" s="99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2</v>
      </c>
      <c r="C24" s="109" t="s">
        <v>146</v>
      </c>
      <c r="D24" s="100">
        <v>1200</v>
      </c>
      <c r="E24" s="100">
        <v>250</v>
      </c>
      <c r="F24" s="98" t="s">
        <v>143</v>
      </c>
      <c r="G24" s="99"/>
      <c r="H24" s="99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>
        <v>4</v>
      </c>
      <c r="C25" s="109" t="s">
        <v>146</v>
      </c>
      <c r="D25" s="100">
        <v>1850</v>
      </c>
      <c r="E25" s="100">
        <v>250</v>
      </c>
      <c r="F25" s="98" t="s">
        <v>143</v>
      </c>
      <c r="G25" s="99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8">
        <v>4</v>
      </c>
      <c r="C26" s="109" t="s">
        <v>147</v>
      </c>
      <c r="D26" s="100">
        <v>2150</v>
      </c>
      <c r="E26" s="100">
        <v>400</v>
      </c>
      <c r="F26" s="118" t="s">
        <v>144</v>
      </c>
      <c r="G26" s="99"/>
      <c r="H26" s="99"/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8">
        <v>4</v>
      </c>
      <c r="C27" s="109" t="s">
        <v>147</v>
      </c>
      <c r="D27" s="100">
        <v>400</v>
      </c>
      <c r="E27" s="100">
        <v>450</v>
      </c>
      <c r="F27" s="118" t="s">
        <v>144</v>
      </c>
      <c r="G27" s="99"/>
      <c r="H27" s="99"/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98">
        <v>2</v>
      </c>
      <c r="C28" s="109" t="s">
        <v>147</v>
      </c>
      <c r="D28" s="100">
        <v>850</v>
      </c>
      <c r="E28" s="100">
        <v>600</v>
      </c>
      <c r="F28" s="118" t="s">
        <v>144</v>
      </c>
      <c r="G28" s="99"/>
      <c r="H28" s="99"/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98">
        <v>1</v>
      </c>
      <c r="C29" s="109" t="s">
        <v>147</v>
      </c>
      <c r="D29" s="100">
        <v>1900</v>
      </c>
      <c r="E29" s="100">
        <v>600</v>
      </c>
      <c r="F29" s="118" t="s">
        <v>144</v>
      </c>
      <c r="G29" s="99"/>
      <c r="H29" s="99"/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I30" s="1"/>
    </row>
    <row r="31" spans="1:16" ht="15.6" x14ac:dyDescent="0.3">
      <c r="A31" s="1"/>
      <c r="I31" s="1"/>
    </row>
    <row r="32" spans="1:16" ht="16.2" thickBot="1" x14ac:dyDescent="0.35">
      <c r="A32" s="1"/>
      <c r="B32" s="1"/>
      <c r="C32" s="1"/>
      <c r="D32" s="1"/>
      <c r="E32" s="1"/>
      <c r="F32" s="1"/>
      <c r="I32" s="1"/>
    </row>
    <row r="33" spans="1:9" ht="15.6" x14ac:dyDescent="0.3">
      <c r="A33" s="1"/>
      <c r="B33" s="1"/>
      <c r="C33" s="1"/>
      <c r="D33" s="1"/>
      <c r="E33" s="1"/>
      <c r="F33" s="1"/>
      <c r="G33" s="75" t="s">
        <v>5</v>
      </c>
      <c r="H33" s="76"/>
      <c r="I33" s="1"/>
    </row>
    <row r="34" spans="1:9" ht="15.6" x14ac:dyDescent="0.3">
      <c r="A34" s="1"/>
      <c r="B34" s="1"/>
      <c r="C34" s="1"/>
      <c r="D34" s="1"/>
      <c r="E34" s="1"/>
      <c r="F34" s="1"/>
      <c r="G34" s="77" t="s">
        <v>6</v>
      </c>
      <c r="H34" s="78"/>
      <c r="I34" s="1"/>
    </row>
    <row r="35" spans="1:9" ht="16.2" thickBot="1" x14ac:dyDescent="0.35">
      <c r="A35" s="1"/>
      <c r="C35" s="82"/>
      <c r="D35" s="83"/>
      <c r="E35" s="83"/>
      <c r="F35" s="74"/>
      <c r="G35" s="79" t="s">
        <v>4</v>
      </c>
      <c r="H35" s="80"/>
      <c r="I35" s="1"/>
    </row>
    <row r="36" spans="1:9" ht="15.6" x14ac:dyDescent="0.3">
      <c r="A36" s="1"/>
      <c r="C36" s="82"/>
      <c r="D36" s="83"/>
      <c r="E36" s="83"/>
      <c r="F36" s="74"/>
      <c r="G36" s="1"/>
      <c r="H36" s="1"/>
      <c r="I36" s="1"/>
    </row>
    <row r="37" spans="1:9" ht="15.6" x14ac:dyDescent="0.3">
      <c r="A37" s="1"/>
      <c r="C37" s="1"/>
      <c r="D37" s="1"/>
      <c r="E37" s="84" t="s">
        <v>26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B40" s="81" t="s">
        <v>134</v>
      </c>
    </row>
    <row r="41" spans="1:9" ht="15.6" x14ac:dyDescent="0.3">
      <c r="B41" s="81" t="s">
        <v>135</v>
      </c>
    </row>
    <row r="42" spans="1:9" ht="15.6" x14ac:dyDescent="0.3">
      <c r="B42" s="1" t="s">
        <v>25</v>
      </c>
    </row>
  </sheetData>
  <sortState xmlns:xlrd2="http://schemas.microsoft.com/office/spreadsheetml/2017/richdata2" ref="B41">
    <sortCondition sortBy="fontColor" ref="B41" dxfId="0"/>
  </sortState>
  <mergeCells count="2">
    <mergeCell ref="F17:H17"/>
    <mergeCell ref="B20:H20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0"/>
  <sheetViews>
    <sheetView tabSelected="1" topLeftCell="A46" zoomScaleNormal="100" workbookViewId="0">
      <selection activeCell="A58" sqref="A58:G8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6" t="s">
        <v>61</v>
      </c>
      <c r="L3" s="126"/>
      <c r="M3" s="126" t="s">
        <v>14</v>
      </c>
      <c r="N3" s="126"/>
    </row>
    <row r="4" spans="1:14" ht="15.75" customHeight="1" x14ac:dyDescent="0.3">
      <c r="A4" s="1"/>
      <c r="B4" s="1"/>
      <c r="C4" s="40" t="s">
        <v>27</v>
      </c>
      <c r="D4" s="14">
        <f>'4637'!G8</f>
        <v>7334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HALTRA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46001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7" t="s">
        <v>61</v>
      </c>
      <c r="B10" s="127"/>
      <c r="C10" s="127"/>
      <c r="D10" s="127"/>
      <c r="E10" s="127"/>
      <c r="F10" s="12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131</v>
      </c>
      <c r="B14" s="25">
        <f t="shared" ref="B14" si="0">I14</f>
        <v>4</v>
      </c>
      <c r="C14" s="25"/>
      <c r="D14" s="25">
        <f>J14+D$13</f>
        <v>2250</v>
      </c>
      <c r="E14" s="35">
        <v>420</v>
      </c>
      <c r="F14" s="96" t="str">
        <f t="shared" ref="F14:F21" si="1">C42</f>
        <v>CUB S/R FRENTE 5CMS</v>
      </c>
      <c r="G14" s="1"/>
      <c r="I14" s="3">
        <f>I29</f>
        <v>4</v>
      </c>
      <c r="J14" s="4">
        <f>J29</f>
        <v>2200</v>
      </c>
      <c r="K14" s="4">
        <f t="shared" ref="K14:K21" si="2">E42</f>
        <v>400</v>
      </c>
    </row>
    <row r="15" spans="1:14" ht="16.2" customHeight="1" x14ac:dyDescent="0.3">
      <c r="A15" s="95"/>
      <c r="B15" s="25">
        <f t="shared" ref="B15:B21" si="3">I15</f>
        <v>2</v>
      </c>
      <c r="C15" s="25"/>
      <c r="D15" s="25">
        <f>J15+D$13</f>
        <v>2000</v>
      </c>
      <c r="E15" s="35">
        <v>420</v>
      </c>
      <c r="F15" s="96" t="str">
        <f t="shared" si="1"/>
        <v>CUB S/R FRENTE 5CMS</v>
      </c>
      <c r="G15" s="1"/>
      <c r="I15" s="3">
        <v>2</v>
      </c>
      <c r="J15" s="4">
        <f>J30</f>
        <v>1950</v>
      </c>
      <c r="K15" s="4">
        <f t="shared" si="2"/>
        <v>400</v>
      </c>
    </row>
    <row r="16" spans="1:14" ht="16.2" customHeight="1" x14ac:dyDescent="0.3">
      <c r="A16" s="95"/>
      <c r="B16" s="25">
        <f t="shared" si="3"/>
        <v>2</v>
      </c>
      <c r="C16" s="25"/>
      <c r="D16" s="25">
        <f>J16+D$13</f>
        <v>1250</v>
      </c>
      <c r="E16" s="35">
        <f>K16+E$13</f>
        <v>250</v>
      </c>
      <c r="F16" s="96" t="str">
        <f t="shared" si="1"/>
        <v>CEN 2V R6</v>
      </c>
      <c r="G16" s="1"/>
      <c r="I16" s="3">
        <f t="shared" ref="I16:J16" si="4">I31</f>
        <v>2</v>
      </c>
      <c r="J16" s="4">
        <f t="shared" si="4"/>
        <v>1200</v>
      </c>
      <c r="K16" s="4">
        <f t="shared" si="2"/>
        <v>250</v>
      </c>
    </row>
    <row r="17" spans="1:13" ht="16.2" customHeight="1" x14ac:dyDescent="0.3">
      <c r="A17" s="95"/>
      <c r="B17" s="25">
        <f t="shared" si="3"/>
        <v>4</v>
      </c>
      <c r="C17" s="25"/>
      <c r="D17" s="25">
        <f>J17+D$13</f>
        <v>1900</v>
      </c>
      <c r="E17" s="35">
        <f>K17+E$13</f>
        <v>250</v>
      </c>
      <c r="F17" s="96" t="str">
        <f t="shared" si="1"/>
        <v>CEN 2V R6</v>
      </c>
      <c r="G17" s="1"/>
      <c r="I17" s="3">
        <f t="shared" ref="I17:J17" si="5">I32</f>
        <v>4</v>
      </c>
      <c r="J17" s="4">
        <f t="shared" si="5"/>
        <v>1850</v>
      </c>
      <c r="K17" s="4">
        <f t="shared" si="2"/>
        <v>250</v>
      </c>
    </row>
    <row r="18" spans="1:13" ht="16.2" customHeight="1" x14ac:dyDescent="0.3">
      <c r="A18" s="95"/>
      <c r="B18" s="25">
        <f t="shared" si="3"/>
        <v>4</v>
      </c>
      <c r="C18" s="25"/>
      <c r="D18" s="25">
        <f>J18+20</f>
        <v>2170</v>
      </c>
      <c r="E18" s="35">
        <f>K18+20</f>
        <v>420</v>
      </c>
      <c r="F18" s="96" t="str">
        <f t="shared" si="1"/>
        <v>ENCHAPE RECTO 1 CARA</v>
      </c>
      <c r="G18" s="1"/>
      <c r="I18" s="3">
        <f t="shared" ref="I18:J18" si="6">I33</f>
        <v>4</v>
      </c>
      <c r="J18" s="4">
        <f t="shared" si="6"/>
        <v>2150</v>
      </c>
      <c r="K18" s="4">
        <f t="shared" si="2"/>
        <v>400</v>
      </c>
    </row>
    <row r="19" spans="1:13" ht="16.2" customHeight="1" x14ac:dyDescent="0.3">
      <c r="A19" s="95"/>
      <c r="B19" s="25">
        <f t="shared" si="3"/>
        <v>4</v>
      </c>
      <c r="C19" s="25"/>
      <c r="D19" s="25">
        <f t="shared" ref="D19:D21" si="7">J19+20</f>
        <v>420</v>
      </c>
      <c r="E19" s="35">
        <f t="shared" ref="E19:E21" si="8">K19+20</f>
        <v>470</v>
      </c>
      <c r="F19" s="96" t="str">
        <f t="shared" si="1"/>
        <v>ENCHAPE RECTO 1 CARA</v>
      </c>
      <c r="G19" s="1"/>
      <c r="I19" s="3">
        <f t="shared" ref="I19:J19" si="9">I34</f>
        <v>4</v>
      </c>
      <c r="J19" s="4">
        <f t="shared" si="9"/>
        <v>400</v>
      </c>
      <c r="K19" s="4">
        <f t="shared" si="2"/>
        <v>450</v>
      </c>
    </row>
    <row r="20" spans="1:13" ht="16.2" customHeight="1" x14ac:dyDescent="0.3">
      <c r="A20" s="95"/>
      <c r="B20" s="25">
        <f t="shared" si="3"/>
        <v>2</v>
      </c>
      <c r="C20" s="25"/>
      <c r="D20" s="25">
        <f t="shared" si="7"/>
        <v>870</v>
      </c>
      <c r="E20" s="35">
        <f t="shared" si="8"/>
        <v>620</v>
      </c>
      <c r="F20" s="96" t="str">
        <f t="shared" si="1"/>
        <v>ENCHAPE RECTO 1 CARA</v>
      </c>
      <c r="G20" s="1"/>
      <c r="I20" s="3">
        <f t="shared" ref="I20:J20" si="10">I35</f>
        <v>2</v>
      </c>
      <c r="J20" s="4">
        <f t="shared" si="10"/>
        <v>850</v>
      </c>
      <c r="K20" s="4">
        <f t="shared" si="2"/>
        <v>600</v>
      </c>
    </row>
    <row r="21" spans="1:13" ht="16.2" customHeight="1" x14ac:dyDescent="0.3">
      <c r="A21" s="95"/>
      <c r="B21" s="25">
        <f t="shared" si="3"/>
        <v>1</v>
      </c>
      <c r="C21" s="25"/>
      <c r="D21" s="25">
        <f t="shared" si="7"/>
        <v>1920</v>
      </c>
      <c r="E21" s="35">
        <f t="shared" si="8"/>
        <v>620</v>
      </c>
      <c r="F21" s="96" t="str">
        <f t="shared" si="1"/>
        <v>ENCHAPE RECTO 1 CARA</v>
      </c>
      <c r="G21" s="1"/>
      <c r="I21" s="3">
        <f t="shared" ref="I21:J21" si="11">I36</f>
        <v>1</v>
      </c>
      <c r="J21" s="4">
        <f t="shared" si="11"/>
        <v>1900</v>
      </c>
      <c r="K21" s="4">
        <f t="shared" si="2"/>
        <v>600</v>
      </c>
    </row>
    <row r="22" spans="1:13" ht="16.2" customHeight="1" x14ac:dyDescent="0.3">
      <c r="A22" s="95"/>
      <c r="B22" s="6"/>
      <c r="C22" s="6"/>
      <c r="D22" s="6"/>
      <c r="E22" s="88"/>
      <c r="F22" s="116"/>
      <c r="G22" s="1"/>
      <c r="I22" s="89"/>
      <c r="J22" s="2"/>
      <c r="K22" s="2"/>
    </row>
    <row r="23" spans="1:13" ht="15.6" x14ac:dyDescent="0.3">
      <c r="A23" s="52"/>
      <c r="B23" s="6"/>
      <c r="C23" s="6"/>
      <c r="D23" s="6"/>
      <c r="E23" s="88"/>
      <c r="F23" s="6"/>
      <c r="G23" s="1"/>
      <c r="I23" s="89"/>
      <c r="J23" s="2"/>
      <c r="K23" s="2"/>
    </row>
    <row r="24" spans="1:13" ht="6.75" customHeight="1" x14ac:dyDescent="0.3">
      <c r="A24" s="1"/>
      <c r="B24" s="1"/>
      <c r="C24" s="1"/>
      <c r="D24" s="1"/>
      <c r="E24" s="1"/>
      <c r="F24" s="1"/>
      <c r="G24" s="1"/>
    </row>
    <row r="25" spans="1:13" ht="15.6" x14ac:dyDescent="0.3">
      <c r="A25" s="127" t="s">
        <v>14</v>
      </c>
      <c r="B25" s="127"/>
      <c r="C25" s="127"/>
      <c r="D25" s="127"/>
      <c r="E25" s="127"/>
      <c r="F25" s="127"/>
      <c r="G25" s="1"/>
    </row>
    <row r="26" spans="1:13" ht="10.5" customHeight="1" x14ac:dyDescent="0.3">
      <c r="A26" s="1"/>
      <c r="B26" s="1"/>
      <c r="C26" s="12"/>
      <c r="D26" s="1"/>
      <c r="E26" s="1"/>
      <c r="F26" s="1"/>
      <c r="G26" s="1"/>
    </row>
    <row r="27" spans="1:13" ht="15.6" x14ac:dyDescent="0.3">
      <c r="A27" s="1"/>
      <c r="B27" s="1"/>
      <c r="C27" s="1"/>
      <c r="D27" s="52" t="s">
        <v>7</v>
      </c>
      <c r="E27" s="52" t="s">
        <v>8</v>
      </c>
      <c r="F27" s="1"/>
      <c r="G27" s="1"/>
    </row>
    <row r="28" spans="1:13" ht="15.6" x14ac:dyDescent="0.3">
      <c r="A28" s="52" t="s">
        <v>9</v>
      </c>
      <c r="B28" s="36" t="s">
        <v>10</v>
      </c>
      <c r="C28" s="36" t="s">
        <v>11</v>
      </c>
      <c r="D28" s="21">
        <v>40</v>
      </c>
      <c r="E28" s="21">
        <v>90</v>
      </c>
      <c r="F28" s="36" t="s">
        <v>110</v>
      </c>
      <c r="G28" s="1"/>
      <c r="J28" s="5" t="s">
        <v>7</v>
      </c>
      <c r="K28" s="5" t="s">
        <v>8</v>
      </c>
    </row>
    <row r="29" spans="1:13" ht="15.6" x14ac:dyDescent="0.3">
      <c r="A29" s="95"/>
      <c r="B29" s="16">
        <f t="shared" ref="B29" si="12">I29</f>
        <v>4</v>
      </c>
      <c r="C29" s="16"/>
      <c r="D29" s="16">
        <f>J29+D$28</f>
        <v>2240</v>
      </c>
      <c r="E29" s="16">
        <v>510</v>
      </c>
      <c r="F29" s="97" t="str">
        <f>C42</f>
        <v>CUB S/R FRENTE 5CMS</v>
      </c>
      <c r="G29" s="1"/>
      <c r="I29" s="3">
        <v>4</v>
      </c>
      <c r="J29" s="4">
        <f t="shared" ref="J29:K31" si="13">D42</f>
        <v>2200</v>
      </c>
      <c r="K29" s="4">
        <f t="shared" si="13"/>
        <v>400</v>
      </c>
      <c r="M29">
        <v>185</v>
      </c>
    </row>
    <row r="30" spans="1:13" ht="15.6" x14ac:dyDescent="0.3">
      <c r="A30" s="95"/>
      <c r="B30" s="16">
        <f t="shared" ref="B30:B36" si="14">I30</f>
        <v>2</v>
      </c>
      <c r="C30" s="16"/>
      <c r="D30" s="16">
        <f>J30+D$28</f>
        <v>1990</v>
      </c>
      <c r="E30" s="16">
        <v>510</v>
      </c>
      <c r="F30" s="97" t="str">
        <f>C43</f>
        <v>CUB S/R FRENTE 5CMS</v>
      </c>
      <c r="G30" s="1"/>
      <c r="I30" s="3">
        <v>2</v>
      </c>
      <c r="J30" s="4">
        <f t="shared" si="13"/>
        <v>1950</v>
      </c>
      <c r="K30" s="4">
        <f t="shared" si="13"/>
        <v>400</v>
      </c>
    </row>
    <row r="31" spans="1:13" ht="15.6" x14ac:dyDescent="0.3">
      <c r="A31" s="95"/>
      <c r="B31" s="16">
        <f t="shared" si="14"/>
        <v>2</v>
      </c>
      <c r="C31" s="16"/>
      <c r="D31" s="16">
        <f t="shared" ref="D31:D32" si="15">J31+D$28</f>
        <v>1240</v>
      </c>
      <c r="E31" s="16">
        <f t="shared" ref="E30:E32" si="16">K31+E$28</f>
        <v>340</v>
      </c>
      <c r="F31" s="97" t="str">
        <f>C44</f>
        <v>CEN 2V R6</v>
      </c>
      <c r="G31" s="1"/>
      <c r="I31" s="3">
        <f>B44</f>
        <v>2</v>
      </c>
      <c r="J31" s="4">
        <f t="shared" si="13"/>
        <v>1200</v>
      </c>
      <c r="K31" s="4">
        <f t="shared" si="13"/>
        <v>250</v>
      </c>
    </row>
    <row r="32" spans="1:13" ht="15.6" x14ac:dyDescent="0.3">
      <c r="A32" s="95"/>
      <c r="B32" s="16">
        <f t="shared" si="14"/>
        <v>4</v>
      </c>
      <c r="C32" s="117"/>
      <c r="D32" s="16">
        <f t="shared" si="15"/>
        <v>1890</v>
      </c>
      <c r="E32" s="16">
        <f t="shared" si="16"/>
        <v>340</v>
      </c>
      <c r="F32" s="97" t="str">
        <f t="shared" ref="F32:F36" si="17">C45</f>
        <v>CEN 2V R6</v>
      </c>
      <c r="G32" s="1"/>
      <c r="I32" s="3">
        <f t="shared" ref="I32:I36" si="18">B45</f>
        <v>4</v>
      </c>
      <c r="J32" s="4">
        <f t="shared" ref="J32:J36" si="19">D45</f>
        <v>1850</v>
      </c>
      <c r="K32" s="4">
        <f t="shared" ref="K32:K36" si="20">E45</f>
        <v>250</v>
      </c>
    </row>
    <row r="33" spans="1:11" ht="15.6" x14ac:dyDescent="0.3">
      <c r="A33" s="95"/>
      <c r="B33" s="16">
        <f t="shared" si="14"/>
        <v>4</v>
      </c>
      <c r="C33" s="97"/>
      <c r="D33" s="16">
        <f>J33+20</f>
        <v>2170</v>
      </c>
      <c r="E33" s="16">
        <f>K33+20</f>
        <v>420</v>
      </c>
      <c r="F33" s="97" t="str">
        <f t="shared" si="17"/>
        <v>ENCHAPE RECTO 1 CARA</v>
      </c>
      <c r="G33" s="1"/>
      <c r="I33" s="3">
        <f t="shared" si="18"/>
        <v>4</v>
      </c>
      <c r="J33" s="4">
        <f t="shared" si="19"/>
        <v>2150</v>
      </c>
      <c r="K33" s="4">
        <f t="shared" si="20"/>
        <v>400</v>
      </c>
    </row>
    <row r="34" spans="1:11" ht="15.6" x14ac:dyDescent="0.3">
      <c r="A34" s="95"/>
      <c r="B34" s="16">
        <f t="shared" si="14"/>
        <v>4</v>
      </c>
      <c r="C34" s="97"/>
      <c r="D34" s="16">
        <f t="shared" ref="D34:D36" si="21">J34+20</f>
        <v>420</v>
      </c>
      <c r="E34" s="16">
        <f t="shared" ref="E34:E36" si="22">K34+20</f>
        <v>470</v>
      </c>
      <c r="F34" s="97" t="str">
        <f t="shared" si="17"/>
        <v>ENCHAPE RECTO 1 CARA</v>
      </c>
      <c r="G34" s="1"/>
      <c r="I34" s="3">
        <f t="shared" si="18"/>
        <v>4</v>
      </c>
      <c r="J34" s="4">
        <f t="shared" si="19"/>
        <v>400</v>
      </c>
      <c r="K34" s="4">
        <f t="shared" si="20"/>
        <v>450</v>
      </c>
    </row>
    <row r="35" spans="1:11" ht="15.6" x14ac:dyDescent="0.3">
      <c r="A35" s="95"/>
      <c r="B35" s="16">
        <f t="shared" si="14"/>
        <v>2</v>
      </c>
      <c r="C35" s="97"/>
      <c r="D35" s="16">
        <f t="shared" si="21"/>
        <v>870</v>
      </c>
      <c r="E35" s="16">
        <f t="shared" si="22"/>
        <v>620</v>
      </c>
      <c r="F35" s="97" t="str">
        <f t="shared" si="17"/>
        <v>ENCHAPE RECTO 1 CARA</v>
      </c>
      <c r="G35" s="1"/>
      <c r="I35" s="3">
        <f t="shared" si="18"/>
        <v>2</v>
      </c>
      <c r="J35" s="4">
        <f t="shared" si="19"/>
        <v>850</v>
      </c>
      <c r="K35" s="4">
        <f t="shared" si="20"/>
        <v>600</v>
      </c>
    </row>
    <row r="36" spans="1:11" ht="15.6" x14ac:dyDescent="0.3">
      <c r="A36" s="95"/>
      <c r="B36" s="16">
        <f t="shared" si="14"/>
        <v>1</v>
      </c>
      <c r="C36" s="97"/>
      <c r="D36" s="16">
        <f t="shared" si="21"/>
        <v>1920</v>
      </c>
      <c r="E36" s="16">
        <f t="shared" si="22"/>
        <v>620</v>
      </c>
      <c r="F36" s="97" t="str">
        <f t="shared" si="17"/>
        <v>ENCHAPE RECTO 1 CARA</v>
      </c>
      <c r="G36" s="1"/>
      <c r="I36" s="3">
        <f t="shared" si="18"/>
        <v>1</v>
      </c>
      <c r="J36" s="4">
        <f t="shared" si="19"/>
        <v>1900</v>
      </c>
      <c r="K36" s="4">
        <f t="shared" si="20"/>
        <v>600</v>
      </c>
    </row>
    <row r="37" spans="1:11" ht="15.6" x14ac:dyDescent="0.3">
      <c r="A37" s="95"/>
      <c r="B37" s="6"/>
      <c r="C37" s="6"/>
      <c r="D37" s="6"/>
      <c r="E37" s="6"/>
      <c r="F37" s="116"/>
      <c r="G37" s="1"/>
      <c r="I37" s="89"/>
      <c r="J37" s="2"/>
      <c r="K37" s="2"/>
    </row>
    <row r="38" spans="1:11" ht="16.2" thickBot="1" x14ac:dyDescent="0.35">
      <c r="A38" s="52"/>
      <c r="B38" s="6"/>
      <c r="C38" s="6"/>
      <c r="D38" s="6"/>
      <c r="E38" s="6"/>
      <c r="F38" s="6"/>
      <c r="G38" s="1"/>
      <c r="I38" s="2"/>
      <c r="J38" s="2"/>
      <c r="K38" s="2"/>
    </row>
    <row r="39" spans="1:11" ht="16.2" thickBot="1" x14ac:dyDescent="0.35">
      <c r="A39" s="52"/>
      <c r="B39" s="22" t="s">
        <v>107</v>
      </c>
      <c r="C39" s="23"/>
      <c r="D39" s="23"/>
      <c r="E39" s="23"/>
      <c r="F39" s="24"/>
      <c r="G39" s="1"/>
      <c r="I39" s="2"/>
      <c r="J39" s="2"/>
      <c r="K39" s="2"/>
    </row>
    <row r="40" spans="1:11" ht="10.5" customHeight="1" x14ac:dyDescent="0.3">
      <c r="A40" s="1"/>
      <c r="B40" s="1"/>
      <c r="C40" s="1"/>
      <c r="D40" s="1"/>
      <c r="E40" s="1"/>
      <c r="F40" s="1"/>
      <c r="G40" s="1"/>
    </row>
    <row r="41" spans="1:11" ht="15.6" x14ac:dyDescent="0.3">
      <c r="A41" s="52" t="s">
        <v>9</v>
      </c>
      <c r="B41" s="87" t="s">
        <v>10</v>
      </c>
      <c r="C41" s="87" t="s">
        <v>110</v>
      </c>
      <c r="D41" s="87" t="s">
        <v>7</v>
      </c>
      <c r="E41" s="87" t="s">
        <v>8</v>
      </c>
      <c r="F41" s="87" t="s">
        <v>23</v>
      </c>
      <c r="G41" s="1"/>
    </row>
    <row r="42" spans="1:11" ht="15.6" x14ac:dyDescent="0.3">
      <c r="A42" s="95"/>
      <c r="B42" s="25">
        <f>'4637'!B22</f>
        <v>4</v>
      </c>
      <c r="C42" s="106" t="str">
        <f>'4637'!C22</f>
        <v>CUB S/R FRENTE 5CMS</v>
      </c>
      <c r="D42" s="25">
        <f>'4637'!D22</f>
        <v>2200</v>
      </c>
      <c r="E42" s="25">
        <f>'4637'!E22</f>
        <v>400</v>
      </c>
      <c r="F42" s="25" t="str">
        <f>'4637'!F22</f>
        <v>FASHION GREY 21371 SF</v>
      </c>
      <c r="G42" s="1"/>
      <c r="H42">
        <f>D42*2*B42</f>
        <v>17600</v>
      </c>
      <c r="J42">
        <f>E42*B42</f>
        <v>1600</v>
      </c>
    </row>
    <row r="43" spans="1:11" ht="15.6" x14ac:dyDescent="0.3">
      <c r="A43" s="95"/>
      <c r="B43" s="25">
        <f>'4637'!B23</f>
        <v>2</v>
      </c>
      <c r="C43" s="106" t="str">
        <f>'4637'!C23</f>
        <v>CUB S/R FRENTE 5CMS</v>
      </c>
      <c r="D43" s="25">
        <f>'4637'!D23</f>
        <v>1950</v>
      </c>
      <c r="E43" s="25">
        <f>'4637'!E23</f>
        <v>400</v>
      </c>
      <c r="F43" s="25" t="str">
        <f>'4637'!F23</f>
        <v>FASHION GREY 21371 SF</v>
      </c>
      <c r="G43" s="1"/>
      <c r="H43">
        <f>D43*2*B43</f>
        <v>7800</v>
      </c>
      <c r="J43">
        <f>E43*B43</f>
        <v>800</v>
      </c>
    </row>
    <row r="44" spans="1:11" ht="15.6" x14ac:dyDescent="0.3">
      <c r="A44" s="95"/>
      <c r="B44" s="25">
        <f>'4637'!B24</f>
        <v>2</v>
      </c>
      <c r="C44" s="106" t="str">
        <f>'4637'!C24</f>
        <v>CEN 2V R6</v>
      </c>
      <c r="D44" s="25">
        <f>'4637'!D24</f>
        <v>1200</v>
      </c>
      <c r="E44" s="25">
        <f>'4637'!E24</f>
        <v>250</v>
      </c>
      <c r="F44" s="25" t="str">
        <f>'4637'!F24</f>
        <v>FASHION GREY 21371 SF</v>
      </c>
      <c r="G44" s="1"/>
      <c r="H44">
        <f>D44*B44</f>
        <v>2400</v>
      </c>
    </row>
    <row r="45" spans="1:11" ht="15.6" x14ac:dyDescent="0.3">
      <c r="A45" s="95"/>
      <c r="B45" s="25">
        <f>'4637'!B25</f>
        <v>4</v>
      </c>
      <c r="C45" s="106" t="str">
        <f>'4637'!C25</f>
        <v>CEN 2V R6</v>
      </c>
      <c r="D45" s="25">
        <f>'4637'!D25</f>
        <v>1850</v>
      </c>
      <c r="E45" s="25">
        <f>'4637'!E25</f>
        <v>250</v>
      </c>
      <c r="F45" s="25" t="str">
        <f>'4637'!F25</f>
        <v>FASHION GREY 21371 SF</v>
      </c>
      <c r="G45" s="1"/>
      <c r="H45">
        <f>D45*2</f>
        <v>3700</v>
      </c>
    </row>
    <row r="46" spans="1:11" ht="15.6" x14ac:dyDescent="0.3">
      <c r="A46" s="95"/>
      <c r="B46" s="25">
        <f>'4637'!B26</f>
        <v>4</v>
      </c>
      <c r="C46" s="106" t="str">
        <f>'4637'!C26</f>
        <v>ENCHAPE RECTO 1 CARA</v>
      </c>
      <c r="D46" s="25">
        <f>'4637'!D26</f>
        <v>2150</v>
      </c>
      <c r="E46" s="25">
        <f>'4637'!E26</f>
        <v>400</v>
      </c>
      <c r="F46" s="25" t="str">
        <f>'4637'!F26</f>
        <v>SILVER LEGNO OAK 10879 SF</v>
      </c>
      <c r="G46" s="1"/>
      <c r="H46">
        <f>D46*2</f>
        <v>4300</v>
      </c>
    </row>
    <row r="47" spans="1:11" ht="15.6" x14ac:dyDescent="0.3">
      <c r="A47" s="95"/>
      <c r="B47" s="25">
        <f>'4637'!B27</f>
        <v>4</v>
      </c>
      <c r="C47" s="106" t="str">
        <f>'4637'!C27</f>
        <v>ENCHAPE RECTO 1 CARA</v>
      </c>
      <c r="D47" s="25">
        <f>'4637'!D27</f>
        <v>400</v>
      </c>
      <c r="E47" s="25">
        <f>'4637'!E27</f>
        <v>450</v>
      </c>
      <c r="F47" s="25" t="str">
        <f>'4637'!F27</f>
        <v>SILVER LEGNO OAK 10879 SF</v>
      </c>
      <c r="G47" s="1"/>
      <c r="J47">
        <f>E47*B47</f>
        <v>1800</v>
      </c>
    </row>
    <row r="48" spans="1:11" ht="15.6" x14ac:dyDescent="0.3">
      <c r="A48" s="95"/>
      <c r="B48" s="25">
        <f>'4637'!B28</f>
        <v>2</v>
      </c>
      <c r="C48" s="106" t="str">
        <f>'4637'!C28</f>
        <v>ENCHAPE RECTO 1 CARA</v>
      </c>
      <c r="D48" s="25">
        <f>'4637'!D28</f>
        <v>850</v>
      </c>
      <c r="E48" s="25">
        <f>'4637'!E28</f>
        <v>600</v>
      </c>
      <c r="F48" s="25" t="str">
        <f>'4637'!F28</f>
        <v>SILVER LEGNO OAK 10879 SF</v>
      </c>
      <c r="G48" s="1"/>
      <c r="H48">
        <f>D48*2*B48</f>
        <v>3400</v>
      </c>
    </row>
    <row r="49" spans="1:10" ht="15.6" x14ac:dyDescent="0.3">
      <c r="A49" s="95"/>
      <c r="B49" s="25">
        <f>'4637'!B29</f>
        <v>1</v>
      </c>
      <c r="C49" s="106" t="str">
        <f>'4637'!C29</f>
        <v>ENCHAPE RECTO 1 CARA</v>
      </c>
      <c r="D49" s="25">
        <f>'4637'!D29</f>
        <v>1900</v>
      </c>
      <c r="E49" s="25">
        <f>'4637'!E29</f>
        <v>600</v>
      </c>
      <c r="F49" s="25" t="str">
        <f>'4637'!F29</f>
        <v>SILVER LEGNO OAK 10879 SF</v>
      </c>
      <c r="G49" s="1"/>
      <c r="H49">
        <f>D49*2*B49</f>
        <v>3800</v>
      </c>
    </row>
    <row r="50" spans="1:10" ht="15.6" x14ac:dyDescent="0.3">
      <c r="A50" s="95"/>
      <c r="B50" s="6"/>
      <c r="C50" s="115"/>
      <c r="D50" s="6"/>
      <c r="E50" s="6"/>
      <c r="F50" s="6"/>
      <c r="G50" s="1"/>
      <c r="H50">
        <f>SUM(H42:H49)</f>
        <v>43000</v>
      </c>
      <c r="J50">
        <f>SUM(J42:J49)</f>
        <v>4200</v>
      </c>
    </row>
    <row r="51" spans="1:10" ht="15.6" x14ac:dyDescent="0.3">
      <c r="A51" s="1"/>
      <c r="B51" s="6"/>
      <c r="C51" s="6"/>
      <c r="D51" s="6"/>
      <c r="E51" s="6"/>
      <c r="F51" s="6"/>
      <c r="G51" s="1"/>
    </row>
    <row r="52" spans="1:10" ht="15.6" x14ac:dyDescent="0.3">
      <c r="A52" s="1"/>
      <c r="B52" s="6"/>
      <c r="C52" s="6"/>
      <c r="D52" s="6"/>
      <c r="E52" s="6"/>
      <c r="F52" s="6"/>
      <c r="G52" s="1"/>
      <c r="H52">
        <f>H50+J50</f>
        <v>47200</v>
      </c>
    </row>
    <row r="53" spans="1:10" ht="15.6" x14ac:dyDescent="0.3">
      <c r="A53" s="1"/>
      <c r="B53" s="6"/>
      <c r="C53" s="6"/>
      <c r="D53" s="6"/>
      <c r="E53" s="6"/>
      <c r="F53" s="6"/>
      <c r="G53" s="1"/>
      <c r="H53">
        <f>H52*20%</f>
        <v>9440</v>
      </c>
    </row>
    <row r="54" spans="1:10" ht="15.6" x14ac:dyDescent="0.3">
      <c r="A54" s="1"/>
      <c r="B54" s="6"/>
      <c r="C54" s="6"/>
      <c r="D54" s="6"/>
      <c r="E54" s="6"/>
      <c r="F54" s="6"/>
      <c r="G54" s="1"/>
      <c r="H54">
        <f>H52+H53</f>
        <v>56640</v>
      </c>
    </row>
    <row r="55" spans="1:10" ht="15.6" x14ac:dyDescent="0.3">
      <c r="A55" s="1"/>
      <c r="B55" s="6"/>
      <c r="C55" s="6"/>
      <c r="D55" s="6"/>
      <c r="E55" s="6"/>
      <c r="F55" s="6"/>
      <c r="G55" s="1"/>
      <c r="H55">
        <f>H54/1000</f>
        <v>56.64</v>
      </c>
    </row>
    <row r="56" spans="1:10" ht="15.6" x14ac:dyDescent="0.3">
      <c r="A56" s="1"/>
      <c r="B56" s="6"/>
      <c r="C56" s="6"/>
      <c r="D56" s="6"/>
      <c r="E56" s="6"/>
      <c r="F56" s="6"/>
      <c r="G56" s="1"/>
    </row>
    <row r="57" spans="1:10" ht="15.6" x14ac:dyDescent="0.3">
      <c r="A57" s="1"/>
      <c r="B57" s="6"/>
      <c r="C57" s="6"/>
      <c r="D57" s="6"/>
      <c r="E57" s="6"/>
      <c r="F57" s="6"/>
      <c r="G57" s="1"/>
    </row>
    <row r="58" spans="1:10" ht="15.6" x14ac:dyDescent="0.3">
      <c r="A58" s="1"/>
      <c r="B58" s="6"/>
      <c r="C58" s="6"/>
      <c r="D58" s="6"/>
      <c r="E58" s="6"/>
      <c r="F58" s="6"/>
      <c r="G58" s="1"/>
    </row>
    <row r="59" spans="1:10" ht="15.6" x14ac:dyDescent="0.3">
      <c r="A59" s="1"/>
      <c r="B59" s="1"/>
      <c r="C59" s="1"/>
      <c r="D59" s="1"/>
      <c r="E59" s="1"/>
      <c r="F59" s="1"/>
      <c r="G59" s="1"/>
    </row>
    <row r="60" spans="1:10" ht="15.6" x14ac:dyDescent="0.3">
      <c r="A60" s="1"/>
      <c r="B60" s="1"/>
      <c r="C60" s="40" t="s">
        <v>27</v>
      </c>
      <c r="D60" s="14">
        <f>'4637'!G8</f>
        <v>7334</v>
      </c>
      <c r="E60" s="1"/>
      <c r="F60" s="1"/>
      <c r="G60" s="1"/>
    </row>
    <row r="61" spans="1:10" ht="17.25" customHeight="1" x14ac:dyDescent="0.3">
      <c r="A61" s="1"/>
      <c r="B61" s="1"/>
      <c r="C61" s="41" t="s">
        <v>67</v>
      </c>
      <c r="D61" s="42" t="str">
        <f>'4637'!C10</f>
        <v>CONSTRUCTORA HALTRA</v>
      </c>
      <c r="E61" s="43"/>
      <c r="F61" s="43"/>
      <c r="G61" s="1"/>
    </row>
    <row r="62" spans="1:10" ht="4.5" customHeight="1" x14ac:dyDescent="0.3">
      <c r="A62" s="1"/>
      <c r="B62" s="1"/>
      <c r="C62" s="44"/>
      <c r="D62" s="45"/>
      <c r="E62" s="1"/>
      <c r="F62" s="1"/>
      <c r="G62" s="1"/>
    </row>
    <row r="63" spans="1:10" ht="15.6" x14ac:dyDescent="0.3">
      <c r="A63" s="1"/>
      <c r="B63" s="1"/>
      <c r="C63" s="46" t="str">
        <f>'4637'!F11</f>
        <v>FECHA LIMITE :</v>
      </c>
      <c r="D63" s="13">
        <f>'4637'!G11</f>
        <v>46001</v>
      </c>
      <c r="E63" s="1"/>
      <c r="F63" s="1"/>
      <c r="G63" s="1"/>
    </row>
    <row r="64" spans="1:10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27" t="s">
        <v>68</v>
      </c>
      <c r="B66" s="127"/>
      <c r="C66" s="127"/>
      <c r="D66" s="127"/>
      <c r="E66" s="127"/>
      <c r="F66" s="127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75" customHeight="1" x14ac:dyDescent="0.3">
      <c r="A68" s="1"/>
      <c r="B68" s="128" t="s">
        <v>69</v>
      </c>
      <c r="C68" s="129"/>
      <c r="D68" s="130"/>
      <c r="E68" s="130"/>
      <c r="F68" s="131"/>
      <c r="G68" s="1"/>
    </row>
    <row r="69" spans="1:7" s="15" customFormat="1" ht="12.75" customHeight="1" x14ac:dyDescent="0.3">
      <c r="A69" s="1"/>
      <c r="B69" s="36" t="s">
        <v>10</v>
      </c>
      <c r="C69" s="47" t="s">
        <v>11</v>
      </c>
      <c r="D69" s="48" t="s">
        <v>7</v>
      </c>
      <c r="E69" s="112" t="s">
        <v>8</v>
      </c>
      <c r="F69" s="49" t="s">
        <v>12</v>
      </c>
      <c r="G69" s="1"/>
    </row>
    <row r="70" spans="1:7" s="15" customFormat="1" ht="15" customHeight="1" x14ac:dyDescent="0.3">
      <c r="A70" s="95"/>
      <c r="B70" s="38">
        <f>'4637'!B22</f>
        <v>4</v>
      </c>
      <c r="C70" s="105" t="str">
        <f>'4637'!C22</f>
        <v>CUB S/R FRENTE 5CMS</v>
      </c>
      <c r="D70" s="39">
        <f>'4637'!D22</f>
        <v>2200</v>
      </c>
      <c r="E70" s="113">
        <f>'4637'!E22</f>
        <v>400</v>
      </c>
      <c r="F70" s="114" t="str">
        <f>'4637'!F22</f>
        <v>FASHION GREY 21371 SF</v>
      </c>
      <c r="G70" s="1"/>
    </row>
    <row r="71" spans="1:7" s="15" customFormat="1" ht="15" customHeight="1" x14ac:dyDescent="0.3">
      <c r="A71" s="95"/>
      <c r="B71" s="38">
        <f>'4637'!B23</f>
        <v>2</v>
      </c>
      <c r="C71" s="105" t="str">
        <f>'4637'!C23</f>
        <v>CUB S/R FRENTE 5CMS</v>
      </c>
      <c r="D71" s="39">
        <f>'4637'!D23</f>
        <v>1950</v>
      </c>
      <c r="E71" s="113">
        <f>'4637'!E23</f>
        <v>400</v>
      </c>
      <c r="F71" s="114" t="str">
        <f>'4637'!F23</f>
        <v>FASHION GREY 21371 SF</v>
      </c>
      <c r="G71" s="1"/>
    </row>
    <row r="72" spans="1:7" s="15" customFormat="1" ht="15" customHeight="1" x14ac:dyDescent="0.3">
      <c r="A72" s="95"/>
      <c r="B72" s="38">
        <f>'4637'!B24</f>
        <v>2</v>
      </c>
      <c r="C72" s="105" t="str">
        <f>'4637'!C24</f>
        <v>CEN 2V R6</v>
      </c>
      <c r="D72" s="39">
        <f>'4637'!D24</f>
        <v>1200</v>
      </c>
      <c r="E72" s="113">
        <f>'4637'!E24</f>
        <v>250</v>
      </c>
      <c r="F72" s="114" t="str">
        <f>'4637'!F24</f>
        <v>FASHION GREY 21371 SF</v>
      </c>
      <c r="G72" s="1"/>
    </row>
    <row r="73" spans="1:7" s="15" customFormat="1" ht="15" customHeight="1" x14ac:dyDescent="0.3">
      <c r="A73" s="95"/>
      <c r="B73" s="38">
        <f>'4637'!B25</f>
        <v>4</v>
      </c>
      <c r="C73" s="105" t="str">
        <f>'4637'!C25</f>
        <v>CEN 2V R6</v>
      </c>
      <c r="D73" s="39">
        <f>'4637'!D25</f>
        <v>1850</v>
      </c>
      <c r="E73" s="113">
        <f>'4637'!E25</f>
        <v>250</v>
      </c>
      <c r="F73" s="114" t="str">
        <f>'4637'!F25</f>
        <v>FASHION GREY 21371 SF</v>
      </c>
      <c r="G73" s="1"/>
    </row>
    <row r="74" spans="1:7" s="15" customFormat="1" ht="15" customHeight="1" x14ac:dyDescent="0.3">
      <c r="A74" s="95"/>
      <c r="B74" s="38">
        <f>'4637'!B26</f>
        <v>4</v>
      </c>
      <c r="C74" s="105" t="str">
        <f>'4637'!C26</f>
        <v>ENCHAPE RECTO 1 CARA</v>
      </c>
      <c r="D74" s="39">
        <f>'4637'!D26</f>
        <v>2150</v>
      </c>
      <c r="E74" s="113">
        <f>'4637'!E26</f>
        <v>400</v>
      </c>
      <c r="F74" s="114" t="str">
        <f>'4637'!F26</f>
        <v>SILVER LEGNO OAK 10879 SF</v>
      </c>
      <c r="G74" s="1"/>
    </row>
    <row r="75" spans="1:7" s="15" customFormat="1" ht="15" customHeight="1" x14ac:dyDescent="0.3">
      <c r="A75" s="95"/>
      <c r="B75" s="38">
        <f>'4637'!B27</f>
        <v>4</v>
      </c>
      <c r="C75" s="105" t="str">
        <f>'4637'!C27</f>
        <v>ENCHAPE RECTO 1 CARA</v>
      </c>
      <c r="D75" s="39">
        <f>'4637'!D27</f>
        <v>400</v>
      </c>
      <c r="E75" s="113">
        <f>'4637'!E27</f>
        <v>450</v>
      </c>
      <c r="F75" s="114" t="str">
        <f>'4637'!F27</f>
        <v>SILVER LEGNO OAK 10879 SF</v>
      </c>
      <c r="G75" s="1"/>
    </row>
    <row r="76" spans="1:7" s="15" customFormat="1" ht="15" customHeight="1" x14ac:dyDescent="0.3">
      <c r="A76" s="95"/>
      <c r="B76" s="38">
        <f>'4637'!B28</f>
        <v>2</v>
      </c>
      <c r="C76" s="105" t="str">
        <f>'4637'!C28</f>
        <v>ENCHAPE RECTO 1 CARA</v>
      </c>
      <c r="D76" s="39">
        <f>'4637'!D28</f>
        <v>850</v>
      </c>
      <c r="E76" s="113">
        <f>'4637'!E28</f>
        <v>600</v>
      </c>
      <c r="F76" s="114" t="str">
        <f>'4637'!F28</f>
        <v>SILVER LEGNO OAK 10879 SF</v>
      </c>
      <c r="G76" s="1"/>
    </row>
    <row r="77" spans="1:7" s="15" customFormat="1" ht="15" customHeight="1" x14ac:dyDescent="0.3">
      <c r="A77" s="95"/>
      <c r="B77" s="38">
        <f>'4637'!B29</f>
        <v>1</v>
      </c>
      <c r="C77" s="105" t="str">
        <f>'4637'!C29</f>
        <v>ENCHAPE RECTO 1 CARA</v>
      </c>
      <c r="D77" s="39">
        <f>'4637'!D29</f>
        <v>1900</v>
      </c>
      <c r="E77" s="113">
        <f>'4637'!E29</f>
        <v>600</v>
      </c>
      <c r="F77" s="114" t="str">
        <f>'4637'!F29</f>
        <v>SILVER LEGNO OAK 10879 SF</v>
      </c>
      <c r="G77" s="1"/>
    </row>
    <row r="78" spans="1:7" s="15" customFormat="1" ht="15" customHeight="1" x14ac:dyDescent="0.3">
      <c r="A78" s="95"/>
      <c r="B78" s="52"/>
      <c r="C78" s="111"/>
      <c r="D78" s="52"/>
      <c r="E78" s="52"/>
      <c r="F78" s="52"/>
      <c r="G78" s="1"/>
    </row>
    <row r="79" spans="1:7" s="15" customFormat="1" ht="15" customHeight="1" x14ac:dyDescent="0.3">
      <c r="A79" s="50"/>
      <c r="B79" s="52"/>
      <c r="C79" s="52"/>
      <c r="D79" s="52"/>
      <c r="E79" s="52"/>
      <c r="F79" s="52"/>
      <c r="G79" s="1"/>
    </row>
    <row r="80" spans="1:7" ht="15.6" x14ac:dyDescent="0.3">
      <c r="A80" s="6"/>
      <c r="B80" s="6"/>
      <c r="C80" s="1"/>
      <c r="D80" s="6"/>
      <c r="E80" s="6"/>
      <c r="F80" s="44"/>
      <c r="G80" s="1"/>
    </row>
    <row r="81" spans="1:7" ht="15.6" x14ac:dyDescent="0.3">
      <c r="A81" s="6"/>
      <c r="B81" s="6"/>
      <c r="C81" s="1"/>
      <c r="D81" s="6"/>
      <c r="E81" s="6"/>
      <c r="F81" s="6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" customHeight="1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6"/>
      <c r="B87" s="5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x14ac:dyDescent="0.3">
      <c r="B89" s="20"/>
      <c r="C89" s="20"/>
      <c r="D89" s="20"/>
      <c r="E89" s="20"/>
      <c r="F89" s="20"/>
    </row>
    <row r="90" spans="1:7" x14ac:dyDescent="0.3">
      <c r="B90" s="20"/>
      <c r="C90" s="20"/>
      <c r="E90" s="20"/>
      <c r="F90" s="20"/>
    </row>
  </sheetData>
  <mergeCells count="6">
    <mergeCell ref="M3:N3"/>
    <mergeCell ref="A25:F25"/>
    <mergeCell ref="A10:F10"/>
    <mergeCell ref="A66:F66"/>
    <mergeCell ref="B68:F6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2025-12-05T12:08:43Z</cp:lastPrinted>
  <dcterms:created xsi:type="dcterms:W3CDTF">2013-03-19T12:54:14Z</dcterms:created>
  <dcterms:modified xsi:type="dcterms:W3CDTF">2025-12-05T12:08:55Z</dcterms:modified>
</cp:coreProperties>
</file>