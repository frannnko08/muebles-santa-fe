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76D68A1A-E9C5-4CFE-BB82-6D51F184ED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16" i="3"/>
  <c r="E16" i="3"/>
  <c r="B17" i="3"/>
  <c r="D17" i="3"/>
  <c r="E17" i="3"/>
  <c r="H23" i="4"/>
  <c r="H22" i="4"/>
  <c r="I15" i="3"/>
  <c r="B15" i="3" s="1"/>
  <c r="B32" i="3"/>
  <c r="I25" i="3" s="1"/>
  <c r="B25" i="3" s="1"/>
  <c r="C32" i="3"/>
  <c r="F25" i="3" s="1"/>
  <c r="D32" i="3"/>
  <c r="J25" i="3" s="1"/>
  <c r="D25" i="3" s="1"/>
  <c r="E32" i="3"/>
  <c r="K25" i="3" s="1"/>
  <c r="E25" i="3" s="1"/>
  <c r="F32" i="3"/>
  <c r="B54" i="3"/>
  <c r="C54" i="3"/>
  <c r="D54" i="3"/>
  <c r="E54" i="3"/>
  <c r="F54" i="3"/>
  <c r="F15" i="3" l="1"/>
  <c r="K15" i="3"/>
  <c r="E15" i="3" s="1"/>
  <c r="J15" i="3"/>
  <c r="D15" i="3" s="1"/>
  <c r="H25" i="4"/>
  <c r="H26" i="4" s="1"/>
  <c r="H27" i="4" s="1"/>
  <c r="B31" i="3" l="1"/>
  <c r="I24" i="3" s="1"/>
  <c r="I14" i="3" s="1"/>
  <c r="C31" i="3"/>
  <c r="F14" i="3" s="1"/>
  <c r="D31" i="3"/>
  <c r="J24" i="3" s="1"/>
  <c r="D24" i="3" s="1"/>
  <c r="E31" i="3"/>
  <c r="K24" i="3" s="1"/>
  <c r="E24" i="3" s="1"/>
  <c r="F31" i="3"/>
  <c r="B53" i="3"/>
  <c r="C53" i="3"/>
  <c r="D53" i="3"/>
  <c r="E53" i="3"/>
  <c r="F53" i="3"/>
  <c r="J14" i="3" l="1"/>
  <c r="D14" i="3" s="1"/>
  <c r="K14" i="3"/>
  <c r="E14" i="3" s="1"/>
  <c r="B24" i="3"/>
  <c r="B14" i="3"/>
  <c r="F24" i="3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<sst xmlns="http://schemas.openxmlformats.org/spreadsheetml/2006/main" count="250" uniqueCount="146">
  <si>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</si>
  <si>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</si>
  <si>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</si>
  <si>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</si>
  <si>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</si>
  <si>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</si>
  <si>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</si>
  <si>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</si>
  <si>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</si>
  <si>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</si>
  <si>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</si>
  <si>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</si>
  <si>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</si>
  <si>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</si>
  <si>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</si>
  <si>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</si>
  <si>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</si>
  <si>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</si>
  <si>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</si>
  <si>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</si>
  <si>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</si>
  <si>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</si>
  <si>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</si>
  <si>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</si>
  <si>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</si>
  <si>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</si>
  <si>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</si>
  <si>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</si>
  <si>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</si>
  <si>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</si>
  <si>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</si>
  <si>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</si>
  <si>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</si>
  <si>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</si>
  <si>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</si>
  <si>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</si>
  <si>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</si>
  <si>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</si>
  <si>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</si>
  <si>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</si>
  <si>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</si>
  <si>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</si>
  <si>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</si>
  <si>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</si>
  <si>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</si>
  <si>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</si>
  <si>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</si>
  <si>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</si>
  <si>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</si>
  <si>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</si>
  <si>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</si>
  <si>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</si>
  <si>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</si>
  <si>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</si>
  <si>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</si>
  <si>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</si>
  <si>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</si>
  <si>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</si>
  <si>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</si>
  <si>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</si>
  <si>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</si>
  <si>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</si>
  <si>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</si>
  <si>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</si>
  <si>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</si>
  <si>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</si>
  <si>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</si>
  <si>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</si>
  <si>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</si>
  <si>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</si>
  <si>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</si>
  <si>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</si>
  <si>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</si>
  <si>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</si>
  <si>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</si>
  <si>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</si>
  <si>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</si>
  <si>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</si>
  <si>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</si>
  <si>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</si>
  <si>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</si>
  <si>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</si>
  <si>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</si>
  <si>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</si>
  <si>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</si>
  <si>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</si>
  <si>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</si>
  <si>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</si>
  <si>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</si>
  <si>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</si>
  <si>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</si>
  <si>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</si>
  <si>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</si>
  <si>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</si>
  <si>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</si>
  <si>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</si>
  <si>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</si>
  <si>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</si>
  <si>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</si>
  <si>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</si>
  <si>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</si>
  <si>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</si>
  <si>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</si>
  <si>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</si>
  <si>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</si>
  <si>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</si>
  <si>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</si>
  <si>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</si>
  <si>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</si>
  <si>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</si>
  <si>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</si>
  <si>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</si>
  <si>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</si>
  <si>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</si>
  <si>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</si>
  <si>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</si>
  <si>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</si>
  <si>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</si>
  <si>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</si>
  <si>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</si>
  <si>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</si>
  <si>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</si>
  <si>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</si>
  <si>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</si>
  <si>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</si>
  <si>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</si>
  <si>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</si>
  <si>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</si>
  <si>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</si>
  <si>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</si>
  <si>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</si>
  <si>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</si>
  <si>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</si>
  <si>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</si>
  <si>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</si>
  <si>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</si>
  <si>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11796</t>
  </si>
  <si>
    <t>CUB SIN RESPALDO 180°</t>
  </si>
  <si>
    <t>HUMO 2108 MT</t>
  </si>
  <si>
    <t>EMPRESA CONSTRUCTORA GASTON FERNANDO PAVEZ CABRERA E.I.R.L.</t>
  </si>
  <si>
    <t>77.362.753-3</t>
  </si>
  <si>
    <t>GASTON PEREZ</t>
  </si>
  <si>
    <t>+569 9373 4659</t>
  </si>
  <si>
    <t>PASAJE 4 2143 EL BOLDO CURICO</t>
  </si>
  <si>
    <t>CURICO</t>
  </si>
  <si>
    <t>REGRUESO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</si>
</sst>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3" borderId="0" xfId="0" applyFont="1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3" borderId="0" xfId="0" applyFont="1" applyFill="1"/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17" fillId="0" borderId="0" xfId="0" quotePrefix="1" applyFont="1"/>
    <xf numFmtId="0" fontId="15" fillId="0" borderId="0" xfId="0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2" fillId="3" borderId="4" xfId="0" applyFont="1" applyFill="1" applyBorder="1"/>
    <xf numFmtId="0" fontId="6" fillId="3" borderId="0" xfId="2" applyFill="1"/>
    <xf numFmtId="0" fontId="8" fillId="3" borderId="0" xfId="0" applyFont="1" applyFill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25</xdr:row>
      <xdr:rowOff>55245</xdr:rowOff>
    </xdr:from>
    <xdr:to>
      <xdr:col>5</xdr:col>
      <xdr:colOff>1504950</xdr:colOff>
      <xdr:row>29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 230.768.-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34</xdr:row>
      <xdr:rowOff>15239</xdr:rowOff>
    </xdr:from>
    <xdr:to>
      <xdr:col>6</xdr:col>
      <xdr:colOff>68580</xdr:colOff>
      <xdr:row>38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 AL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MISMO LADO LAS 3 CUBIERTAS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6</xdr:col>
      <xdr:colOff>19050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 MISMO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LADO A LAS 3 CUBIERTAS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41910</xdr:rowOff>
    </xdr:from>
    <xdr:to>
      <xdr:col>1</xdr:col>
      <xdr:colOff>801763</xdr:colOff>
      <xdr:row>47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C18" sqref="C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30.554687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136</v>
      </c>
      <c r="E8" s="1"/>
      <c r="F8" s="91" t="s">
        <v>27</v>
      </c>
      <c r="G8" s="92">
        <v>7348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127</v>
      </c>
      <c r="C10" s="127" t="s">
        <v>139</v>
      </c>
      <c r="D10" s="54"/>
      <c r="E10" s="54"/>
      <c r="F10" s="55" t="s">
        <v>28</v>
      </c>
      <c r="G10" s="56">
        <v>46000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 t="s">
        <v>140</v>
      </c>
      <c r="D11" s="59"/>
      <c r="E11" s="59"/>
      <c r="F11" s="59" t="s">
        <v>122</v>
      </c>
      <c r="G11" s="60">
        <v>46003</v>
      </c>
      <c r="H11" s="61"/>
      <c r="I11" s="1"/>
    </row>
    <row r="12" spans="1:17" ht="15.6" x14ac:dyDescent="0.3">
      <c r="A12" s="1"/>
      <c r="B12" s="62" t="s">
        <v>128</v>
      </c>
      <c r="C12" s="102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129</v>
      </c>
      <c r="C13" t="s">
        <v>141</v>
      </c>
      <c r="D13" s="42"/>
      <c r="E13" s="42"/>
      <c r="F13" s="42" t="s">
        <v>126</v>
      </c>
      <c r="G13" s="63"/>
      <c r="H13" s="64"/>
      <c r="I13" s="1"/>
    </row>
    <row r="14" spans="1:17" ht="15.6" x14ac:dyDescent="0.3">
      <c r="A14" s="1"/>
      <c r="B14" s="62" t="s">
        <v>131</v>
      </c>
      <c r="C14" s="128"/>
      <c r="D14" s="42"/>
      <c r="E14" s="42"/>
      <c r="F14" s="42" t="s">
        <v>132</v>
      </c>
      <c r="G14" s="63"/>
      <c r="H14" s="64"/>
      <c r="I14" s="1"/>
    </row>
    <row r="15" spans="1:17" ht="15.6" x14ac:dyDescent="0.3">
      <c r="A15" s="1"/>
      <c r="B15" s="58" t="s">
        <v>17</v>
      </c>
      <c r="C15" s="110" t="s">
        <v>142</v>
      </c>
      <c r="D15" s="65"/>
      <c r="E15" s="59"/>
      <c r="F15" s="59" t="s">
        <v>29</v>
      </c>
      <c r="G15" s="59"/>
      <c r="H15" s="61"/>
      <c r="I15" s="1"/>
    </row>
    <row r="16" spans="1:17" ht="16.8" x14ac:dyDescent="0.4">
      <c r="A16" s="1"/>
      <c r="B16" s="62" t="s">
        <v>1</v>
      </c>
      <c r="C16" s="97" t="s">
        <v>143</v>
      </c>
      <c r="D16" s="42"/>
      <c r="E16" s="42"/>
      <c r="F16" s="66" t="s">
        <v>75</v>
      </c>
      <c r="G16" s="99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98" t="s">
        <v>144</v>
      </c>
      <c r="D17" s="68"/>
      <c r="E17" s="69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6">
        <v>1</v>
      </c>
      <c r="C22" s="96" t="s">
        <v>137</v>
      </c>
      <c r="D22" s="113">
        <v>2600</v>
      </c>
      <c r="E22" s="113">
        <v>630</v>
      </c>
      <c r="F22" s="96" t="s">
        <v>138</v>
      </c>
      <c r="G22" s="112">
        <v>119719</v>
      </c>
      <c r="H22" s="112">
        <f>G22*B22</f>
        <v>119719</v>
      </c>
      <c r="I22" s="1"/>
      <c r="J22" s="96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>
        <v>2</v>
      </c>
      <c r="C23" s="96" t="s">
        <v>137</v>
      </c>
      <c r="D23" s="113">
        <v>2600</v>
      </c>
      <c r="E23" s="113">
        <v>430</v>
      </c>
      <c r="F23" s="96" t="s">
        <v>138</v>
      </c>
      <c r="G23" s="112">
        <v>81713</v>
      </c>
      <c r="H23" s="112">
        <f>G23*B23</f>
        <v>163426</v>
      </c>
      <c r="I23" s="1"/>
      <c r="J23" s="11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SUM(H22:H24)</f>
        <v>283145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53797.55</v>
      </c>
      <c r="I26" s="1"/>
    </row>
    <row r="27" spans="1:16" ht="16.2" thickBot="1" x14ac:dyDescent="0.35">
      <c r="A27" s="1"/>
      <c r="C27" s="81"/>
      <c r="D27" s="82"/>
      <c r="E27" s="82"/>
      <c r="F27" s="73"/>
      <c r="G27" s="78" t="s">
        <v>4</v>
      </c>
      <c r="H27" s="79">
        <f>H25+H26</f>
        <v>336942.55</v>
      </c>
      <c r="I27" s="1"/>
    </row>
    <row r="28" spans="1:16" ht="15.6" x14ac:dyDescent="0.3">
      <c r="A28" s="1"/>
      <c r="C28" s="81"/>
      <c r="D28" s="82"/>
      <c r="E28" s="82"/>
      <c r="F28" s="73"/>
      <c r="G28" s="1"/>
      <c r="H28" s="1"/>
      <c r="I28" s="1"/>
    </row>
    <row r="29" spans="1:16" ht="15.6" x14ac:dyDescent="0.3">
      <c r="A29" s="1"/>
      <c r="C29" s="1"/>
      <c r="D29" s="1"/>
      <c r="E29" s="83" t="s">
        <v>26</v>
      </c>
      <c r="F29" s="1"/>
      <c r="G29" s="1"/>
      <c r="H29" s="1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B32" s="80" t="s">
        <v>133</v>
      </c>
    </row>
    <row r="33" spans="2:2" ht="15.6" x14ac:dyDescent="0.3">
      <c r="B33" s="80" t="s">
        <v>134</v>
      </c>
    </row>
    <row r="34" spans="2:2" ht="15.6" x14ac:dyDescent="0.3">
      <c r="B34" s="1" t="s">
        <v>25</v>
      </c>
    </row>
  </sheetData>
  <sortState xmlns:xlrd2="http://schemas.microsoft.com/office/spreadsheetml/2017/richdata2" ref="B33">
    <sortCondition sortBy="fontColor" ref="B33" dxfId="0"/>
  </sortState>
  <mergeCells count="2">
    <mergeCell ref="F17:H17"/>
    <mergeCell ref="B20:H20"/>
  </mergeCells>
  <phoneticPr fontId="10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zoomScaleNormal="100" workbookViewId="0">
      <selection sqref="A1:F4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7348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129" t="str">
        <f>'4637'!C10</f>
        <v>EMPRESA CONSTRUCTORA GASTON FERNANDO PAVEZ CABRERA E.I.R.L.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4" t="str">
        <f>'4637'!F11</f>
        <v>FECHA LIMITE :</v>
      </c>
      <c r="D7" s="13">
        <f>'4637'!G11</f>
        <v>46003</v>
      </c>
      <c r="E7" s="1"/>
      <c r="F7" s="1"/>
      <c r="G7" s="1"/>
    </row>
    <row r="8" spans="1:14" ht="15.6" x14ac:dyDescent="0.3">
      <c r="A8" s="1"/>
      <c r="B8" s="1"/>
      <c r="C8" s="52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3" t="s">
        <v>130</v>
      </c>
      <c r="B14" s="25">
        <f t="shared" ref="B14" si="0">I14</f>
        <v>1</v>
      </c>
      <c r="C14" s="25"/>
      <c r="D14" s="25">
        <f>J14+D$13</f>
        <v>2680</v>
      </c>
      <c r="E14" s="35">
        <f t="shared" ref="E14" si="1">K14+E$13</f>
        <v>630</v>
      </c>
      <c r="F14" s="94" t="str">
        <f>C31</f>
        <v>CUB SIN RESPALDO 180°</v>
      </c>
      <c r="G14" s="1"/>
      <c r="I14" s="3">
        <f>I24</f>
        <v>1</v>
      </c>
      <c r="J14" s="4">
        <f>J24</f>
        <v>2600</v>
      </c>
      <c r="K14" s="4">
        <f>E31</f>
        <v>630</v>
      </c>
    </row>
    <row r="15" spans="1:14" ht="16.2" customHeight="1" x14ac:dyDescent="0.3">
      <c r="A15" s="93"/>
      <c r="B15" s="25">
        <f t="shared" ref="B15" si="2">I15</f>
        <v>2</v>
      </c>
      <c r="C15" s="25"/>
      <c r="D15" s="25">
        <f t="shared" ref="D15" si="3">J15+D$13</f>
        <v>2680</v>
      </c>
      <c r="E15" s="35">
        <f t="shared" ref="E15" si="4">K15+E$13</f>
        <v>430</v>
      </c>
      <c r="F15" s="94" t="str">
        <f>C32</f>
        <v>CUB SIN RESPALDO 180°</v>
      </c>
      <c r="G15" s="1"/>
      <c r="I15" s="3">
        <f>I25</f>
        <v>2</v>
      </c>
      <c r="J15" s="4">
        <f>J25</f>
        <v>2600</v>
      </c>
      <c r="K15" s="4">
        <f>E32</f>
        <v>430</v>
      </c>
    </row>
    <row r="16" spans="1:14" ht="16.2" customHeight="1" x14ac:dyDescent="0.3">
      <c r="A16" s="93"/>
      <c r="B16" s="25">
        <f t="shared" ref="B16:B17" si="5">I16</f>
        <v>1</v>
      </c>
      <c r="C16" s="25"/>
      <c r="D16" s="25">
        <f t="shared" ref="D16:D17" si="6">J16+D$13</f>
        <v>2680</v>
      </c>
      <c r="E16" s="35">
        <f t="shared" ref="E16:E17" si="7">K16+E$13</f>
        <v>70</v>
      </c>
      <c r="F16" s="94" t="s">
        <v>145</v>
      </c>
      <c r="G16" s="1"/>
      <c r="I16" s="87">
        <v>1</v>
      </c>
      <c r="J16" s="2">
        <v>2600</v>
      </c>
      <c r="K16" s="2">
        <v>70</v>
      </c>
    </row>
    <row r="17" spans="1:13" ht="16.2" customHeight="1" x14ac:dyDescent="0.3">
      <c r="A17" s="93"/>
      <c r="B17" s="25">
        <f t="shared" si="5"/>
        <v>2</v>
      </c>
      <c r="C17" s="25"/>
      <c r="D17" s="25">
        <f t="shared" si="6"/>
        <v>2680</v>
      </c>
      <c r="E17" s="35">
        <f t="shared" si="7"/>
        <v>70</v>
      </c>
      <c r="F17" s="94" t="s">
        <v>145</v>
      </c>
      <c r="G17" s="1"/>
      <c r="I17" s="87">
        <v>2</v>
      </c>
      <c r="J17" s="2">
        <v>2600</v>
      </c>
      <c r="K17" s="2">
        <v>70</v>
      </c>
    </row>
    <row r="18" spans="1:13" ht="15.6" x14ac:dyDescent="0.3">
      <c r="A18" s="51"/>
      <c r="B18" s="6"/>
      <c r="C18" s="6"/>
      <c r="D18" s="6"/>
      <c r="E18" s="86"/>
      <c r="F18" s="6"/>
      <c r="G18" s="1"/>
      <c r="I18" s="87"/>
      <c r="J18" s="2"/>
      <c r="K18" s="2"/>
    </row>
    <row r="19" spans="1:13" ht="6.75" customHeight="1" x14ac:dyDescent="0.3">
      <c r="A19" s="1"/>
      <c r="B19" s="1"/>
      <c r="C19" s="1"/>
      <c r="D19" s="1"/>
      <c r="E19" s="1"/>
      <c r="F19" s="1"/>
      <c r="G19" s="1"/>
    </row>
    <row r="20" spans="1:13" ht="15.6" x14ac:dyDescent="0.3">
      <c r="A20" s="122" t="s">
        <v>14</v>
      </c>
      <c r="B20" s="122"/>
      <c r="C20" s="122"/>
      <c r="D20" s="122"/>
      <c r="E20" s="122"/>
      <c r="F20" s="122"/>
      <c r="G20" s="1"/>
    </row>
    <row r="21" spans="1:13" ht="10.5" customHeight="1" x14ac:dyDescent="0.3">
      <c r="A21" s="1"/>
      <c r="B21" s="1"/>
      <c r="C21" s="12"/>
      <c r="D21" s="1"/>
      <c r="E21" s="1"/>
      <c r="F21" s="1"/>
      <c r="G21" s="1"/>
    </row>
    <row r="22" spans="1:13" ht="15.6" x14ac:dyDescent="0.3">
      <c r="A22" s="1"/>
      <c r="B22" s="1"/>
      <c r="C22" s="1"/>
      <c r="D22" s="51" t="s">
        <v>7</v>
      </c>
      <c r="E22" s="51" t="s">
        <v>8</v>
      </c>
      <c r="F22" s="1"/>
      <c r="G22" s="1"/>
    </row>
    <row r="23" spans="1:13" ht="15.6" x14ac:dyDescent="0.3">
      <c r="A23" s="51" t="s">
        <v>9</v>
      </c>
      <c r="B23" s="36" t="s">
        <v>10</v>
      </c>
      <c r="C23" s="36" t="s">
        <v>11</v>
      </c>
      <c r="D23" s="21">
        <v>40</v>
      </c>
      <c r="E23" s="21">
        <v>120</v>
      </c>
      <c r="F23" s="36" t="s">
        <v>110</v>
      </c>
      <c r="G23" s="1"/>
      <c r="J23" s="5" t="s">
        <v>7</v>
      </c>
      <c r="K23" s="5" t="s">
        <v>8</v>
      </c>
    </row>
    <row r="24" spans="1:13" ht="15.6" x14ac:dyDescent="0.3">
      <c r="A24" s="93"/>
      <c r="B24" s="16">
        <f t="shared" ref="B24" si="8">I24</f>
        <v>1</v>
      </c>
      <c r="C24" s="16"/>
      <c r="D24" s="16">
        <f t="shared" ref="D24:E24" si="9">J24+D$23</f>
        <v>2640</v>
      </c>
      <c r="E24" s="16">
        <f t="shared" si="9"/>
        <v>750</v>
      </c>
      <c r="F24" s="95" t="str">
        <f>C31</f>
        <v>CUB SIN RESPALDO 180°</v>
      </c>
      <c r="G24" s="1"/>
      <c r="I24" s="3">
        <f>B31</f>
        <v>1</v>
      </c>
      <c r="J24" s="4">
        <f>D31</f>
        <v>2600</v>
      </c>
      <c r="K24" s="4">
        <f>E31</f>
        <v>630</v>
      </c>
      <c r="M24">
        <v>185</v>
      </c>
    </row>
    <row r="25" spans="1:13" ht="15.6" x14ac:dyDescent="0.3">
      <c r="A25" s="93"/>
      <c r="B25" s="16">
        <f t="shared" ref="B25" si="10">I25</f>
        <v>2</v>
      </c>
      <c r="C25" s="16"/>
      <c r="D25" s="16">
        <f t="shared" ref="D25" si="11">J25+D$23</f>
        <v>2640</v>
      </c>
      <c r="E25" s="16">
        <f t="shared" ref="E25" si="12">K25+E$23</f>
        <v>550</v>
      </c>
      <c r="F25" s="95" t="str">
        <f>C32</f>
        <v>CUB SIN RESPALDO 180°</v>
      </c>
      <c r="G25" s="1"/>
      <c r="I25" s="3">
        <f>B32</f>
        <v>2</v>
      </c>
      <c r="J25" s="4">
        <f>D32</f>
        <v>2600</v>
      </c>
      <c r="K25" s="4">
        <f>E32</f>
        <v>430</v>
      </c>
    </row>
    <row r="26" spans="1:13" ht="15.6" x14ac:dyDescent="0.3">
      <c r="A26" s="93"/>
      <c r="B26" s="6"/>
      <c r="C26" s="6"/>
      <c r="D26" s="6"/>
      <c r="E26" s="6"/>
      <c r="F26" s="108"/>
      <c r="G26" s="1"/>
      <c r="I26" s="87"/>
      <c r="J26" s="2"/>
      <c r="K26" s="2"/>
    </row>
    <row r="27" spans="1:13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3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3" ht="10.5" customHeight="1" x14ac:dyDescent="0.3">
      <c r="A29" s="1"/>
      <c r="B29" s="1"/>
      <c r="C29" s="1"/>
      <c r="D29" s="1"/>
      <c r="E29" s="1"/>
      <c r="F29" s="1"/>
      <c r="G29" s="1"/>
    </row>
    <row r="30" spans="1:13" ht="15.6" x14ac:dyDescent="0.3">
      <c r="A30" s="51" t="s">
        <v>9</v>
      </c>
      <c r="B30" s="85" t="s">
        <v>10</v>
      </c>
      <c r="C30" s="85" t="s">
        <v>110</v>
      </c>
      <c r="D30" s="85" t="s">
        <v>7</v>
      </c>
      <c r="E30" s="85" t="s">
        <v>8</v>
      </c>
      <c r="F30" s="85" t="s">
        <v>23</v>
      </c>
      <c r="G30" s="1"/>
    </row>
    <row r="31" spans="1:13" ht="15.6" x14ac:dyDescent="0.3">
      <c r="A31" s="93"/>
      <c r="B31" s="25">
        <f>'4637'!B22</f>
        <v>1</v>
      </c>
      <c r="C31" s="101" t="str">
        <f>'4637'!C22</f>
        <v>CUB SIN RESPALDO 180°</v>
      </c>
      <c r="D31" s="25">
        <f>'4637'!D22</f>
        <v>2600</v>
      </c>
      <c r="E31" s="25">
        <f>'4637'!E22</f>
        <v>630</v>
      </c>
      <c r="F31" s="25" t="str">
        <f>'4637'!F22</f>
        <v>HUMO 2108 MT</v>
      </c>
      <c r="G31" s="1"/>
    </row>
    <row r="32" spans="1:13" ht="15.6" x14ac:dyDescent="0.3">
      <c r="A32" s="93"/>
      <c r="B32" s="25">
        <f>'4637'!B23</f>
        <v>2</v>
      </c>
      <c r="C32" s="101" t="str">
        <f>'4637'!C23</f>
        <v>CUB SIN RESPALDO 180°</v>
      </c>
      <c r="D32" s="25">
        <f>'4637'!D23</f>
        <v>2600</v>
      </c>
      <c r="E32" s="25">
        <f>'4637'!E23</f>
        <v>430</v>
      </c>
      <c r="F32" s="25" t="str">
        <f>'4637'!F23</f>
        <v>HUMO 2108 MT</v>
      </c>
      <c r="G32" s="1"/>
    </row>
    <row r="33" spans="1:7" ht="15.6" x14ac:dyDescent="0.3">
      <c r="A33" s="93"/>
      <c r="B33" s="6"/>
      <c r="C33" s="107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7348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129" t="str">
        <f>'4637'!C10</f>
        <v>EMPRESA CONSTRUCTORA GASTON FERNANDO PAVEZ CABRERA E.I.R.L.</v>
      </c>
      <c r="E44" s="42"/>
      <c r="F44" s="42"/>
      <c r="G44" s="1"/>
    </row>
    <row r="45" spans="1:7" ht="4.5" customHeight="1" x14ac:dyDescent="0.3">
      <c r="A45" s="1"/>
      <c r="B45" s="1"/>
      <c r="C45" s="43"/>
      <c r="D45" s="44"/>
      <c r="E45" s="1"/>
      <c r="F45" s="1"/>
      <c r="G45" s="1"/>
    </row>
    <row r="46" spans="1:7" ht="15.6" x14ac:dyDescent="0.3">
      <c r="A46" s="1"/>
      <c r="B46" s="1"/>
      <c r="C46" s="45" t="str">
        <f>'4637'!F11</f>
        <v>FECHA LIMITE :</v>
      </c>
      <c r="D46" s="13">
        <f>'4637'!G11</f>
        <v>46003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2" t="s">
        <v>68</v>
      </c>
      <c r="B49" s="122"/>
      <c r="C49" s="122"/>
      <c r="D49" s="122"/>
      <c r="E49" s="122"/>
      <c r="F49" s="122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3" t="s">
        <v>69</v>
      </c>
      <c r="C51" s="124"/>
      <c r="D51" s="125"/>
      <c r="E51" s="125"/>
      <c r="F51" s="126"/>
      <c r="G51" s="1"/>
    </row>
    <row r="52" spans="1:7" s="15" customFormat="1" ht="12.75" customHeight="1" x14ac:dyDescent="0.3">
      <c r="A52" s="1"/>
      <c r="B52" s="36" t="s">
        <v>10</v>
      </c>
      <c r="C52" s="46" t="s">
        <v>11</v>
      </c>
      <c r="D52" s="47" t="s">
        <v>7</v>
      </c>
      <c r="E52" s="104" t="s">
        <v>8</v>
      </c>
      <c r="F52" s="48" t="s">
        <v>12</v>
      </c>
      <c r="G52" s="1"/>
    </row>
    <row r="53" spans="1:7" s="15" customFormat="1" ht="15" customHeight="1" x14ac:dyDescent="0.3">
      <c r="A53" s="93"/>
      <c r="B53" s="38">
        <f>'4637'!B22</f>
        <v>1</v>
      </c>
      <c r="C53" s="100" t="str">
        <f>'4637'!C22</f>
        <v>CUB SIN RESPALDO 180°</v>
      </c>
      <c r="D53" s="39">
        <f>'4637'!D22</f>
        <v>2600</v>
      </c>
      <c r="E53" s="105">
        <f>'4637'!E22</f>
        <v>630</v>
      </c>
      <c r="F53" s="106" t="str">
        <f>'4637'!F22</f>
        <v>HUMO 2108 MT</v>
      </c>
      <c r="G53" s="1"/>
    </row>
    <row r="54" spans="1:7" s="15" customFormat="1" ht="15" customHeight="1" x14ac:dyDescent="0.3">
      <c r="A54" s="93"/>
      <c r="B54" s="38">
        <f>'4637'!B23</f>
        <v>2</v>
      </c>
      <c r="C54" s="100" t="str">
        <f>'4637'!C23</f>
        <v>CUB SIN RESPALDO 180°</v>
      </c>
      <c r="D54" s="39">
        <f>'4637'!D23</f>
        <v>2600</v>
      </c>
      <c r="E54" s="105">
        <f>'4637'!E23</f>
        <v>430</v>
      </c>
      <c r="F54" s="106" t="str">
        <f>'4637'!F23</f>
        <v>HUMO 2108 MT</v>
      </c>
      <c r="G54" s="1"/>
    </row>
    <row r="55" spans="1:7" s="15" customFormat="1" ht="15" customHeight="1" x14ac:dyDescent="0.3">
      <c r="A55" s="93"/>
      <c r="B55" s="51"/>
      <c r="C55" s="103"/>
      <c r="D55" s="51"/>
      <c r="E55" s="51"/>
      <c r="F55" s="51"/>
      <c r="G55" s="1"/>
    </row>
    <row r="56" spans="1:7" s="15" customFormat="1" ht="15" customHeight="1" x14ac:dyDescent="0.3">
      <c r="A56" s="49"/>
      <c r="B56" s="51"/>
      <c r="C56" s="51"/>
      <c r="D56" s="51"/>
      <c r="E56" s="51"/>
      <c r="F56" s="51"/>
      <c r="G56" s="1"/>
    </row>
    <row r="57" spans="1:7" ht="15.6" x14ac:dyDescent="0.3">
      <c r="A57" s="6"/>
      <c r="B57" s="6"/>
      <c r="C57" s="1"/>
      <c r="D57" s="6"/>
      <c r="E57" s="6"/>
      <c r="F57" s="43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50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20:F20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2025-12-10T19:27:21Z</cp:lastPrinted>
  <dcterms:created xsi:type="dcterms:W3CDTF">2013-03-19T12:54:14Z</dcterms:created>
  <dcterms:modified xsi:type="dcterms:W3CDTF">2025-12-10T19:37:10Z</dcterms:modified>
</cp:coreProperties>
</file>