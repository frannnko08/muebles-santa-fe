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B4B80E55-A925-4744-9472-1BB27FA218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<sst xmlns="http://schemas.openxmlformats.org/spreadsheetml/2006/main" count="247" uniqueCount="143">
  <si>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</si>
  <si>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</si>
  <si>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</si>
  <si>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</si>
  <si>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</si>
  <si>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</si>
  <si>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</si>
  <si>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</si>
  <si>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</si>
  <si>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</si>
  <si>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</si>
  <si>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</si>
  <si>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</si>
  <si>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</si>
  <si>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</si>
  <si>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</si>
  <si>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</si>
  <si>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</si>
  <si>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</si>
  <si>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</si>
  <si>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</si>
  <si>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</si>
  <si>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</si>
  <si>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</si>
  <si>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</si>
  <si>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</si>
  <si>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</si>
  <si>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</si>
  <si>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</si>
  <si>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</si>
  <si>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</si>
  <si>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</si>
  <si>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</si>
  <si>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</si>
  <si>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</si>
  <si>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</si>
  <si>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</si>
  <si>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</si>
  <si>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</si>
  <si>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</si>
  <si>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</si>
  <si>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</si>
  <si>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</si>
  <si>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</si>
  <si>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</si>
  <si>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</si>
  <si>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</si>
  <si>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</si>
  <si>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</si>
  <si>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</si>
  <si>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</si>
  <si>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</si>
  <si>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</si>
  <si>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</si>
  <si>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</si>
  <si>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</si>
  <si>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</si>
  <si>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</si>
  <si>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</si>
  <si>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</si>
  <si>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</si>
  <si>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</si>
  <si>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</si>
  <si>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</si>
  <si>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</si>
  <si>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</si>
  <si>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</si>
  <si>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</si>
  <si>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</si>
  <si>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</si>
  <si>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</si>
  <si>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</si>
  <si>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</si>
  <si>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</si>
  <si>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</si>
  <si>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</si>
  <si>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</si>
  <si>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</si>
  <si>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</si>
  <si>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</si>
  <si>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</si>
  <si>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</si>
  <si>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</si>
  <si>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</si>
  <si>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</si>
  <si>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</si>
  <si>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</si>
  <si>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</si>
  <si>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</si>
  <si>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</si>
  <si>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</si>
  <si>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</si>
  <si>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</si>
  <si>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</si>
  <si>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</si>
  <si>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</si>
  <si>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</si>
  <si>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</si>
  <si>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</si>
  <si>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</si>
  <si>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</si>
  <si>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</si>
  <si>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</si>
  <si>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</si>
  <si>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</si>
  <si>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</si>
  <si>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</si>
  <si>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</si>
  <si>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</si>
  <si>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</si>
  <si>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</si>
  <si>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</si>
  <si>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</si>
  <si>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</si>
  <si>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</si>
  <si>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</si>
  <si>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</si>
  <si>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</si>
  <si>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</si>
  <si>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</si>
  <si>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</si>
  <si>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</si>
  <si>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</si>
  <si>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</si>
  <si>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</si>
  <si>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</si>
  <si>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</si>
  <si>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</si>
  <si>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</si>
  <si>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</si>
  <si>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</si>
  <si>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</si>
  <si>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</si>
  <si>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</si>
  <si>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</si>
  <si>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</si>
  <si>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</si>
  <si>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BWR RENODELACIONES SPA</t>
  </si>
  <si>
    <t>77.990.828-3</t>
  </si>
  <si>
    <t>J. IBARRA</t>
  </si>
  <si>
    <t>LOS MILITARES 5620 OF 905 LAS CONDES</t>
  </si>
  <si>
    <t>HUMO 2108 MT</t>
  </si>
  <si>
    <t>CUB C/R F/E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</si>
</sst>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166" fontId="22" fillId="0" borderId="2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11681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OBSERVACIONES:CANCELADA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2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7335</v>
      </c>
    </row>
    <row r="9" spans="2:16" ht="15" thickBot="1" x14ac:dyDescent="0.35"/>
    <row r="10" spans="2:16" ht="16.2" thickBot="1" x14ac:dyDescent="0.35">
      <c r="B10" s="14" t="s">
        <v>7</v>
      </c>
      <c r="C10" s="111" t="s">
        <v>137</v>
      </c>
      <c r="D10" s="15"/>
      <c r="E10" s="15"/>
      <c r="F10" s="16" t="s">
        <v>31</v>
      </c>
      <c r="G10" s="17">
        <v>45993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10" t="s">
        <v>138</v>
      </c>
      <c r="D11" s="20"/>
      <c r="E11" s="20"/>
      <c r="F11" s="20" t="s">
        <v>131</v>
      </c>
      <c r="G11" s="105">
        <v>46001</v>
      </c>
      <c r="H11" s="21"/>
    </row>
    <row r="12" spans="2:16" x14ac:dyDescent="0.3">
      <c r="B12" s="91" t="s">
        <v>115</v>
      </c>
      <c r="C12" s="125" t="s">
        <v>139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8">
        <v>56973819617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2" t="s">
        <v>140</v>
      </c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0" t="s">
        <v>21</v>
      </c>
      <c r="G15" s="130"/>
      <c r="H15" s="131"/>
    </row>
    <row r="17" spans="2:15" ht="15" thickBot="1" x14ac:dyDescent="0.35"/>
    <row r="18" spans="2:15" ht="15" thickBot="1" x14ac:dyDescent="0.35">
      <c r="B18" s="132" t="s">
        <v>22</v>
      </c>
      <c r="C18" s="133"/>
      <c r="D18" s="133"/>
      <c r="E18" s="133"/>
      <c r="F18" s="133"/>
      <c r="G18" s="134"/>
      <c r="H18" s="135"/>
    </row>
    <row r="19" spans="2:15" x14ac:dyDescent="0.3">
      <c r="B19" s="100" t="s">
        <v>23</v>
      </c>
      <c r="C19" s="101" t="s">
        <v>24</v>
      </c>
      <c r="D19" s="101" t="s">
        <v>25</v>
      </c>
      <c r="E19" s="101" t="s">
        <v>9</v>
      </c>
      <c r="F19" s="122" t="s">
        <v>26</v>
      </c>
      <c r="G19" s="123" t="s">
        <v>27</v>
      </c>
      <c r="H19" s="123" t="s">
        <v>4</v>
      </c>
    </row>
    <row r="20" spans="2:15" ht="15.6" x14ac:dyDescent="0.3">
      <c r="B20" s="118">
        <v>1</v>
      </c>
      <c r="C20" s="120" t="s">
        <v>142</v>
      </c>
      <c r="D20" s="121">
        <v>1200</v>
      </c>
      <c r="E20" s="121">
        <v>500</v>
      </c>
      <c r="F20" s="120" t="s">
        <v>141</v>
      </c>
      <c r="G20" s="119">
        <v>45378</v>
      </c>
      <c r="H20" s="129">
        <f t="shared" ref="H20" si="0">G20*B20</f>
        <v>45378</v>
      </c>
      <c r="J20" s="61"/>
      <c r="K20" s="88"/>
      <c r="L20" s="61"/>
      <c r="M20" s="61"/>
      <c r="N20" s="88"/>
      <c r="O20" s="99"/>
    </row>
    <row r="21" spans="2:15" x14ac:dyDescent="0.3">
      <c r="B21" s="102"/>
      <c r="C21" s="102"/>
      <c r="D21" s="106"/>
      <c r="E21" s="106"/>
      <c r="F21" s="107"/>
      <c r="G21" s="103"/>
      <c r="H21" s="104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45378</v>
      </c>
    </row>
    <row r="24" spans="2:15" ht="18" thickBot="1" x14ac:dyDescent="0.4">
      <c r="G24" s="40" t="s">
        <v>6</v>
      </c>
      <c r="H24" s="43">
        <f>H23*19%</f>
        <v>8621.82</v>
      </c>
    </row>
    <row r="25" spans="2:15" ht="18" thickBot="1" x14ac:dyDescent="0.4">
      <c r="G25" s="31" t="s">
        <v>4</v>
      </c>
      <c r="H25" s="43">
        <f>SUM(H23+H24)</f>
        <v>53999.82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4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sqref="A1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5" t="s">
        <v>30</v>
      </c>
      <c r="D4" s="54">
        <f>'4637'!G8</f>
        <v>7335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BWR RENODELACIONES SPA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9" t="str">
        <f>'4637'!F11</f>
        <v>FECHA LIMITE :</v>
      </c>
      <c r="D7" s="53">
        <f>'4637'!G11</f>
        <v>46001</v>
      </c>
      <c r="E7" s="1"/>
      <c r="F7" s="1"/>
    </row>
    <row r="8" spans="1:14" x14ac:dyDescent="0.3">
      <c r="C8" s="108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80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1280</v>
      </c>
      <c r="E14" s="46">
        <f>K14+E$13</f>
        <v>470</v>
      </c>
      <c r="F14" s="58" t="str">
        <f>F21</f>
        <v>CUB C/R F/E R8</v>
      </c>
      <c r="I14" s="4">
        <f>I21</f>
        <v>1</v>
      </c>
      <c r="J14" s="5">
        <f>D27</f>
        <v>1200</v>
      </c>
      <c r="K14" s="5">
        <f>K21</f>
        <v>500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9" t="s">
        <v>16</v>
      </c>
      <c r="B17" s="139"/>
      <c r="C17" s="139"/>
      <c r="D17" s="139"/>
      <c r="E17" s="139"/>
      <c r="F17" s="139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150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1240</v>
      </c>
      <c r="E21" s="59">
        <f>K21+E$20</f>
        <v>650</v>
      </c>
      <c r="F21" s="58" t="str">
        <f>C27</f>
        <v>CUB C/R F/E R8</v>
      </c>
      <c r="G21" s="1"/>
      <c r="I21" s="4">
        <f>B27</f>
        <v>1</v>
      </c>
      <c r="J21" s="5">
        <f t="shared" ref="J21:K21" si="2">D27</f>
        <v>1200</v>
      </c>
      <c r="K21" s="5">
        <f t="shared" si="2"/>
        <v>500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 t="s">
        <v>136</v>
      </c>
      <c r="B27" s="74">
        <f>'4637'!B20</f>
        <v>1</v>
      </c>
      <c r="C27" s="75" t="str">
        <f>'4637'!C20</f>
        <v>CUB C/R F/E R8</v>
      </c>
      <c r="D27" s="74">
        <f>'4637'!D20</f>
        <v>1200</v>
      </c>
      <c r="E27" s="74">
        <f>'4637'!E20</f>
        <v>500</v>
      </c>
      <c r="F27" s="127" t="str">
        <f>'4637'!F20</f>
        <v>HUMO 2108 MT</v>
      </c>
    </row>
    <row r="28" spans="1:11" ht="15.6" x14ac:dyDescent="0.3">
      <c r="A28" s="50"/>
      <c r="B28" s="7"/>
      <c r="C28" s="11"/>
      <c r="D28" s="7"/>
      <c r="E28" s="7"/>
      <c r="F28" s="60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7335</v>
      </c>
      <c r="G37" s="1"/>
    </row>
    <row r="38" spans="1:7" ht="17.25" customHeight="1" x14ac:dyDescent="0.3">
      <c r="C38" s="68" t="s">
        <v>70</v>
      </c>
      <c r="D38" s="67" t="str">
        <f>'4637'!C10</f>
        <v>BWR RENODELACIONES SPA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46001</v>
      </c>
      <c r="E40" s="1"/>
      <c r="F40" s="1"/>
    </row>
    <row r="43" spans="1:7" x14ac:dyDescent="0.3">
      <c r="A43" s="140" t="s">
        <v>71</v>
      </c>
      <c r="B43" s="140"/>
      <c r="C43" s="140"/>
      <c r="D43" s="140"/>
      <c r="E43" s="140"/>
      <c r="F43" s="140"/>
    </row>
    <row r="45" spans="1:7" ht="9.75" customHeight="1" x14ac:dyDescent="0.3">
      <c r="B45" s="141" t="s">
        <v>72</v>
      </c>
      <c r="C45" s="142"/>
      <c r="D45" s="143"/>
      <c r="E45" s="143"/>
      <c r="F45" s="144"/>
    </row>
    <row r="46" spans="1:7" s="13" customFormat="1" ht="11.25" customHeight="1" x14ac:dyDescent="0.25">
      <c r="B46" s="113" t="s">
        <v>11</v>
      </c>
      <c r="C46" s="114" t="s">
        <v>12</v>
      </c>
      <c r="D46" s="115" t="s">
        <v>8</v>
      </c>
      <c r="E46" s="115" t="s">
        <v>9</v>
      </c>
      <c r="F46" s="116" t="s">
        <v>13</v>
      </c>
    </row>
    <row r="47" spans="1:7" s="13" customFormat="1" ht="15" customHeight="1" x14ac:dyDescent="0.3">
      <c r="A47" s="98" t="s">
        <v>136</v>
      </c>
      <c r="B47" s="117">
        <f>'4637'!B20</f>
        <v>1</v>
      </c>
      <c r="C47" s="124" t="str">
        <f>'4637'!C20</f>
        <v>CUB C/R F/E R8</v>
      </c>
      <c r="D47" s="117">
        <f>'4637'!D20</f>
        <v>1200</v>
      </c>
      <c r="E47" s="117">
        <f>'4637'!E20</f>
        <v>500</v>
      </c>
      <c r="F47" s="126" t="str">
        <f>'4637'!F20</f>
        <v>HUMO 2108 MT</v>
      </c>
    </row>
    <row r="48" spans="1:7" s="13" customFormat="1" ht="15" customHeight="1" x14ac:dyDescent="0.3">
      <c r="A48" s="98"/>
      <c r="B48" s="3"/>
      <c r="C48" s="60"/>
      <c r="D48" s="3"/>
      <c r="E48" s="3"/>
      <c r="F48" s="3"/>
    </row>
    <row r="49" spans="1:7" ht="15.6" x14ac:dyDescent="0.3">
      <c r="A49" s="60"/>
      <c r="B49" s="3"/>
      <c r="C49" s="41"/>
      <c r="D49" s="7"/>
      <c r="E49" s="7"/>
      <c r="F49" s="49"/>
    </row>
    <row r="50" spans="1:7" ht="15.6" x14ac:dyDescent="0.3">
      <c r="A50" s="60"/>
      <c r="B50" s="3"/>
      <c r="C50" s="41"/>
      <c r="D50" s="7"/>
      <c r="E50" s="7"/>
      <c r="F50" s="56"/>
    </row>
    <row r="51" spans="1:7" ht="15.6" x14ac:dyDescent="0.3">
      <c r="A51" s="60"/>
      <c r="B51" s="3"/>
      <c r="C51" s="41"/>
      <c r="D51" s="7"/>
      <c r="E51" s="7"/>
      <c r="F51" s="49"/>
    </row>
    <row r="52" spans="1:7" ht="15" thickBot="1" x14ac:dyDescent="0.35"/>
    <row r="53" spans="1:7" x14ac:dyDescent="0.3">
      <c r="B53" s="78" t="s">
        <v>15</v>
      </c>
      <c r="C53" s="79"/>
      <c r="D53" s="80"/>
      <c r="E53" s="80"/>
      <c r="F53" s="81"/>
    </row>
    <row r="54" spans="1:7" x14ac:dyDescent="0.3">
      <c r="B54" s="82"/>
      <c r="C54" s="83" t="s">
        <v>117</v>
      </c>
      <c r="D54" s="9"/>
      <c r="E54" s="9"/>
      <c r="F54" s="84"/>
    </row>
    <row r="55" spans="1:7" ht="15" customHeight="1" x14ac:dyDescent="0.35">
      <c r="B55" s="83" t="s">
        <v>124</v>
      </c>
      <c r="C55" s="70"/>
      <c r="D55" s="10"/>
      <c r="E55" s="10"/>
      <c r="F55" s="85"/>
    </row>
    <row r="56" spans="1:7" ht="18.600000000000001" thickBot="1" x14ac:dyDescent="0.4">
      <c r="B56" s="95" t="s">
        <v>123</v>
      </c>
      <c r="C56" s="86"/>
      <c r="D56" s="86"/>
      <c r="E56" s="86"/>
      <c r="F56" s="87"/>
    </row>
    <row r="57" spans="1:7" ht="18" x14ac:dyDescent="0.35">
      <c r="A57" s="2"/>
      <c r="B57" s="8"/>
      <c r="G57" s="1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D59" s="66"/>
      <c r="E59" s="66"/>
      <c r="F59" s="66"/>
    </row>
    <row r="60" spans="1:7" x14ac:dyDescent="0.3">
      <c r="B60" s="66"/>
      <c r="C60" s="66"/>
      <c r="E60" s="66"/>
      <c r="F60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2025-12-02T19:23:54Z</cp:lastPrinted>
  <dcterms:created xsi:type="dcterms:W3CDTF">2013-03-19T12:54:14Z</dcterms:created>
  <dcterms:modified xsi:type="dcterms:W3CDTF">2025-12-02T19:24:14Z</dcterms:modified>
</cp:coreProperties>
</file>