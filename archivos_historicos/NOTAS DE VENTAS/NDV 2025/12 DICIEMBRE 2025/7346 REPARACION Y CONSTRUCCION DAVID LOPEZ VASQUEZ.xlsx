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5F3B6402-7E71-4C12-BDFD-73132B87F52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externalReferences>
    <externalReference r:id="rId4"/>
    <externalReference r:id="rId5"/>
  </externalReferences>
  <definedNames>
    <definedName name="_xlnm.Print_Area" localSheetId="0">'4637'!$A$1:$H$32</definedName>
    <definedName name="_xlnm.Print_Area" localSheetId="2">CUBIERTA!$A$42:$G$68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47" i="3"/>
  <c r="D44" i="3"/>
  <c r="D45" i="3"/>
  <c r="F56" i="3"/>
  <c r="E56" i="3"/>
  <c r="D56" i="3"/>
  <c r="C56" i="3"/>
  <c r="C33" i="3" s="1"/>
  <c r="B56" i="3"/>
  <c r="F55" i="3"/>
  <c r="F32" i="3" s="1"/>
  <c r="E55" i="3"/>
  <c r="D55" i="3"/>
  <c r="D32" i="3" s="1"/>
  <c r="C55" i="3"/>
  <c r="B55" i="3"/>
  <c r="B32" i="3" s="1"/>
  <c r="I24" i="3" s="1"/>
  <c r="F54" i="3"/>
  <c r="E54" i="3"/>
  <c r="E31" i="3" s="1"/>
  <c r="D54" i="3"/>
  <c r="C54" i="3"/>
  <c r="C31" i="3" s="1"/>
  <c r="B54" i="3"/>
  <c r="C47" i="3"/>
  <c r="F33" i="3"/>
  <c r="E33" i="3"/>
  <c r="D33" i="3"/>
  <c r="J16" i="3" s="1"/>
  <c r="B33" i="3"/>
  <c r="I25" i="3" s="1"/>
  <c r="E32" i="3"/>
  <c r="K15" i="3" s="1"/>
  <c r="C32" i="3"/>
  <c r="F24" i="3" s="1"/>
  <c r="F31" i="3"/>
  <c r="D31" i="3"/>
  <c r="J23" i="3" s="1"/>
  <c r="B31" i="3"/>
  <c r="I23" i="3" s="1"/>
  <c r="K25" i="3"/>
  <c r="J25" i="3"/>
  <c r="K24" i="3"/>
  <c r="K16" i="3"/>
  <c r="D8" i="3"/>
  <c r="D7" i="3"/>
  <c r="C7" i="3"/>
  <c r="N5" i="3"/>
  <c r="D5" i="3"/>
  <c r="H24" i="4"/>
  <c r="G24" i="4"/>
  <c r="F24" i="4"/>
  <c r="E24" i="4"/>
  <c r="D24" i="4"/>
  <c r="C24" i="4"/>
  <c r="B24" i="4"/>
  <c r="G23" i="4"/>
  <c r="H23" i="4" s="1"/>
  <c r="F23" i="4"/>
  <c r="E23" i="4"/>
  <c r="D23" i="4"/>
  <c r="C23" i="4"/>
  <c r="B23" i="4"/>
  <c r="G22" i="4"/>
  <c r="F22" i="4"/>
  <c r="E22" i="4"/>
  <c r="D22" i="4"/>
  <c r="C22" i="4"/>
  <c r="B22" i="4"/>
  <c r="H22" i="4" s="1"/>
  <c r="C17" i="4"/>
  <c r="G16" i="4"/>
  <c r="C16" i="4"/>
  <c r="G15" i="4"/>
  <c r="C15" i="4"/>
  <c r="C14" i="4"/>
  <c r="C13" i="4"/>
  <c r="G12" i="4"/>
  <c r="C12" i="4"/>
  <c r="C11" i="4"/>
  <c r="G10" i="4"/>
  <c r="G11" i="4" s="1"/>
  <c r="C10" i="4"/>
  <c r="D8" i="4"/>
  <c r="F14" i="3" l="1"/>
  <c r="F23" i="3"/>
  <c r="I15" i="3"/>
  <c r="B15" i="3" s="1"/>
  <c r="B24" i="3"/>
  <c r="I14" i="3"/>
  <c r="B14" i="3" s="1"/>
  <c r="B23" i="3"/>
  <c r="K23" i="3"/>
  <c r="K14" i="3"/>
  <c r="J24" i="3"/>
  <c r="J15" i="3"/>
  <c r="F25" i="3"/>
  <c r="F16" i="3"/>
  <c r="B25" i="3"/>
  <c r="I16" i="3"/>
  <c r="B16" i="3" s="1"/>
  <c r="J14" i="3"/>
  <c r="F15" i="3"/>
  <c r="H26" i="4"/>
  <c r="E23" i="3" l="1"/>
  <c r="M5" i="3"/>
  <c r="D23" i="3"/>
  <c r="E14" i="3"/>
  <c r="L5" i="3"/>
  <c r="D14" i="3"/>
  <c r="K5" i="3"/>
  <c r="E24" i="3"/>
  <c r="D15" i="3"/>
  <c r="D24" i="3"/>
  <c r="E15" i="3"/>
  <c r="D16" i="3"/>
  <c r="E16" i="3"/>
  <c r="E25" i="3"/>
  <c r="D25" i="3"/>
  <c r="H27" i="4"/>
  <c r="H28" i="4" s="1"/>
</calcChain>
</file>

<file path=xl/sharedStrings.xml><?xml version="1.0" encoding="utf-8"?>
<sst xmlns="http://schemas.openxmlformats.org/spreadsheetml/2006/main" count="239" uniqueCount="136">
  <si>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</si>
  <si>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</si>
  <si>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</si>
  <si>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</si>
  <si>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</si>
  <si>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</si>
  <si>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</si>
  <si>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</si>
  <si>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</si>
  <si>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</si>
  <si>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</si>
  <si>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</si>
  <si>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</si>
  <si>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</si>
  <si>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</si>
  <si>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</si>
  <si>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</si>
  <si>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</si>
  <si>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</si>
  <si>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</si>
  <si>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</si>
  <si>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</si>
  <si>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</si>
  <si>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</si>
  <si>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</si>
  <si>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</si>
  <si>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</si>
  <si>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</si>
  <si>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</si>
  <si>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</si>
  <si>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</si>
  <si>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</si>
  <si>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</si>
  <si>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</si>
  <si>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</si>
  <si>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</si>
  <si>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</si>
  <si>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</si>
  <si>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</si>
  <si>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</si>
  <si>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</si>
  <si>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</si>
  <si>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</si>
  <si>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</si>
  <si>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</si>
  <si>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</si>
  <si>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</si>
  <si>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</si>
  <si>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</si>
  <si>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</si>
  <si>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</si>
  <si>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</si>
  <si>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</si>
  <si>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</si>
  <si>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</si>
  <si>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</si>
  <si>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</si>
  <si>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</si>
  <si>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</si>
  <si>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</si>
  <si>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</si>
  <si>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</si>
  <si>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</si>
  <si>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</si>
  <si>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</si>
  <si>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</si>
  <si>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</si>
  <si>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</si>
  <si>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</si>
  <si>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</si>
  <si>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</si>
  <si>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</si>
  <si>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</si>
  <si>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</si>
  <si>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</si>
  <si>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</si>
  <si>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</si>
  <si>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</si>
  <si>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</si>
  <si>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</si>
  <si>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</si>
  <si>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</si>
  <si>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</si>
  <si>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</si>
  <si>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</si>
  <si>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</si>
  <si>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</si>
  <si>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</si>
  <si>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</si>
  <si>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</si>
  <si>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</si>
  <si>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</si>
  <si>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</si>
  <si>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</si>
  <si>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</si>
  <si>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</si>
  <si>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</si>
  <si>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</si>
  <si>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</si>
  <si>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</si>
  <si>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</si>
  <si>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</si>
  <si>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</si>
  <si>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</si>
  <si>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</si>
  <si>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</si>
  <si>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</si>
  <si>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</si>
  <si>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</si>
  <si>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</si>
  <si>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</si>
  <si>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</si>
  <si>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</si>
  <si>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</si>
  <si>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</si>
  <si>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</si>
  <si>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</si>
  <si>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</si>
  <si>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</si>
  <si>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</si>
  <si>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</si>
  <si>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</si>
  <si>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</si>
  <si>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</si>
  <si>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</si>
  <si>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</si>
  <si>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</si>
  <si>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</si>
  <si>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</si>
  <si>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CELULAR: 963868755</t>
  </si>
  <si>
    <t>E-MAIL: fdonoso@topmobili.cl</t>
  </si>
  <si>
    <t>DESPACHO:</t>
  </si>
  <si>
    <t>FERNANDO DONOSO</t>
  </si>
  <si>
    <t xml:space="preserve">CUENTA VISTA DEL BANCO ESTADO N° 35571389078 A NOMBRE DE </t>
  </si>
  <si>
    <t>"MUEBLES SANTA FE SPA." - RUT : 77.054.606-0, VENTAS@TOPMOBILI.CL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</si>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</sst>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8" borderId="3" xfId="0" applyFill="1" applyBorder="1"/>
    <xf numFmtId="0" fontId="0" fillId="8" borderId="4" xfId="0" applyFill="1" applyBorder="1"/>
    <xf numFmtId="0" fontId="0" fillId="8" borderId="4" xfId="0" applyFill="1" applyBorder="1" applyAlignment="1">
      <alignment horizontal="left"/>
    </xf>
    <xf numFmtId="14" fontId="0" fillId="8" borderId="4" xfId="0" applyNumberFormat="1" applyFill="1" applyBorder="1" applyAlignment="1">
      <alignment horizontal="left"/>
    </xf>
    <xf numFmtId="0" fontId="0" fillId="8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8" borderId="6" xfId="0" applyFill="1" applyBorder="1"/>
    <xf numFmtId="0" fontId="0" fillId="8" borderId="0" xfId="0" applyFill="1"/>
    <xf numFmtId="0" fontId="0" fillId="8" borderId="7" xfId="0" applyFill="1" applyBorder="1"/>
    <xf numFmtId="0" fontId="0" fillId="3" borderId="6" xfId="0" applyFill="1" applyBorder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8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3" borderId="9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8" fillId="9" borderId="23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/>
    </xf>
    <xf numFmtId="0" fontId="18" fillId="9" borderId="25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1" fontId="15" fillId="0" borderId="30" xfId="0" applyNumberFormat="1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42" fontId="15" fillId="0" borderId="12" xfId="3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42" fontId="15" fillId="0" borderId="29" xfId="3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42" fontId="15" fillId="0" borderId="28" xfId="3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14" fontId="1" fillId="0" borderId="0" xfId="0" applyNumberFormat="1" applyFont="1" applyAlignment="1">
      <alignment horizontal="left" vertical="top" wrapText="1" shrinkToFit="1"/>
    </xf>
    <xf numFmtId="14" fontId="1" fillId="0" borderId="0" xfId="0" applyNumberFormat="1" applyFont="1" applyAlignment="1">
      <alignment horizontal="left"/>
    </xf>
    <xf numFmtId="0" fontId="20" fillId="0" borderId="0" xfId="0" applyFont="1" applyAlignment="1">
      <alignment horizontal="right"/>
    </xf>
    <xf numFmtId="0" fontId="21" fillId="0" borderId="18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7" fillId="4" borderId="9" xfId="0" applyFont="1" applyFill="1" applyBorder="1" applyAlignment="1">
      <alignment horizontal="left"/>
    </xf>
    <xf numFmtId="0" fontId="17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2" fillId="3" borderId="0" xfId="0" applyFont="1" applyFill="1" applyAlignment="1">
      <alignment horizontal="left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25</xdr:row>
      <xdr:rowOff>11430</xdr:rowOff>
    </xdr:from>
    <xdr:to>
      <xdr:col>5</xdr:col>
      <xdr:colOff>1386840</xdr:colOff>
      <xdr:row>28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86037DB-56AD-4FCC-BD2E-16AAA7A4C889}"/>
            </a:ext>
          </a:extLst>
        </xdr:cNvPr>
        <xdr:cNvSpPr/>
      </xdr:nvSpPr>
      <xdr:spPr>
        <a:xfrm>
          <a:off x="213360" y="5033010"/>
          <a:ext cx="593598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PUERTAS SE ENTREGAN SOBRE MEDIDAS EN EL LARGO</a:t>
          </a:r>
        </a:p>
        <a:p>
          <a:pPr algn="l"/>
          <a:r>
            <a:rPr lang="es-CL" sz="900" b="1" i="1"/>
            <a:t>ABONO $59.361</a:t>
          </a:r>
          <a:r>
            <a:rPr lang="es-CL" sz="900" b="1" i="1" baseline="0"/>
            <a:t> TRANSFERENCIA 9/12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6D3B604-DF18-4B15-8267-B2D2A46835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28575" cy="96159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2725A7D-3AB7-4E1B-BC00-CFC67B968C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0640" y="426720"/>
          <a:ext cx="1818967" cy="762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5A748D78-96B2-43E0-AB6C-27A506EEA027}"/>
            </a:ext>
          </a:extLst>
        </xdr:cNvPr>
        <xdr:cNvSpPr/>
      </xdr:nvSpPr>
      <xdr:spPr>
        <a:xfrm>
          <a:off x="1647825" y="1082040"/>
          <a:ext cx="6806564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C0EC4BE3-62D9-4039-94C1-3A4BB1040ABD}"/>
            </a:ext>
          </a:extLst>
        </xdr:cNvPr>
        <xdr:cNvSpPr/>
      </xdr:nvSpPr>
      <xdr:spPr>
        <a:xfrm>
          <a:off x="1647825" y="828675"/>
          <a:ext cx="67951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58" name="Rectángulo 57">
          <a:extLst>
            <a:ext uri="{FF2B5EF4-FFF2-40B4-BE49-F238E27FC236}">
              <a16:creationId xmlns:a16="http://schemas.microsoft.com/office/drawing/2014/main" id="{C6FB345A-5EB9-404E-AA73-E1CBF7563861}"/>
            </a:ext>
          </a:extLst>
        </xdr:cNvPr>
        <xdr:cNvSpPr/>
      </xdr:nvSpPr>
      <xdr:spPr>
        <a:xfrm>
          <a:off x="1647825" y="5848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17</xdr:row>
      <xdr:rowOff>53340</xdr:rowOff>
    </xdr:from>
    <xdr:to>
      <xdr:col>6</xdr:col>
      <xdr:colOff>9525</xdr:colOff>
      <xdr:row>18</xdr:row>
      <xdr:rowOff>198120</xdr:rowOff>
    </xdr:to>
    <xdr:sp macro="" textlink="">
      <xdr:nvSpPr>
        <xdr:cNvPr id="59" name="Rectángulo 58">
          <a:extLst>
            <a:ext uri="{FF2B5EF4-FFF2-40B4-BE49-F238E27FC236}">
              <a16:creationId xmlns:a16="http://schemas.microsoft.com/office/drawing/2014/main" id="{AF2D6170-22FE-45E4-A555-FD7E28D0467B}"/>
            </a:ext>
          </a:extLst>
        </xdr:cNvPr>
        <xdr:cNvSpPr/>
      </xdr:nvSpPr>
      <xdr:spPr>
        <a:xfrm>
          <a:off x="735330" y="3307080"/>
          <a:ext cx="7717155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0" name="Rectángulo 59">
          <a:extLst>
            <a:ext uri="{FF2B5EF4-FFF2-40B4-BE49-F238E27FC236}">
              <a16:creationId xmlns:a16="http://schemas.microsoft.com/office/drawing/2014/main" id="{439DD8A0-3677-46C8-93F5-A4C48476DFD8}"/>
            </a:ext>
          </a:extLst>
        </xdr:cNvPr>
        <xdr:cNvSpPr/>
      </xdr:nvSpPr>
      <xdr:spPr>
        <a:xfrm>
          <a:off x="733424" y="1664970"/>
          <a:ext cx="7720965" cy="2400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48</xdr:row>
      <xdr:rowOff>171450</xdr:rowOff>
    </xdr:from>
    <xdr:to>
      <xdr:col>6</xdr:col>
      <xdr:colOff>19050</xdr:colOff>
      <xdr:row>50</xdr:row>
      <xdr:rowOff>19050</xdr:rowOff>
    </xdr:to>
    <xdr:sp macro="" textlink="">
      <xdr:nvSpPr>
        <xdr:cNvPr id="61" name="Rectángulo 60">
          <a:extLst>
            <a:ext uri="{FF2B5EF4-FFF2-40B4-BE49-F238E27FC236}">
              <a16:creationId xmlns:a16="http://schemas.microsoft.com/office/drawing/2014/main" id="{403360C1-CE01-431D-84EA-F638C9F417A2}"/>
            </a:ext>
          </a:extLst>
        </xdr:cNvPr>
        <xdr:cNvSpPr/>
      </xdr:nvSpPr>
      <xdr:spPr>
        <a:xfrm>
          <a:off x="714375" y="9201150"/>
          <a:ext cx="7747635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62" name="Rectángulo 61">
          <a:extLst>
            <a:ext uri="{FF2B5EF4-FFF2-40B4-BE49-F238E27FC236}">
              <a16:creationId xmlns:a16="http://schemas.microsoft.com/office/drawing/2014/main" id="{B0660480-C3D4-441F-8889-737DBB34BFC3}"/>
            </a:ext>
          </a:extLst>
        </xdr:cNvPr>
        <xdr:cNvSpPr/>
      </xdr:nvSpPr>
      <xdr:spPr>
        <a:xfrm>
          <a:off x="1647825" y="863346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49B066F3-6637-4C55-93FE-4CA5DEA3ED59}"/>
            </a:ext>
          </a:extLst>
        </xdr:cNvPr>
        <xdr:cNvSpPr/>
      </xdr:nvSpPr>
      <xdr:spPr>
        <a:xfrm>
          <a:off x="1647825" y="8404860"/>
          <a:ext cx="6795135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A06F259D-9910-4331-8C01-BBA7A3ED7D54}"/>
            </a:ext>
          </a:extLst>
        </xdr:cNvPr>
        <xdr:cNvSpPr/>
      </xdr:nvSpPr>
      <xdr:spPr>
        <a:xfrm>
          <a:off x="1647825" y="816864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38100</xdr:colOff>
      <xdr:row>59</xdr:row>
      <xdr:rowOff>9525</xdr:rowOff>
    </xdr:to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3A5B43FD-A3BF-4AFE-A12B-BC2AAC23F059}"/>
            </a:ext>
          </a:extLst>
        </xdr:cNvPr>
        <xdr:cNvSpPr/>
      </xdr:nvSpPr>
      <xdr:spPr>
        <a:xfrm>
          <a:off x="723900" y="10934700"/>
          <a:ext cx="96774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58</xdr:row>
      <xdr:rowOff>0</xdr:rowOff>
    </xdr:from>
    <xdr:to>
      <xdr:col>2</xdr:col>
      <xdr:colOff>1019175</xdr:colOff>
      <xdr:row>58</xdr:row>
      <xdr:rowOff>190500</xdr:rowOff>
    </xdr:to>
    <xdr:sp macro="" textlink="">
      <xdr:nvSpPr>
        <xdr:cNvPr id="66" name="Rectángulo 65">
          <a:extLst>
            <a:ext uri="{FF2B5EF4-FFF2-40B4-BE49-F238E27FC236}">
              <a16:creationId xmlns:a16="http://schemas.microsoft.com/office/drawing/2014/main" id="{3AE2A6FD-505A-449D-B5D2-4E727EA6DBAB}"/>
            </a:ext>
          </a:extLst>
        </xdr:cNvPr>
        <xdr:cNvSpPr/>
      </xdr:nvSpPr>
      <xdr:spPr>
        <a:xfrm>
          <a:off x="1691640" y="1093470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0</xdr:rowOff>
    </xdr:from>
    <xdr:to>
      <xdr:col>3</xdr:col>
      <xdr:colOff>352425</xdr:colOff>
      <xdr:row>59</xdr:row>
      <xdr:rowOff>0</xdr:rowOff>
    </xdr:to>
    <xdr:sp macro="" textlink="">
      <xdr:nvSpPr>
        <xdr:cNvPr id="67" name="Rectángulo 66">
          <a:extLst>
            <a:ext uri="{FF2B5EF4-FFF2-40B4-BE49-F238E27FC236}">
              <a16:creationId xmlns:a16="http://schemas.microsoft.com/office/drawing/2014/main" id="{39261F59-322D-4744-B591-994DC94C54C5}"/>
            </a:ext>
          </a:extLst>
        </xdr:cNvPr>
        <xdr:cNvSpPr/>
      </xdr:nvSpPr>
      <xdr:spPr>
        <a:xfrm>
          <a:off x="2663190" y="10934700"/>
          <a:ext cx="176593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0</xdr:rowOff>
    </xdr:from>
    <xdr:to>
      <xdr:col>4</xdr:col>
      <xdr:colOff>257175</xdr:colOff>
      <xdr:row>59</xdr:row>
      <xdr:rowOff>0</xdr:rowOff>
    </xdr:to>
    <xdr:sp macro="" textlink="">
      <xdr:nvSpPr>
        <xdr:cNvPr id="68" name="Rectángulo 67">
          <a:extLst>
            <a:ext uri="{FF2B5EF4-FFF2-40B4-BE49-F238E27FC236}">
              <a16:creationId xmlns:a16="http://schemas.microsoft.com/office/drawing/2014/main" id="{74D6EFE2-2C4A-4C16-BB99-5784B647FB72}"/>
            </a:ext>
          </a:extLst>
        </xdr:cNvPr>
        <xdr:cNvSpPr/>
      </xdr:nvSpPr>
      <xdr:spPr>
        <a:xfrm>
          <a:off x="4429125" y="1093470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0</xdr:rowOff>
    </xdr:from>
    <xdr:to>
      <xdr:col>5</xdr:col>
      <xdr:colOff>447675</xdr:colOff>
      <xdr:row>58</xdr:row>
      <xdr:rowOff>190500</xdr:rowOff>
    </xdr:to>
    <xdr:sp macro="" textlink="">
      <xdr:nvSpPr>
        <xdr:cNvPr id="69" name="Rectángulo 68">
          <a:extLst>
            <a:ext uri="{FF2B5EF4-FFF2-40B4-BE49-F238E27FC236}">
              <a16:creationId xmlns:a16="http://schemas.microsoft.com/office/drawing/2014/main" id="{C36E8B4E-3F7B-460D-A391-A07711C31EE3}"/>
            </a:ext>
          </a:extLst>
        </xdr:cNvPr>
        <xdr:cNvSpPr/>
      </xdr:nvSpPr>
      <xdr:spPr>
        <a:xfrm>
          <a:off x="5421630" y="1093470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0</xdr:rowOff>
    </xdr:from>
    <xdr:to>
      <xdr:col>6</xdr:col>
      <xdr:colOff>0</xdr:colOff>
      <xdr:row>58</xdr:row>
      <xdr:rowOff>190500</xdr:rowOff>
    </xdr:to>
    <xdr:sp macro="" textlink="">
      <xdr:nvSpPr>
        <xdr:cNvPr id="70" name="Rectángulo 69">
          <a:extLst>
            <a:ext uri="{FF2B5EF4-FFF2-40B4-BE49-F238E27FC236}">
              <a16:creationId xmlns:a16="http://schemas.microsoft.com/office/drawing/2014/main" id="{DE6EB1DD-73FE-41BA-A088-EDDDA72A0808}"/>
            </a:ext>
          </a:extLst>
        </xdr:cNvPr>
        <xdr:cNvSpPr/>
      </xdr:nvSpPr>
      <xdr:spPr>
        <a:xfrm>
          <a:off x="6499860" y="1093470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58</xdr:row>
      <xdr:rowOff>190500</xdr:rowOff>
    </xdr:from>
    <xdr:to>
      <xdr:col>2</xdr:col>
      <xdr:colOff>304800</xdr:colOff>
      <xdr:row>60</xdr:row>
      <xdr:rowOff>95250</xdr:rowOff>
    </xdr:to>
    <xdr:sp macro="" textlink="">
      <xdr:nvSpPr>
        <xdr:cNvPr id="71" name="Rectángulo 70">
          <a:extLst>
            <a:ext uri="{FF2B5EF4-FFF2-40B4-BE49-F238E27FC236}">
              <a16:creationId xmlns:a16="http://schemas.microsoft.com/office/drawing/2014/main" id="{356135B7-6745-43B6-AA3F-A7BDA44A116E}"/>
            </a:ext>
          </a:extLst>
        </xdr:cNvPr>
        <xdr:cNvSpPr/>
      </xdr:nvSpPr>
      <xdr:spPr>
        <a:xfrm>
          <a:off x="723900" y="1112520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58</xdr:row>
      <xdr:rowOff>190500</xdr:rowOff>
    </xdr:from>
    <xdr:to>
      <xdr:col>2</xdr:col>
      <xdr:colOff>1276350</xdr:colOff>
      <xdr:row>60</xdr:row>
      <xdr:rowOff>95250</xdr:rowOff>
    </xdr:to>
    <xdr:sp macro="" textlink="">
      <xdr:nvSpPr>
        <xdr:cNvPr id="72" name="Rectángulo 71">
          <a:extLst>
            <a:ext uri="{FF2B5EF4-FFF2-40B4-BE49-F238E27FC236}">
              <a16:creationId xmlns:a16="http://schemas.microsoft.com/office/drawing/2014/main" id="{C78343DD-09A7-426F-89C9-292C6E6A0486}"/>
            </a:ext>
          </a:extLst>
        </xdr:cNvPr>
        <xdr:cNvSpPr/>
      </xdr:nvSpPr>
      <xdr:spPr>
        <a:xfrm>
          <a:off x="1691640" y="1112520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190500</xdr:rowOff>
    </xdr:from>
    <xdr:to>
      <xdr:col>3</xdr:col>
      <xdr:colOff>619125</xdr:colOff>
      <xdr:row>60</xdr:row>
      <xdr:rowOff>95250</xdr:rowOff>
    </xdr:to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C5158C78-4DC8-4061-B5A7-0D86205EA9CA}"/>
            </a:ext>
          </a:extLst>
        </xdr:cNvPr>
        <xdr:cNvSpPr/>
      </xdr:nvSpPr>
      <xdr:spPr>
        <a:xfrm>
          <a:off x="2663190" y="11125200"/>
          <a:ext cx="20326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190500</xdr:rowOff>
    </xdr:from>
    <xdr:to>
      <xdr:col>4</xdr:col>
      <xdr:colOff>523875</xdr:colOff>
      <xdr:row>60</xdr:row>
      <xdr:rowOff>95250</xdr:rowOff>
    </xdr:to>
    <xdr:sp macro="" textlink="">
      <xdr:nvSpPr>
        <xdr:cNvPr id="74" name="Rectángulo 73">
          <a:extLst>
            <a:ext uri="{FF2B5EF4-FFF2-40B4-BE49-F238E27FC236}">
              <a16:creationId xmlns:a16="http://schemas.microsoft.com/office/drawing/2014/main" id="{A61FB4B0-FC67-4B1F-AC75-915A57A3F263}"/>
            </a:ext>
          </a:extLst>
        </xdr:cNvPr>
        <xdr:cNvSpPr/>
      </xdr:nvSpPr>
      <xdr:spPr>
        <a:xfrm>
          <a:off x="4429125" y="1112520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190500</xdr:rowOff>
    </xdr:from>
    <xdr:to>
      <xdr:col>5</xdr:col>
      <xdr:colOff>723900</xdr:colOff>
      <xdr:row>60</xdr:row>
      <xdr:rowOff>95250</xdr:rowOff>
    </xdr:to>
    <xdr:sp macro="" textlink="">
      <xdr:nvSpPr>
        <xdr:cNvPr id="75" name="Rectángulo 74">
          <a:extLst>
            <a:ext uri="{FF2B5EF4-FFF2-40B4-BE49-F238E27FC236}">
              <a16:creationId xmlns:a16="http://schemas.microsoft.com/office/drawing/2014/main" id="{F08272B1-13E3-4C53-BE03-2C6D0C32EBFB}"/>
            </a:ext>
          </a:extLst>
        </xdr:cNvPr>
        <xdr:cNvSpPr/>
      </xdr:nvSpPr>
      <xdr:spPr>
        <a:xfrm>
          <a:off x="5421630" y="1112520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190500</xdr:rowOff>
    </xdr:from>
    <xdr:to>
      <xdr:col>6</xdr:col>
      <xdr:colOff>0</xdr:colOff>
      <xdr:row>60</xdr:row>
      <xdr:rowOff>95250</xdr:rowOff>
    </xdr:to>
    <xdr:sp macro="" textlink="">
      <xdr:nvSpPr>
        <xdr:cNvPr id="76" name="Rectángulo 75">
          <a:extLst>
            <a:ext uri="{FF2B5EF4-FFF2-40B4-BE49-F238E27FC236}">
              <a16:creationId xmlns:a16="http://schemas.microsoft.com/office/drawing/2014/main" id="{D80346A1-319B-489C-A844-0D9BEFBF40C4}"/>
            </a:ext>
          </a:extLst>
        </xdr:cNvPr>
        <xdr:cNvSpPr/>
      </xdr:nvSpPr>
      <xdr:spPr>
        <a:xfrm>
          <a:off x="6499860" y="1112520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35</xdr:row>
      <xdr:rowOff>22859</xdr:rowOff>
    </xdr:from>
    <xdr:to>
      <xdr:col>6</xdr:col>
      <xdr:colOff>0</xdr:colOff>
      <xdr:row>39</xdr:row>
      <xdr:rowOff>57150</xdr:rowOff>
    </xdr:to>
    <xdr:sp macro="" textlink="">
      <xdr:nvSpPr>
        <xdr:cNvPr id="77" name="Rectángulo 76">
          <a:extLst>
            <a:ext uri="{FF2B5EF4-FFF2-40B4-BE49-F238E27FC236}">
              <a16:creationId xmlns:a16="http://schemas.microsoft.com/office/drawing/2014/main" id="{1E28E402-4380-46BE-9CFF-795A906B39F8}"/>
            </a:ext>
          </a:extLst>
        </xdr:cNvPr>
        <xdr:cNvSpPr/>
      </xdr:nvSpPr>
      <xdr:spPr>
        <a:xfrm>
          <a:off x="723900" y="6606539"/>
          <a:ext cx="7719060" cy="82677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PUERTAS SE ENTREGAN SOBRE MEDIDAS EN EL LARGO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26</xdr:row>
      <xdr:rowOff>201930</xdr:rowOff>
    </xdr:from>
    <xdr:to>
      <xdr:col>6</xdr:col>
      <xdr:colOff>22859</xdr:colOff>
      <xdr:row>27</xdr:row>
      <xdr:rowOff>200025</xdr:rowOff>
    </xdr:to>
    <xdr:sp macro="" textlink="">
      <xdr:nvSpPr>
        <xdr:cNvPr id="78" name="Rectángulo 77">
          <a:extLst>
            <a:ext uri="{FF2B5EF4-FFF2-40B4-BE49-F238E27FC236}">
              <a16:creationId xmlns:a16="http://schemas.microsoft.com/office/drawing/2014/main" id="{883C3B09-0568-4683-B73B-572B6900FEC5}"/>
            </a:ext>
          </a:extLst>
        </xdr:cNvPr>
        <xdr:cNvSpPr/>
      </xdr:nvSpPr>
      <xdr:spPr>
        <a:xfrm>
          <a:off x="714375" y="5055870"/>
          <a:ext cx="7751444" cy="2038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61</xdr:row>
      <xdr:rowOff>32385</xdr:rowOff>
    </xdr:from>
    <xdr:to>
      <xdr:col>6</xdr:col>
      <xdr:colOff>19050</xdr:colOff>
      <xdr:row>65</xdr:row>
      <xdr:rowOff>152400</xdr:rowOff>
    </xdr:to>
    <xdr:sp macro="" textlink="">
      <xdr:nvSpPr>
        <xdr:cNvPr id="79" name="Rectángulo 78">
          <a:extLst>
            <a:ext uri="{FF2B5EF4-FFF2-40B4-BE49-F238E27FC236}">
              <a16:creationId xmlns:a16="http://schemas.microsoft.com/office/drawing/2014/main" id="{9E5F0A9B-08FA-47B2-AC89-E8B8CFC7A7A2}"/>
            </a:ext>
          </a:extLst>
        </xdr:cNvPr>
        <xdr:cNvSpPr/>
      </xdr:nvSpPr>
      <xdr:spPr>
        <a:xfrm>
          <a:off x="744855" y="1156144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PUERTAS SE ENTREGAN SOBRE MEDIDAS EN EL LARGO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80" name="Rectángulo 79">
          <a:extLst>
            <a:ext uri="{FF2B5EF4-FFF2-40B4-BE49-F238E27FC236}">
              <a16:creationId xmlns:a16="http://schemas.microsoft.com/office/drawing/2014/main" id="{8F993AA9-3258-4E3F-BF10-92CFD9B4AEEA}"/>
            </a:ext>
          </a:extLst>
        </xdr:cNvPr>
        <xdr:cNvSpPr/>
      </xdr:nvSpPr>
      <xdr:spPr>
        <a:xfrm>
          <a:off x="1647825" y="13087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33739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C1479ACB-2F9A-4F2C-9B5E-84CFDE5D9F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29591"/>
          <a:ext cx="1068705" cy="100528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42</xdr:row>
      <xdr:rowOff>28575</xdr:rowOff>
    </xdr:from>
    <xdr:to>
      <xdr:col>1</xdr:col>
      <xdr:colOff>781050</xdr:colOff>
      <xdr:row>47</xdr:row>
      <xdr:rowOff>117558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492B6FEF-AD10-4C85-A1C1-0677FE1C97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999095"/>
          <a:ext cx="1085850" cy="1003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12%20DICIEMBRE%202025\11794%20REPARACION%20Y%20CONSTRUCCION%20DE%20MUEBLES%20DAVID%20LOPEZ%20VASQUEZ.xlsx" TargetMode="External"/><Relationship Id="rId1" Type="http://schemas.openxmlformats.org/officeDocument/2006/relationships/externalLinkPath" Target="/Users/franc/Dropbox/PC/Desktop/POSTFORMADO%202020/COTIZACIONES%20MUEBLES%20SANTA%20FE/12%20DICIEMBRE%202025/11794%20REPARACION%20Y%20CONSTRUCCION%20DE%20MUEBLES%20DAVID%20LOPEZ%20VASQUEZ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8">
          <cell r="D8" t="str">
            <v>N° 11794</v>
          </cell>
        </row>
        <row r="10">
          <cell r="C10" t="str">
            <v>REPARACION Y CONSTRUCCION DE MUEBLES DAVID LOPEZ VASQUEZ</v>
          </cell>
          <cell r="G10">
            <v>46000</v>
          </cell>
        </row>
        <row r="11">
          <cell r="C11" t="str">
            <v>76.703.408-3</v>
          </cell>
        </row>
        <row r="12">
          <cell r="G12" t="str">
            <v>NO</v>
          </cell>
        </row>
        <row r="14">
          <cell r="G14" t="str">
            <v>NO</v>
          </cell>
        </row>
        <row r="15">
          <cell r="C15" t="str">
            <v>+569 5032 1880</v>
          </cell>
        </row>
        <row r="16">
          <cell r="G16" t="str">
            <v>ABONO 50% SALDO C/ENTREGA</v>
          </cell>
        </row>
        <row r="17">
          <cell r="C17" t="str">
            <v>SANTIAGO</v>
          </cell>
        </row>
        <row r="21">
          <cell r="B21">
            <v>1</v>
          </cell>
          <cell r="C21" t="str">
            <v>PR6</v>
          </cell>
          <cell r="D21">
            <v>2.15</v>
          </cell>
          <cell r="E21">
            <v>0.34699999999999998</v>
          </cell>
          <cell r="F21" t="str">
            <v>BLANCO MT</v>
          </cell>
          <cell r="G21">
            <v>48338.031518435411</v>
          </cell>
        </row>
        <row r="22">
          <cell r="B22">
            <v>1</v>
          </cell>
          <cell r="C22" t="str">
            <v>PR6</v>
          </cell>
          <cell r="D22">
            <v>1</v>
          </cell>
          <cell r="E22">
            <v>0.497</v>
          </cell>
          <cell r="F22" t="str">
            <v>BLANCO MT</v>
          </cell>
          <cell r="G22">
            <v>33530.093689452704</v>
          </cell>
        </row>
        <row r="23">
          <cell r="B23">
            <v>2</v>
          </cell>
          <cell r="C23" t="str">
            <v>PR6</v>
          </cell>
          <cell r="D23">
            <v>0.5</v>
          </cell>
          <cell r="E23">
            <v>0.247</v>
          </cell>
          <cell r="F23" t="str">
            <v>BLANCO MT</v>
          </cell>
          <cell r="G23">
            <v>8949.1042960559553</v>
          </cell>
        </row>
      </sheetData>
      <sheetData sheetId="1"/>
      <sheetData sheetId="2">
        <row r="10">
          <cell r="C10" t="str">
            <v>REPARACION Y CONSTRUCCION DE MUEBLES DAVID LOPEZ VASQUEZ</v>
          </cell>
          <cell r="F10" t="str">
            <v>FECHA :</v>
          </cell>
          <cell r="G10">
            <v>46000</v>
          </cell>
        </row>
        <row r="11">
          <cell r="G11">
            <v>46007</v>
          </cell>
        </row>
        <row r="22">
          <cell r="B22">
            <v>1</v>
          </cell>
          <cell r="C22" t="str">
            <v>PR6</v>
          </cell>
          <cell r="D22">
            <v>2150</v>
          </cell>
          <cell r="E22">
            <v>347</v>
          </cell>
          <cell r="F22" t="str">
            <v>BLANCO MT</v>
          </cell>
        </row>
        <row r="23">
          <cell r="B23">
            <v>1</v>
          </cell>
          <cell r="C23" t="str">
            <v>PR6</v>
          </cell>
          <cell r="D23">
            <v>1000</v>
          </cell>
          <cell r="E23">
            <v>497</v>
          </cell>
          <cell r="F23" t="str">
            <v>BLANCO MT</v>
          </cell>
        </row>
        <row r="24">
          <cell r="B24">
            <v>2</v>
          </cell>
          <cell r="C24" t="str">
            <v>PR6</v>
          </cell>
          <cell r="D24">
            <v>500</v>
          </cell>
          <cell r="E24">
            <v>247</v>
          </cell>
          <cell r="F24" t="str">
            <v>BLANCO MT</v>
          </cell>
        </row>
      </sheetData>
      <sheetData sheetId="3">
        <row r="4">
          <cell r="B4">
            <v>40</v>
          </cell>
          <cell r="C4">
            <v>60</v>
          </cell>
          <cell r="D4" t="str">
            <v>CEN 1V</v>
          </cell>
          <cell r="G4">
            <v>50</v>
          </cell>
          <cell r="H4">
            <v>100</v>
          </cell>
          <cell r="I4" t="str">
            <v>CEN 1V</v>
          </cell>
        </row>
        <row r="5">
          <cell r="B5">
            <v>40</v>
          </cell>
          <cell r="C5">
            <v>90</v>
          </cell>
          <cell r="D5" t="str">
            <v>CEN 2V</v>
          </cell>
          <cell r="G5">
            <v>50</v>
          </cell>
          <cell r="I5" t="str">
            <v xml:space="preserve">CEN 2V </v>
          </cell>
        </row>
        <row r="6">
          <cell r="B6">
            <v>40</v>
          </cell>
          <cell r="C6">
            <v>100</v>
          </cell>
          <cell r="D6" t="str">
            <v>CORNISA  FRENTE ESPAÑOL 1 LADO</v>
          </cell>
          <cell r="G6">
            <v>50</v>
          </cell>
          <cell r="H6">
            <v>100</v>
          </cell>
          <cell r="I6" t="str">
            <v>CORNISA  FRENTE ESPAÑOL 1 LADO</v>
          </cell>
        </row>
        <row r="7">
          <cell r="B7">
            <v>40</v>
          </cell>
          <cell r="C7">
            <v>150</v>
          </cell>
          <cell r="D7" t="str">
            <v>CORNISA  FRENTE ESPAÑOL 2 LADO</v>
          </cell>
          <cell r="G7">
            <v>50</v>
          </cell>
          <cell r="I7" t="str">
            <v>CORNISA  FRENTE ESPAÑOL 2 LADO</v>
          </cell>
        </row>
        <row r="8">
          <cell r="B8">
            <v>40</v>
          </cell>
          <cell r="C8">
            <v>100</v>
          </cell>
          <cell r="D8" t="str">
            <v>CORNISA 180° 1LADO</v>
          </cell>
          <cell r="G8">
            <v>50</v>
          </cell>
          <cell r="H8">
            <v>100</v>
          </cell>
          <cell r="I8" t="str">
            <v>CORNISA 180° 1LADO</v>
          </cell>
        </row>
        <row r="9">
          <cell r="B9">
            <v>40</v>
          </cell>
          <cell r="C9">
            <v>50</v>
          </cell>
          <cell r="D9" t="str">
            <v>CORNISA PUNTA TIBURON 1 LADO</v>
          </cell>
          <cell r="G9">
            <v>50</v>
          </cell>
          <cell r="H9">
            <v>100</v>
          </cell>
          <cell r="I9" t="str">
            <v>CORNISA 1LADO</v>
          </cell>
        </row>
        <row r="10">
          <cell r="B10">
            <v>40</v>
          </cell>
          <cell r="C10">
            <v>80</v>
          </cell>
          <cell r="D10" t="str">
            <v>CORNISA PUNTA TIBURON 2 LADOS</v>
          </cell>
          <cell r="G10">
            <v>50</v>
          </cell>
          <cell r="I10" t="str">
            <v>CORNISA 2 LADOS</v>
          </cell>
        </row>
        <row r="11">
          <cell r="B11">
            <v>40</v>
          </cell>
          <cell r="C11">
            <v>60</v>
          </cell>
          <cell r="D11" t="str">
            <v>CORNISA R8 1LADO</v>
          </cell>
          <cell r="G11">
            <v>50</v>
          </cell>
          <cell r="H11">
            <v>100</v>
          </cell>
          <cell r="I11" t="str">
            <v>CORNISA PUNTA TIBURON 1 LADO</v>
          </cell>
        </row>
        <row r="12">
          <cell r="B12">
            <v>40</v>
          </cell>
          <cell r="C12">
            <v>100</v>
          </cell>
          <cell r="D12" t="str">
            <v>CORNISA R8 2 LADOS</v>
          </cell>
          <cell r="G12">
            <v>50</v>
          </cell>
          <cell r="I12" t="str">
            <v>CORNISA PUNTA TIBURON 2 LADOS</v>
          </cell>
        </row>
        <row r="13">
          <cell r="B13">
            <v>40</v>
          </cell>
          <cell r="C13">
            <v>130</v>
          </cell>
          <cell r="D13" t="str">
            <v>CUB C/R R6</v>
          </cell>
          <cell r="G13">
            <v>50</v>
          </cell>
          <cell r="H13">
            <v>-30</v>
          </cell>
          <cell r="I13" t="str">
            <v>CUB C/R</v>
          </cell>
        </row>
        <row r="14">
          <cell r="B14">
            <v>40</v>
          </cell>
          <cell r="C14">
            <v>150</v>
          </cell>
          <cell r="D14" t="str">
            <v xml:space="preserve">CUB C/R 180° </v>
          </cell>
          <cell r="G14">
            <v>50</v>
          </cell>
          <cell r="H14">
            <v>-30</v>
          </cell>
          <cell r="I14" t="str">
            <v xml:space="preserve">CUB C/R 180° </v>
          </cell>
        </row>
        <row r="15">
          <cell r="B15">
            <v>40</v>
          </cell>
          <cell r="C15">
            <v>150</v>
          </cell>
          <cell r="D15" t="str">
            <v xml:space="preserve">CUB C/R FRENTE ESPAÑOL </v>
          </cell>
          <cell r="G15">
            <v>50</v>
          </cell>
          <cell r="H15">
            <v>-30</v>
          </cell>
          <cell r="I15" t="str">
            <v>CUB C/R FRENTE ESPAÑOL</v>
          </cell>
        </row>
        <row r="16">
          <cell r="B16">
            <v>40</v>
          </cell>
          <cell r="C16">
            <v>130</v>
          </cell>
          <cell r="D16" t="str">
            <v>CUB C/R R2</v>
          </cell>
          <cell r="G16">
            <v>50</v>
          </cell>
          <cell r="H16">
            <v>-30</v>
          </cell>
          <cell r="I16" t="str">
            <v>CUB C/R PUNTA TIBURON 1 LADO</v>
          </cell>
        </row>
        <row r="17">
          <cell r="B17">
            <v>40</v>
          </cell>
          <cell r="C17">
            <v>150</v>
          </cell>
          <cell r="D17" t="str">
            <v>CUB MESA 180° 2 LADOS</v>
          </cell>
          <cell r="G17">
            <v>50</v>
          </cell>
          <cell r="I17" t="str">
            <v>CUB MESA 180° 2 LADOS</v>
          </cell>
        </row>
        <row r="18">
          <cell r="B18">
            <v>140</v>
          </cell>
          <cell r="C18">
            <v>150</v>
          </cell>
          <cell r="D18" t="str">
            <v>CUB MESA 180° 3 LADOS</v>
          </cell>
          <cell r="G18">
            <v>50</v>
          </cell>
          <cell r="I18" t="str">
            <v>CUB MESA 180° 3 LADOS</v>
          </cell>
        </row>
        <row r="19">
          <cell r="B19">
            <v>150</v>
          </cell>
          <cell r="C19">
            <v>150</v>
          </cell>
          <cell r="D19" t="str">
            <v>CUB MESA 180° 4 LADOS</v>
          </cell>
          <cell r="G19">
            <v>50</v>
          </cell>
          <cell r="I19" t="str">
            <v>CUB MESA 180° 4 LADOS</v>
          </cell>
        </row>
        <row r="20">
          <cell r="B20">
            <v>40</v>
          </cell>
          <cell r="C20">
            <v>100</v>
          </cell>
          <cell r="D20" t="str">
            <v xml:space="preserve">CUB MESA 2L </v>
          </cell>
          <cell r="G20">
            <v>50</v>
          </cell>
          <cell r="H20">
            <v>0</v>
          </cell>
          <cell r="I20" t="str">
            <v xml:space="preserve">CUB MESA 2L </v>
          </cell>
        </row>
        <row r="21">
          <cell r="B21">
            <v>100</v>
          </cell>
          <cell r="C21">
            <v>100</v>
          </cell>
          <cell r="D21" t="str">
            <v xml:space="preserve">CUB MESA 3L </v>
          </cell>
          <cell r="G21">
            <v>50</v>
          </cell>
          <cell r="H21">
            <v>0</v>
          </cell>
          <cell r="I21" t="str">
            <v xml:space="preserve">CUB MESA 3L </v>
          </cell>
        </row>
        <row r="22">
          <cell r="B22">
            <v>100</v>
          </cell>
          <cell r="C22">
            <v>100</v>
          </cell>
          <cell r="D22" t="str">
            <v>CUB MESA 4 LADOS</v>
          </cell>
          <cell r="I22" t="str">
            <v>CUB MESA 4 LADOS</v>
          </cell>
        </row>
        <row r="23">
          <cell r="B23">
            <v>40</v>
          </cell>
          <cell r="C23">
            <v>150</v>
          </cell>
          <cell r="D23" t="str">
            <v>CUB MESA FRENTE ESPAÑOL 2 LADOS</v>
          </cell>
          <cell r="G23">
            <v>50</v>
          </cell>
          <cell r="I23" t="str">
            <v>CUB MESA FRENTE ESPAÑOL 2 LADOS</v>
          </cell>
        </row>
        <row r="24">
          <cell r="B24">
            <v>140</v>
          </cell>
          <cell r="C24">
            <v>150</v>
          </cell>
          <cell r="D24" t="str">
            <v>CUB MESA FRENTE ESPAÑOL 3 LADOS</v>
          </cell>
          <cell r="G24">
            <v>50</v>
          </cell>
          <cell r="I24" t="str">
            <v>CUB MESA FRENTE ESPAÑOL 3 LADOS</v>
          </cell>
        </row>
        <row r="25">
          <cell r="B25">
            <v>150</v>
          </cell>
          <cell r="C25">
            <v>150</v>
          </cell>
          <cell r="D25" t="str">
            <v>CUB MESA FRENTE ESPAÑOL 4 LADOS</v>
          </cell>
          <cell r="G25">
            <v>50</v>
          </cell>
          <cell r="I25" t="str">
            <v>CUB MESA FRENTE ESPAÑOL 4 LADOS</v>
          </cell>
        </row>
        <row r="26">
          <cell r="B26">
            <v>40</v>
          </cell>
          <cell r="C26">
            <v>77</v>
          </cell>
          <cell r="D26" t="str">
            <v>CUB MESA PUNTA TIBURON 2 LADOS</v>
          </cell>
          <cell r="G26">
            <v>50</v>
          </cell>
          <cell r="I26" t="str">
            <v>CUB MESA PUNTA TIBURON 2 LADOS</v>
          </cell>
        </row>
        <row r="27">
          <cell r="B27">
            <v>110</v>
          </cell>
          <cell r="C27">
            <v>77</v>
          </cell>
          <cell r="D27" t="str">
            <v>CUB MESA PUNTA TIBURON 3 LADOS</v>
          </cell>
          <cell r="G27">
            <v>50</v>
          </cell>
          <cell r="I27" t="str">
            <v>CUB MESA PUNTA TIBURON 3 LADOS</v>
          </cell>
        </row>
        <row r="28">
          <cell r="B28">
            <v>120</v>
          </cell>
          <cell r="C28">
            <v>77</v>
          </cell>
          <cell r="D28" t="str">
            <v>CUB MESA PUNTA TIBURON 4 LADOS</v>
          </cell>
          <cell r="G28">
            <v>50</v>
          </cell>
          <cell r="I28" t="str">
            <v>CUB MESA PUNTA TIBURON 4 LADOS</v>
          </cell>
        </row>
        <row r="29">
          <cell r="B29">
            <v>40</v>
          </cell>
          <cell r="C29">
            <v>50</v>
          </cell>
          <cell r="D29" t="str">
            <v>CUB PUNTA TIBURON 1 LADO</v>
          </cell>
          <cell r="G29">
            <v>50</v>
          </cell>
          <cell r="I29" t="str">
            <v>CUB PUNTA TIBURON 1 LADO</v>
          </cell>
        </row>
        <row r="30">
          <cell r="B30">
            <v>40</v>
          </cell>
          <cell r="C30">
            <v>60</v>
          </cell>
          <cell r="D30" t="str">
            <v xml:space="preserve">CUB S/R </v>
          </cell>
          <cell r="G30">
            <v>50</v>
          </cell>
          <cell r="I30" t="str">
            <v>CUB S/R</v>
          </cell>
        </row>
        <row r="31">
          <cell r="B31">
            <v>40</v>
          </cell>
          <cell r="C31">
            <v>100</v>
          </cell>
          <cell r="D31" t="str">
            <v>CUB S/R FRENTE ESPAÑOL</v>
          </cell>
          <cell r="G31">
            <v>50</v>
          </cell>
          <cell r="I31" t="str">
            <v>CUB S/R FRENTE ESPAÑOL</v>
          </cell>
        </row>
        <row r="32">
          <cell r="B32">
            <v>40</v>
          </cell>
          <cell r="C32">
            <v>60</v>
          </cell>
          <cell r="D32" t="str">
            <v>CUB S/R R2</v>
          </cell>
          <cell r="G32">
            <v>50</v>
          </cell>
          <cell r="I32" t="str">
            <v>CUB S/R R2</v>
          </cell>
        </row>
        <row r="33">
          <cell r="B33">
            <v>40</v>
          </cell>
          <cell r="C33">
            <v>90</v>
          </cell>
          <cell r="D33" t="str">
            <v>PR12</v>
          </cell>
          <cell r="G33">
            <v>50</v>
          </cell>
          <cell r="H33">
            <v>-2</v>
          </cell>
          <cell r="I33" t="str">
            <v>PR12</v>
          </cell>
        </row>
        <row r="34">
          <cell r="B34">
            <v>40</v>
          </cell>
          <cell r="C34">
            <v>90</v>
          </cell>
          <cell r="D34" t="str">
            <v>PR19</v>
          </cell>
          <cell r="G34">
            <v>50</v>
          </cell>
          <cell r="H34">
            <v>-2</v>
          </cell>
          <cell r="I34" t="str">
            <v>PR19</v>
          </cell>
        </row>
        <row r="35">
          <cell r="B35">
            <v>40</v>
          </cell>
          <cell r="C35">
            <v>90</v>
          </cell>
          <cell r="D35" t="str">
            <v>PR2</v>
          </cell>
          <cell r="G35">
            <v>50</v>
          </cell>
          <cell r="H35">
            <v>-2</v>
          </cell>
          <cell r="I35" t="str">
            <v>PR2</v>
          </cell>
        </row>
        <row r="36">
          <cell r="B36">
            <v>40</v>
          </cell>
          <cell r="C36">
            <v>90</v>
          </cell>
          <cell r="D36" t="str">
            <v>PR6</v>
          </cell>
          <cell r="G36">
            <v>50</v>
          </cell>
          <cell r="H36">
            <v>-2</v>
          </cell>
          <cell r="I36" t="str">
            <v>PR6</v>
          </cell>
        </row>
        <row r="37">
          <cell r="B37">
            <v>40</v>
          </cell>
          <cell r="C37">
            <v>90</v>
          </cell>
          <cell r="D37" t="str">
            <v>PR8</v>
          </cell>
          <cell r="G37">
            <v>50</v>
          </cell>
          <cell r="H37">
            <v>-2</v>
          </cell>
          <cell r="I37" t="str">
            <v>PR8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1">
          <cell r="F11" t="str">
            <v>FECHA LIMITE :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129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130</v>
      </c>
      <c r="G7" s="1"/>
      <c r="H7" s="1"/>
      <c r="I7" s="1"/>
    </row>
    <row r="8" spans="1:17" ht="16.2" thickBot="1" x14ac:dyDescent="0.35">
      <c r="A8" s="1"/>
      <c r="B8" s="65" t="s">
        <v>14</v>
      </c>
      <c r="C8" s="66"/>
      <c r="D8" s="67" t="str">
        <f>'[1]2229'!D8</f>
        <v>N° 11794</v>
      </c>
      <c r="E8" s="1"/>
      <c r="F8" s="68" t="s">
        <v>25</v>
      </c>
      <c r="G8" s="69">
        <v>7346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5.6" x14ac:dyDescent="0.3">
      <c r="A10" s="1"/>
      <c r="B10" s="77" t="s">
        <v>125</v>
      </c>
      <c r="C10" s="78" t="str">
        <f>IF('[1]2229'!C10="","",'[1]2229'!C10)</f>
        <v>REPARACION Y CONSTRUCCION DE MUEBLES DAVID LOPEZ VASQUEZ</v>
      </c>
      <c r="D10" s="78"/>
      <c r="E10" s="78"/>
      <c r="F10" s="79" t="s">
        <v>26</v>
      </c>
      <c r="G10" s="80">
        <f>'[1]2229'!G10</f>
        <v>46000</v>
      </c>
      <c r="H10" s="81"/>
      <c r="I10" s="1"/>
      <c r="J10" s="1"/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82" t="s">
        <v>2</v>
      </c>
      <c r="C11" s="8" t="str">
        <f>IF('[1]2229'!C11="","",'[1]2229'!C11)</f>
        <v>76.703.408-3</v>
      </c>
      <c r="D11" s="83"/>
      <c r="E11" s="83"/>
      <c r="F11" s="83" t="s">
        <v>120</v>
      </c>
      <c r="G11" s="84">
        <f>WORKDAY(G10,5)</f>
        <v>46007</v>
      </c>
      <c r="H11" s="85"/>
      <c r="I11" s="1"/>
    </row>
    <row r="12" spans="1:17" ht="15.6" x14ac:dyDescent="0.3">
      <c r="A12" s="1"/>
      <c r="B12" s="86" t="s">
        <v>126</v>
      </c>
      <c r="C12" s="87" t="str">
        <f>IF('[1]2229'!C12="","",'[1]2229'!C12)</f>
        <v/>
      </c>
      <c r="D12" s="87"/>
      <c r="E12" s="87"/>
      <c r="F12" s="87" t="s">
        <v>131</v>
      </c>
      <c r="G12" s="87" t="str">
        <f>'[1]2229'!G14</f>
        <v>NO</v>
      </c>
      <c r="H12" s="88"/>
      <c r="I12" s="1"/>
    </row>
    <row r="13" spans="1:17" ht="15.6" x14ac:dyDescent="0.3">
      <c r="A13" s="1"/>
      <c r="B13" s="89" t="s">
        <v>127</v>
      </c>
      <c r="C13" s="8" t="str">
        <f>IF('[1]2229'!C13="","",'[1]2229'!C13)</f>
        <v/>
      </c>
      <c r="D13" s="8"/>
      <c r="E13" s="8"/>
      <c r="F13" s="8" t="s">
        <v>28</v>
      </c>
      <c r="G13" s="90"/>
      <c r="H13" s="91"/>
      <c r="I13" s="1"/>
    </row>
    <row r="14" spans="1:17" ht="15.6" x14ac:dyDescent="0.3">
      <c r="A14" s="1"/>
      <c r="B14" s="86" t="s">
        <v>128</v>
      </c>
      <c r="C14" s="87" t="str">
        <f>IF('[1]2229'!C14="","",'[1]2229'!C14)</f>
        <v/>
      </c>
      <c r="D14" s="87"/>
      <c r="E14" s="87"/>
      <c r="F14" s="87" t="s">
        <v>124</v>
      </c>
      <c r="G14" s="92" t="s">
        <v>132</v>
      </c>
      <c r="H14" s="88"/>
      <c r="I14" s="1"/>
    </row>
    <row r="15" spans="1:17" ht="15.6" x14ac:dyDescent="0.3">
      <c r="A15" s="1"/>
      <c r="B15" s="82" t="s">
        <v>15</v>
      </c>
      <c r="C15" s="8" t="str">
        <f>IF('[1]2229'!C15="","",'[1]2229'!C15)</f>
        <v>+569 5032 1880</v>
      </c>
      <c r="D15" s="93"/>
      <c r="E15" s="83"/>
      <c r="F15" s="83" t="s">
        <v>27</v>
      </c>
      <c r="G15" s="83" t="str">
        <f>'[1]2229'!G12</f>
        <v>NO</v>
      </c>
      <c r="H15" s="85"/>
      <c r="I15" s="1"/>
    </row>
    <row r="16" spans="1:17" ht="15.6" x14ac:dyDescent="0.3">
      <c r="A16" s="1"/>
      <c r="B16" s="86" t="s">
        <v>1</v>
      </c>
      <c r="C16" s="87" t="str">
        <f>IF('[1]2229'!C16="","",'[1]2229'!C16)</f>
        <v/>
      </c>
      <c r="D16" s="87"/>
      <c r="E16" s="87"/>
      <c r="F16" s="87" t="s">
        <v>73</v>
      </c>
      <c r="G16" s="87" t="str">
        <f>'[1]2229'!G16</f>
        <v>ABONO 50% SALDO C/ENTREGA</v>
      </c>
      <c r="H16" s="88"/>
      <c r="I16" s="1"/>
    </row>
    <row r="17" spans="1:16" ht="16.2" thickBot="1" x14ac:dyDescent="0.35">
      <c r="A17" s="1"/>
      <c r="B17" s="94" t="s">
        <v>3</v>
      </c>
      <c r="C17" s="95" t="str">
        <f>IF('[1]2229'!C17="","",'[1]2229'!C17)</f>
        <v>SANTIAGO</v>
      </c>
      <c r="D17" s="96"/>
      <c r="E17" s="97"/>
      <c r="F17" s="124" t="s">
        <v>16</v>
      </c>
      <c r="G17" s="124"/>
      <c r="H17" s="125"/>
      <c r="I17" s="1"/>
    </row>
    <row r="18" spans="1:16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6" t="s">
        <v>17</v>
      </c>
      <c r="C20" s="127"/>
      <c r="D20" s="127"/>
      <c r="E20" s="127"/>
      <c r="F20" s="127"/>
      <c r="G20" s="127"/>
      <c r="H20" s="128"/>
      <c r="I20" s="1"/>
    </row>
    <row r="21" spans="1:16" ht="16.2" thickBot="1" x14ac:dyDescent="0.35">
      <c r="A21" s="1"/>
      <c r="B21" s="98" t="s">
        <v>18</v>
      </c>
      <c r="C21" s="99" t="s">
        <v>19</v>
      </c>
      <c r="D21" s="99" t="s">
        <v>20</v>
      </c>
      <c r="E21" s="99" t="s">
        <v>8</v>
      </c>
      <c r="F21" s="100" t="s">
        <v>21</v>
      </c>
      <c r="G21" s="98" t="s">
        <v>22</v>
      </c>
      <c r="H21" s="100" t="s">
        <v>4</v>
      </c>
      <c r="I21" s="1"/>
    </row>
    <row r="22" spans="1:16" ht="18" customHeight="1" x14ac:dyDescent="0.3">
      <c r="A22" s="1"/>
      <c r="B22" s="101">
        <f>'[1]2229'!B21</f>
        <v>1</v>
      </c>
      <c r="C22" s="102" t="str">
        <f>'[1]2229'!C21</f>
        <v>PR6</v>
      </c>
      <c r="D22" s="103">
        <f>'[1]2229'!D21*1000</f>
        <v>2150</v>
      </c>
      <c r="E22" s="103">
        <f>'[1]2229'!E21*1000</f>
        <v>347</v>
      </c>
      <c r="F22" s="104" t="str">
        <f>'[1]2229'!F21</f>
        <v>BLANCO MT</v>
      </c>
      <c r="G22" s="105">
        <f>'[1]2229'!G21</f>
        <v>48338.031518435411</v>
      </c>
      <c r="H22" s="106">
        <f>G22*B22</f>
        <v>48338.031518435411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7">
        <f>'[1]2229'!B22</f>
        <v>1</v>
      </c>
      <c r="C23" s="73" t="str">
        <f>'[1]2229'!C22</f>
        <v>PR6</v>
      </c>
      <c r="D23" s="75">
        <f>'[1]2229'!D22*1000</f>
        <v>1000</v>
      </c>
      <c r="E23" s="75">
        <f>'[1]2229'!E22*1000</f>
        <v>497</v>
      </c>
      <c r="F23" s="76" t="str">
        <f>'[1]2229'!F22</f>
        <v>BLANCO MT</v>
      </c>
      <c r="G23" s="74">
        <f>'[1]2229'!G22</f>
        <v>33530.093689452704</v>
      </c>
      <c r="H23" s="108">
        <f t="shared" ref="H23:H24" si="0">G23*B23</f>
        <v>33530.093689452704</v>
      </c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09">
        <f>'[1]2229'!B23</f>
        <v>2</v>
      </c>
      <c r="C24" s="110" t="str">
        <f>'[1]2229'!C23</f>
        <v>PR6</v>
      </c>
      <c r="D24" s="111">
        <f>'[1]2229'!D23*1000</f>
        <v>500</v>
      </c>
      <c r="E24" s="111">
        <f>'[1]2229'!E23*1000</f>
        <v>247</v>
      </c>
      <c r="F24" s="112" t="str">
        <f>'[1]2229'!F23</f>
        <v>BLANCO MT</v>
      </c>
      <c r="G24" s="113">
        <f>'[1]2229'!G23</f>
        <v>8949.1042960559553</v>
      </c>
      <c r="H24" s="114">
        <f t="shared" si="0"/>
        <v>17898.208592111911</v>
      </c>
      <c r="I24" s="1"/>
      <c r="K24" s="17"/>
      <c r="L24" s="26"/>
      <c r="M24" s="17"/>
      <c r="N24" s="17"/>
      <c r="O24" s="26"/>
      <c r="P24" s="33"/>
    </row>
    <row r="25" spans="1:16" ht="18" customHeight="1" thickBot="1" x14ac:dyDescent="0.35">
      <c r="A25" s="1"/>
      <c r="B25" s="115"/>
      <c r="C25" s="115"/>
      <c r="D25" s="115"/>
      <c r="E25" s="115"/>
      <c r="F25" s="116"/>
      <c r="G25" s="117"/>
      <c r="H25" s="117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"/>
      <c r="C26" s="1"/>
      <c r="D26" s="1"/>
      <c r="E26" s="1"/>
      <c r="F26" s="1"/>
      <c r="G26" s="52" t="s">
        <v>5</v>
      </c>
      <c r="H26" s="53">
        <f>SUM(H22:H25)</f>
        <v>99766.333800000022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4" t="s">
        <v>6</v>
      </c>
      <c r="H27" s="55">
        <f>H26*19%</f>
        <v>18955.603422000004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56" t="s">
        <v>4</v>
      </c>
      <c r="H28" s="57">
        <f>H26+H27</f>
        <v>118721.93722200002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0"/>
      <c r="H29" s="118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58" t="s">
        <v>133</v>
      </c>
      <c r="C31" s="59"/>
      <c r="D31" s="60"/>
      <c r="E31" s="60"/>
      <c r="F31" s="51"/>
      <c r="G31" s="1"/>
      <c r="H31" s="1"/>
      <c r="I31" s="1"/>
    </row>
    <row r="32" spans="1:16" ht="15.6" x14ac:dyDescent="0.3">
      <c r="A32" s="1"/>
      <c r="B32" s="58" t="s">
        <v>134</v>
      </c>
      <c r="C32" s="59"/>
      <c r="D32" s="60"/>
      <c r="E32" s="60"/>
      <c r="F32" s="51"/>
      <c r="G32" s="1"/>
      <c r="H32" s="1"/>
      <c r="I32" s="1"/>
    </row>
    <row r="33" spans="1:9" ht="15.6" x14ac:dyDescent="0.3">
      <c r="A33" s="1"/>
      <c r="B33" s="1" t="s">
        <v>23</v>
      </c>
      <c r="C33" s="1"/>
      <c r="D33" s="1"/>
      <c r="E33" s="61" t="s">
        <v>24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7:H17"/>
    <mergeCell ref="B20:H20"/>
  </mergeCells>
  <phoneticPr fontId="10" type="noConversion"/>
  <hyperlinks>
    <hyperlink ref="E33" r:id="rId1" xr:uid="{76D84403-151E-4870-96BD-7B85078148FD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29</v>
      </c>
      <c r="C2" s="129"/>
      <c r="D2" s="129"/>
      <c r="E2" s="18"/>
      <c r="G2" s="129" t="s">
        <v>68</v>
      </c>
      <c r="H2" s="129"/>
      <c r="I2" s="129"/>
      <c r="P2" s="130" t="s">
        <v>56</v>
      </c>
      <c r="Q2" s="130"/>
      <c r="R2" s="130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30" t="s">
        <v>56</v>
      </c>
      <c r="M8" s="130"/>
      <c r="N8" s="130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123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9"/>
  <sheetViews>
    <sheetView tabSelected="1" topLeftCell="A31" zoomScaleNormal="100" workbookViewId="0">
      <selection activeCell="A42" sqref="A42:G68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122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1" t="s">
        <v>59</v>
      </c>
      <c r="L3" s="131"/>
      <c r="M3" s="131" t="s">
        <v>13</v>
      </c>
      <c r="N3" s="131"/>
    </row>
    <row r="4" spans="1:14" ht="15.75" customHeight="1" x14ac:dyDescent="0.3">
      <c r="A4" s="1"/>
      <c r="B4" s="1"/>
      <c r="C4" s="39" t="s">
        <v>25</v>
      </c>
      <c r="D4" s="14">
        <f>'4637'!G8</f>
        <v>7346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65</v>
      </c>
      <c r="D5" s="137" t="str">
        <f>'[1]NOTA DE VENTA'!$C$10</f>
        <v>REPARACION Y CONSTRUCCION DE MUEBLES DAVID LOPEZ VASQUEZ</v>
      </c>
      <c r="E5" s="41"/>
      <c r="F5" s="41"/>
      <c r="G5" s="1"/>
      <c r="K5">
        <f>LOOKUP(F14,[1]REGLAS!$I$4:$I$37,[1]REGLAS!$G$4:$G$37)+J14</f>
        <v>2200</v>
      </c>
      <c r="L5">
        <f>LOOKUP(F14,[1]REGLAS!$I$4:$I$37,[1]REGLAS!$H$4:$H$37)+K14</f>
        <v>345</v>
      </c>
      <c r="M5">
        <f>LOOKUP(F14,[1]REGLAS!$D$4:$D$37,[1]REGLAS!$B$4:$B$37)+J23</f>
        <v>2190</v>
      </c>
      <c r="N5">
        <f>H10</f>
        <v>0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44" t="str">
        <f>'[1]NOTA DE VENTA'!$F$10</f>
        <v>FECHA :</v>
      </c>
      <c r="D7" s="119">
        <f>'[1]NOTA DE VENTA'!$G$10</f>
        <v>46000</v>
      </c>
      <c r="E7" s="1"/>
      <c r="F7" s="1"/>
      <c r="G7" s="1"/>
    </row>
    <row r="8" spans="1:14" ht="15.6" x14ac:dyDescent="0.3">
      <c r="A8" s="1"/>
      <c r="B8" s="1"/>
      <c r="C8" s="39" t="s">
        <v>121</v>
      </c>
      <c r="D8" s="120">
        <f>'[1]NOTA DE VENTA'!$G$11</f>
        <v>46007</v>
      </c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2" t="s">
        <v>59</v>
      </c>
      <c r="B10" s="132"/>
      <c r="C10" s="132"/>
      <c r="D10" s="132"/>
      <c r="E10" s="132"/>
      <c r="F10" s="13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-2</v>
      </c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121" t="s">
        <v>135</v>
      </c>
      <c r="B14" s="25">
        <f t="shared" ref="B14:B16" si="0">I14</f>
        <v>1</v>
      </c>
      <c r="C14" s="25"/>
      <c r="D14" s="25">
        <f>LOOKUP(F14,[1]REGLAS!$I$4:$I$37,[1]REGLAS!$G$4:$G$37)+J14</f>
        <v>2200</v>
      </c>
      <c r="E14" s="35">
        <f>LOOKUP(F14,[1]REGLAS!$I$4:$I$37,[1]REGLAS!$H$4:$H$37)+K14</f>
        <v>345</v>
      </c>
      <c r="F14" s="71" t="str">
        <f>C31</f>
        <v>PR6</v>
      </c>
      <c r="G14" s="1"/>
      <c r="I14" s="3">
        <f>I23</f>
        <v>1</v>
      </c>
      <c r="J14" s="4">
        <f t="shared" ref="J14:K16" si="1">D31</f>
        <v>2150</v>
      </c>
      <c r="K14" s="4">
        <f t="shared" si="1"/>
        <v>347</v>
      </c>
    </row>
    <row r="15" spans="1:14" ht="15.6" x14ac:dyDescent="0.3">
      <c r="A15" s="121"/>
      <c r="B15" s="25">
        <f t="shared" si="0"/>
        <v>1</v>
      </c>
      <c r="C15" s="25"/>
      <c r="D15" s="25">
        <f>LOOKUP(F15,[1]REGLAS!$I$4:$I$37,[1]REGLAS!$G$4:$G$37)+J15</f>
        <v>1050</v>
      </c>
      <c r="E15" s="35">
        <f>LOOKUP(F15,[1]REGLAS!$I$4:$I$37,[1]REGLAS!$H$4:$H$37)+K15</f>
        <v>495</v>
      </c>
      <c r="F15" s="71" t="str">
        <f t="shared" ref="F15:F16" si="2">C32</f>
        <v>PR6</v>
      </c>
      <c r="G15" s="1"/>
      <c r="I15" s="3">
        <f t="shared" ref="I15:I16" si="3">I24</f>
        <v>1</v>
      </c>
      <c r="J15" s="4">
        <f t="shared" si="1"/>
        <v>1000</v>
      </c>
      <c r="K15" s="4">
        <f t="shared" si="1"/>
        <v>497</v>
      </c>
    </row>
    <row r="16" spans="1:14" ht="15.6" x14ac:dyDescent="0.3">
      <c r="A16" s="121"/>
      <c r="B16" s="25">
        <f t="shared" si="0"/>
        <v>2</v>
      </c>
      <c r="C16" s="25"/>
      <c r="D16" s="25">
        <f>LOOKUP(F16,[1]REGLAS!$I$4:$I$37,[1]REGLAS!$G$4:$G$37)+J16</f>
        <v>550</v>
      </c>
      <c r="E16" s="35">
        <f>LOOKUP(F16,[1]REGLAS!$I$4:$I$37,[1]REGLAS!$H$4:$H$37)+K16</f>
        <v>245</v>
      </c>
      <c r="F16" s="71" t="str">
        <f t="shared" si="2"/>
        <v>PR6</v>
      </c>
      <c r="G16" s="1"/>
      <c r="I16" s="3">
        <f t="shared" si="3"/>
        <v>2</v>
      </c>
      <c r="J16" s="4">
        <f t="shared" si="1"/>
        <v>500</v>
      </c>
      <c r="K16" s="4">
        <f t="shared" si="1"/>
        <v>247</v>
      </c>
    </row>
    <row r="17" spans="1:11" ht="15.6" x14ac:dyDescent="0.3">
      <c r="A17" s="50"/>
      <c r="B17" s="6"/>
      <c r="C17" s="6"/>
      <c r="D17" s="6"/>
      <c r="E17" s="63"/>
      <c r="F17" s="6"/>
      <c r="G17" s="1"/>
      <c r="I17" s="64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32" t="s">
        <v>13</v>
      </c>
      <c r="B19" s="132"/>
      <c r="C19" s="132"/>
      <c r="D19" s="132"/>
      <c r="E19" s="132"/>
      <c r="F19" s="132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0" t="s">
        <v>7</v>
      </c>
      <c r="E21" s="50" t="s">
        <v>8</v>
      </c>
      <c r="F21" s="1"/>
      <c r="G21" s="1"/>
    </row>
    <row r="22" spans="1:11" ht="15.6" x14ac:dyDescent="0.3">
      <c r="A22" s="50" t="s">
        <v>9</v>
      </c>
      <c r="B22" s="36" t="s">
        <v>10</v>
      </c>
      <c r="C22" s="36" t="s">
        <v>11</v>
      </c>
      <c r="D22" s="21">
        <v>40</v>
      </c>
      <c r="E22" s="21">
        <v>90</v>
      </c>
      <c r="F22" s="36" t="s">
        <v>108</v>
      </c>
      <c r="G22" s="1"/>
      <c r="J22" s="5" t="s">
        <v>7</v>
      </c>
      <c r="K22" s="5" t="s">
        <v>8</v>
      </c>
    </row>
    <row r="23" spans="1:11" ht="15.6" x14ac:dyDescent="0.3">
      <c r="A23" s="121"/>
      <c r="B23" s="16">
        <f t="shared" ref="B23:B25" si="4">I23</f>
        <v>1</v>
      </c>
      <c r="C23" s="16"/>
      <c r="D23" s="16">
        <f>LOOKUP(F14,[1]REGLAS!$D$4:$D$37,[1]REGLAS!$B$4:$B$37)+J23</f>
        <v>2190</v>
      </c>
      <c r="E23" s="16">
        <f>LOOKUP(F14,[1]REGLAS!$D$4:$D$37,[1]REGLAS!$C$4:$C$37)+K23</f>
        <v>437</v>
      </c>
      <c r="F23" s="72" t="str">
        <f>C31</f>
        <v>PR6</v>
      </c>
      <c r="G23" s="1"/>
      <c r="I23" s="3">
        <f>B31</f>
        <v>1</v>
      </c>
      <c r="J23" s="4">
        <f>D31</f>
        <v>2150</v>
      </c>
      <c r="K23" s="4">
        <f>E31</f>
        <v>347</v>
      </c>
    </row>
    <row r="24" spans="1:11" ht="15.6" x14ac:dyDescent="0.3">
      <c r="A24" s="121"/>
      <c r="B24" s="16">
        <f t="shared" si="4"/>
        <v>1</v>
      </c>
      <c r="C24" s="16"/>
      <c r="D24" s="16">
        <f>LOOKUP(F15,[1]REGLAS!$D$4:$D$37,[1]REGLAS!$B$4:$B$37)+J24</f>
        <v>1040</v>
      </c>
      <c r="E24" s="16">
        <f>LOOKUP(F15,[1]REGLAS!$D$4:$D$37,[1]REGLAS!$C$4:$C$37)+K24</f>
        <v>587</v>
      </c>
      <c r="F24" s="72" t="str">
        <f t="shared" ref="F24:F25" si="5">C32</f>
        <v>PR6</v>
      </c>
      <c r="G24" s="1"/>
      <c r="I24" s="3">
        <f t="shared" ref="I24:I25" si="6">B32</f>
        <v>1</v>
      </c>
      <c r="J24" s="4">
        <f t="shared" ref="J24:K25" si="7">D32</f>
        <v>1000</v>
      </c>
      <c r="K24" s="4">
        <f t="shared" si="7"/>
        <v>497</v>
      </c>
    </row>
    <row r="25" spans="1:11" ht="15.6" x14ac:dyDescent="0.3">
      <c r="A25" s="121"/>
      <c r="B25" s="16">
        <f t="shared" si="4"/>
        <v>2</v>
      </c>
      <c r="C25" s="16"/>
      <c r="D25" s="16">
        <f>LOOKUP(F16,[1]REGLAS!$D$4:$D$37,[1]REGLAS!$B$4:$B$37)+J25</f>
        <v>540</v>
      </c>
      <c r="E25" s="16">
        <f>LOOKUP(F16,[1]REGLAS!$D$4:$D$37,[1]REGLAS!$C$4:$C$37)+K25</f>
        <v>337</v>
      </c>
      <c r="F25" s="72" t="str">
        <f t="shared" si="5"/>
        <v>PR6</v>
      </c>
      <c r="G25" s="1"/>
      <c r="I25" s="3">
        <f t="shared" si="6"/>
        <v>2</v>
      </c>
      <c r="J25" s="4">
        <f t="shared" si="7"/>
        <v>500</v>
      </c>
      <c r="K25" s="4">
        <f t="shared" si="7"/>
        <v>247</v>
      </c>
    </row>
    <row r="26" spans="1:11" ht="15.6" x14ac:dyDescent="0.3">
      <c r="A26" s="70"/>
      <c r="B26" s="6"/>
      <c r="C26" s="6"/>
      <c r="D26" s="6"/>
      <c r="E26" s="6"/>
      <c r="F26" s="6"/>
      <c r="G26" s="1"/>
      <c r="I26" s="64"/>
      <c r="J26" s="2"/>
      <c r="K26" s="2"/>
    </row>
    <row r="27" spans="1:11" ht="16.2" thickBot="1" x14ac:dyDescent="0.35">
      <c r="A27" s="50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0"/>
      <c r="B28" s="22" t="s">
        <v>105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0" t="s">
        <v>9</v>
      </c>
      <c r="B30" s="62" t="s">
        <v>10</v>
      </c>
      <c r="C30" s="62" t="s">
        <v>108</v>
      </c>
      <c r="D30" s="62" t="s">
        <v>7</v>
      </c>
      <c r="E30" s="62" t="s">
        <v>8</v>
      </c>
      <c r="F30" s="62" t="s">
        <v>21</v>
      </c>
      <c r="G30" s="1"/>
    </row>
    <row r="31" spans="1:11" ht="15.6" x14ac:dyDescent="0.3">
      <c r="A31" s="121" t="s">
        <v>135</v>
      </c>
      <c r="B31" s="25">
        <f>B54</f>
        <v>1</v>
      </c>
      <c r="C31" s="71" t="str">
        <f>C54</f>
        <v>PR6</v>
      </c>
      <c r="D31" s="71">
        <f t="shared" ref="D31:F31" si="8">D54</f>
        <v>2150</v>
      </c>
      <c r="E31" s="71">
        <f t="shared" si="8"/>
        <v>347</v>
      </c>
      <c r="F31" s="71" t="str">
        <f t="shared" si="8"/>
        <v>BLANCO MT</v>
      </c>
      <c r="G31" s="1"/>
    </row>
    <row r="32" spans="1:11" ht="15.6" x14ac:dyDescent="0.3">
      <c r="A32" s="70"/>
      <c r="B32" s="25">
        <f t="shared" ref="B32:F33" si="9">B55</f>
        <v>1</v>
      </c>
      <c r="C32" s="71" t="str">
        <f t="shared" si="9"/>
        <v>PR6</v>
      </c>
      <c r="D32" s="71">
        <f t="shared" si="9"/>
        <v>1000</v>
      </c>
      <c r="E32" s="71">
        <f t="shared" si="9"/>
        <v>497</v>
      </c>
      <c r="F32" s="71" t="str">
        <f t="shared" si="9"/>
        <v>BLANCO MT</v>
      </c>
      <c r="G32" s="1"/>
    </row>
    <row r="33" spans="1:7" ht="15.6" x14ac:dyDescent="0.3">
      <c r="A33" s="70"/>
      <c r="B33" s="25">
        <f t="shared" si="9"/>
        <v>2</v>
      </c>
      <c r="C33" s="71" t="str">
        <f t="shared" si="9"/>
        <v>PR6</v>
      </c>
      <c r="D33" s="71">
        <f t="shared" si="9"/>
        <v>500</v>
      </c>
      <c r="E33" s="71">
        <f t="shared" si="9"/>
        <v>247</v>
      </c>
      <c r="F33" s="71" t="str">
        <f t="shared" si="9"/>
        <v>BLANCO MT</v>
      </c>
      <c r="G33" s="1"/>
    </row>
    <row r="34" spans="1:7" ht="15.6" x14ac:dyDescent="0.3">
      <c r="A34" s="50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39" t="s">
        <v>25</v>
      </c>
      <c r="D44" s="14">
        <f>'4637'!G8</f>
        <v>7346</v>
      </c>
      <c r="E44" s="1"/>
      <c r="F44" s="1"/>
      <c r="G44" s="1"/>
    </row>
    <row r="45" spans="1:7" ht="17.25" customHeight="1" x14ac:dyDescent="0.3">
      <c r="A45" s="1"/>
      <c r="B45" s="1"/>
      <c r="C45" s="40" t="s">
        <v>65</v>
      </c>
      <c r="D45" s="137" t="str">
        <f>'4637'!C10</f>
        <v>REPARACION Y CONSTRUCCION DE MUEBLES DAVID LOPEZ VASQUEZ</v>
      </c>
      <c r="E45" s="41"/>
      <c r="F45" s="41"/>
      <c r="G45" s="1"/>
    </row>
    <row r="46" spans="1:7" ht="4.5" customHeight="1" x14ac:dyDescent="0.3">
      <c r="A46" s="1"/>
      <c r="B46" s="1"/>
      <c r="C46" s="42"/>
      <c r="D46" s="43"/>
      <c r="E46" s="1"/>
      <c r="F46" s="1"/>
      <c r="G46" s="1"/>
    </row>
    <row r="47" spans="1:7" ht="15.6" x14ac:dyDescent="0.3">
      <c r="A47" s="1"/>
      <c r="B47" s="1"/>
      <c r="C47" s="44" t="str">
        <f>'[2]4637'!F11</f>
        <v>FECHA LIMITE :</v>
      </c>
      <c r="D47" s="13">
        <f>'4637'!G11</f>
        <v>46007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32" t="s">
        <v>66</v>
      </c>
      <c r="B50" s="132"/>
      <c r="C50" s="132"/>
      <c r="D50" s="132"/>
      <c r="E50" s="132"/>
      <c r="F50" s="132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33" t="s">
        <v>67</v>
      </c>
      <c r="C52" s="134"/>
      <c r="D52" s="135"/>
      <c r="E52" s="135"/>
      <c r="F52" s="136"/>
      <c r="G52" s="1"/>
    </row>
    <row r="53" spans="1:7" s="15" customFormat="1" ht="12.75" customHeight="1" x14ac:dyDescent="0.3">
      <c r="A53" s="1"/>
      <c r="B53" s="36" t="s">
        <v>10</v>
      </c>
      <c r="C53" s="45" t="s">
        <v>11</v>
      </c>
      <c r="D53" s="46" t="s">
        <v>7</v>
      </c>
      <c r="E53" s="46" t="s">
        <v>8</v>
      </c>
      <c r="F53" s="47" t="s">
        <v>12</v>
      </c>
      <c r="G53" s="1"/>
    </row>
    <row r="54" spans="1:7" s="15" customFormat="1" ht="15" customHeight="1" x14ac:dyDescent="0.3">
      <c r="A54" s="121" t="s">
        <v>135</v>
      </c>
      <c r="B54" s="38">
        <f>'[1]NOTA DE VENTA'!B22</f>
        <v>1</v>
      </c>
      <c r="C54" s="122" t="str">
        <f>'[1]NOTA DE VENTA'!C22</f>
        <v>PR6</v>
      </c>
      <c r="D54" s="122">
        <f>'[1]NOTA DE VENTA'!D22</f>
        <v>2150</v>
      </c>
      <c r="E54" s="122">
        <f>'[1]NOTA DE VENTA'!E22</f>
        <v>347</v>
      </c>
      <c r="F54" s="122" t="str">
        <f>'[1]NOTA DE VENTA'!F22</f>
        <v>BLANCO MT</v>
      </c>
      <c r="G54" s="1"/>
    </row>
    <row r="55" spans="1:7" s="15" customFormat="1" ht="15" customHeight="1" x14ac:dyDescent="0.3">
      <c r="A55" s="121"/>
      <c r="B55" s="38">
        <f>'[1]NOTA DE VENTA'!B23</f>
        <v>1</v>
      </c>
      <c r="C55" s="122" t="str">
        <f>'[1]NOTA DE VENTA'!C23</f>
        <v>PR6</v>
      </c>
      <c r="D55" s="122">
        <f>'[1]NOTA DE VENTA'!D23</f>
        <v>1000</v>
      </c>
      <c r="E55" s="122">
        <f>'[1]NOTA DE VENTA'!E23</f>
        <v>497</v>
      </c>
      <c r="F55" s="122" t="str">
        <f>'[1]NOTA DE VENTA'!F23</f>
        <v>BLANCO MT</v>
      </c>
      <c r="G55" s="1"/>
    </row>
    <row r="56" spans="1:7" s="15" customFormat="1" ht="15" customHeight="1" x14ac:dyDescent="0.3">
      <c r="A56" s="121"/>
      <c r="B56" s="38">
        <f>'[1]NOTA DE VENTA'!B24</f>
        <v>2</v>
      </c>
      <c r="C56" s="122" t="str">
        <f>'[1]NOTA DE VENTA'!C24</f>
        <v>PR6</v>
      </c>
      <c r="D56" s="122">
        <f>'[1]NOTA DE VENTA'!D24</f>
        <v>500</v>
      </c>
      <c r="E56" s="122">
        <f>'[1]NOTA DE VENTA'!E24</f>
        <v>247</v>
      </c>
      <c r="F56" s="122" t="str">
        <f>'[1]NOTA DE VENTA'!F24</f>
        <v>BLANCO MT</v>
      </c>
      <c r="G56" s="1"/>
    </row>
    <row r="57" spans="1:7" s="15" customFormat="1" ht="15" customHeight="1" x14ac:dyDescent="0.3">
      <c r="A57" s="70"/>
      <c r="B57" s="50"/>
      <c r="C57" s="123"/>
      <c r="D57" s="50"/>
      <c r="E57" s="50"/>
      <c r="F57" s="50"/>
      <c r="G57" s="1"/>
    </row>
    <row r="58" spans="1:7" s="15" customFormat="1" ht="15" customHeight="1" x14ac:dyDescent="0.3">
      <c r="A58" s="48"/>
      <c r="B58" s="50"/>
      <c r="C58" s="50"/>
      <c r="D58" s="50"/>
      <c r="E58" s="50"/>
      <c r="F58" s="50"/>
      <c r="G58" s="1"/>
    </row>
    <row r="59" spans="1:7" ht="15.6" x14ac:dyDescent="0.3">
      <c r="A59" s="6"/>
      <c r="B59" s="6"/>
      <c r="C59" s="1"/>
      <c r="D59" s="6"/>
      <c r="E59" s="6"/>
      <c r="F59" s="42"/>
      <c r="G59" s="1"/>
    </row>
    <row r="60" spans="1:7" ht="15.6" x14ac:dyDescent="0.3">
      <c r="A60" s="6"/>
      <c r="B60" s="6"/>
      <c r="C60" s="1"/>
      <c r="D60" s="6"/>
      <c r="E60" s="6"/>
      <c r="F60" s="6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" customHeight="1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6"/>
      <c r="B66" s="49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x14ac:dyDescent="0.3">
      <c r="B68" s="20"/>
      <c r="C68" s="20"/>
      <c r="D68" s="20"/>
      <c r="E68" s="20"/>
      <c r="F68" s="20"/>
    </row>
    <row r="69" spans="1:7" x14ac:dyDescent="0.3">
      <c r="B69" s="20"/>
      <c r="C69" s="20"/>
      <c r="E69" s="20"/>
      <c r="F69" s="20"/>
    </row>
  </sheetData>
  <mergeCells count="6">
    <mergeCell ref="B52:F52"/>
    <mergeCell ref="M3:N3"/>
    <mergeCell ref="A10:F10"/>
    <mergeCell ref="K3:L3"/>
    <mergeCell ref="A19:F19"/>
    <mergeCell ref="A50:F50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2025-12-10T12:27:52Z</cp:lastPrinted>
  <dcterms:created xsi:type="dcterms:W3CDTF">2013-03-19T12:54:14Z</dcterms:created>
  <dcterms:modified xsi:type="dcterms:W3CDTF">2025-12-10T12:28:31Z</dcterms:modified>
</cp:coreProperties>
</file>