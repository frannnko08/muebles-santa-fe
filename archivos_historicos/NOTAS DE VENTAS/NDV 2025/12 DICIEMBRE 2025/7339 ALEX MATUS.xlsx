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12 DICIEMBRE 2025\"/>
    </mc:Choice>
  </mc:AlternateContent>
  <xr:revisionPtr revIDLastSave="0" documentId="13_ncr:1_{E16CD1F1-9D15-4710-9139-B93290FB4E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CUBIERTA!$A$34:$F$56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6" i="3" l="1"/>
  <c r="I21" i="3" s="1"/>
  <c r="I14" i="3" s="1"/>
  <c r="B14" i="3" s="1"/>
  <c r="C26" i="3"/>
  <c r="F14" i="3" s="1"/>
  <c r="D26" i="3"/>
  <c r="J21" i="3" s="1"/>
  <c r="E26" i="3"/>
  <c r="F26" i="3"/>
  <c r="B46" i="3"/>
  <c r="C46" i="3"/>
  <c r="D46" i="3"/>
  <c r="E46" i="3"/>
  <c r="F46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<sst xmlns="http://schemas.openxmlformats.org/spreadsheetml/2006/main" count="244" uniqueCount="140">
  <si>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</si>
  <si>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</si>
  <si>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</si>
  <si>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</si>
  <si>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</si>
  <si>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</si>
  <si>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</si>
  <si>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</si>
  <si>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</si>
  <si>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</si>
  <si>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</si>
  <si>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</si>
  <si>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</si>
  <si>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</si>
  <si>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</si>
  <si>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</si>
  <si>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</si>
  <si>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</si>
  <si>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</si>
  <si>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</si>
  <si>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</si>
  <si>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</si>
  <si>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</si>
  <si>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</si>
  <si>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</si>
  <si>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</si>
  <si>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</si>
  <si>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</si>
  <si>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</si>
  <si>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</si>
  <si>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</si>
  <si>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</si>
  <si>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</si>
  <si>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</si>
  <si>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</si>
  <si>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</si>
  <si>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</si>
  <si>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</si>
  <si>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</si>
  <si>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</si>
  <si>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</si>
  <si>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</si>
  <si>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</si>
  <si>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</si>
  <si>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</si>
  <si>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</si>
  <si>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</si>
  <si>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</si>
  <si>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</si>
  <si>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</si>
  <si>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</si>
  <si>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</si>
  <si>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</si>
  <si>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</si>
  <si>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</si>
  <si>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</si>
  <si>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</si>
  <si>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</si>
  <si>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</si>
  <si>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</si>
  <si>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</si>
  <si>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</si>
  <si>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</si>
  <si>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</si>
  <si>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</si>
  <si>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</si>
  <si>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</si>
  <si>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</si>
  <si>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</si>
  <si>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</si>
  <si>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</si>
  <si>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</si>
  <si>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</si>
  <si>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</si>
  <si>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</si>
  <si>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</si>
  <si>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</si>
  <si>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</si>
  <si>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</si>
  <si>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</si>
  <si>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</si>
  <si>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</si>
  <si>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</si>
  <si>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</si>
  <si>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</si>
  <si>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</si>
  <si>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</si>
  <si>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</si>
  <si>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</si>
  <si>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</si>
  <si>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</si>
  <si>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</si>
  <si>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</si>
  <si>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</si>
  <si>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</si>
  <si>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</si>
  <si>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</si>
  <si>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</si>
  <si>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</si>
  <si>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</si>
  <si>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</si>
  <si>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</si>
  <si>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</si>
  <si>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</si>
  <si>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</si>
  <si>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</si>
  <si>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</si>
  <si>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</si>
  <si>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</si>
  <si>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</si>
  <si>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</si>
  <si>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</si>
  <si>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</si>
  <si>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</si>
  <si>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</si>
  <si>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</si>
  <si>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</si>
  <si>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</si>
  <si>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</si>
  <si>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</si>
  <si>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</si>
  <si>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</si>
  <si>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</si>
  <si>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</si>
  <si>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</si>
  <si>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</si>
  <si>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</si>
  <si>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</si>
  <si>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</si>
  <si>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</si>
  <si>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</si>
  <si>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MDF18MM</t>
  </si>
  <si>
    <t>N° 11781</t>
  </si>
  <si>
    <t>CONTADO</t>
  </si>
  <si>
    <t>E-MAIL: fdonoso@topmobili.cl</t>
  </si>
  <si>
    <t>CELULAR: 96386 8755</t>
  </si>
  <si>
    <t>ALEX MATUS</t>
  </si>
  <si>
    <t>SANTIAGO</t>
  </si>
  <si>
    <t xml:space="preserve">+569 7335 4882 </t>
  </si>
  <si>
    <t>NATURAL ELM 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</si>
</sst>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A945D5-7D23-468A-8181-6A58502ED2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</xdr:row>
      <xdr:rowOff>167640</xdr:rowOff>
    </xdr:from>
    <xdr:to>
      <xdr:col>3</xdr:col>
      <xdr:colOff>424507</xdr:colOff>
      <xdr:row>5</xdr:row>
      <xdr:rowOff>61031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009C84-5068-4449-A761-2F47196986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70660" y="3657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38100</xdr:colOff>
      <xdr:row>48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0</xdr:rowOff>
    </xdr:from>
    <xdr:to>
      <xdr:col>2</xdr:col>
      <xdr:colOff>1019175</xdr:colOff>
      <xdr:row>47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0</xdr:rowOff>
    </xdr:from>
    <xdr:to>
      <xdr:col>3</xdr:col>
      <xdr:colOff>352425</xdr:colOff>
      <xdr:row>48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0</xdr:rowOff>
    </xdr:from>
    <xdr:to>
      <xdr:col>4</xdr:col>
      <xdr:colOff>257175</xdr:colOff>
      <xdr:row>48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0</xdr:rowOff>
    </xdr:from>
    <xdr:to>
      <xdr:col>5</xdr:col>
      <xdr:colOff>447675</xdr:colOff>
      <xdr:row>47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0</xdr:rowOff>
    </xdr:from>
    <xdr:to>
      <xdr:col>6</xdr:col>
      <xdr:colOff>0</xdr:colOff>
      <xdr:row>47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47</xdr:row>
      <xdr:rowOff>190500</xdr:rowOff>
    </xdr:from>
    <xdr:to>
      <xdr:col>2</xdr:col>
      <xdr:colOff>304800</xdr:colOff>
      <xdr:row>49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47</xdr:row>
      <xdr:rowOff>190500</xdr:rowOff>
    </xdr:from>
    <xdr:to>
      <xdr:col>2</xdr:col>
      <xdr:colOff>1276350</xdr:colOff>
      <xdr:row>49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190500</xdr:rowOff>
    </xdr:from>
    <xdr:to>
      <xdr:col>3</xdr:col>
      <xdr:colOff>619125</xdr:colOff>
      <xdr:row>49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190500</xdr:rowOff>
    </xdr:from>
    <xdr:to>
      <xdr:col>4</xdr:col>
      <xdr:colOff>523875</xdr:colOff>
      <xdr:row>49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190500</xdr:rowOff>
    </xdr:from>
    <xdr:to>
      <xdr:col>5</xdr:col>
      <xdr:colOff>723900</xdr:colOff>
      <xdr:row>49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190500</xdr:rowOff>
    </xdr:from>
    <xdr:to>
      <xdr:col>6</xdr:col>
      <xdr:colOff>0</xdr:colOff>
      <xdr:row>49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013959"/>
          <a:ext cx="85153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Y DESPACHAR POR TRANSPORTES STARKEM, LLEVA UNION DE LAMINAO, DA LO MISMO EL LADO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50</xdr:row>
      <xdr:rowOff>32385</xdr:rowOff>
    </xdr:from>
    <xdr:to>
      <xdr:col>6</xdr:col>
      <xdr:colOff>19050</xdr:colOff>
      <xdr:row>54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Y DESPACHAR POR STARKEM, LLEVA UNION DE LAMINADO,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LO MISMO EL LADO.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565543</xdr:colOff>
      <xdr:row>40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134</v>
      </c>
      <c r="G7" s="1"/>
      <c r="H7" s="1"/>
      <c r="I7" s="1"/>
    </row>
    <row r="8" spans="1:17" ht="16.2" thickBot="1" x14ac:dyDescent="0.35">
      <c r="A8" s="1"/>
      <c r="B8" s="90" t="s">
        <v>14</v>
      </c>
      <c r="C8" s="91"/>
      <c r="D8" s="92" t="s">
        <v>132</v>
      </c>
      <c r="E8" s="1"/>
      <c r="F8" s="93" t="s">
        <v>25</v>
      </c>
      <c r="G8" s="94">
        <v>7339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136</v>
      </c>
      <c r="D10" s="55"/>
      <c r="E10" s="55"/>
      <c r="F10" s="56" t="s">
        <v>26</v>
      </c>
      <c r="G10" s="57">
        <v>45994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122</v>
      </c>
      <c r="G11" s="61"/>
      <c r="H11" s="62"/>
      <c r="I11" s="1"/>
    </row>
    <row r="12" spans="1:17" ht="16.2" thickBot="1" x14ac:dyDescent="0.35">
      <c r="A12" s="1"/>
      <c r="B12" s="63" t="s">
        <v>128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129</v>
      </c>
      <c r="C13" s="86"/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59" t="s">
        <v>15</v>
      </c>
      <c r="C14" s="104" t="s">
        <v>138</v>
      </c>
      <c r="D14" s="66"/>
      <c r="E14" s="60"/>
      <c r="F14" s="60" t="s">
        <v>27</v>
      </c>
      <c r="G14" s="60" t="s">
        <v>130</v>
      </c>
      <c r="H14" s="62"/>
      <c r="I14" s="1"/>
    </row>
    <row r="15" spans="1:17" ht="15.6" x14ac:dyDescent="0.3">
      <c r="A15" s="1"/>
      <c r="B15" s="63" t="s">
        <v>1</v>
      </c>
      <c r="C15" s="100"/>
      <c r="D15" s="43"/>
      <c r="E15" s="43"/>
      <c r="F15" s="67" t="s">
        <v>73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137</v>
      </c>
      <c r="D16" s="69"/>
      <c r="E16" s="70"/>
      <c r="F16" s="109" t="s">
        <v>16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17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61</v>
      </c>
      <c r="D21" s="107">
        <v>600</v>
      </c>
      <c r="E21" s="107">
        <v>415</v>
      </c>
      <c r="F21" s="105" t="s">
        <v>139</v>
      </c>
      <c r="G21" s="106">
        <v>22950</v>
      </c>
      <c r="H21" s="106">
        <f t="shared" ref="H21" si="0">G21*B21</f>
        <v>22950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22950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4360.5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27310.5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121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120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23</v>
      </c>
      <c r="C31" s="1"/>
      <c r="D31" s="1"/>
      <c r="E31" s="85" t="s">
        <v>24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29</v>
      </c>
      <c r="C2" s="114"/>
      <c r="D2" s="114"/>
      <c r="E2" s="18"/>
      <c r="G2" s="114" t="s">
        <v>68</v>
      </c>
      <c r="H2" s="114"/>
      <c r="I2" s="114"/>
      <c r="P2" s="115" t="s">
        <v>56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5" t="s">
        <v>56</v>
      </c>
      <c r="M8" s="115"/>
      <c r="N8" s="115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tabSelected="1" zoomScaleNormal="100" workbookViewId="0">
      <selection activeCell="G33" sqref="A2:G3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59</v>
      </c>
      <c r="L3" s="116"/>
      <c r="M3" s="116" t="s">
        <v>13</v>
      </c>
      <c r="N3" s="116"/>
    </row>
    <row r="4" spans="1:14" ht="15.75" customHeight="1" x14ac:dyDescent="0.3">
      <c r="A4" s="1"/>
      <c r="B4" s="1"/>
      <c r="C4" s="40" t="s">
        <v>25</v>
      </c>
      <c r="D4" s="14">
        <f>'4637'!G8</f>
        <v>7339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ALEX MATUS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59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95" t="s">
        <v>131</v>
      </c>
      <c r="B14" s="25">
        <f t="shared" ref="B14" si="0">I14</f>
        <v>1</v>
      </c>
      <c r="C14" s="25"/>
      <c r="D14" s="25">
        <f>J14+D$13</f>
        <v>650</v>
      </c>
      <c r="E14" s="35">
        <f>K14+E$13</f>
        <v>413</v>
      </c>
      <c r="F14" s="102" t="str">
        <f>C26</f>
        <v>PR6</v>
      </c>
      <c r="G14" s="1"/>
      <c r="I14" s="89">
        <f t="shared" ref="I14:K14" si="1">I21</f>
        <v>1</v>
      </c>
      <c r="J14" s="4">
        <f t="shared" si="1"/>
        <v>600</v>
      </c>
      <c r="K14" s="4">
        <f t="shared" si="1"/>
        <v>415</v>
      </c>
    </row>
    <row r="15" spans="1:14" ht="15.6" x14ac:dyDescent="0.3">
      <c r="A15" s="52"/>
      <c r="B15" s="6"/>
      <c r="C15" s="6"/>
      <c r="D15" s="6"/>
      <c r="E15" s="10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13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90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J21+D$20</f>
        <v>640</v>
      </c>
      <c r="E21" s="16">
        <f>K21+E$20</f>
        <v>505</v>
      </c>
      <c r="F21" s="103" t="str">
        <f>C26</f>
        <v>PR6</v>
      </c>
      <c r="G21" s="1"/>
      <c r="I21" s="3">
        <f>B26</f>
        <v>1</v>
      </c>
      <c r="J21" s="4">
        <f>D26</f>
        <v>600</v>
      </c>
      <c r="K21" s="4">
        <f t="shared" ref="K21" si="3">E26</f>
        <v>415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105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108</v>
      </c>
      <c r="D25" s="88" t="s">
        <v>7</v>
      </c>
      <c r="E25" s="88" t="s">
        <v>8</v>
      </c>
      <c r="F25" s="88" t="s">
        <v>21</v>
      </c>
      <c r="G25" s="1"/>
    </row>
    <row r="26" spans="1:11" ht="15.6" x14ac:dyDescent="0.3">
      <c r="A26" s="95" t="s">
        <v>131</v>
      </c>
      <c r="B26" s="25">
        <f>'4637'!B21</f>
        <v>1</v>
      </c>
      <c r="C26" s="102" t="str">
        <f>'4637'!C21</f>
        <v>PR6</v>
      </c>
      <c r="D26" s="25">
        <f>'4637'!D21</f>
        <v>600</v>
      </c>
      <c r="E26" s="25">
        <f>'4637'!E21</f>
        <v>415</v>
      </c>
      <c r="F26" s="25" t="str">
        <f>'4637'!F21</f>
        <v>NATURAL ELM 1499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40" t="s">
        <v>25</v>
      </c>
      <c r="D36" s="14">
        <f>'4637'!G8</f>
        <v>7339</v>
      </c>
      <c r="E36" s="1"/>
      <c r="F36" s="1"/>
      <c r="G36" s="1"/>
    </row>
    <row r="37" spans="1:7" ht="17.25" customHeight="1" x14ac:dyDescent="0.3">
      <c r="A37" s="1"/>
      <c r="B37" s="1"/>
      <c r="C37" s="41" t="s">
        <v>65</v>
      </c>
      <c r="D37" s="42" t="str">
        <f>'4637'!C10</f>
        <v>ALEX MATUS</v>
      </c>
      <c r="E37" s="43"/>
      <c r="F37" s="43"/>
      <c r="G37" s="1"/>
    </row>
    <row r="38" spans="1:7" ht="4.5" customHeight="1" x14ac:dyDescent="0.3">
      <c r="A38" s="1"/>
      <c r="B38" s="1"/>
      <c r="C38" s="44"/>
      <c r="D38" s="45"/>
      <c r="E38" s="1"/>
      <c r="F38" s="1"/>
      <c r="G38" s="1"/>
    </row>
    <row r="39" spans="1:7" ht="15.6" x14ac:dyDescent="0.3">
      <c r="A39" s="1"/>
      <c r="B39" s="1"/>
      <c r="C39" s="46" t="str">
        <f>'4637'!F11</f>
        <v>FECHA LIMITE :</v>
      </c>
      <c r="D39" s="13">
        <f>'4637'!G11</f>
        <v>0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7" t="s">
        <v>66</v>
      </c>
      <c r="B42" s="117"/>
      <c r="C42" s="117"/>
      <c r="D42" s="117"/>
      <c r="E42" s="117"/>
      <c r="F42" s="117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8" t="s">
        <v>67</v>
      </c>
      <c r="C44" s="119"/>
      <c r="D44" s="120"/>
      <c r="E44" s="120"/>
      <c r="F44" s="121"/>
      <c r="G44" s="1"/>
    </row>
    <row r="45" spans="1:7" s="15" customFormat="1" ht="12.75" customHeight="1" x14ac:dyDescent="0.3">
      <c r="A45" s="1"/>
      <c r="B45" s="36" t="s">
        <v>10</v>
      </c>
      <c r="C45" s="47" t="s">
        <v>11</v>
      </c>
      <c r="D45" s="48" t="s">
        <v>7</v>
      </c>
      <c r="E45" s="48" t="s">
        <v>8</v>
      </c>
      <c r="F45" s="49" t="s">
        <v>12</v>
      </c>
      <c r="G45" s="1"/>
    </row>
    <row r="46" spans="1:7" s="15" customFormat="1" ht="15" customHeight="1" x14ac:dyDescent="0.3">
      <c r="A46" s="95" t="s">
        <v>131</v>
      </c>
      <c r="B46" s="38">
        <f>'4637'!B21</f>
        <v>1</v>
      </c>
      <c r="C46" s="101" t="str">
        <f>'4637'!C21</f>
        <v>PR6</v>
      </c>
      <c r="D46" s="39">
        <f>'4637'!D21</f>
        <v>600</v>
      </c>
      <c r="E46" s="39">
        <f>'4637'!E21</f>
        <v>415</v>
      </c>
      <c r="F46" s="38" t="str">
        <f>'4637'!F21</f>
        <v>NATURAL ELM 1499</v>
      </c>
      <c r="G46" s="1"/>
    </row>
    <row r="47" spans="1:7" s="15" customFormat="1" ht="15" customHeight="1" x14ac:dyDescent="0.3">
      <c r="A47" s="50"/>
      <c r="B47" s="52"/>
      <c r="C47" s="52"/>
      <c r="D47" s="52"/>
      <c r="E47" s="52"/>
      <c r="F47" s="52"/>
      <c r="G47" s="1"/>
    </row>
    <row r="48" spans="1:7" ht="15.6" x14ac:dyDescent="0.3">
      <c r="A48" s="6"/>
      <c r="B48" s="6"/>
      <c r="C48" s="1"/>
      <c r="D48" s="6"/>
      <c r="E48" s="6"/>
      <c r="F48" s="44"/>
      <c r="G48" s="1"/>
    </row>
    <row r="49" spans="1:7" ht="15.6" x14ac:dyDescent="0.3">
      <c r="A49" s="6"/>
      <c r="B49" s="6"/>
      <c r="C49" s="1"/>
      <c r="D49" s="6"/>
      <c r="E49" s="6"/>
      <c r="F49" s="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" customHeight="1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6"/>
      <c r="B55" s="5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x14ac:dyDescent="0.3">
      <c r="B57" s="20"/>
      <c r="C57" s="20"/>
      <c r="D57" s="20"/>
      <c r="E57" s="20"/>
      <c r="F57" s="20"/>
    </row>
    <row r="58" spans="1:7" x14ac:dyDescent="0.3">
      <c r="B58" s="20"/>
      <c r="C58" s="20"/>
      <c r="E58" s="20"/>
      <c r="F58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2025-12-03T14:58:06Z</cp:lastPrinted>
  <dcterms:created xsi:type="dcterms:W3CDTF">2013-03-19T12:54:14Z</dcterms:created>
  <dcterms:modified xsi:type="dcterms:W3CDTF">2025-12-03T15:00:31Z</dcterms:modified>
</cp:coreProperties>
</file>