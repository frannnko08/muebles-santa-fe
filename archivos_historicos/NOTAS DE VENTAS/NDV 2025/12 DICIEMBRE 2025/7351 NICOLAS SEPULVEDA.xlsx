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30E296F4-8127-4AF2-97A7-54E5386328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I23" i="3"/>
  <c r="B23" i="3" s="1"/>
  <c r="B30" i="3"/>
  <c r="C30" i="3"/>
  <c r="F23" i="3" s="1"/>
  <c r="D30" i="3"/>
  <c r="J23" i="3" s="1"/>
  <c r="D23" i="3" s="1"/>
  <c r="E30" i="3"/>
  <c r="K23" i="3" s="1"/>
  <c r="F30" i="3"/>
  <c r="B52" i="3"/>
  <c r="C52" i="3"/>
  <c r="D52" i="3"/>
  <c r="E52" i="3"/>
  <c r="F52" i="3"/>
  <c r="H23" i="4"/>
  <c r="H22" i="4"/>
  <c r="H25" i="4" l="1"/>
  <c r="H26" i="4"/>
  <c r="H27" i="4" s="1"/>
  <c r="B29" i="3" l="1"/>
  <c r="I22" i="3" s="1"/>
  <c r="I14" i="3" s="1"/>
  <c r="C29" i="3"/>
  <c r="F14" i="3" s="1"/>
  <c r="D29" i="3"/>
  <c r="J22" i="3" s="1"/>
  <c r="D22" i="3" s="1"/>
  <c r="E29" i="3"/>
  <c r="K22" i="3" s="1"/>
  <c r="E22" i="3" s="1"/>
  <c r="F29" i="3"/>
  <c r="B51" i="3"/>
  <c r="C51" i="3"/>
  <c r="D51" i="3"/>
  <c r="E51" i="3"/>
  <c r="F51" i="3"/>
  <c r="J14" i="3" l="1"/>
  <c r="D14" i="3" s="1"/>
  <c r="K14" i="3"/>
  <c r="E14" i="3" s="1"/>
  <c r="B22" i="3"/>
  <c r="B14" i="3"/>
  <c r="F22" i="3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<sst xmlns="http://schemas.openxmlformats.org/spreadsheetml/2006/main" count="245" uniqueCount="143">
  <si>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</si>
  <si>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</si>
  <si>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</si>
  <si>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</si>
  <si>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</si>
  <si>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</si>
  <si>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</si>
  <si>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</si>
  <si>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</si>
  <si>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</si>
  <si>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</si>
  <si>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</si>
  <si>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</si>
  <si>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</si>
  <si>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</si>
  <si>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</si>
  <si>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</si>
  <si>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</si>
  <si>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</si>
  <si>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</si>
  <si>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</si>
  <si>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</si>
  <si>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</si>
  <si>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</si>
  <si>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</si>
  <si>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</si>
  <si>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</si>
  <si>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</si>
  <si>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</si>
  <si>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</si>
  <si>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</si>
  <si>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</si>
  <si>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</si>
  <si>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</si>
  <si>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</si>
  <si>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</si>
  <si>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</si>
  <si>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</si>
  <si>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</si>
  <si>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</si>
  <si>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</si>
  <si>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</si>
  <si>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</si>
  <si>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</si>
  <si>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</si>
  <si>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</si>
  <si>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</si>
  <si>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</si>
  <si>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</si>
  <si>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</si>
  <si>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</si>
  <si>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</si>
  <si>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</si>
  <si>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</si>
  <si>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</si>
  <si>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</si>
  <si>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</si>
  <si>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</si>
  <si>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</si>
  <si>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</si>
  <si>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</si>
  <si>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</si>
  <si>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</si>
  <si>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</si>
  <si>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</si>
  <si>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</si>
  <si>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</si>
  <si>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</si>
  <si>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</si>
  <si>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</si>
  <si>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</si>
  <si>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</si>
  <si>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</si>
  <si>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</si>
  <si>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</si>
  <si>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</si>
  <si>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</si>
  <si>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</si>
  <si>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</si>
  <si>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</si>
  <si>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</si>
  <si>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</si>
  <si>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</si>
  <si>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</si>
  <si>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</si>
  <si>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</si>
  <si>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</si>
  <si>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</si>
  <si>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</si>
  <si>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</si>
  <si>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</si>
  <si>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</si>
  <si>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</si>
  <si>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</si>
  <si>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</si>
  <si>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</si>
  <si>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</si>
  <si>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</si>
  <si>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</si>
  <si>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</si>
  <si>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</si>
  <si>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</si>
  <si>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</si>
  <si>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</si>
  <si>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</si>
  <si>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</si>
  <si>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</si>
  <si>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</si>
  <si>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</si>
  <si>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</si>
  <si>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</si>
  <si>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</si>
  <si>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</si>
  <si>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</si>
  <si>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</si>
  <si>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</si>
  <si>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</si>
  <si>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</si>
  <si>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</si>
  <si>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</si>
  <si>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</si>
  <si>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</si>
  <si>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</si>
  <si>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</si>
  <si>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</si>
  <si>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</si>
  <si>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</si>
  <si>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</si>
  <si>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</si>
  <si>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</si>
  <si>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</si>
  <si>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</si>
  <si>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</si>
  <si>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</si>
  <si>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</si>
  <si>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</si>
  <si>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WHITE MARBLE 42004 GL</t>
  </si>
  <si>
    <t>N° 11802</t>
  </si>
  <si>
    <t>NICOLAS SEPULVEDA</t>
  </si>
  <si>
    <t>+569 4527 8842</t>
  </si>
  <si>
    <t>SANTIAGO</t>
  </si>
  <si>
    <t>CUB S/R R8</t>
  </si>
  <si>
    <t>RESPALDO 1V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</si>
</sst>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6" fillId="3" borderId="0" xfId="0" applyFont="1" applyFill="1"/>
    <xf numFmtId="0" fontId="18" fillId="0" borderId="9" xfId="2" applyFont="1" applyFill="1" applyBorder="1" applyAlignment="1">
      <alignment horizontal="left"/>
    </xf>
    <xf numFmtId="0" fontId="19" fillId="3" borderId="0" xfId="0" applyFont="1" applyFill="1"/>
    <xf numFmtId="0" fontId="20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1" fillId="3" borderId="0" xfId="0" applyFont="1" applyFill="1"/>
    <xf numFmtId="0" fontId="2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6" fillId="0" borderId="0" xfId="2"/>
    <xf numFmtId="0" fontId="17" fillId="0" borderId="0" xfId="0" quotePrefix="1" applyFont="1"/>
    <xf numFmtId="166" fontId="3" fillId="0" borderId="1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65" fontId="15" fillId="0" borderId="0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25</xdr:row>
      <xdr:rowOff>55245</xdr:rowOff>
    </xdr:from>
    <xdr:to>
      <xdr:col>5</xdr:col>
      <xdr:colOff>1504950</xdr:colOff>
      <xdr:row>29</xdr:row>
      <xdr:rowOff>100965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3850" y="9549765"/>
          <a:ext cx="531876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$ 62.000.-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MEDIA Y ENCHAPAR SIN REGRUESO LADO IZQUIERDO, RESPALDO CORTAR A LA MEDIA Y ENCHAPAR AMBOS LADOS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ENCHAPAR SIN REGRUESO LADO IZQUIERDO, RESPALDO CORTAR A LA MEDIDA Y ENCHAPAR AMBOS LADOS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workbookViewId="0">
      <selection activeCell="C24" sqref="C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5" width="9.109375" customWidth="1"/>
    <col min="6" max="6" width="30.554687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137</v>
      </c>
      <c r="E8" s="1"/>
      <c r="F8" s="93" t="s">
        <v>27</v>
      </c>
      <c r="G8" s="94">
        <v>7351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5" t="s">
        <v>138</v>
      </c>
      <c r="D10" s="55"/>
      <c r="E10" s="55"/>
      <c r="F10" s="56" t="s">
        <v>28</v>
      </c>
      <c r="G10" s="57">
        <v>46006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1"/>
      <c r="D11" s="60"/>
      <c r="E11" s="60"/>
      <c r="F11" s="60" t="s">
        <v>122</v>
      </c>
      <c r="G11" s="61">
        <v>46010</v>
      </c>
      <c r="H11" s="62"/>
      <c r="I11" s="1"/>
    </row>
    <row r="12" spans="1:17" ht="16.2" thickBot="1" x14ac:dyDescent="0.35">
      <c r="A12" s="1"/>
      <c r="B12" s="63" t="s">
        <v>128</v>
      </c>
      <c r="C12" s="104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129</v>
      </c>
      <c r="C13" s="85"/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63" t="s">
        <v>131</v>
      </c>
      <c r="C14" s="112"/>
      <c r="D14" s="43"/>
      <c r="E14" s="43"/>
      <c r="F14" s="43" t="s">
        <v>132</v>
      </c>
      <c r="G14" s="64"/>
      <c r="H14" s="65"/>
      <c r="I14" s="1"/>
    </row>
    <row r="15" spans="1:17" ht="15.6" x14ac:dyDescent="0.3">
      <c r="A15" s="1"/>
      <c r="B15" s="59" t="s">
        <v>17</v>
      </c>
      <c r="C15" s="113" t="s">
        <v>139</v>
      </c>
      <c r="D15" s="66"/>
      <c r="E15" s="60"/>
      <c r="F15" s="60" t="s">
        <v>29</v>
      </c>
      <c r="G15" s="60"/>
      <c r="H15" s="62"/>
      <c r="I15" s="1"/>
    </row>
    <row r="16" spans="1:17" ht="16.8" x14ac:dyDescent="0.4">
      <c r="A16" s="1"/>
      <c r="B16" s="63" t="s">
        <v>1</v>
      </c>
      <c r="C16" s="99"/>
      <c r="D16" s="43"/>
      <c r="E16" s="43"/>
      <c r="F16" s="67" t="s">
        <v>75</v>
      </c>
      <c r="G16" s="101" t="s">
        <v>135</v>
      </c>
      <c r="H16" s="65"/>
      <c r="I16" s="1"/>
    </row>
    <row r="17" spans="1:16" ht="16.2" thickBot="1" x14ac:dyDescent="0.35">
      <c r="A17" s="1"/>
      <c r="B17" s="68" t="s">
        <v>3</v>
      </c>
      <c r="C17" s="100" t="s">
        <v>140</v>
      </c>
      <c r="D17" s="69"/>
      <c r="E17" s="70"/>
      <c r="F17" s="115" t="s">
        <v>18</v>
      </c>
      <c r="G17" s="115"/>
      <c r="H17" s="116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7" t="s">
        <v>19</v>
      </c>
      <c r="C20" s="118"/>
      <c r="D20" s="118"/>
      <c r="E20" s="118"/>
      <c r="F20" s="118"/>
      <c r="G20" s="118"/>
      <c r="H20" s="119"/>
      <c r="I20" s="1"/>
    </row>
    <row r="21" spans="1:16" ht="16.2" thickBot="1" x14ac:dyDescent="0.35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thickBot="1" x14ac:dyDescent="0.35">
      <c r="A22" s="1"/>
      <c r="B22" s="98">
        <v>1</v>
      </c>
      <c r="C22" s="98" t="s">
        <v>141</v>
      </c>
      <c r="D22" s="132">
        <v>2820</v>
      </c>
      <c r="E22" s="132">
        <v>550</v>
      </c>
      <c r="F22" s="98" t="s">
        <v>136</v>
      </c>
      <c r="G22" s="128">
        <v>90040</v>
      </c>
      <c r="H22" s="114">
        <f>G22*B22</f>
        <v>90040</v>
      </c>
      <c r="I22" s="1"/>
      <c r="J22" s="98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98">
        <v>1</v>
      </c>
      <c r="C23" s="98" t="s">
        <v>142</v>
      </c>
      <c r="D23" s="132">
        <v>2820</v>
      </c>
      <c r="E23" s="132">
        <v>60</v>
      </c>
      <c r="F23" s="98" t="s">
        <v>136</v>
      </c>
      <c r="G23" s="128">
        <v>11898</v>
      </c>
      <c r="H23" s="114">
        <f>G23*B23</f>
        <v>11898</v>
      </c>
      <c r="I23" s="1"/>
    </row>
    <row r="24" spans="1:16" ht="18" customHeight="1" thickBot="1" x14ac:dyDescent="0.35">
      <c r="A24" s="1"/>
      <c r="B24" s="129"/>
      <c r="C24" s="129"/>
      <c r="D24" s="130"/>
      <c r="E24" s="130"/>
      <c r="F24" s="129"/>
      <c r="G24" s="131"/>
      <c r="H24" s="11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SUM(H22:H23)</f>
        <v>101938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19368.22</v>
      </c>
      <c r="I26" s="1"/>
    </row>
    <row r="27" spans="1:16" ht="16.2" thickBot="1" x14ac:dyDescent="0.35">
      <c r="A27" s="1"/>
      <c r="C27" s="82"/>
      <c r="D27" s="83"/>
      <c r="E27" s="83"/>
      <c r="F27" s="74"/>
      <c r="G27" s="79" t="s">
        <v>4</v>
      </c>
      <c r="H27" s="80">
        <f>H25+H26</f>
        <v>121306.22</v>
      </c>
      <c r="I27" s="1"/>
    </row>
    <row r="28" spans="1:16" ht="15.6" x14ac:dyDescent="0.3">
      <c r="A28" s="1"/>
      <c r="C28" s="82"/>
      <c r="D28" s="83"/>
      <c r="E28" s="83"/>
      <c r="F28" s="74"/>
      <c r="G28" s="1"/>
      <c r="H28" s="1"/>
      <c r="I28" s="1"/>
    </row>
    <row r="29" spans="1:16" ht="15.6" x14ac:dyDescent="0.3">
      <c r="A29" s="1"/>
      <c r="C29" s="1"/>
      <c r="D29" s="1"/>
      <c r="E29" s="84" t="s">
        <v>26</v>
      </c>
      <c r="F29" s="1"/>
      <c r="G29" s="1"/>
      <c r="H29" s="1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B32" s="81" t="s">
        <v>133</v>
      </c>
    </row>
    <row r="33" spans="2:2" ht="15.6" x14ac:dyDescent="0.3">
      <c r="B33" s="81" t="s">
        <v>134</v>
      </c>
    </row>
    <row r="34" spans="2:2" ht="15.6" x14ac:dyDescent="0.3">
      <c r="B34" s="1" t="s">
        <v>25</v>
      </c>
    </row>
  </sheetData>
  <sortState xmlns:xlrd2="http://schemas.microsoft.com/office/spreadsheetml/2017/richdata2" ref="B33">
    <sortCondition sortBy="fontColor" ref="B33" dxfId="0"/>
  </sortState>
  <mergeCells count="2">
    <mergeCell ref="F17:H17"/>
    <mergeCell ref="B20:H20"/>
  </mergeCells>
  <phoneticPr fontId="10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zoomScaleNormal="100" workbookViewId="0">
      <selection sqref="A1:G38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3.21875" customWidth="1"/>
    <col min="4" max="4" width="13.77734375" customWidth="1"/>
    <col min="5" max="5" width="11" customWidth="1"/>
    <col min="6" max="6" width="34.3320312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'4637'!G8</f>
        <v>7351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NICOLAS SEPULVEDA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46010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6.2" customHeight="1" x14ac:dyDescent="0.3">
      <c r="A14" s="95" t="s">
        <v>130</v>
      </c>
      <c r="B14" s="25">
        <f t="shared" ref="B14" si="0">I14</f>
        <v>1</v>
      </c>
      <c r="C14" s="25"/>
      <c r="D14" s="25">
        <f t="shared" ref="D14:E14" si="1">J14+D$13</f>
        <v>2900</v>
      </c>
      <c r="E14" s="35">
        <f t="shared" si="1"/>
        <v>550</v>
      </c>
      <c r="F14" s="96" t="str">
        <f>C29</f>
        <v>CUB S/R R8</v>
      </c>
      <c r="G14" s="1"/>
      <c r="I14" s="3">
        <f>I22</f>
        <v>1</v>
      </c>
      <c r="J14" s="4">
        <f>J22</f>
        <v>2820</v>
      </c>
      <c r="K14" s="4">
        <f>E29</f>
        <v>550</v>
      </c>
    </row>
    <row r="15" spans="1:14" ht="16.2" customHeight="1" x14ac:dyDescent="0.3">
      <c r="A15" s="95"/>
      <c r="B15" s="25">
        <f t="shared" ref="B15" si="2">I15</f>
        <v>1</v>
      </c>
      <c r="C15" s="25"/>
      <c r="D15" s="25">
        <f t="shared" ref="D15" si="3">J15+D$13</f>
        <v>2900</v>
      </c>
      <c r="E15" s="35">
        <v>100</v>
      </c>
      <c r="F15" s="96" t="str">
        <f>C30</f>
        <v>RESPALDO 1V R8</v>
      </c>
      <c r="G15" s="1"/>
      <c r="I15" s="3">
        <f>I23</f>
        <v>1</v>
      </c>
      <c r="J15" s="4">
        <f>J23</f>
        <v>2820</v>
      </c>
      <c r="K15" s="4">
        <f>E30</f>
        <v>60</v>
      </c>
    </row>
    <row r="16" spans="1:14" ht="15.6" x14ac:dyDescent="0.3">
      <c r="A16" s="52"/>
      <c r="B16" s="6"/>
      <c r="C16" s="6"/>
      <c r="D16" s="6"/>
      <c r="E16" s="88"/>
      <c r="F16" s="6"/>
      <c r="G16" s="1"/>
      <c r="I16" s="89"/>
      <c r="J16" s="2"/>
      <c r="K16" s="2"/>
    </row>
    <row r="17" spans="1:13" ht="6.75" customHeight="1" x14ac:dyDescent="0.3">
      <c r="A17" s="1"/>
      <c r="B17" s="1"/>
      <c r="C17" s="1"/>
      <c r="D17" s="1"/>
      <c r="E17" s="1"/>
      <c r="F17" s="1"/>
      <c r="G17" s="1"/>
    </row>
    <row r="18" spans="1:13" ht="15.6" x14ac:dyDescent="0.3">
      <c r="A18" s="123" t="s">
        <v>14</v>
      </c>
      <c r="B18" s="123"/>
      <c r="C18" s="123"/>
      <c r="D18" s="123"/>
      <c r="E18" s="123"/>
      <c r="F18" s="123"/>
      <c r="G18" s="1"/>
    </row>
    <row r="19" spans="1:13" ht="10.5" customHeight="1" x14ac:dyDescent="0.3">
      <c r="A19" s="1"/>
      <c r="B19" s="1"/>
      <c r="C19" s="12"/>
      <c r="D19" s="1"/>
      <c r="E19" s="1"/>
      <c r="F19" s="1"/>
      <c r="G19" s="1"/>
    </row>
    <row r="20" spans="1:13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3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60</v>
      </c>
      <c r="F21" s="36" t="s">
        <v>110</v>
      </c>
      <c r="G21" s="1"/>
      <c r="J21" s="5" t="s">
        <v>7</v>
      </c>
      <c r="K21" s="5" t="s">
        <v>8</v>
      </c>
    </row>
    <row r="22" spans="1:13" ht="15.6" x14ac:dyDescent="0.3">
      <c r="A22" s="95"/>
      <c r="B22" s="16">
        <f t="shared" ref="B22" si="4">I22</f>
        <v>1</v>
      </c>
      <c r="C22" s="16"/>
      <c r="D22" s="16">
        <f t="shared" ref="D22:E22" si="5">J22+D$21</f>
        <v>2860</v>
      </c>
      <c r="E22" s="16">
        <f t="shared" si="5"/>
        <v>610</v>
      </c>
      <c r="F22" s="97" t="str">
        <f>C29</f>
        <v>CUB S/R R8</v>
      </c>
      <c r="G22" s="1"/>
      <c r="I22" s="3">
        <f>B29</f>
        <v>1</v>
      </c>
      <c r="J22" s="4">
        <f>D29</f>
        <v>2820</v>
      </c>
      <c r="K22" s="4">
        <f>E29</f>
        <v>550</v>
      </c>
      <c r="M22">
        <v>185</v>
      </c>
    </row>
    <row r="23" spans="1:13" ht="15.6" x14ac:dyDescent="0.3">
      <c r="A23" s="95"/>
      <c r="B23" s="16">
        <f t="shared" ref="B23" si="6">I23</f>
        <v>1</v>
      </c>
      <c r="C23" s="16"/>
      <c r="D23" s="16">
        <f t="shared" ref="D23" si="7">J23+D$21</f>
        <v>2860</v>
      </c>
      <c r="E23" s="16">
        <v>140</v>
      </c>
      <c r="F23" s="97" t="str">
        <f>C30</f>
        <v>RESPALDO 1V R8</v>
      </c>
      <c r="G23" s="1"/>
      <c r="I23" s="3">
        <f>B30</f>
        <v>1</v>
      </c>
      <c r="J23" s="4">
        <f>D30</f>
        <v>2820</v>
      </c>
      <c r="K23" s="4">
        <f>E30</f>
        <v>60</v>
      </c>
    </row>
    <row r="24" spans="1:13" ht="15.6" x14ac:dyDescent="0.3">
      <c r="A24" s="95"/>
      <c r="B24" s="6"/>
      <c r="C24" s="6"/>
      <c r="D24" s="6"/>
      <c r="E24" s="6"/>
      <c r="F24" s="110"/>
      <c r="G24" s="1"/>
      <c r="I24" s="89"/>
      <c r="J24" s="2"/>
      <c r="K24" s="2"/>
    </row>
    <row r="25" spans="1:13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3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3" ht="10.5" customHeight="1" x14ac:dyDescent="0.3">
      <c r="A27" s="1"/>
      <c r="B27" s="1"/>
      <c r="C27" s="1"/>
      <c r="D27" s="1"/>
      <c r="E27" s="1"/>
      <c r="F27" s="1"/>
      <c r="G27" s="1"/>
    </row>
    <row r="28" spans="1:13" ht="15.6" x14ac:dyDescent="0.3">
      <c r="A28" s="52" t="s">
        <v>9</v>
      </c>
      <c r="B28" s="87" t="s">
        <v>10</v>
      </c>
      <c r="C28" s="87" t="s">
        <v>110</v>
      </c>
      <c r="D28" s="87" t="s">
        <v>7</v>
      </c>
      <c r="E28" s="87" t="s">
        <v>8</v>
      </c>
      <c r="F28" s="87" t="s">
        <v>23</v>
      </c>
      <c r="G28" s="1"/>
    </row>
    <row r="29" spans="1:13" ht="15.6" x14ac:dyDescent="0.3">
      <c r="A29" s="95"/>
      <c r="B29" s="25">
        <f>'4637'!B22</f>
        <v>1</v>
      </c>
      <c r="C29" s="103" t="str">
        <f>'4637'!C22</f>
        <v>CUB S/R R8</v>
      </c>
      <c r="D29" s="25">
        <f>'4637'!D22</f>
        <v>2820</v>
      </c>
      <c r="E29" s="25">
        <f>'4637'!E22</f>
        <v>550</v>
      </c>
      <c r="F29" s="25" t="str">
        <f>'4637'!F22</f>
        <v>WHITE MARBLE 42004 GL</v>
      </c>
      <c r="G29" s="1"/>
    </row>
    <row r="30" spans="1:13" ht="15.6" x14ac:dyDescent="0.3">
      <c r="A30" s="95"/>
      <c r="B30" s="25">
        <f>'4637'!B23</f>
        <v>1</v>
      </c>
      <c r="C30" s="103" t="str">
        <f>'4637'!C23</f>
        <v>RESPALDO 1V R8</v>
      </c>
      <c r="D30" s="25">
        <f>'4637'!D23</f>
        <v>2820</v>
      </c>
      <c r="E30" s="25">
        <f>'4637'!E23</f>
        <v>60</v>
      </c>
      <c r="F30" s="25" t="str">
        <f>'4637'!F23</f>
        <v>WHITE MARBLE 42004 GL</v>
      </c>
      <c r="G30" s="1"/>
    </row>
    <row r="31" spans="1:13" ht="15.6" x14ac:dyDescent="0.3">
      <c r="A31" s="95"/>
      <c r="B31" s="6"/>
      <c r="C31" s="109"/>
      <c r="D31" s="6"/>
      <c r="E31" s="6"/>
      <c r="F31" s="6"/>
      <c r="G31" s="1"/>
    </row>
    <row r="32" spans="1:13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7351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NICOLAS SEPULVEDA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46010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3" t="s">
        <v>68</v>
      </c>
      <c r="B47" s="123"/>
      <c r="C47" s="123"/>
      <c r="D47" s="123"/>
      <c r="E47" s="123"/>
      <c r="F47" s="123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4" t="s">
        <v>69</v>
      </c>
      <c r="C49" s="125"/>
      <c r="D49" s="126"/>
      <c r="E49" s="126"/>
      <c r="F49" s="127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106" t="s">
        <v>8</v>
      </c>
      <c r="F50" s="49" t="s">
        <v>12</v>
      </c>
      <c r="G50" s="1"/>
    </row>
    <row r="51" spans="1:7" s="15" customFormat="1" ht="15" customHeight="1" x14ac:dyDescent="0.3">
      <c r="A51" s="95"/>
      <c r="B51" s="38">
        <f>'4637'!B22</f>
        <v>1</v>
      </c>
      <c r="C51" s="102" t="str">
        <f>'4637'!C22</f>
        <v>CUB S/R R8</v>
      </c>
      <c r="D51" s="39">
        <f>'4637'!D22</f>
        <v>2820</v>
      </c>
      <c r="E51" s="107">
        <f>'4637'!E22</f>
        <v>550</v>
      </c>
      <c r="F51" s="108" t="str">
        <f>'4637'!F22</f>
        <v>WHITE MARBLE 42004 GL</v>
      </c>
      <c r="G51" s="1"/>
    </row>
    <row r="52" spans="1:7" s="15" customFormat="1" ht="15" customHeight="1" x14ac:dyDescent="0.3">
      <c r="A52" s="95"/>
      <c r="B52" s="38">
        <f>'4637'!B23</f>
        <v>1</v>
      </c>
      <c r="C52" s="102" t="str">
        <f>'4637'!C23</f>
        <v>RESPALDO 1V R8</v>
      </c>
      <c r="D52" s="39">
        <f>'4637'!D23</f>
        <v>2820</v>
      </c>
      <c r="E52" s="107">
        <f>'4637'!E23</f>
        <v>60</v>
      </c>
      <c r="F52" s="108" t="str">
        <f>'4637'!F23</f>
        <v>WHITE MARBLE 42004 GL</v>
      </c>
      <c r="G52" s="1"/>
    </row>
    <row r="53" spans="1:7" s="15" customFormat="1" ht="15" customHeight="1" x14ac:dyDescent="0.3">
      <c r="A53" s="95"/>
      <c r="B53" s="52"/>
      <c r="C53" s="105"/>
      <c r="D53" s="52"/>
      <c r="E53" s="52"/>
      <c r="F53" s="52"/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2025-12-15T19:58:40Z</cp:lastPrinted>
  <dcterms:created xsi:type="dcterms:W3CDTF">2013-03-19T12:54:14Z</dcterms:created>
  <dcterms:modified xsi:type="dcterms:W3CDTF">2025-12-15T19:59:40Z</dcterms:modified>
</cp:coreProperties>
</file>