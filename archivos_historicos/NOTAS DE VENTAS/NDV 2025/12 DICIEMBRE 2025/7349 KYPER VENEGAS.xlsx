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6B258765-563D-4651-8489-5580074DAE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'4637'!$A$1:$H$27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4" i="4" s="1"/>
  <c r="H25" i="4" l="1"/>
  <c r="H26" i="4" s="1"/>
  <c r="B28" i="3" l="1"/>
  <c r="I21" i="3" s="1"/>
  <c r="I14" i="3" s="1"/>
  <c r="C28" i="3"/>
  <c r="F14" i="3" s="1"/>
  <c r="D28" i="3"/>
  <c r="J21" i="3" s="1"/>
  <c r="D21" i="3" s="1"/>
  <c r="E28" i="3"/>
  <c r="K21" i="3" s="1"/>
  <c r="E21" i="3" s="1"/>
  <c r="F28" i="3"/>
  <c r="B49" i="3"/>
  <c r="C49" i="3"/>
  <c r="D49" i="3"/>
  <c r="E49" i="3"/>
  <c r="F49" i="3"/>
  <c r="J14" i="3" l="1"/>
  <c r="D14" i="3" s="1"/>
  <c r="K14" i="3"/>
  <c r="E14" i="3" s="1"/>
  <c r="B21" i="3"/>
  <c r="B14" i="3"/>
  <c r="F21" i="3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<sst xmlns="http://schemas.openxmlformats.org/spreadsheetml/2006/main" count="247" uniqueCount="146">
  <si>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</si>
  <si>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</si>
  <si>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</si>
  <si>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</si>
  <si>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</si>
  <si>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</si>
  <si>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</si>
  <si>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</si>
  <si>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</si>
  <si>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</si>
  <si>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</si>
  <si>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</si>
  <si>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</si>
  <si>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</si>
  <si>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</si>
  <si>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</si>
  <si>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</si>
  <si>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</si>
  <si>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</si>
  <si>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</si>
  <si>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</si>
  <si>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</si>
  <si>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</si>
  <si>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</si>
  <si>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</si>
  <si>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</si>
  <si>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</si>
  <si>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</si>
  <si>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</si>
  <si>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</si>
  <si>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</si>
  <si>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</si>
  <si>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</si>
  <si>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</si>
  <si>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</si>
  <si>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</si>
  <si>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</si>
  <si>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</si>
  <si>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</si>
  <si>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</si>
  <si>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</si>
  <si>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</si>
  <si>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</si>
  <si>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</si>
  <si>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</si>
  <si>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</si>
  <si>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</si>
  <si>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</si>
  <si>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</si>
  <si>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</si>
  <si>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</si>
  <si>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</si>
  <si>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</si>
  <si>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</si>
  <si>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</si>
  <si>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</si>
  <si>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</si>
  <si>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</si>
  <si>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</si>
  <si>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</si>
  <si>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</si>
  <si>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</si>
  <si>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</si>
  <si>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</si>
  <si>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</si>
  <si>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</si>
  <si>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</si>
  <si>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</si>
  <si>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</si>
  <si>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</si>
  <si>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</si>
  <si>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</si>
  <si>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</si>
  <si>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</si>
  <si>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</si>
  <si>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</si>
  <si>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</si>
  <si>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</si>
  <si>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</si>
  <si>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</si>
  <si>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</si>
  <si>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</si>
  <si>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</si>
  <si>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</si>
  <si>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</si>
  <si>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</si>
  <si>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</si>
  <si>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</si>
  <si>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</si>
  <si>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</si>
  <si>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</si>
  <si>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</si>
  <si>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</si>
  <si>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</si>
  <si>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</si>
  <si>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</si>
  <si>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</si>
  <si>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</si>
  <si>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</si>
  <si>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</si>
  <si>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</si>
  <si>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</si>
  <si>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</si>
  <si>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</si>
  <si>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</si>
  <si>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</si>
  <si>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</si>
  <si>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</si>
  <si>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</si>
  <si>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</si>
  <si>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</si>
  <si>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</si>
  <si>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</si>
  <si>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</si>
  <si>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</si>
  <si>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</si>
  <si>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</si>
  <si>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</si>
  <si>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</si>
  <si>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</si>
  <si>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</si>
  <si>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</si>
  <si>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</si>
  <si>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</si>
  <si>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</si>
  <si>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</si>
  <si>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</si>
  <si>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</si>
  <si>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</si>
  <si>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</si>
  <si>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</si>
  <si>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</si>
  <si>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</si>
  <si>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</si>
  <si>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</si>
  <si>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</si>
  <si>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+569 4691 0978</t>
  </si>
  <si>
    <t>CUB MESA 90° R8 4 LADOS</t>
  </si>
  <si>
    <t>KYBER VENEGAS</t>
  </si>
  <si>
    <t>JUAN PABLO ARAYA LIRA</t>
  </si>
  <si>
    <t>13.181.012-1</t>
  </si>
  <si>
    <t>PROYECTOS E INSTALACIONES EN GENERAL</t>
  </si>
  <si>
    <t>POLCURA 164 VILLA SAN RAFAEL</t>
  </si>
  <si>
    <t>ILLAPEL</t>
  </si>
  <si>
    <t>N° 11792</t>
  </si>
  <si>
    <t>WHITE MARBLE 42004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</si>
</sst>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3" borderId="0" xfId="0" applyFont="1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3" borderId="0" xfId="0" applyFont="1" applyFill="1"/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6" fillId="0" borderId="0" xfId="2"/>
    <xf numFmtId="0" fontId="17" fillId="0" borderId="0" xfId="0" quotePrefix="1" applyFont="1"/>
    <xf numFmtId="0" fontId="15" fillId="0" borderId="1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24</xdr:row>
      <xdr:rowOff>55245</xdr:rowOff>
    </xdr:from>
    <xdr:to>
      <xdr:col>5</xdr:col>
      <xdr:colOff>1504950</xdr:colOff>
      <xdr:row>28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CANCELADA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DESPUNTAR, DESPACHAR POR STARKEN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DESPUNTAR, DESPACHAR POR STARKEN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11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30.554687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144</v>
      </c>
      <c r="E8" s="1"/>
      <c r="F8" s="93" t="s">
        <v>27</v>
      </c>
      <c r="G8" s="94">
        <v>7349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139</v>
      </c>
      <c r="D10" s="55"/>
      <c r="E10" s="55"/>
      <c r="F10" s="56" t="s">
        <v>28</v>
      </c>
      <c r="G10" s="57">
        <v>46003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140</v>
      </c>
      <c r="D11" s="60"/>
      <c r="E11" s="60"/>
      <c r="F11" s="60" t="s">
        <v>122</v>
      </c>
      <c r="G11" s="61">
        <v>46009</v>
      </c>
      <c r="H11" s="62"/>
      <c r="I11" s="1"/>
    </row>
    <row r="12" spans="1:17" ht="16.2" thickBot="1" x14ac:dyDescent="0.35">
      <c r="A12" s="1"/>
      <c r="B12" s="63" t="s">
        <v>128</v>
      </c>
      <c r="C12" s="104" t="s">
        <v>141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129</v>
      </c>
      <c r="C13" s="85" t="s">
        <v>138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131</v>
      </c>
      <c r="C14" s="112"/>
      <c r="D14" s="43"/>
      <c r="E14" s="43"/>
      <c r="F14" s="43" t="s">
        <v>132</v>
      </c>
      <c r="G14" s="64"/>
      <c r="H14" s="65"/>
      <c r="I14" s="1"/>
    </row>
    <row r="15" spans="1:17" ht="15.6" x14ac:dyDescent="0.3">
      <c r="A15" s="1"/>
      <c r="B15" s="59" t="s">
        <v>17</v>
      </c>
      <c r="C15" s="113" t="s">
        <v>136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99" t="s">
        <v>142</v>
      </c>
      <c r="D16" s="43"/>
      <c r="E16" s="43"/>
      <c r="F16" s="67" t="s">
        <v>75</v>
      </c>
      <c r="G16" s="101" t="s">
        <v>135</v>
      </c>
      <c r="H16" s="65"/>
      <c r="I16" s="1"/>
    </row>
    <row r="17" spans="1:16" ht="16.2" thickBot="1" x14ac:dyDescent="0.35">
      <c r="A17" s="1"/>
      <c r="B17" s="68" t="s">
        <v>3</v>
      </c>
      <c r="C17" s="100" t="s">
        <v>143</v>
      </c>
      <c r="D17" s="69"/>
      <c r="E17" s="70"/>
      <c r="F17" s="119" t="s">
        <v>18</v>
      </c>
      <c r="G17" s="119"/>
      <c r="H17" s="120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1" t="s">
        <v>19</v>
      </c>
      <c r="C20" s="122"/>
      <c r="D20" s="122"/>
      <c r="E20" s="122"/>
      <c r="F20" s="122"/>
      <c r="G20" s="122"/>
      <c r="H20" s="123"/>
      <c r="I20" s="1"/>
    </row>
    <row r="21" spans="1:16" ht="16.2" thickBot="1" x14ac:dyDescent="0.35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14">
        <v>1</v>
      </c>
      <c r="C22" s="115" t="s">
        <v>137</v>
      </c>
      <c r="D22" s="118">
        <v>1700</v>
      </c>
      <c r="E22" s="118">
        <v>900</v>
      </c>
      <c r="F22" s="115" t="s">
        <v>145</v>
      </c>
      <c r="G22" s="116">
        <v>98131</v>
      </c>
      <c r="H22" s="117">
        <f>G22*B22</f>
        <v>98131</v>
      </c>
      <c r="I22" s="1"/>
      <c r="J22" s="98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SUM(H22:H23)</f>
        <v>98131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18644.89</v>
      </c>
      <c r="I25" s="1"/>
    </row>
    <row r="26" spans="1:16" ht="16.2" thickBot="1" x14ac:dyDescent="0.35">
      <c r="A26" s="1"/>
      <c r="C26" s="82"/>
      <c r="D26" s="83"/>
      <c r="E26" s="83"/>
      <c r="F26" s="74"/>
      <c r="G26" s="79" t="s">
        <v>4</v>
      </c>
      <c r="H26" s="80">
        <f>H24+H25</f>
        <v>116775.89</v>
      </c>
      <c r="I26" s="1"/>
    </row>
    <row r="27" spans="1:16" ht="15.6" x14ac:dyDescent="0.3">
      <c r="A27" s="1"/>
      <c r="C27" s="82"/>
      <c r="D27" s="83"/>
      <c r="E27" s="83"/>
      <c r="F27" s="74"/>
      <c r="G27" s="1"/>
      <c r="H27" s="1"/>
      <c r="I27" s="1"/>
    </row>
    <row r="28" spans="1:16" ht="15.6" x14ac:dyDescent="0.3">
      <c r="A28" s="1"/>
      <c r="C28" s="1"/>
      <c r="D28" s="1"/>
      <c r="E28" s="84" t="s">
        <v>26</v>
      </c>
      <c r="F28" s="1"/>
      <c r="G28" s="1"/>
      <c r="H28" s="1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B31" s="81" t="s">
        <v>133</v>
      </c>
    </row>
    <row r="32" spans="1:16" ht="15.6" x14ac:dyDescent="0.3">
      <c r="B32" s="81" t="s">
        <v>134</v>
      </c>
    </row>
    <row r="33" spans="2:2" ht="15.6" x14ac:dyDescent="0.3">
      <c r="B33" s="1" t="s">
        <v>25</v>
      </c>
    </row>
  </sheetData>
  <sortState xmlns:xlrd2="http://schemas.microsoft.com/office/spreadsheetml/2017/richdata2" ref="B32">
    <sortCondition sortBy="fontColor" ref="B32" dxfId="0"/>
  </sortState>
  <mergeCells count="2">
    <mergeCell ref="F17:H17"/>
    <mergeCell ref="B20:H20"/>
  </mergeCells>
  <phoneticPr fontId="10" type="noConversion"/>
  <hyperlinks>
    <hyperlink ref="E2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5" zoomScaleNormal="100" workbookViewId="0">
      <selection activeCell="A37" sqref="A37:G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6" t="s">
        <v>61</v>
      </c>
      <c r="L3" s="126"/>
      <c r="M3" s="126" t="s">
        <v>14</v>
      </c>
      <c r="N3" s="126"/>
    </row>
    <row r="4" spans="1:14" ht="15.75" customHeight="1" x14ac:dyDescent="0.3">
      <c r="A4" s="1"/>
      <c r="B4" s="1"/>
      <c r="C4" s="40" t="s">
        <v>27</v>
      </c>
      <c r="D4" s="14">
        <f>'4637'!G8</f>
        <v>7349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PABLO ARAYA LIRA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46009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7" t="s">
        <v>61</v>
      </c>
      <c r="B10" s="127"/>
      <c r="C10" s="127"/>
      <c r="D10" s="127"/>
      <c r="E10" s="127"/>
      <c r="F10" s="12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/>
      <c r="E13" s="32"/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130</v>
      </c>
      <c r="B14" s="25">
        <f t="shared" ref="B14" si="0">I14</f>
        <v>1</v>
      </c>
      <c r="C14" s="25"/>
      <c r="D14" s="25">
        <f t="shared" ref="D14:E14" si="1">J14+D$13</f>
        <v>1700</v>
      </c>
      <c r="E14" s="35">
        <f t="shared" si="1"/>
        <v>900</v>
      </c>
      <c r="F14" s="96" t="str">
        <f>C28</f>
        <v>CUB MESA 90° R8 4 LADOS</v>
      </c>
      <c r="G14" s="1"/>
      <c r="I14" s="3">
        <f>I21</f>
        <v>1</v>
      </c>
      <c r="J14" s="4">
        <f>J21</f>
        <v>1700</v>
      </c>
      <c r="K14" s="4">
        <f>E28</f>
        <v>900</v>
      </c>
    </row>
    <row r="15" spans="1:14" ht="15.6" x14ac:dyDescent="0.3">
      <c r="A15" s="52"/>
      <c r="B15" s="6"/>
      <c r="C15" s="6"/>
      <c r="D15" s="6"/>
      <c r="E15" s="8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3" ht="15.6" x14ac:dyDescent="0.3">
      <c r="A17" s="127" t="s">
        <v>14</v>
      </c>
      <c r="B17" s="127"/>
      <c r="C17" s="127"/>
      <c r="D17" s="127"/>
      <c r="E17" s="127"/>
      <c r="F17" s="127"/>
      <c r="G17" s="1"/>
    </row>
    <row r="18" spans="1:13" ht="10.5" customHeight="1" x14ac:dyDescent="0.3">
      <c r="A18" s="1"/>
      <c r="B18" s="1"/>
      <c r="C18" s="12"/>
      <c r="D18" s="1"/>
      <c r="E18" s="1"/>
      <c r="F18" s="1"/>
      <c r="G18" s="1"/>
    </row>
    <row r="19" spans="1:13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3" ht="15.6" x14ac:dyDescent="0.3">
      <c r="A20" s="52" t="s">
        <v>9</v>
      </c>
      <c r="B20" s="36" t="s">
        <v>10</v>
      </c>
      <c r="C20" s="36" t="s">
        <v>11</v>
      </c>
      <c r="D20" s="21">
        <v>100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3" ht="15.6" x14ac:dyDescent="0.3">
      <c r="A21" s="95"/>
      <c r="B21" s="16">
        <f t="shared" ref="B21" si="2">I21</f>
        <v>1</v>
      </c>
      <c r="C21" s="16"/>
      <c r="D21" s="16">
        <f t="shared" ref="D21:E21" si="3">J21+D$20</f>
        <v>1800</v>
      </c>
      <c r="E21" s="16">
        <f t="shared" si="3"/>
        <v>1000</v>
      </c>
      <c r="F21" s="97" t="str">
        <f>C28</f>
        <v>CUB MESA 90° R8 4 LADOS</v>
      </c>
      <c r="G21" s="1"/>
      <c r="I21" s="3">
        <f>B28</f>
        <v>1</v>
      </c>
      <c r="J21" s="4">
        <f>D28</f>
        <v>1700</v>
      </c>
      <c r="K21" s="4">
        <f>E28</f>
        <v>900</v>
      </c>
      <c r="M21">
        <v>185</v>
      </c>
    </row>
    <row r="22" spans="1:13" ht="15.6" x14ac:dyDescent="0.3">
      <c r="A22" s="95"/>
      <c r="B22" s="6"/>
      <c r="C22" s="6"/>
      <c r="D22" s="6"/>
      <c r="E22" s="6"/>
      <c r="F22" s="110"/>
      <c r="G22" s="1"/>
      <c r="I22" s="89"/>
      <c r="J22" s="2"/>
      <c r="K22" s="2"/>
    </row>
    <row r="23" spans="1:13" ht="15.6" x14ac:dyDescent="0.3">
      <c r="A23" s="95"/>
      <c r="B23" s="6"/>
      <c r="C23" s="6"/>
      <c r="D23" s="6"/>
      <c r="E23" s="6"/>
      <c r="F23" s="110"/>
      <c r="G23" s="1"/>
      <c r="I23" s="89"/>
      <c r="J23" s="2"/>
      <c r="K23" s="2"/>
    </row>
    <row r="24" spans="1:13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3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3" ht="10.5" customHeight="1" x14ac:dyDescent="0.3">
      <c r="A26" s="1"/>
      <c r="B26" s="1"/>
      <c r="C26" s="1"/>
      <c r="D26" s="1"/>
      <c r="E26" s="1"/>
      <c r="F26" s="1"/>
      <c r="G26" s="1"/>
    </row>
    <row r="27" spans="1:13" ht="15.6" x14ac:dyDescent="0.3">
      <c r="A27" s="52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3" ht="15.6" x14ac:dyDescent="0.3">
      <c r="A28" s="95"/>
      <c r="B28" s="25">
        <f>'4637'!B22</f>
        <v>1</v>
      </c>
      <c r="C28" s="103" t="str">
        <f>'4637'!C22</f>
        <v>CUB MESA 90° R8 4 LADOS</v>
      </c>
      <c r="D28" s="25">
        <f>'4637'!D22</f>
        <v>1700</v>
      </c>
      <c r="E28" s="25">
        <f>'4637'!E22</f>
        <v>900</v>
      </c>
      <c r="F28" s="25" t="str">
        <f>'4637'!F22</f>
        <v>WHITE MARBLE 42004 GL</v>
      </c>
      <c r="G28" s="1"/>
    </row>
    <row r="29" spans="1:13" ht="15.6" x14ac:dyDescent="0.3">
      <c r="A29" s="95"/>
      <c r="B29" s="6"/>
      <c r="C29" s="109"/>
      <c r="D29" s="6"/>
      <c r="E29" s="6"/>
      <c r="F29" s="6"/>
      <c r="G29" s="1"/>
    </row>
    <row r="30" spans="1:13" ht="15.6" x14ac:dyDescent="0.3">
      <c r="A30" s="1"/>
      <c r="B30" s="6"/>
      <c r="C30" s="6"/>
      <c r="D30" s="6"/>
      <c r="E30" s="6"/>
      <c r="F30" s="6"/>
      <c r="G30" s="1"/>
    </row>
    <row r="31" spans="1:13" ht="15.6" x14ac:dyDescent="0.3">
      <c r="A31" s="1"/>
      <c r="B31" s="6"/>
      <c r="C31" s="6"/>
      <c r="D31" s="6"/>
      <c r="E31" s="6"/>
      <c r="F31" s="6"/>
      <c r="G31" s="1"/>
    </row>
    <row r="32" spans="1:13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7349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JUAN PABLO ARAYA LIRA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46009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7" t="s">
        <v>68</v>
      </c>
      <c r="B45" s="127"/>
      <c r="C45" s="127"/>
      <c r="D45" s="127"/>
      <c r="E45" s="127"/>
      <c r="F45" s="127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8" t="s">
        <v>69</v>
      </c>
      <c r="C47" s="129"/>
      <c r="D47" s="130"/>
      <c r="E47" s="130"/>
      <c r="F47" s="131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106" t="s">
        <v>8</v>
      </c>
      <c r="F48" s="49" t="s">
        <v>12</v>
      </c>
      <c r="G48" s="1"/>
    </row>
    <row r="49" spans="1:7" s="15" customFormat="1" ht="15" customHeight="1" x14ac:dyDescent="0.3">
      <c r="A49" s="95"/>
      <c r="B49" s="38">
        <f>'4637'!B22</f>
        <v>1</v>
      </c>
      <c r="C49" s="102" t="str">
        <f>'4637'!C22</f>
        <v>CUB MESA 90° R8 4 LADOS</v>
      </c>
      <c r="D49" s="39">
        <f>'4637'!D22</f>
        <v>1700</v>
      </c>
      <c r="E49" s="107">
        <f>'4637'!E22</f>
        <v>900</v>
      </c>
      <c r="F49" s="108" t="str">
        <f>'4637'!F22</f>
        <v>WHITE MARBLE 42004 GL</v>
      </c>
      <c r="G49" s="1"/>
    </row>
    <row r="50" spans="1:7" s="15" customFormat="1" ht="15" customHeight="1" x14ac:dyDescent="0.3">
      <c r="A50" s="95"/>
      <c r="B50" s="52"/>
      <c r="C50" s="105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2025-12-12T14:58:49Z</cp:lastPrinted>
  <dcterms:created xsi:type="dcterms:W3CDTF">2013-03-19T12:54:14Z</dcterms:created>
  <dcterms:modified xsi:type="dcterms:W3CDTF">2025-12-12T14:59:17Z</dcterms:modified>
</cp:coreProperties>
</file>