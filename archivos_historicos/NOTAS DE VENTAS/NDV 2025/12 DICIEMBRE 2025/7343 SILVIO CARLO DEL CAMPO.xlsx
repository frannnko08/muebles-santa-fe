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2 DICIEMBRE 2025\"/>
    </mc:Choice>
  </mc:AlternateContent>
  <xr:revisionPtr revIDLastSave="0" documentId="13_ncr:1_{2EF5AD95-CBD1-456D-BD2A-93A3A4D6257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'4637'!$A$1:$H$28</definedName>
    <definedName name="_xlnm.Print_Area" localSheetId="2">CUBIERTA!$A$40:$G$65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4" l="1"/>
  <c r="H22" i="4"/>
  <c r="H25" i="4" s="1"/>
  <c r="H26" i="4" l="1"/>
  <c r="H27" i="4" s="1"/>
  <c r="B31" i="3"/>
  <c r="C31" i="3"/>
  <c r="F24" i="3" s="1"/>
  <c r="D31" i="3"/>
  <c r="J24" i="3" s="1"/>
  <c r="D24" i="3" s="1"/>
  <c r="E31" i="3"/>
  <c r="K24" i="3" s="1"/>
  <c r="E24" i="3" s="1"/>
  <c r="F31" i="3"/>
  <c r="B53" i="3"/>
  <c r="C53" i="3"/>
  <c r="D53" i="3"/>
  <c r="E53" i="3"/>
  <c r="F53" i="3"/>
  <c r="I24" i="3" l="1"/>
  <c r="I15" i="3" s="1"/>
  <c r="B15" i="3" s="1"/>
  <c r="K15" i="3"/>
  <c r="E15" i="3" s="1"/>
  <c r="J15" i="3"/>
  <c r="D15" i="3" s="1"/>
  <c r="F15" i="3"/>
  <c r="B30" i="3"/>
  <c r="I23" i="3" s="1"/>
  <c r="I14" i="3" s="1"/>
  <c r="C30" i="3"/>
  <c r="F14" i="3" s="1"/>
  <c r="D30" i="3"/>
  <c r="J23" i="3" s="1"/>
  <c r="D23" i="3" s="1"/>
  <c r="E30" i="3"/>
  <c r="K23" i="3" s="1"/>
  <c r="E23" i="3" s="1"/>
  <c r="F30" i="3"/>
  <c r="B52" i="3"/>
  <c r="C52" i="3"/>
  <c r="D52" i="3"/>
  <c r="E52" i="3"/>
  <c r="F52" i="3"/>
  <c r="B24" i="3" l="1"/>
  <c r="J14" i="3"/>
  <c r="D14" i="3" s="1"/>
  <c r="K14" i="3"/>
  <c r="E14" i="3" s="1"/>
  <c r="B23" i="3"/>
  <c r="B14" i="3"/>
  <c r="F23" i="3"/>
  <c r="N5" i="3" l="1"/>
  <c r="M5" i="3" l="1"/>
  <c r="L5" i="3"/>
  <c r="K5" i="3"/>
  <c r="C45" i="3" l="1"/>
  <c r="C7" i="3"/>
  <c r="D43" i="3"/>
  <c r="D5" i="3"/>
  <c r="D45" i="3"/>
  <c r="D7" i="3"/>
  <c r="D42" i="3"/>
  <c r="D4" i="3"/>
</calcChain>
</file>

<file path=xl/sharedStrings.xml><?xml version="1.0" encoding="utf-8"?>
<sst xmlns="http://schemas.openxmlformats.org/spreadsheetml/2006/main" count="245" uniqueCount="142">
  <si>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</si>
  <si>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</si>
  <si>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</si>
  <si>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</si>
  <si>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</si>
  <si>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</si>
  <si>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</si>
  <si>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</si>
  <si>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</si>
  <si>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</si>
  <si>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</si>
  <si>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</si>
  <si>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</si>
  <si>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</si>
  <si>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</si>
  <si>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</si>
  <si>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</si>
  <si>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</si>
  <si>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</si>
  <si>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</si>
  <si>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</si>
  <si>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</si>
  <si>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</si>
  <si>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</si>
  <si>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</si>
  <si>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</si>
  <si>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</si>
  <si>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</si>
  <si>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</si>
  <si>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</si>
  <si>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</si>
  <si>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</si>
  <si>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</si>
  <si>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</si>
  <si>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</si>
  <si>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</si>
  <si>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</si>
  <si>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</si>
  <si>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</si>
  <si>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</si>
  <si>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</si>
  <si>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</si>
  <si>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</si>
  <si>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</si>
  <si>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</si>
  <si>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</si>
  <si>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</si>
  <si>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</si>
  <si>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</si>
  <si>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</si>
  <si>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</si>
  <si>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</si>
  <si>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</si>
  <si>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</si>
  <si>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</si>
  <si>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</si>
  <si>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</si>
  <si>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</si>
  <si>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</si>
  <si>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</si>
  <si>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</si>
  <si>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</si>
  <si>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</si>
  <si>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</si>
  <si>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</si>
  <si>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</si>
  <si>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</si>
  <si>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</si>
  <si>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</si>
  <si>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</si>
  <si>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</si>
  <si>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</si>
  <si>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</si>
  <si>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</si>
  <si>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</si>
  <si>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</si>
  <si>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</si>
  <si>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</si>
  <si>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</si>
  <si>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</si>
  <si>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</si>
  <si>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</si>
  <si>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</si>
  <si>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</si>
  <si>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</si>
  <si>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</si>
  <si>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</si>
  <si>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</si>
  <si>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</si>
  <si>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</si>
  <si>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</si>
  <si>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</si>
  <si>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</si>
  <si>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</si>
  <si>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</si>
  <si>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</si>
  <si>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</si>
  <si>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</si>
  <si>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</si>
  <si>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</si>
  <si>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</si>
  <si>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</si>
  <si>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</si>
  <si>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</si>
  <si>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</si>
  <si>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</si>
  <si>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</si>
  <si>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</si>
  <si>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</si>
  <si>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</si>
  <si>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</si>
  <si>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</si>
  <si>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</si>
  <si>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</si>
  <si>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</si>
  <si>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</si>
  <si>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</si>
  <si>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</si>
  <si>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</si>
  <si>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</si>
  <si>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</si>
  <si>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</si>
  <si>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</si>
  <si>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</si>
  <si>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</si>
  <si>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</si>
  <si>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</si>
  <si>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</si>
  <si>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</si>
  <si>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</si>
  <si>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</si>
  <si>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MDF18MM</t>
  </si>
  <si>
    <t>CORREO:</t>
  </si>
  <si>
    <t>OBRA:</t>
  </si>
  <si>
    <t xml:space="preserve">CUENTA CORRIENTE BANCO SANATNDER N° 87316181 A NOMBRE DE </t>
  </si>
  <si>
    <t>"MUEBLES SANTA FE SPA." - RUT : 77.054.606-0, CORREO: FRANCODONOSO@TOPMOBILI.CL</t>
  </si>
  <si>
    <t>CONTADO</t>
  </si>
  <si>
    <t>N° 11780</t>
  </si>
  <si>
    <t>SILVIO CARLO DEL CAMPO</t>
  </si>
  <si>
    <t>+56 9 9304 0310</t>
  </si>
  <si>
    <t>CUB C/R 180°</t>
  </si>
  <si>
    <t>GRANITO KOMBI 0670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</si>
</sst>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0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6" fillId="3" borderId="0" xfId="0" applyFont="1" applyFill="1"/>
    <xf numFmtId="0" fontId="6" fillId="3" borderId="0" xfId="2" applyFill="1"/>
    <xf numFmtId="0" fontId="18" fillId="0" borderId="9" xfId="2" applyFont="1" applyFill="1" applyBorder="1" applyAlignment="1">
      <alignment horizontal="left"/>
    </xf>
    <xf numFmtId="0" fontId="19" fillId="3" borderId="0" xfId="0" applyFont="1" applyFill="1"/>
    <xf numFmtId="0" fontId="20" fillId="0" borderId="1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2" fillId="3" borderId="0" xfId="0" applyFont="1" applyFill="1"/>
    <xf numFmtId="0" fontId="21" fillId="0" borderId="2" xfId="0" applyFont="1" applyBorder="1" applyAlignment="1">
      <alignment horizontal="center" vertical="center"/>
    </xf>
    <xf numFmtId="3" fontId="16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quotePrefix="1" applyFont="1" applyAlignment="1">
      <alignment horizontal="left" vertical="top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125730</xdr:colOff>
      <xdr:row>25</xdr:row>
      <xdr:rowOff>55245</xdr:rowOff>
    </xdr:from>
    <xdr:to>
      <xdr:col>5</xdr:col>
      <xdr:colOff>1504950</xdr:colOff>
      <xdr:row>29</xdr:row>
      <xdr:rowOff>100965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23850" y="9549765"/>
          <a:ext cx="5318760" cy="8382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</a:t>
          </a:r>
          <a:r>
            <a:rPr lang="es-CL" sz="900" b="1" i="1" baseline="0"/>
            <a:t> ABONO $ 140.000.-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46</xdr:row>
      <xdr:rowOff>171450</xdr:rowOff>
    </xdr:from>
    <xdr:to>
      <xdr:col>5</xdr:col>
      <xdr:colOff>1685924</xdr:colOff>
      <xdr:row>48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0</xdr:rowOff>
    </xdr:from>
    <xdr:to>
      <xdr:col>6</xdr:col>
      <xdr:colOff>0</xdr:colOff>
      <xdr:row>45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38100</xdr:rowOff>
    </xdr:from>
    <xdr:to>
      <xdr:col>6</xdr:col>
      <xdr:colOff>0</xdr:colOff>
      <xdr:row>43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55</xdr:row>
      <xdr:rowOff>0</xdr:rowOff>
    </xdr:from>
    <xdr:to>
      <xdr:col>2</xdr:col>
      <xdr:colOff>38100</xdr:colOff>
      <xdr:row>56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55</xdr:row>
      <xdr:rowOff>0</xdr:rowOff>
    </xdr:from>
    <xdr:to>
      <xdr:col>2</xdr:col>
      <xdr:colOff>1019175</xdr:colOff>
      <xdr:row>55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0</xdr:rowOff>
    </xdr:from>
    <xdr:to>
      <xdr:col>3</xdr:col>
      <xdr:colOff>352425</xdr:colOff>
      <xdr:row>56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0</xdr:rowOff>
    </xdr:from>
    <xdr:to>
      <xdr:col>4</xdr:col>
      <xdr:colOff>257175</xdr:colOff>
      <xdr:row>56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0</xdr:rowOff>
    </xdr:from>
    <xdr:to>
      <xdr:col>5</xdr:col>
      <xdr:colOff>447675</xdr:colOff>
      <xdr:row>55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0</xdr:rowOff>
    </xdr:from>
    <xdr:to>
      <xdr:col>6</xdr:col>
      <xdr:colOff>0</xdr:colOff>
      <xdr:row>55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55</xdr:row>
      <xdr:rowOff>190500</xdr:rowOff>
    </xdr:from>
    <xdr:to>
      <xdr:col>2</xdr:col>
      <xdr:colOff>304800</xdr:colOff>
      <xdr:row>57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55</xdr:row>
      <xdr:rowOff>190500</xdr:rowOff>
    </xdr:from>
    <xdr:to>
      <xdr:col>2</xdr:col>
      <xdr:colOff>1276350</xdr:colOff>
      <xdr:row>57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190500</xdr:rowOff>
    </xdr:from>
    <xdr:to>
      <xdr:col>3</xdr:col>
      <xdr:colOff>619125</xdr:colOff>
      <xdr:row>57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190500</xdr:rowOff>
    </xdr:from>
    <xdr:to>
      <xdr:col>4</xdr:col>
      <xdr:colOff>523875</xdr:colOff>
      <xdr:row>57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190500</xdr:rowOff>
    </xdr:from>
    <xdr:to>
      <xdr:col>5</xdr:col>
      <xdr:colOff>723900</xdr:colOff>
      <xdr:row>57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190500</xdr:rowOff>
    </xdr:from>
    <xdr:to>
      <xdr:col>6</xdr:col>
      <xdr:colOff>0</xdr:colOff>
      <xdr:row>57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33</xdr:row>
      <xdr:rowOff>15239</xdr:rowOff>
    </xdr:from>
    <xdr:to>
      <xdr:col>6</xdr:col>
      <xdr:colOff>68580</xdr:colOff>
      <xdr:row>37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CUBIERTA DE 3450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X 620 UNION DE LAMINADO A LA IZQUIERDA MIRANDOLA DE FRENTE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25</xdr:row>
      <xdr:rowOff>200025</xdr:rowOff>
    </xdr:from>
    <xdr:to>
      <xdr:col>6</xdr:col>
      <xdr:colOff>19049</xdr:colOff>
      <xdr:row>27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58</xdr:row>
      <xdr:rowOff>32385</xdr:rowOff>
    </xdr:from>
    <xdr:to>
      <xdr:col>6</xdr:col>
      <xdr:colOff>19050</xdr:colOff>
      <xdr:row>62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CUBIERTA DE 3450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X 620 UNION DE LAMINADO A LA IZQUIERDA MIRANDOLA DE FRENTE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40</xdr:row>
      <xdr:rowOff>41910</xdr:rowOff>
    </xdr:from>
    <xdr:to>
      <xdr:col>1</xdr:col>
      <xdr:colOff>801763</xdr:colOff>
      <xdr:row>46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workbookViewId="0">
      <selection activeCell="G30" sqref="G30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88671875" customWidth="1"/>
    <col min="4" max="5" width="9.109375" customWidth="1"/>
    <col min="6" max="6" width="27.44140625" customWidth="1"/>
    <col min="7" max="7" width="15.44140625" customWidth="1"/>
    <col min="8" max="8" width="13.2187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137</v>
      </c>
      <c r="E8" s="1"/>
      <c r="F8" s="93" t="s">
        <v>27</v>
      </c>
      <c r="G8" s="94">
        <v>7343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127</v>
      </c>
      <c r="C10" s="85" t="s">
        <v>138</v>
      </c>
      <c r="D10" s="55"/>
      <c r="E10" s="55"/>
      <c r="F10" s="56" t="s">
        <v>28</v>
      </c>
      <c r="G10" s="57">
        <v>46000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9" t="s">
        <v>2</v>
      </c>
      <c r="C11" s="109"/>
      <c r="D11" s="60"/>
      <c r="E11" s="60"/>
      <c r="F11" s="60" t="s">
        <v>122</v>
      </c>
      <c r="G11" s="61">
        <v>46003</v>
      </c>
      <c r="H11" s="62"/>
      <c r="I11" s="1"/>
    </row>
    <row r="12" spans="1:17" ht="15.6" x14ac:dyDescent="0.3">
      <c r="A12" s="1"/>
      <c r="B12" s="63" t="s">
        <v>128</v>
      </c>
      <c r="C12" s="107"/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130</v>
      </c>
      <c r="D13" s="43"/>
      <c r="E13" s="43"/>
      <c r="F13" s="43" t="s">
        <v>126</v>
      </c>
      <c r="G13" s="64"/>
      <c r="H13" s="65"/>
      <c r="I13" s="1"/>
    </row>
    <row r="14" spans="1:17" ht="15.6" x14ac:dyDescent="0.3">
      <c r="A14" s="1"/>
      <c r="B14" s="63" t="s">
        <v>132</v>
      </c>
      <c r="C14" s="102"/>
      <c r="D14" s="43"/>
      <c r="E14" s="43"/>
      <c r="F14" s="43" t="s">
        <v>133</v>
      </c>
      <c r="G14" s="64"/>
      <c r="H14" s="65"/>
      <c r="I14" s="1"/>
    </row>
    <row r="15" spans="1:17" ht="15.6" x14ac:dyDescent="0.3">
      <c r="A15" s="1"/>
      <c r="B15" s="59" t="s">
        <v>17</v>
      </c>
      <c r="C15" s="116" t="s">
        <v>139</v>
      </c>
      <c r="D15" s="66"/>
      <c r="E15" s="60"/>
      <c r="F15" s="60" t="s">
        <v>29</v>
      </c>
      <c r="G15" s="60"/>
      <c r="H15" s="62"/>
      <c r="I15" s="1"/>
    </row>
    <row r="16" spans="1:17" ht="16.8" x14ac:dyDescent="0.4">
      <c r="A16" s="1"/>
      <c r="B16" s="63" t="s">
        <v>1</v>
      </c>
      <c r="C16" s="101"/>
      <c r="D16" s="43"/>
      <c r="E16" s="43"/>
      <c r="F16" s="67" t="s">
        <v>75</v>
      </c>
      <c r="G16" s="104" t="s">
        <v>136</v>
      </c>
      <c r="H16" s="65"/>
      <c r="I16" s="1"/>
    </row>
    <row r="17" spans="1:16" ht="16.2" thickBot="1" x14ac:dyDescent="0.35">
      <c r="A17" s="1"/>
      <c r="B17" s="68" t="s">
        <v>3</v>
      </c>
      <c r="C17" s="103" t="s">
        <v>129</v>
      </c>
      <c r="D17" s="69"/>
      <c r="E17" s="70"/>
      <c r="F17" s="117" t="s">
        <v>18</v>
      </c>
      <c r="G17" s="117"/>
      <c r="H17" s="118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19" t="s">
        <v>19</v>
      </c>
      <c r="C20" s="120"/>
      <c r="D20" s="120"/>
      <c r="E20" s="120"/>
      <c r="F20" s="120"/>
      <c r="G20" s="120"/>
      <c r="H20" s="121"/>
      <c r="I20" s="1"/>
    </row>
    <row r="21" spans="1:16" ht="15.6" x14ac:dyDescent="0.3">
      <c r="A21" s="1"/>
      <c r="B21" s="71" t="s">
        <v>20</v>
      </c>
      <c r="C21" s="72" t="s">
        <v>21</v>
      </c>
      <c r="D21" s="72" t="s">
        <v>22</v>
      </c>
      <c r="E21" s="72" t="s">
        <v>8</v>
      </c>
      <c r="F21" s="73" t="s">
        <v>23</v>
      </c>
      <c r="G21" s="71" t="s">
        <v>24</v>
      </c>
      <c r="H21" s="73" t="s">
        <v>4</v>
      </c>
      <c r="I21" s="1"/>
    </row>
    <row r="22" spans="1:16" ht="18" customHeight="1" x14ac:dyDescent="0.3">
      <c r="A22" s="1"/>
      <c r="B22" s="98">
        <v>1</v>
      </c>
      <c r="C22" s="108" t="s">
        <v>140</v>
      </c>
      <c r="D22" s="100">
        <v>3450</v>
      </c>
      <c r="E22" s="100">
        <v>620</v>
      </c>
      <c r="F22" s="98" t="s">
        <v>141</v>
      </c>
      <c r="G22" s="99">
        <v>147392</v>
      </c>
      <c r="H22" s="99">
        <f>G22+B22</f>
        <v>147393</v>
      </c>
      <c r="I22" s="1"/>
      <c r="J22" s="98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8">
        <v>1</v>
      </c>
      <c r="C23" s="108" t="s">
        <v>140</v>
      </c>
      <c r="D23" s="100">
        <v>2030</v>
      </c>
      <c r="E23" s="100">
        <v>620</v>
      </c>
      <c r="F23" s="98" t="s">
        <v>141</v>
      </c>
      <c r="G23" s="99">
        <v>85284</v>
      </c>
      <c r="H23" s="99">
        <f>G23+B23</f>
        <v>85285</v>
      </c>
      <c r="I23" s="1"/>
      <c r="K23" s="17"/>
      <c r="L23" s="26"/>
      <c r="M23" s="17"/>
      <c r="N23" s="17"/>
      <c r="O23" s="26"/>
      <c r="P23" s="33"/>
    </row>
    <row r="24" spans="1:16" ht="18" customHeight="1" thickBot="1" x14ac:dyDescent="0.35">
      <c r="A24" s="1"/>
      <c r="I24" s="1"/>
    </row>
    <row r="25" spans="1:16" ht="15.6" x14ac:dyDescent="0.3">
      <c r="A25" s="1"/>
      <c r="B25" s="1"/>
      <c r="C25" s="1"/>
      <c r="D25" s="1"/>
      <c r="E25" s="1"/>
      <c r="F25" s="1"/>
      <c r="G25" s="75" t="s">
        <v>5</v>
      </c>
      <c r="H25" s="76">
        <f>SUM(H22:H24)</f>
        <v>232678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7" t="s">
        <v>6</v>
      </c>
      <c r="H26" s="78">
        <f>H25*19%</f>
        <v>44208.82</v>
      </c>
      <c r="I26" s="1"/>
    </row>
    <row r="27" spans="1:16" ht="16.2" thickBot="1" x14ac:dyDescent="0.35">
      <c r="A27" s="1"/>
      <c r="C27" s="82"/>
      <c r="D27" s="83"/>
      <c r="E27" s="83"/>
      <c r="F27" s="74"/>
      <c r="G27" s="79" t="s">
        <v>4</v>
      </c>
      <c r="H27" s="80">
        <f>H25+H26</f>
        <v>276886.82</v>
      </c>
      <c r="I27" s="1"/>
    </row>
    <row r="28" spans="1:16" ht="15.6" x14ac:dyDescent="0.3">
      <c r="A28" s="1"/>
      <c r="C28" s="82"/>
      <c r="D28" s="83"/>
      <c r="E28" s="83"/>
      <c r="F28" s="74"/>
      <c r="G28" s="1"/>
      <c r="H28" s="1"/>
      <c r="I28" s="1"/>
    </row>
    <row r="29" spans="1:16" ht="15.6" x14ac:dyDescent="0.3">
      <c r="A29" s="1"/>
      <c r="C29" s="1"/>
      <c r="D29" s="1"/>
      <c r="E29" s="84" t="s">
        <v>26</v>
      </c>
      <c r="F29" s="1"/>
      <c r="G29" s="1"/>
      <c r="H29" s="1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16" ht="15.6" x14ac:dyDescent="0.3">
      <c r="B32" s="81" t="s">
        <v>134</v>
      </c>
    </row>
    <row r="33" spans="2:2" ht="15.6" x14ac:dyDescent="0.3">
      <c r="B33" s="81" t="s">
        <v>135</v>
      </c>
    </row>
    <row r="34" spans="2:2" ht="15.6" x14ac:dyDescent="0.3">
      <c r="B34" s="1" t="s">
        <v>25</v>
      </c>
    </row>
  </sheetData>
  <sortState xmlns:xlrd2="http://schemas.microsoft.com/office/spreadsheetml/2017/richdata2" ref="B33">
    <sortCondition sortBy="fontColor" ref="B33" dxfId="0"/>
  </sortState>
  <mergeCells count="2">
    <mergeCell ref="F17:H17"/>
    <mergeCell ref="B20:H20"/>
  </mergeCells>
  <phoneticPr fontId="10" type="noConversion"/>
  <hyperlinks>
    <hyperlink ref="E29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2" t="s">
        <v>31</v>
      </c>
      <c r="C2" s="122"/>
      <c r="D2" s="122"/>
      <c r="E2" s="18"/>
      <c r="G2" s="122" t="s">
        <v>70</v>
      </c>
      <c r="H2" s="122"/>
      <c r="I2" s="122"/>
      <c r="P2" s="123" t="s">
        <v>58</v>
      </c>
      <c r="Q2" s="123"/>
      <c r="R2" s="123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3" t="s">
        <v>58</v>
      </c>
      <c r="M8" s="123"/>
      <c r="N8" s="123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125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6"/>
  <sheetViews>
    <sheetView tabSelected="1" topLeftCell="A28" zoomScaleNormal="100" workbookViewId="0">
      <selection activeCell="A40" sqref="A40:G65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3.21875" customWidth="1"/>
    <col min="4" max="4" width="13.77734375" customWidth="1"/>
    <col min="5" max="5" width="11" customWidth="1"/>
    <col min="6" max="6" width="34.3320312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124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4" t="s">
        <v>61</v>
      </c>
      <c r="L3" s="124"/>
      <c r="M3" s="124" t="s">
        <v>14</v>
      </c>
      <c r="N3" s="124"/>
    </row>
    <row r="4" spans="1:14" ht="15.75" customHeight="1" x14ac:dyDescent="0.3">
      <c r="A4" s="1"/>
      <c r="B4" s="1"/>
      <c r="C4" s="40" t="s">
        <v>27</v>
      </c>
      <c r="D4" s="14">
        <f>'4637'!G8</f>
        <v>7343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SILVIO CARLO DEL CAMPO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46003</v>
      </c>
      <c r="E7" s="1"/>
      <c r="F7" s="1"/>
      <c r="G7" s="1"/>
    </row>
    <row r="8" spans="1:14" ht="15.6" x14ac:dyDescent="0.3">
      <c r="A8" s="1"/>
      <c r="B8" s="1"/>
      <c r="C8" s="53" t="s">
        <v>123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5" t="s">
        <v>61</v>
      </c>
      <c r="B10" s="125"/>
      <c r="C10" s="125"/>
      <c r="D10" s="125"/>
      <c r="E10" s="125"/>
      <c r="F10" s="125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6.2" customHeight="1" x14ac:dyDescent="0.3">
      <c r="A14" s="95" t="s">
        <v>131</v>
      </c>
      <c r="B14" s="25">
        <f t="shared" ref="B14" si="0">I14</f>
        <v>1</v>
      </c>
      <c r="C14" s="25"/>
      <c r="D14" s="25">
        <f>J14+D$13</f>
        <v>3530</v>
      </c>
      <c r="E14" s="35">
        <f>K14+E$13</f>
        <v>590</v>
      </c>
      <c r="F14" s="96" t="str">
        <f t="shared" ref="F14:F15" si="1">C30</f>
        <v>CUB C/R 180°</v>
      </c>
      <c r="G14" s="1"/>
      <c r="I14" s="3">
        <f>I23</f>
        <v>1</v>
      </c>
      <c r="J14" s="4">
        <f>J23</f>
        <v>3450</v>
      </c>
      <c r="K14" s="4">
        <f t="shared" ref="K14:K15" si="2">E30</f>
        <v>620</v>
      </c>
    </row>
    <row r="15" spans="1:14" ht="16.2" customHeight="1" x14ac:dyDescent="0.3">
      <c r="A15" s="95"/>
      <c r="B15" s="25">
        <f t="shared" ref="B15" si="3">I15</f>
        <v>1</v>
      </c>
      <c r="C15" s="25"/>
      <c r="D15" s="25">
        <f>J15+D$13</f>
        <v>2110</v>
      </c>
      <c r="E15" s="35">
        <f>K15+E$13</f>
        <v>590</v>
      </c>
      <c r="F15" s="96" t="str">
        <f t="shared" si="1"/>
        <v>CUB C/R 180°</v>
      </c>
      <c r="G15" s="1"/>
      <c r="I15" s="3">
        <f t="shared" ref="I15" si="4">I24</f>
        <v>1</v>
      </c>
      <c r="J15" s="4">
        <f>J24</f>
        <v>2030</v>
      </c>
      <c r="K15" s="4">
        <f t="shared" si="2"/>
        <v>620</v>
      </c>
    </row>
    <row r="16" spans="1:14" ht="16.2" customHeight="1" x14ac:dyDescent="0.3">
      <c r="A16" s="95"/>
      <c r="B16" s="6"/>
      <c r="C16" s="6"/>
      <c r="D16" s="6"/>
      <c r="E16" s="88"/>
      <c r="F16" s="115"/>
      <c r="G16" s="1"/>
      <c r="I16" s="89"/>
      <c r="J16" s="2"/>
      <c r="K16" s="2"/>
    </row>
    <row r="17" spans="1:13" ht="15.6" x14ac:dyDescent="0.3">
      <c r="A17" s="52"/>
      <c r="B17" s="6"/>
      <c r="C17" s="6"/>
      <c r="D17" s="6"/>
      <c r="E17" s="88"/>
      <c r="F17" s="6"/>
      <c r="G17" s="1"/>
      <c r="I17" s="89"/>
      <c r="J17" s="2"/>
      <c r="K17" s="2"/>
    </row>
    <row r="18" spans="1:13" ht="6.75" customHeight="1" x14ac:dyDescent="0.3">
      <c r="A18" s="1"/>
      <c r="B18" s="1"/>
      <c r="C18" s="1"/>
      <c r="D18" s="1"/>
      <c r="E18" s="1"/>
      <c r="F18" s="1"/>
      <c r="G18" s="1"/>
    </row>
    <row r="19" spans="1:13" ht="15.6" x14ac:dyDescent="0.3">
      <c r="A19" s="125" t="s">
        <v>14</v>
      </c>
      <c r="B19" s="125"/>
      <c r="C19" s="125"/>
      <c r="D19" s="125"/>
      <c r="E19" s="125"/>
      <c r="F19" s="125"/>
      <c r="G19" s="1"/>
    </row>
    <row r="20" spans="1:13" ht="10.5" customHeight="1" x14ac:dyDescent="0.3">
      <c r="A20" s="1"/>
      <c r="B20" s="1"/>
      <c r="C20" s="12"/>
      <c r="D20" s="1"/>
      <c r="E20" s="1"/>
      <c r="F20" s="1"/>
      <c r="G20" s="1"/>
    </row>
    <row r="21" spans="1:13" ht="15.6" x14ac:dyDescent="0.3">
      <c r="A21" s="1"/>
      <c r="B21" s="1"/>
      <c r="C21" s="1"/>
      <c r="D21" s="52" t="s">
        <v>7</v>
      </c>
      <c r="E21" s="52" t="s">
        <v>8</v>
      </c>
      <c r="F21" s="1"/>
      <c r="G21" s="1"/>
    </row>
    <row r="22" spans="1:13" ht="15.6" x14ac:dyDescent="0.3">
      <c r="A22" s="52" t="s">
        <v>9</v>
      </c>
      <c r="B22" s="36" t="s">
        <v>10</v>
      </c>
      <c r="C22" s="36" t="s">
        <v>11</v>
      </c>
      <c r="D22" s="21">
        <v>40</v>
      </c>
      <c r="E22" s="21">
        <v>150</v>
      </c>
      <c r="F22" s="36" t="s">
        <v>110</v>
      </c>
      <c r="G22" s="1"/>
      <c r="J22" s="5" t="s">
        <v>7</v>
      </c>
      <c r="K22" s="5" t="s">
        <v>8</v>
      </c>
    </row>
    <row r="23" spans="1:13" ht="15.6" x14ac:dyDescent="0.3">
      <c r="A23" s="95"/>
      <c r="B23" s="16">
        <f t="shared" ref="B23" si="5">I23</f>
        <v>1</v>
      </c>
      <c r="C23" s="16"/>
      <c r="D23" s="16">
        <f>J23+D$22</f>
        <v>3490</v>
      </c>
      <c r="E23" s="16">
        <f>K23+E$22</f>
        <v>770</v>
      </c>
      <c r="F23" s="97" t="str">
        <f>C30</f>
        <v>CUB C/R 180°</v>
      </c>
      <c r="G23" s="1"/>
      <c r="I23" s="3">
        <f>B30</f>
        <v>1</v>
      </c>
      <c r="J23" s="4">
        <f>D30</f>
        <v>3450</v>
      </c>
      <c r="K23" s="4">
        <f>E30</f>
        <v>620</v>
      </c>
      <c r="M23">
        <v>185</v>
      </c>
    </row>
    <row r="24" spans="1:13" ht="15.6" x14ac:dyDescent="0.3">
      <c r="A24" s="95"/>
      <c r="B24" s="16">
        <f t="shared" ref="B24" si="6">I24</f>
        <v>1</v>
      </c>
      <c r="C24" s="16"/>
      <c r="D24" s="16">
        <f>J24+D$22</f>
        <v>2070</v>
      </c>
      <c r="E24" s="16">
        <f>K24+E$22</f>
        <v>770</v>
      </c>
      <c r="F24" s="97" t="str">
        <f>C31</f>
        <v>CUB C/R 180°</v>
      </c>
      <c r="G24" s="1"/>
      <c r="I24" s="3">
        <f>B31</f>
        <v>1</v>
      </c>
      <c r="J24" s="4">
        <f>D31</f>
        <v>2030</v>
      </c>
      <c r="K24" s="4">
        <f>E31</f>
        <v>620</v>
      </c>
    </row>
    <row r="25" spans="1:13" ht="15.6" x14ac:dyDescent="0.3">
      <c r="A25" s="95"/>
      <c r="B25" s="6"/>
      <c r="C25" s="6"/>
      <c r="D25" s="6"/>
      <c r="E25" s="6"/>
      <c r="F25" s="115"/>
      <c r="G25" s="1"/>
      <c r="I25" s="89"/>
      <c r="J25" s="2"/>
      <c r="K25" s="2"/>
    </row>
    <row r="26" spans="1:13" ht="16.2" thickBot="1" x14ac:dyDescent="0.35">
      <c r="A26" s="52"/>
      <c r="B26" s="6"/>
      <c r="C26" s="6"/>
      <c r="D26" s="6"/>
      <c r="E26" s="6"/>
      <c r="F26" s="6"/>
      <c r="G26" s="1"/>
      <c r="I26" s="2"/>
      <c r="J26" s="2"/>
      <c r="K26" s="2"/>
    </row>
    <row r="27" spans="1:13" ht="16.2" thickBot="1" x14ac:dyDescent="0.35">
      <c r="A27" s="52"/>
      <c r="B27" s="22" t="s">
        <v>107</v>
      </c>
      <c r="C27" s="23"/>
      <c r="D27" s="23"/>
      <c r="E27" s="23"/>
      <c r="F27" s="24"/>
      <c r="G27" s="1"/>
      <c r="I27" s="2"/>
      <c r="J27" s="2"/>
      <c r="K27" s="2"/>
    </row>
    <row r="28" spans="1:13" ht="10.5" customHeight="1" x14ac:dyDescent="0.3">
      <c r="A28" s="1"/>
      <c r="B28" s="1"/>
      <c r="C28" s="1"/>
      <c r="D28" s="1"/>
      <c r="E28" s="1"/>
      <c r="F28" s="1"/>
      <c r="G28" s="1"/>
    </row>
    <row r="29" spans="1:13" ht="15.6" x14ac:dyDescent="0.3">
      <c r="A29" s="52" t="s">
        <v>9</v>
      </c>
      <c r="B29" s="87" t="s">
        <v>10</v>
      </c>
      <c r="C29" s="87" t="s">
        <v>110</v>
      </c>
      <c r="D29" s="87" t="s">
        <v>7</v>
      </c>
      <c r="E29" s="87" t="s">
        <v>8</v>
      </c>
      <c r="F29" s="87" t="s">
        <v>23</v>
      </c>
      <c r="G29" s="1"/>
    </row>
    <row r="30" spans="1:13" ht="15.6" x14ac:dyDescent="0.3">
      <c r="A30" s="95"/>
      <c r="B30" s="25">
        <f>'4637'!B22</f>
        <v>1</v>
      </c>
      <c r="C30" s="106" t="str">
        <f>'4637'!C22</f>
        <v>CUB C/R 180°</v>
      </c>
      <c r="D30" s="25">
        <f>'4637'!D22</f>
        <v>3450</v>
      </c>
      <c r="E30" s="25">
        <f>'4637'!E22</f>
        <v>620</v>
      </c>
      <c r="F30" s="25" t="str">
        <f>'4637'!F22</f>
        <v>GRANITO KOMBI 0670 BR</v>
      </c>
      <c r="G30" s="1"/>
    </row>
    <row r="31" spans="1:13" ht="15.6" x14ac:dyDescent="0.3">
      <c r="A31" s="95"/>
      <c r="B31" s="25">
        <f>'4637'!B23</f>
        <v>1</v>
      </c>
      <c r="C31" s="106" t="str">
        <f>'4637'!C23</f>
        <v>CUB C/R 180°</v>
      </c>
      <c r="D31" s="25">
        <f>'4637'!D23</f>
        <v>2030</v>
      </c>
      <c r="E31" s="25">
        <f>'4637'!E23</f>
        <v>620</v>
      </c>
      <c r="F31" s="25" t="str">
        <f>'4637'!F23</f>
        <v>GRANITO KOMBI 0670 BR</v>
      </c>
      <c r="G31" s="1"/>
    </row>
    <row r="32" spans="1:13" ht="15.6" x14ac:dyDescent="0.3">
      <c r="A32" s="95"/>
      <c r="B32" s="6"/>
      <c r="C32" s="114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1"/>
      <c r="C41" s="1"/>
      <c r="D41" s="1"/>
      <c r="E41" s="1"/>
      <c r="F41" s="1"/>
      <c r="G41" s="1"/>
    </row>
    <row r="42" spans="1:7" ht="15.6" x14ac:dyDescent="0.3">
      <c r="A42" s="1"/>
      <c r="B42" s="1"/>
      <c r="C42" s="40" t="s">
        <v>27</v>
      </c>
      <c r="D42" s="14">
        <f>'4637'!G8</f>
        <v>7343</v>
      </c>
      <c r="E42" s="1"/>
      <c r="F42" s="1"/>
      <c r="G42" s="1"/>
    </row>
    <row r="43" spans="1:7" ht="17.25" customHeight="1" x14ac:dyDescent="0.3">
      <c r="A43" s="1"/>
      <c r="B43" s="1"/>
      <c r="C43" s="41" t="s">
        <v>67</v>
      </c>
      <c r="D43" s="42" t="str">
        <f>'4637'!C10</f>
        <v>SILVIO CARLO DEL CAMPO</v>
      </c>
      <c r="E43" s="43"/>
      <c r="F43" s="43"/>
      <c r="G43" s="1"/>
    </row>
    <row r="44" spans="1:7" ht="4.5" customHeight="1" x14ac:dyDescent="0.3">
      <c r="A44" s="1"/>
      <c r="B44" s="1"/>
      <c r="C44" s="44"/>
      <c r="D44" s="45"/>
      <c r="E44" s="1"/>
      <c r="F44" s="1"/>
      <c r="G44" s="1"/>
    </row>
    <row r="45" spans="1:7" ht="15.6" x14ac:dyDescent="0.3">
      <c r="A45" s="1"/>
      <c r="B45" s="1"/>
      <c r="C45" s="46" t="str">
        <f>'4637'!F11</f>
        <v>FECHA LIMITE :</v>
      </c>
      <c r="D45" s="13">
        <f>'4637'!G11</f>
        <v>46003</v>
      </c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6" x14ac:dyDescent="0.3">
      <c r="A48" s="125" t="s">
        <v>68</v>
      </c>
      <c r="B48" s="125"/>
      <c r="C48" s="125"/>
      <c r="D48" s="125"/>
      <c r="E48" s="125"/>
      <c r="F48" s="125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75" customHeight="1" x14ac:dyDescent="0.3">
      <c r="A50" s="1"/>
      <c r="B50" s="126" t="s">
        <v>69</v>
      </c>
      <c r="C50" s="127"/>
      <c r="D50" s="128"/>
      <c r="E50" s="128"/>
      <c r="F50" s="129"/>
      <c r="G50" s="1"/>
    </row>
    <row r="51" spans="1:7" s="15" customFormat="1" ht="12.75" customHeight="1" x14ac:dyDescent="0.3">
      <c r="A51" s="1"/>
      <c r="B51" s="36" t="s">
        <v>10</v>
      </c>
      <c r="C51" s="47" t="s">
        <v>11</v>
      </c>
      <c r="D51" s="48" t="s">
        <v>7</v>
      </c>
      <c r="E51" s="111" t="s">
        <v>8</v>
      </c>
      <c r="F51" s="49" t="s">
        <v>12</v>
      </c>
      <c r="G51" s="1"/>
    </row>
    <row r="52" spans="1:7" s="15" customFormat="1" ht="15" customHeight="1" x14ac:dyDescent="0.3">
      <c r="A52" s="95"/>
      <c r="B52" s="38">
        <f>'4637'!B22</f>
        <v>1</v>
      </c>
      <c r="C52" s="105" t="str">
        <f>'4637'!C22</f>
        <v>CUB C/R 180°</v>
      </c>
      <c r="D52" s="39">
        <f>'4637'!D22</f>
        <v>3450</v>
      </c>
      <c r="E52" s="112">
        <f>'4637'!E22</f>
        <v>620</v>
      </c>
      <c r="F52" s="113" t="str">
        <f>'4637'!F22</f>
        <v>GRANITO KOMBI 0670 BR</v>
      </c>
      <c r="G52" s="1"/>
    </row>
    <row r="53" spans="1:7" s="15" customFormat="1" ht="15" customHeight="1" x14ac:dyDescent="0.3">
      <c r="A53" s="95"/>
      <c r="B53" s="38">
        <f>'4637'!B23</f>
        <v>1</v>
      </c>
      <c r="C53" s="105" t="str">
        <f>'4637'!C23</f>
        <v>CUB C/R 180°</v>
      </c>
      <c r="D53" s="39">
        <f>'4637'!D23</f>
        <v>2030</v>
      </c>
      <c r="E53" s="112">
        <f>'4637'!E23</f>
        <v>620</v>
      </c>
      <c r="F53" s="113" t="str">
        <f>'4637'!F23</f>
        <v>GRANITO KOMBI 0670 BR</v>
      </c>
      <c r="G53" s="1"/>
    </row>
    <row r="54" spans="1:7" s="15" customFormat="1" ht="15" customHeight="1" x14ac:dyDescent="0.3">
      <c r="A54" s="95"/>
      <c r="B54" s="52"/>
      <c r="C54" s="110"/>
      <c r="D54" s="52"/>
      <c r="E54" s="52"/>
      <c r="F54" s="52"/>
      <c r="G54" s="1"/>
    </row>
    <row r="55" spans="1:7" s="15" customFormat="1" ht="15" customHeight="1" x14ac:dyDescent="0.3">
      <c r="A55" s="50"/>
      <c r="B55" s="52"/>
      <c r="C55" s="52"/>
      <c r="D55" s="52"/>
      <c r="E55" s="52"/>
      <c r="F55" s="52"/>
      <c r="G55" s="1"/>
    </row>
    <row r="56" spans="1:7" ht="15.6" x14ac:dyDescent="0.3">
      <c r="A56" s="6"/>
      <c r="B56" s="6"/>
      <c r="C56" s="1"/>
      <c r="D56" s="6"/>
      <c r="E56" s="6"/>
      <c r="F56" s="44"/>
      <c r="G56" s="1"/>
    </row>
    <row r="57" spans="1:7" ht="15.6" x14ac:dyDescent="0.3">
      <c r="A57" s="6"/>
      <c r="B57" s="6"/>
      <c r="C57" s="1"/>
      <c r="D57" s="6"/>
      <c r="E57" s="6"/>
      <c r="F57" s="6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" customHeight="1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6"/>
      <c r="B63" s="51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2:6" x14ac:dyDescent="0.3">
      <c r="B65" s="20"/>
      <c r="C65" s="20"/>
      <c r="D65" s="20"/>
      <c r="E65" s="20"/>
      <c r="F65" s="20"/>
    </row>
    <row r="66" spans="2:6" x14ac:dyDescent="0.3">
      <c r="B66" s="20"/>
      <c r="C66" s="20"/>
      <c r="E66" s="20"/>
      <c r="F66" s="20"/>
    </row>
  </sheetData>
  <mergeCells count="6">
    <mergeCell ref="M3:N3"/>
    <mergeCell ref="A19:F19"/>
    <mergeCell ref="A10:F10"/>
    <mergeCell ref="A48:F48"/>
    <mergeCell ref="B50:F50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2025-12-10T12:31:15Z</cp:lastPrinted>
  <dcterms:created xsi:type="dcterms:W3CDTF">2013-03-19T12:54:14Z</dcterms:created>
  <dcterms:modified xsi:type="dcterms:W3CDTF">2025-12-10T12:31:28Z</dcterms:modified>
</cp:coreProperties>
</file>