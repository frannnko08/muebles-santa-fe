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CF355696-4263-45EE-BB61-7551127CCE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B16" i="3" s="1"/>
  <c r="I25" i="3"/>
  <c r="B25" i="3" s="1"/>
  <c r="B32" i="3"/>
  <c r="C32" i="3"/>
  <c r="F16" i="3" s="1"/>
  <c r="D32" i="3"/>
  <c r="J25" i="3" s="1"/>
  <c r="E32" i="3"/>
  <c r="K25" i="3" s="1"/>
  <c r="E25" i="3" s="1"/>
  <c r="F32" i="3"/>
  <c r="B54" i="3"/>
  <c r="C54" i="3"/>
  <c r="D54" i="3"/>
  <c r="E54" i="3"/>
  <c r="F54" i="3"/>
  <c r="H22" i="4"/>
  <c r="H21" i="4"/>
  <c r="J16" i="3" l="1"/>
  <c r="D16" i="3" s="1"/>
  <c r="D25" i="3"/>
  <c r="F25" i="3"/>
  <c r="K16" i="3"/>
  <c r="E16" i="3" s="1"/>
  <c r="B31" i="3"/>
  <c r="I24" i="3" s="1"/>
  <c r="I14" i="3" s="1"/>
  <c r="C31" i="3"/>
  <c r="F14" i="3" s="1"/>
  <c r="D31" i="3"/>
  <c r="J24" i="3" s="1"/>
  <c r="D24" i="3" s="1"/>
  <c r="E31" i="3"/>
  <c r="K24" i="3" s="1"/>
  <c r="E24" i="3" s="1"/>
  <c r="F31" i="3"/>
  <c r="B53" i="3"/>
  <c r="C53" i="3"/>
  <c r="D53" i="3"/>
  <c r="E53" i="3"/>
  <c r="F53" i="3"/>
  <c r="H25" i="4"/>
  <c r="J14" i="3" l="1"/>
  <c r="D14" i="3" s="1"/>
  <c r="K14" i="3"/>
  <c r="E14" i="3" s="1"/>
  <c r="B24" i="3"/>
  <c r="B14" i="3"/>
  <c r="F24" i="3"/>
  <c r="H26" i="4" l="1"/>
  <c r="H27" i="4" l="1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<sst xmlns="http://schemas.openxmlformats.org/spreadsheetml/2006/main" count="258" uniqueCount="145">
  <si>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</si>
  <si>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</si>
  <si>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</si>
  <si>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</si>
  <si>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</si>
  <si>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</si>
  <si>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</si>
  <si>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</si>
  <si>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</si>
  <si>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</si>
  <si>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</si>
  <si>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</si>
  <si>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</si>
  <si>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</si>
  <si>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</si>
  <si>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</si>
  <si>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</si>
  <si>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</si>
  <si>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</si>
  <si>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</si>
  <si>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</si>
  <si>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</si>
  <si>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</si>
  <si>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</si>
  <si>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</si>
  <si>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</si>
  <si>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</si>
  <si>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</si>
  <si>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</si>
  <si>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</si>
  <si>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</si>
  <si>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</si>
  <si>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</si>
  <si>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</si>
  <si>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</si>
  <si>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</si>
  <si>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</si>
  <si>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</si>
  <si>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</si>
  <si>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</si>
  <si>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</si>
  <si>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</si>
  <si>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</si>
  <si>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</si>
  <si>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</si>
  <si>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</si>
  <si>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</si>
  <si>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</si>
  <si>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</si>
  <si>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</si>
  <si>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</si>
  <si>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</si>
  <si>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</si>
  <si>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</si>
  <si>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</si>
  <si>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</si>
  <si>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</si>
  <si>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</si>
  <si>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</si>
  <si>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</si>
  <si>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</si>
  <si>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</si>
  <si>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</si>
  <si>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</si>
  <si>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</si>
  <si>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</si>
  <si>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</si>
  <si>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</si>
  <si>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</si>
  <si>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</si>
  <si>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</si>
  <si>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</si>
  <si>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</si>
  <si>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</si>
  <si>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</si>
  <si>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</si>
  <si>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</si>
  <si>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</si>
  <si>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</si>
  <si>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</si>
  <si>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</si>
  <si>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</si>
  <si>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</si>
  <si>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</si>
  <si>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</si>
  <si>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</si>
  <si>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</si>
  <si>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</si>
  <si>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</si>
  <si>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</si>
  <si>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</si>
  <si>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</si>
  <si>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</si>
  <si>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</si>
  <si>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</si>
  <si>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</si>
  <si>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</si>
  <si>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</si>
  <si>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</si>
  <si>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</si>
  <si>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</si>
  <si>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</si>
  <si>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</si>
  <si>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</si>
  <si>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</si>
  <si>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</si>
  <si>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</si>
  <si>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</si>
  <si>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</si>
  <si>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</si>
  <si>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</si>
  <si>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</si>
  <si>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</si>
  <si>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</si>
  <si>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</si>
  <si>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</si>
  <si>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</si>
  <si>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</si>
  <si>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</si>
  <si>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</si>
  <si>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</si>
  <si>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</si>
  <si>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</si>
  <si>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</si>
  <si>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</si>
  <si>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</si>
  <si>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</si>
  <si>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</si>
  <si>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</si>
  <si>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</si>
  <si>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</si>
  <si>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</si>
  <si>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</si>
  <si>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</si>
  <si>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</si>
  <si>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</si>
  <si>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</si>
  <si>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</si>
  <si>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</si>
  <si>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</si>
  <si>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</si>
  <si>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BLANCO MERINO 22191 SF</t>
  </si>
  <si>
    <t>CUB MESA 90° R8 2LADOS</t>
  </si>
  <si>
    <t>N° 11655</t>
  </si>
  <si>
    <t>MELAMINA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</si>
</sst>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" fillId="0" borderId="0" xfId="0" applyFont="1" applyAlignment="1">
      <alignment horizontal="right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34</xdr:row>
      <xdr:rowOff>15239</xdr:rowOff>
    </xdr:from>
    <xdr:to>
      <xdr:col>6</xdr:col>
      <xdr:colOff>68580</xdr:colOff>
      <xdr:row>38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EN MELAMINA BLANCA 18MM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EN SUSTRATO MELAMINA BLANCA 18MM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41910</xdr:rowOff>
    </xdr:from>
    <xdr:to>
      <xdr:col>1</xdr:col>
      <xdr:colOff>565543</xdr:colOff>
      <xdr:row>47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7295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45936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23388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40</v>
      </c>
      <c r="C21" s="106" t="s">
        <v>64</v>
      </c>
      <c r="D21" s="109">
        <v>1100</v>
      </c>
      <c r="E21" s="109">
        <v>620</v>
      </c>
      <c r="F21" s="106" t="s">
        <v>141</v>
      </c>
      <c r="G21" s="107">
        <v>31382</v>
      </c>
      <c r="H21" s="107">
        <f t="shared" ref="H21" si="0">G21*B21</f>
        <v>1255280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142</v>
      </c>
      <c r="D22" s="109">
        <v>1020</v>
      </c>
      <c r="E22" s="109">
        <v>1020</v>
      </c>
      <c r="F22" s="106" t="s">
        <v>141</v>
      </c>
      <c r="G22" s="107">
        <v>68000</v>
      </c>
      <c r="H22" s="107">
        <f t="shared" ref="H22" si="1">G22*B22</f>
        <v>68000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1323280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251423.2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1574703.2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topLeftCell="A18" zoomScaleNormal="100" workbookViewId="0">
      <selection activeCell="G32" sqref="G3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7295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t="s">
        <v>144</v>
      </c>
      <c r="B14" s="25">
        <f t="shared" ref="B14" si="0">I14</f>
        <v>40</v>
      </c>
      <c r="C14" s="25"/>
      <c r="D14" s="25">
        <f>J14+D13</f>
        <v>1150</v>
      </c>
      <c r="E14" s="35">
        <f>K14+E$13</f>
        <v>618</v>
      </c>
      <c r="F14" s="103" t="str">
        <f>C31</f>
        <v>PR8</v>
      </c>
      <c r="G14" s="1"/>
      <c r="I14" s="3">
        <f>I24</f>
        <v>40</v>
      </c>
      <c r="J14" s="4">
        <f>J24</f>
        <v>1100</v>
      </c>
      <c r="K14" s="4">
        <f>E31</f>
        <v>620</v>
      </c>
    </row>
    <row r="15" spans="1:14" ht="15.6" x14ac:dyDescent="0.3">
      <c r="A15" s="52" t="s">
        <v>9</v>
      </c>
      <c r="B15" s="37" t="s">
        <v>10</v>
      </c>
      <c r="C15" s="37" t="s">
        <v>11</v>
      </c>
      <c r="D15" s="32">
        <v>80</v>
      </c>
      <c r="E15" s="32"/>
      <c r="F15" s="37" t="s">
        <v>110</v>
      </c>
      <c r="G15" s="1"/>
      <c r="J15" s="5" t="s">
        <v>7</v>
      </c>
      <c r="K15" s="5" t="s">
        <v>8</v>
      </c>
    </row>
    <row r="16" spans="1:14" ht="15.6" x14ac:dyDescent="0.3">
      <c r="A16" s="96" t="s">
        <v>140</v>
      </c>
      <c r="B16" s="25">
        <f t="shared" ref="B16" si="1">I16</f>
        <v>1</v>
      </c>
      <c r="C16" s="25"/>
      <c r="D16" s="25">
        <f>J16+80</f>
        <v>1100</v>
      </c>
      <c r="E16" s="35">
        <f>K16</f>
        <v>1020</v>
      </c>
      <c r="F16" s="103" t="str">
        <f>C32</f>
        <v>CUB MESA 90° R8 2LADOS</v>
      </c>
      <c r="G16" s="1"/>
      <c r="I16" s="3">
        <f>I25</f>
        <v>1</v>
      </c>
      <c r="J16" s="4">
        <f>J25</f>
        <v>1020</v>
      </c>
      <c r="K16" s="4">
        <f>E32</f>
        <v>1020</v>
      </c>
    </row>
    <row r="17" spans="1:11" ht="15.6" x14ac:dyDescent="0.3">
      <c r="A17" s="96"/>
      <c r="B17" s="6"/>
      <c r="C17" s="6"/>
      <c r="D17" s="6"/>
      <c r="E17" s="89"/>
      <c r="F17" s="108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8" t="s">
        <v>14</v>
      </c>
      <c r="B20" s="118"/>
      <c r="C20" s="118"/>
      <c r="D20" s="118"/>
      <c r="E20" s="118"/>
      <c r="F20" s="118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110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/>
      <c r="B24" s="16">
        <f t="shared" ref="B24" si="2">I24</f>
        <v>40</v>
      </c>
      <c r="C24" s="16"/>
      <c r="D24" s="16">
        <f>J24+D$23</f>
        <v>1140</v>
      </c>
      <c r="E24" s="16">
        <f>K24+100</f>
        <v>720</v>
      </c>
      <c r="F24" s="104" t="str">
        <f>C31</f>
        <v>PR8</v>
      </c>
      <c r="G24" s="1"/>
      <c r="I24" s="3">
        <f>B31</f>
        <v>40</v>
      </c>
      <c r="J24" s="4">
        <f>D31</f>
        <v>1100</v>
      </c>
      <c r="K24" s="4">
        <f t="shared" ref="K24" si="3">E31</f>
        <v>620</v>
      </c>
    </row>
    <row r="25" spans="1:11" ht="15.6" x14ac:dyDescent="0.3">
      <c r="A25" s="96"/>
      <c r="B25" s="16">
        <f t="shared" ref="B25" si="4">I25</f>
        <v>1</v>
      </c>
      <c r="C25" s="16"/>
      <c r="D25" s="16">
        <f>J25+D$23</f>
        <v>1060</v>
      </c>
      <c r="E25" s="16">
        <f>K25+E$23</f>
        <v>1130</v>
      </c>
      <c r="F25" s="104" t="str">
        <f>C32</f>
        <v>CUB MESA 90° R8 2LADOS</v>
      </c>
      <c r="G25" s="1"/>
      <c r="I25" s="3">
        <f>B32</f>
        <v>1</v>
      </c>
      <c r="J25" s="4">
        <f>D32</f>
        <v>1020</v>
      </c>
      <c r="K25" s="4">
        <f t="shared" ref="K25" si="5">E32</f>
        <v>1020</v>
      </c>
    </row>
    <row r="26" spans="1:11" ht="15.6" x14ac:dyDescent="0.3">
      <c r="A26" s="96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t="s">
        <v>144</v>
      </c>
      <c r="B31" s="25">
        <f>'4637'!B21</f>
        <v>40</v>
      </c>
      <c r="C31" s="103" t="str">
        <f>'4637'!C21</f>
        <v>PR8</v>
      </c>
      <c r="D31" s="25">
        <f>'4637'!D21</f>
        <v>1100</v>
      </c>
      <c r="E31" s="25">
        <f>'4637'!E21</f>
        <v>620</v>
      </c>
      <c r="F31" s="25" t="str">
        <f>'4637'!F21</f>
        <v>BLANCO MERINO 22191 SF</v>
      </c>
      <c r="G31" s="1"/>
    </row>
    <row r="32" spans="1:11" ht="15.6" x14ac:dyDescent="0.3">
      <c r="A32" s="96" t="s">
        <v>140</v>
      </c>
      <c r="B32" s="25">
        <f>'4637'!B22</f>
        <v>1</v>
      </c>
      <c r="C32" s="103" t="str">
        <f>'4637'!C22</f>
        <v>CUB MESA 90° R8 2LADOS</v>
      </c>
      <c r="D32" s="25">
        <f>'4637'!D22</f>
        <v>1020</v>
      </c>
      <c r="E32" s="25">
        <f>'4637'!E22</f>
        <v>1020</v>
      </c>
      <c r="F32" s="25" t="str">
        <f>'4637'!F22</f>
        <v>BLANCO MERINO 22191 SF</v>
      </c>
      <c r="G32" s="1"/>
    </row>
    <row r="33" spans="1:7" ht="15.6" x14ac:dyDescent="0.3">
      <c r="A33" s="96"/>
      <c r="B33" s="6"/>
      <c r="C33" s="108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>
        <f>'4637'!G8</f>
        <v>7295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42" t="str">
        <f>'4637'!C10</f>
        <v>MUEBLES ASENJO LTDA.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>
        <f>'4637'!G11</f>
        <v>0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18" t="s">
        <v>68</v>
      </c>
      <c r="B49" s="118"/>
      <c r="C49" s="118"/>
      <c r="D49" s="118"/>
      <c r="E49" s="118"/>
      <c r="F49" s="118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19" t="s">
        <v>69</v>
      </c>
      <c r="C51" s="120"/>
      <c r="D51" s="121"/>
      <c r="E51" s="121"/>
      <c r="F51" s="122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123" t="s">
        <v>144</v>
      </c>
      <c r="B53" s="38">
        <f>'4637'!B21</f>
        <v>40</v>
      </c>
      <c r="C53" s="102" t="str">
        <f>'4637'!C21</f>
        <v>PR8</v>
      </c>
      <c r="D53" s="39">
        <f>'4637'!D21</f>
        <v>1100</v>
      </c>
      <c r="E53" s="39">
        <f>'4637'!E21</f>
        <v>620</v>
      </c>
      <c r="F53" s="38" t="str">
        <f>'4637'!F21</f>
        <v>BLANCO MERINO 22191 SF</v>
      </c>
      <c r="G53" s="1"/>
    </row>
    <row r="54" spans="1:7" s="15" customFormat="1" ht="15" customHeight="1" x14ac:dyDescent="0.3">
      <c r="A54" s="96" t="s">
        <v>140</v>
      </c>
      <c r="B54" s="38">
        <f>'4637'!B22</f>
        <v>1</v>
      </c>
      <c r="C54" s="102" t="str">
        <f>'4637'!C22</f>
        <v>CUB MESA 90° R8 2LADOS</v>
      </c>
      <c r="D54" s="39">
        <f>'4637'!D22</f>
        <v>1020</v>
      </c>
      <c r="E54" s="39">
        <f>'4637'!E22</f>
        <v>1020</v>
      </c>
      <c r="F54" s="38" t="str">
        <f>'4637'!F22</f>
        <v>BLANCO MERINO 22191 SF</v>
      </c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20:F20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2025-10-06T21:51:24Z</cp:lastPrinted>
  <dcterms:created xsi:type="dcterms:W3CDTF">2013-03-19T12:54:14Z</dcterms:created>
  <dcterms:modified xsi:type="dcterms:W3CDTF">2025-10-06T21:52:06Z</dcterms:modified>
</cp:coreProperties>
</file>