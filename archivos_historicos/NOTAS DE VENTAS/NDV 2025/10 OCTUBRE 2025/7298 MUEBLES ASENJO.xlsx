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ACA36F17-39FD-492B-B821-79B7A2D55C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CUBIERTA!$A$36:$F$61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7" i="3" l="1"/>
  <c r="I21" i="3" s="1"/>
  <c r="I14" i="3" s="1"/>
  <c r="B14" i="3" s="1"/>
  <c r="C27" i="3"/>
  <c r="F14" i="3" s="1"/>
  <c r="D27" i="3"/>
  <c r="J21" i="3" s="1"/>
  <c r="E27" i="3"/>
  <c r="F27" i="3"/>
  <c r="B48" i="3"/>
  <c r="C48" i="3"/>
  <c r="D48" i="3"/>
  <c r="E48" i="3"/>
  <c r="F48" i="3"/>
  <c r="H24" i="4"/>
  <c r="K21" i="3" l="1"/>
  <c r="K14" i="3" s="1"/>
  <c r="E14" i="3" s="1"/>
  <c r="D21" i="3"/>
  <c r="J14" i="3"/>
  <c r="D14" i="3" s="1"/>
  <c r="B21" i="3"/>
  <c r="F21" i="3"/>
  <c r="E21" i="3" l="1"/>
  <c r="H25" i="4"/>
  <c r="H26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<sst xmlns="http://schemas.openxmlformats.org/spreadsheetml/2006/main" count="247" uniqueCount="144">
  <si>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</si>
  <si>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</si>
  <si>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</si>
  <si>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</si>
  <si>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</si>
  <si>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</si>
  <si>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</si>
  <si>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</si>
  <si>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</si>
  <si>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</si>
  <si>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</si>
  <si>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</si>
  <si>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</si>
  <si>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</si>
  <si>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</si>
  <si>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</si>
  <si>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</si>
  <si>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</si>
  <si>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</si>
  <si>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</si>
  <si>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</si>
  <si>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</si>
  <si>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</si>
  <si>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</si>
  <si>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</si>
  <si>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</si>
  <si>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</si>
  <si>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</si>
  <si>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</si>
  <si>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</si>
  <si>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</si>
  <si>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</si>
  <si>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</si>
  <si>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</si>
  <si>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</si>
  <si>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</si>
  <si>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</si>
  <si>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</si>
  <si>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</si>
  <si>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</si>
  <si>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</si>
  <si>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</si>
  <si>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</si>
  <si>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</si>
  <si>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</si>
  <si>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</si>
  <si>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</si>
  <si>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</si>
  <si>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</si>
  <si>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</si>
  <si>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</si>
  <si>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</si>
  <si>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</si>
  <si>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</si>
  <si>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</si>
  <si>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</si>
  <si>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</si>
  <si>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</si>
  <si>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</si>
  <si>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</si>
  <si>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</si>
  <si>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</si>
  <si>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</si>
  <si>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</si>
  <si>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</si>
  <si>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</si>
  <si>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</si>
  <si>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</si>
  <si>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</si>
  <si>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</si>
  <si>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</si>
  <si>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</si>
  <si>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</si>
  <si>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</si>
  <si>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</si>
  <si>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</si>
  <si>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</si>
  <si>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</si>
  <si>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</si>
  <si>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</si>
  <si>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</si>
  <si>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</si>
  <si>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</si>
  <si>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</si>
  <si>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</si>
  <si>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</si>
  <si>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</si>
  <si>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</si>
  <si>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</si>
  <si>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</si>
  <si>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</si>
  <si>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</si>
  <si>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</si>
  <si>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</si>
  <si>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</si>
  <si>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</si>
  <si>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</si>
  <si>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</si>
  <si>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</si>
  <si>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</si>
  <si>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</si>
  <si>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</si>
  <si>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</si>
  <si>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</si>
  <si>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</si>
  <si>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</si>
  <si>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</si>
  <si>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</si>
  <si>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</si>
  <si>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</si>
  <si>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</si>
  <si>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</si>
  <si>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</si>
  <si>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</si>
  <si>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</si>
  <si>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</si>
  <si>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</si>
  <si>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</si>
  <si>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</si>
  <si>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</si>
  <si>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</si>
  <si>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</si>
  <si>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</si>
  <si>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</si>
  <si>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</si>
  <si>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</si>
  <si>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</si>
  <si>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</si>
  <si>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</si>
  <si>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</si>
  <si>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</si>
  <si>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</si>
  <si>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</si>
  <si>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</si>
  <si>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</si>
  <si>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</si>
  <si>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</si>
  <si>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</si>
  <si>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</si>
  <si>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</si>
  <si>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MDF18MM</t>
  </si>
  <si>
    <t>CUB C/R 90° R8</t>
  </si>
  <si>
    <t>N° 11684</t>
  </si>
  <si>
    <t>SHELL WHITE 22011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</si>
</sst>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565543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5" workbookViewId="0">
      <selection activeCell="J17" sqref="J1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142</v>
      </c>
      <c r="E8" s="1"/>
      <c r="F8" s="93" t="s">
        <v>27</v>
      </c>
      <c r="G8" s="94">
        <v>7298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45937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23391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4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0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5" t="s">
        <v>141</v>
      </c>
      <c r="D21" s="108">
        <v>2200</v>
      </c>
      <c r="E21" s="108">
        <v>800</v>
      </c>
      <c r="F21" s="105" t="s">
        <v>143</v>
      </c>
      <c r="G21" s="106">
        <v>92285</v>
      </c>
      <c r="H21" s="106">
        <f t="shared" ref="H21" si="0">G21*B21</f>
        <v>92285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6"/>
      <c r="C22" s="96"/>
      <c r="D22" s="96"/>
      <c r="E22" s="96"/>
      <c r="F22" s="97"/>
      <c r="G22" s="98"/>
      <c r="H22" s="98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92285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17534.150000000001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109819.15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9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opLeftCell="A35" zoomScaleNormal="100" workbookViewId="0">
      <selection activeCell="A36" sqref="A36:F61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7298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140</v>
      </c>
      <c r="B14" s="25">
        <f t="shared" ref="B14" si="0">I14</f>
        <v>1</v>
      </c>
      <c r="C14" s="25"/>
      <c r="D14" s="25">
        <f>J14+80</f>
        <v>2280</v>
      </c>
      <c r="E14" s="35">
        <f>K14+E$13</f>
        <v>770</v>
      </c>
      <c r="F14" s="102" t="str">
        <f>C27</f>
        <v>CUB C/R 90° R8</v>
      </c>
      <c r="G14" s="1"/>
      <c r="I14" s="89">
        <f>I21</f>
        <v>1</v>
      </c>
      <c r="J14" s="4">
        <f>J21</f>
        <v>2200</v>
      </c>
      <c r="K14" s="4">
        <f>K21</f>
        <v>800</v>
      </c>
    </row>
    <row r="15" spans="1:14" ht="15.6" x14ac:dyDescent="0.3">
      <c r="A15" s="52"/>
      <c r="B15" s="6"/>
      <c r="C15" s="6"/>
      <c r="D15" s="6"/>
      <c r="E15" s="110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9" t="s">
        <v>14</v>
      </c>
      <c r="B17" s="119"/>
      <c r="C17" s="119"/>
      <c r="D17" s="119"/>
      <c r="E17" s="119"/>
      <c r="F17" s="119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1">I21</f>
        <v>1</v>
      </c>
      <c r="C21" s="16"/>
      <c r="D21" s="16">
        <f>J21+D$20</f>
        <v>2240</v>
      </c>
      <c r="E21" s="16">
        <f>K21+E$20</f>
        <v>930</v>
      </c>
      <c r="F21" s="103" t="str">
        <f>C27</f>
        <v>CUB C/R 90° R8</v>
      </c>
      <c r="G21" s="1"/>
      <c r="I21" s="3">
        <f>B27</f>
        <v>1</v>
      </c>
      <c r="J21" s="4">
        <f>D27</f>
        <v>2200</v>
      </c>
      <c r="K21" s="4">
        <f t="shared" ref="K21" si="2">E27</f>
        <v>800</v>
      </c>
    </row>
    <row r="22" spans="1:11" ht="15.6" x14ac:dyDescent="0.3">
      <c r="A22" s="95"/>
      <c r="B22" s="6"/>
      <c r="C22" s="6"/>
      <c r="D22" s="6"/>
      <c r="E22" s="6"/>
      <c r="F22" s="6"/>
      <c r="G22" s="1"/>
      <c r="I22" s="89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5" t="s">
        <v>140</v>
      </c>
      <c r="B27" s="25">
        <f>'4637'!B21</f>
        <v>1</v>
      </c>
      <c r="C27" s="102" t="str">
        <f>'4637'!C21</f>
        <v>CUB C/R 90° R8</v>
      </c>
      <c r="D27" s="25">
        <f>'4637'!D21</f>
        <v>2200</v>
      </c>
      <c r="E27" s="25">
        <f>'4637'!E21</f>
        <v>800</v>
      </c>
      <c r="F27" s="25" t="str">
        <f>'4637'!F21</f>
        <v>SHELL WHITE 22011 SF</v>
      </c>
      <c r="G27" s="1"/>
    </row>
    <row r="28" spans="1:11" ht="15.6" x14ac:dyDescent="0.3">
      <c r="A28" s="95"/>
      <c r="B28" s="6"/>
      <c r="C28" s="107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7298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MUEBLES ASENJO LTDA.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9" t="s">
        <v>68</v>
      </c>
      <c r="B44" s="119"/>
      <c r="C44" s="119"/>
      <c r="D44" s="119"/>
      <c r="E44" s="119"/>
      <c r="F44" s="119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0" t="s">
        <v>69</v>
      </c>
      <c r="C46" s="121"/>
      <c r="D46" s="122"/>
      <c r="E46" s="122"/>
      <c r="F46" s="123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5" t="s">
        <v>140</v>
      </c>
      <c r="B48" s="38">
        <f>'4637'!B21</f>
        <v>1</v>
      </c>
      <c r="C48" s="101" t="str">
        <f>'4637'!C21</f>
        <v>CUB C/R 90° R8</v>
      </c>
      <c r="D48" s="39">
        <f>'4637'!D21</f>
        <v>2200</v>
      </c>
      <c r="E48" s="39">
        <f>'4637'!E21</f>
        <v>800</v>
      </c>
      <c r="F48" s="38" t="str">
        <f>'4637'!F21</f>
        <v>SHELL WHITE 22011 SF</v>
      </c>
      <c r="G48" s="1"/>
    </row>
    <row r="49" spans="1:7" s="15" customFormat="1" ht="15" customHeight="1" x14ac:dyDescent="0.3">
      <c r="B49" s="52"/>
      <c r="C49" s="109"/>
      <c r="D49" s="52"/>
      <c r="E49" s="52"/>
      <c r="F49" s="52"/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2025-10-08T20:40:04Z</cp:lastPrinted>
  <dcterms:created xsi:type="dcterms:W3CDTF">2013-03-19T12:54:14Z</dcterms:created>
  <dcterms:modified xsi:type="dcterms:W3CDTF">2025-10-13T11:16:11Z</dcterms:modified>
</cp:coreProperties>
</file>