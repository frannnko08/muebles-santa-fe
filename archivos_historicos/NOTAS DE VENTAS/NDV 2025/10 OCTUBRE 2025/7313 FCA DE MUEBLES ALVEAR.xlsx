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00F2139B-A005-4B65-8954-CF516219C52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CUBIERTA!$A$29:$G$45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H24" i="4"/>
  <c r="H23" i="4"/>
  <c r="H22" i="4"/>
  <c r="M27" i="3" l="1"/>
  <c r="B35" i="3"/>
  <c r="I26" i="3" s="1"/>
  <c r="B26" i="3" s="1"/>
  <c r="C35" i="3"/>
  <c r="F26" i="3" s="1"/>
  <c r="D35" i="3"/>
  <c r="J26" i="3" s="1"/>
  <c r="D26" i="3" s="1"/>
  <c r="E35" i="3"/>
  <c r="K26" i="3" s="1"/>
  <c r="E26" i="3" s="1"/>
  <c r="F35" i="3"/>
  <c r="B36" i="3"/>
  <c r="I27" i="3" s="1"/>
  <c r="B27" i="3" s="1"/>
  <c r="C36" i="3"/>
  <c r="F27" i="3" s="1"/>
  <c r="D36" i="3"/>
  <c r="J27" i="3" s="1"/>
  <c r="D27" i="3" s="1"/>
  <c r="E36" i="3"/>
  <c r="K27" i="3" s="1"/>
  <c r="E27" i="3" s="1"/>
  <c r="F36" i="3"/>
  <c r="B37" i="3"/>
  <c r="I28" i="3" s="1"/>
  <c r="B28" i="3" s="1"/>
  <c r="C37" i="3"/>
  <c r="F28" i="3" s="1"/>
  <c r="D37" i="3"/>
  <c r="J28" i="3" s="1"/>
  <c r="D28" i="3" s="1"/>
  <c r="E37" i="3"/>
  <c r="K28" i="3" s="1"/>
  <c r="E28" i="3" s="1"/>
  <c r="F37" i="3"/>
  <c r="B59" i="3"/>
  <c r="C59" i="3"/>
  <c r="D59" i="3"/>
  <c r="E59" i="3"/>
  <c r="F59" i="3"/>
  <c r="B60" i="3"/>
  <c r="C60" i="3"/>
  <c r="D60" i="3"/>
  <c r="E60" i="3"/>
  <c r="F60" i="3"/>
  <c r="B61" i="3"/>
  <c r="C61" i="3"/>
  <c r="D61" i="3"/>
  <c r="E61" i="3"/>
  <c r="F61" i="3"/>
  <c r="J17" i="3" l="1"/>
  <c r="D17" i="3" s="1"/>
  <c r="K16" i="3"/>
  <c r="E16" i="3" s="1"/>
  <c r="J16" i="3"/>
  <c r="D16" i="3" s="1"/>
  <c r="K17" i="3"/>
  <c r="E17" i="3" s="1"/>
  <c r="K15" i="3"/>
  <c r="E15" i="3" s="1"/>
  <c r="J15" i="3"/>
  <c r="D15" i="3" s="1"/>
  <c r="I17" i="3"/>
  <c r="B17" i="3" s="1"/>
  <c r="I16" i="3"/>
  <c r="B16" i="3" s="1"/>
  <c r="I15" i="3"/>
  <c r="B15" i="3" s="1"/>
  <c r="F17" i="3"/>
  <c r="F16" i="3"/>
  <c r="F15" i="3"/>
  <c r="B34" i="3" l="1"/>
  <c r="I25" i="3" s="1"/>
  <c r="I14" i="3" s="1"/>
  <c r="C34" i="3"/>
  <c r="F14" i="3" s="1"/>
  <c r="D34" i="3"/>
  <c r="J25" i="3" s="1"/>
  <c r="E34" i="3"/>
  <c r="K25" i="3" s="1"/>
  <c r="E25" i="3" s="1"/>
  <c r="F34" i="3"/>
  <c r="B58" i="3"/>
  <c r="C58" i="3"/>
  <c r="D58" i="3"/>
  <c r="E58" i="3"/>
  <c r="F58" i="3"/>
  <c r="H27" i="4"/>
  <c r="J14" i="3" l="1"/>
  <c r="K14" i="3"/>
  <c r="E14" i="3" s="1"/>
  <c r="B25" i="3"/>
  <c r="B14" i="3"/>
  <c r="F25" i="3"/>
  <c r="H28" i="4" l="1"/>
  <c r="H29" i="4" l="1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<sst xmlns="http://schemas.openxmlformats.org/spreadsheetml/2006/main" count="257" uniqueCount="148">
  <si>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</si>
  <si>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</si>
  <si>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</si>
  <si>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</si>
  <si>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</si>
  <si>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</si>
  <si>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</si>
  <si>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</si>
  <si>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</si>
  <si>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</si>
  <si>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</si>
  <si>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</si>
  <si>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</si>
  <si>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</si>
  <si>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</si>
  <si>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</si>
  <si>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</si>
  <si>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</si>
  <si>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</si>
  <si>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</si>
  <si>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</si>
  <si>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</si>
  <si>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</si>
  <si>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</si>
  <si>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</si>
  <si>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</si>
  <si>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</si>
  <si>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</si>
  <si>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</si>
  <si>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</si>
  <si>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</si>
  <si>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</si>
  <si>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</si>
  <si>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</si>
  <si>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</si>
  <si>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</si>
  <si>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</si>
  <si>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</si>
  <si>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</si>
  <si>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</si>
  <si>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</si>
  <si>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</si>
  <si>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</si>
  <si>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</si>
  <si>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</si>
  <si>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</si>
  <si>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</si>
  <si>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</si>
  <si>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</si>
  <si>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</si>
  <si>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</si>
  <si>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</si>
  <si>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</si>
  <si>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</si>
  <si>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</si>
  <si>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</si>
  <si>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</si>
  <si>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</si>
  <si>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</si>
  <si>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</si>
  <si>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</si>
  <si>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</si>
  <si>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</si>
  <si>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</si>
  <si>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</si>
  <si>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</si>
  <si>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</si>
  <si>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</si>
  <si>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</si>
  <si>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</si>
  <si>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</si>
  <si>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</si>
  <si>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</si>
  <si>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</si>
  <si>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</si>
  <si>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</si>
  <si>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</si>
  <si>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</si>
  <si>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</si>
  <si>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</si>
  <si>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</si>
  <si>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</si>
  <si>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</si>
  <si>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</si>
  <si>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</si>
  <si>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</si>
  <si>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</si>
  <si>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</si>
  <si>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</si>
  <si>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</si>
  <si>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</si>
  <si>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</si>
  <si>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</si>
  <si>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</si>
  <si>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</si>
  <si>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</si>
  <si>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</si>
  <si>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</si>
  <si>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</si>
  <si>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</si>
  <si>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</si>
  <si>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</si>
  <si>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</si>
  <si>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</si>
  <si>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</si>
  <si>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</si>
  <si>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</si>
  <si>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</si>
  <si>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</si>
  <si>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</si>
  <si>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</si>
  <si>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</si>
  <si>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</si>
  <si>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</si>
  <si>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</si>
  <si>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</si>
  <si>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</si>
  <si>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</si>
  <si>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</si>
  <si>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</si>
  <si>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</si>
  <si>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</si>
  <si>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</si>
  <si>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</si>
  <si>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</si>
  <si>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</si>
  <si>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</si>
  <si>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</si>
  <si>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</si>
  <si>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</si>
  <si>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</si>
  <si>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</si>
  <si>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</si>
  <si>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</si>
  <si>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</si>
  <si>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CORREO:</t>
  </si>
  <si>
    <t>ABONO 30%, CONTADO 20%, SALDO 30 DIAS</t>
  </si>
  <si>
    <t>F.DONOSO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</si>
  <si>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</si>
  <si>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</si>
  <si>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</si>
  <si>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</si>
  <si>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</si>
  <si>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</si>
  <si>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NIEBLA 2191 MT</t>
  </si>
  <si>
    <t>VERIFICAR CORTE</t>
  </si>
  <si>
    <t>CENEFA R8 1V</t>
  </si>
  <si>
    <t>N° 11710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</si>
</sst>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quotePrefix="1" applyFont="1" applyAlignment="1">
      <alignment horizontal="left" vertical="top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" fillId="0" borderId="17" xfId="0" applyFont="1" applyBorder="1" applyAlignment="1">
      <alignment horizontal="left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63</xdr:row>
      <xdr:rowOff>190500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63</xdr:row>
      <xdr:rowOff>190500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190500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190500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190500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190500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66</xdr:row>
      <xdr:rowOff>32385</xdr:rowOff>
    </xdr:from>
    <xdr:to>
      <xdr:col>6</xdr:col>
      <xdr:colOff>19050</xdr:colOff>
      <xdr:row>70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46</xdr:row>
      <xdr:rowOff>41910</xdr:rowOff>
    </xdr:from>
    <xdr:to>
      <xdr:col>1</xdr:col>
      <xdr:colOff>801763</xdr:colOff>
      <xdr:row>52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11" workbookViewId="0">
      <selection activeCell="J18" sqref="J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147</v>
      </c>
      <c r="E8" s="1"/>
      <c r="F8" s="94" t="s">
        <v>27</v>
      </c>
      <c r="G8" s="124">
        <v>7313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45957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9" t="s">
        <v>139</v>
      </c>
      <c r="D11" s="60"/>
      <c r="E11" s="60"/>
      <c r="F11" s="60" t="s">
        <v>124</v>
      </c>
      <c r="G11" s="61"/>
      <c r="H11" s="62"/>
      <c r="I11" s="1"/>
    </row>
    <row r="12" spans="1:17" ht="16.8" x14ac:dyDescent="0.4">
      <c r="A12" s="1"/>
      <c r="B12" s="63" t="s">
        <v>130</v>
      </c>
      <c r="C12" s="104" t="s">
        <v>140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141</v>
      </c>
      <c r="D13" s="43"/>
      <c r="E13" s="43"/>
      <c r="F13" s="43" t="s">
        <v>128</v>
      </c>
      <c r="G13" s="64" t="s">
        <v>137</v>
      </c>
      <c r="H13" s="65"/>
      <c r="I13" s="1"/>
    </row>
    <row r="14" spans="1:17" ht="15.6" x14ac:dyDescent="0.3">
      <c r="A14" s="1"/>
      <c r="B14" s="63" t="s">
        <v>135</v>
      </c>
      <c r="C14" s="105" t="s">
        <v>142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10">
        <v>56973069852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04" t="s">
        <v>143</v>
      </c>
      <c r="D16" s="43"/>
      <c r="E16" s="43"/>
      <c r="F16" s="67" t="s">
        <v>75</v>
      </c>
      <c r="G16" s="107" t="s">
        <v>136</v>
      </c>
      <c r="H16" s="65"/>
      <c r="I16" s="1"/>
    </row>
    <row r="17" spans="1:16" ht="16.2" thickBot="1" x14ac:dyDescent="0.35">
      <c r="A17" s="1"/>
      <c r="B17" s="68" t="s">
        <v>3</v>
      </c>
      <c r="C17" s="106" t="s">
        <v>131</v>
      </c>
      <c r="D17" s="69"/>
      <c r="E17" s="70"/>
      <c r="F17" s="111" t="s">
        <v>18</v>
      </c>
      <c r="G17" s="111"/>
      <c r="H17" s="112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3" t="s">
        <v>19</v>
      </c>
      <c r="C20" s="114"/>
      <c r="D20" s="114"/>
      <c r="E20" s="114"/>
      <c r="F20" s="114"/>
      <c r="G20" s="114"/>
      <c r="H20" s="115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2</v>
      </c>
      <c r="C22" s="100" t="s">
        <v>146</v>
      </c>
      <c r="D22" s="103">
        <v>3100</v>
      </c>
      <c r="E22" s="103">
        <v>60</v>
      </c>
      <c r="F22" s="100" t="s">
        <v>144</v>
      </c>
      <c r="G22" s="101">
        <v>29210</v>
      </c>
      <c r="H22" s="101">
        <f>G22*B22</f>
        <v>58420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2</v>
      </c>
      <c r="C23" s="100" t="s">
        <v>146</v>
      </c>
      <c r="D23" s="103">
        <v>1000</v>
      </c>
      <c r="E23" s="103">
        <v>60</v>
      </c>
      <c r="F23" s="100" t="s">
        <v>144</v>
      </c>
      <c r="G23" s="101">
        <v>11271</v>
      </c>
      <c r="H23" s="101">
        <f t="shared" ref="H23:H25" si="0">G23*B23</f>
        <v>22542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0">
        <v>1</v>
      </c>
      <c r="C24" s="100" t="s">
        <v>146</v>
      </c>
      <c r="D24" s="103">
        <v>2300</v>
      </c>
      <c r="E24" s="103">
        <v>60</v>
      </c>
      <c r="F24" s="100" t="s">
        <v>144</v>
      </c>
      <c r="G24" s="101">
        <v>23033</v>
      </c>
      <c r="H24" s="101">
        <f t="shared" si="0"/>
        <v>23033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0">
        <v>1</v>
      </c>
      <c r="C25" s="100" t="s">
        <v>146</v>
      </c>
      <c r="D25" s="103">
        <v>1000</v>
      </c>
      <c r="E25" s="103">
        <v>60</v>
      </c>
      <c r="F25" s="100" t="s">
        <v>144</v>
      </c>
      <c r="G25" s="101">
        <v>11271</v>
      </c>
      <c r="H25" s="101">
        <f t="shared" si="0"/>
        <v>11271</v>
      </c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SUM(H22:H26)</f>
        <v>115266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21900.54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137166.54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96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123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122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7:H17"/>
    <mergeCell ref="B20:H20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tabSelected="1" topLeftCell="A12" zoomScaleNormal="100" workbookViewId="0">
      <selection activeCell="E25" sqref="E2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7313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FCA. DE MUEBLES ALVEAR Y ALVEAR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40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2</v>
      </c>
      <c r="C14" s="25"/>
      <c r="D14" s="25">
        <v>3100</v>
      </c>
      <c r="E14" s="35">
        <f>K14+E$13</f>
        <v>100</v>
      </c>
      <c r="F14" s="98" t="str">
        <f>C34</f>
        <v>CENEFA R8 1V</v>
      </c>
      <c r="G14" s="1"/>
      <c r="I14" s="3">
        <f>I25</f>
        <v>2</v>
      </c>
      <c r="J14" s="4">
        <f>J25</f>
        <v>3100</v>
      </c>
      <c r="K14" s="4">
        <f>E34</f>
        <v>60</v>
      </c>
    </row>
    <row r="15" spans="1:14" ht="15.6" x14ac:dyDescent="0.3">
      <c r="A15" s="95"/>
      <c r="B15" s="25">
        <f t="shared" ref="B15:B17" si="1">I15</f>
        <v>2</v>
      </c>
      <c r="C15" s="25"/>
      <c r="D15" s="25">
        <f t="shared" ref="D15:D17" si="2">J15+D$13</f>
        <v>1080</v>
      </c>
      <c r="E15" s="35">
        <f t="shared" ref="E15:E17" si="3">K15+E$13</f>
        <v>100</v>
      </c>
      <c r="F15" s="98" t="str">
        <f>C35</f>
        <v>CENEFA R8 1V</v>
      </c>
      <c r="G15" s="1"/>
      <c r="I15" s="3">
        <f t="shared" ref="I15:J15" si="4">I26</f>
        <v>2</v>
      </c>
      <c r="J15" s="4">
        <f t="shared" si="4"/>
        <v>1000</v>
      </c>
      <c r="K15" s="4">
        <f>E35</f>
        <v>60</v>
      </c>
    </row>
    <row r="16" spans="1:14" ht="15.6" x14ac:dyDescent="0.3">
      <c r="A16" s="95"/>
      <c r="B16" s="25">
        <f t="shared" si="1"/>
        <v>1</v>
      </c>
      <c r="C16" s="25"/>
      <c r="D16" s="25">
        <f t="shared" si="2"/>
        <v>2380</v>
      </c>
      <c r="E16" s="35">
        <f t="shared" si="3"/>
        <v>100</v>
      </c>
      <c r="F16" s="98" t="str">
        <f>C36</f>
        <v>CENEFA R8 1V</v>
      </c>
      <c r="G16" s="1"/>
      <c r="I16" s="3">
        <f t="shared" ref="I16:J16" si="5">I27</f>
        <v>1</v>
      </c>
      <c r="J16" s="4">
        <f t="shared" si="5"/>
        <v>2300</v>
      </c>
      <c r="K16" s="4">
        <f>E36</f>
        <v>60</v>
      </c>
    </row>
    <row r="17" spans="1:13" ht="15.6" x14ac:dyDescent="0.3">
      <c r="A17" s="95"/>
      <c r="B17" s="25">
        <f t="shared" si="1"/>
        <v>1</v>
      </c>
      <c r="C17" s="25"/>
      <c r="D17" s="25">
        <f t="shared" si="2"/>
        <v>1080</v>
      </c>
      <c r="E17" s="35">
        <f t="shared" si="3"/>
        <v>100</v>
      </c>
      <c r="F17" s="98" t="str">
        <f>C37</f>
        <v>CENEFA R8 1V</v>
      </c>
      <c r="G17" s="1"/>
      <c r="I17" s="3">
        <f t="shared" ref="I17:J17" si="6">I28</f>
        <v>1</v>
      </c>
      <c r="J17" s="4">
        <f t="shared" si="6"/>
        <v>1000</v>
      </c>
      <c r="K17" s="4">
        <f>E37</f>
        <v>60</v>
      </c>
    </row>
    <row r="18" spans="1:13" ht="15.6" x14ac:dyDescent="0.3">
      <c r="A18" s="95"/>
      <c r="B18" s="6"/>
      <c r="C18" s="6"/>
      <c r="D18" s="6"/>
      <c r="E18" s="89"/>
      <c r="F18" s="102"/>
      <c r="G18" s="1"/>
      <c r="I18" s="90"/>
      <c r="J18" s="2"/>
      <c r="K18" s="2"/>
    </row>
    <row r="19" spans="1:13" ht="15.6" x14ac:dyDescent="0.3">
      <c r="A19" s="52"/>
      <c r="B19" s="6"/>
      <c r="C19" s="6"/>
      <c r="D19" s="6"/>
      <c r="E19" s="89"/>
      <c r="F19" s="6"/>
      <c r="G19" s="1"/>
      <c r="I19" s="90"/>
      <c r="J19" s="2"/>
      <c r="K19" s="2"/>
    </row>
    <row r="20" spans="1:13" ht="6.75" customHeight="1" x14ac:dyDescent="0.3">
      <c r="A20" s="1"/>
      <c r="B20" s="1"/>
      <c r="C20" s="1"/>
      <c r="D20" s="1"/>
      <c r="E20" s="1"/>
      <c r="F20" s="1"/>
      <c r="G20" s="1"/>
    </row>
    <row r="21" spans="1:13" ht="15.6" x14ac:dyDescent="0.3">
      <c r="A21" s="119" t="s">
        <v>14</v>
      </c>
      <c r="B21" s="119"/>
      <c r="C21" s="119"/>
      <c r="D21" s="119"/>
      <c r="E21" s="119"/>
      <c r="F21" s="119"/>
      <c r="G21" s="1"/>
    </row>
    <row r="22" spans="1:13" ht="10.5" customHeight="1" x14ac:dyDescent="0.3">
      <c r="A22" s="1"/>
      <c r="B22" s="1"/>
      <c r="C22" s="12"/>
      <c r="D22" s="1"/>
      <c r="E22" s="1"/>
      <c r="F22" s="1"/>
      <c r="G22" s="1"/>
    </row>
    <row r="23" spans="1:13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3" ht="15.6" x14ac:dyDescent="0.3">
      <c r="A24" s="52" t="s">
        <v>9</v>
      </c>
      <c r="B24" s="36" t="s">
        <v>10</v>
      </c>
      <c r="C24" s="36" t="s">
        <v>11</v>
      </c>
      <c r="D24" s="21">
        <v>40</v>
      </c>
      <c r="E24" s="21">
        <v>90</v>
      </c>
      <c r="F24" s="36" t="s">
        <v>110</v>
      </c>
      <c r="G24" s="1"/>
      <c r="J24" s="5" t="s">
        <v>7</v>
      </c>
      <c r="K24" s="5" t="s">
        <v>8</v>
      </c>
    </row>
    <row r="25" spans="1:13" ht="15.6" x14ac:dyDescent="0.3">
      <c r="A25" s="95"/>
      <c r="B25" s="16">
        <f t="shared" ref="B25" si="7">I25</f>
        <v>2</v>
      </c>
      <c r="C25" s="16" t="s">
        <v>145</v>
      </c>
      <c r="D25" s="16">
        <v>3080</v>
      </c>
      <c r="E25" s="16">
        <f>K25+E$24</f>
        <v>150</v>
      </c>
      <c r="F25" s="99" t="str">
        <f>C34</f>
        <v>CENEFA R8 1V</v>
      </c>
      <c r="G25" s="1"/>
      <c r="I25" s="3">
        <f>B34</f>
        <v>2</v>
      </c>
      <c r="J25" s="4">
        <f>D34</f>
        <v>3100</v>
      </c>
      <c r="K25" s="4">
        <f t="shared" ref="K25" si="8">E34</f>
        <v>60</v>
      </c>
      <c r="M25">
        <v>185</v>
      </c>
    </row>
    <row r="26" spans="1:13" ht="15.6" x14ac:dyDescent="0.3">
      <c r="A26" s="95"/>
      <c r="B26" s="16">
        <f t="shared" ref="B26:B28" si="9">I26</f>
        <v>2</v>
      </c>
      <c r="C26" s="16"/>
      <c r="D26" s="16">
        <f t="shared" ref="D26:D28" si="10">J26+D$24</f>
        <v>1040</v>
      </c>
      <c r="E26" s="16">
        <f t="shared" ref="E26:E28" si="11">K26+E$24</f>
        <v>150</v>
      </c>
      <c r="F26" s="99" t="str">
        <f>C35</f>
        <v>CENEFA R8 1V</v>
      </c>
      <c r="G26" s="1"/>
      <c r="I26" s="3">
        <f>B35</f>
        <v>2</v>
      </c>
      <c r="J26" s="4">
        <f>D35</f>
        <v>1000</v>
      </c>
      <c r="K26" s="4">
        <f>E35</f>
        <v>60</v>
      </c>
      <c r="M26">
        <v>50</v>
      </c>
    </row>
    <row r="27" spans="1:13" ht="15.6" x14ac:dyDescent="0.3">
      <c r="A27" s="95"/>
      <c r="B27" s="16">
        <f t="shared" si="9"/>
        <v>1</v>
      </c>
      <c r="C27" s="16"/>
      <c r="D27" s="16">
        <f t="shared" si="10"/>
        <v>2340</v>
      </c>
      <c r="E27" s="16">
        <f t="shared" si="11"/>
        <v>150</v>
      </c>
      <c r="F27" s="99" t="str">
        <f>C36</f>
        <v>CENEFA R8 1V</v>
      </c>
      <c r="G27" s="1"/>
      <c r="I27" s="3">
        <f>B36</f>
        <v>1</v>
      </c>
      <c r="J27" s="4">
        <f>D36</f>
        <v>2300</v>
      </c>
      <c r="K27" s="4">
        <f>E36</f>
        <v>60</v>
      </c>
      <c r="M27">
        <f>SUM(M25:M26)</f>
        <v>235</v>
      </c>
    </row>
    <row r="28" spans="1:13" ht="15.6" x14ac:dyDescent="0.3">
      <c r="A28" s="95"/>
      <c r="B28" s="16">
        <f t="shared" si="9"/>
        <v>1</v>
      </c>
      <c r="C28" s="16"/>
      <c r="D28" s="16">
        <f t="shared" si="10"/>
        <v>1040</v>
      </c>
      <c r="E28" s="16">
        <f t="shared" si="11"/>
        <v>150</v>
      </c>
      <c r="F28" s="99" t="str">
        <f>C37</f>
        <v>CENEFA R8 1V</v>
      </c>
      <c r="G28" s="1"/>
      <c r="I28" s="3">
        <f>B37</f>
        <v>1</v>
      </c>
      <c r="J28" s="4">
        <f>D37</f>
        <v>1000</v>
      </c>
      <c r="K28" s="4">
        <f>E37</f>
        <v>60</v>
      </c>
    </row>
    <row r="29" spans="1:13" ht="15.6" x14ac:dyDescent="0.3">
      <c r="A29" s="95"/>
      <c r="B29" s="6"/>
      <c r="C29" s="6"/>
      <c r="D29" s="6"/>
      <c r="E29" s="6"/>
      <c r="F29" s="102"/>
      <c r="G29" s="1"/>
      <c r="I29" s="90"/>
      <c r="J29" s="2"/>
      <c r="K29" s="2"/>
    </row>
    <row r="30" spans="1:13" ht="16.2" thickBot="1" x14ac:dyDescent="0.35">
      <c r="A30" s="52"/>
      <c r="B30" s="6"/>
      <c r="C30" s="6"/>
      <c r="D30" s="6"/>
      <c r="E30" s="6"/>
      <c r="F30" s="6"/>
      <c r="G30" s="1"/>
      <c r="I30" s="2"/>
      <c r="J30" s="2"/>
      <c r="K30" s="2"/>
    </row>
    <row r="31" spans="1:13" ht="16.2" thickBot="1" x14ac:dyDescent="0.35">
      <c r="A31" s="52"/>
      <c r="B31" s="22" t="s">
        <v>107</v>
      </c>
      <c r="C31" s="23"/>
      <c r="D31" s="23"/>
      <c r="E31" s="23"/>
      <c r="F31" s="24"/>
      <c r="G31" s="1"/>
      <c r="I31" s="2"/>
      <c r="J31" s="2"/>
      <c r="K31" s="2"/>
    </row>
    <row r="32" spans="1:13" ht="10.5" customHeight="1" x14ac:dyDescent="0.3">
      <c r="A32" s="1"/>
      <c r="B32" s="1"/>
      <c r="C32" s="1"/>
      <c r="D32" s="1"/>
      <c r="E32" s="1"/>
      <c r="F32" s="1"/>
      <c r="G32" s="1"/>
    </row>
    <row r="33" spans="1:7" ht="15.6" x14ac:dyDescent="0.3">
      <c r="A33" s="52" t="s">
        <v>9</v>
      </c>
      <c r="B33" s="88" t="s">
        <v>10</v>
      </c>
      <c r="C33" s="88" t="s">
        <v>110</v>
      </c>
      <c r="D33" s="88" t="s">
        <v>7</v>
      </c>
      <c r="E33" s="88" t="s">
        <v>8</v>
      </c>
      <c r="F33" s="88" t="s">
        <v>23</v>
      </c>
      <c r="G33" s="1"/>
    </row>
    <row r="34" spans="1:7" ht="15.6" x14ac:dyDescent="0.3">
      <c r="A34" s="95" t="s">
        <v>134</v>
      </c>
      <c r="B34" s="25">
        <f>'4637'!B22</f>
        <v>2</v>
      </c>
      <c r="C34" s="98" t="str">
        <f>'4637'!C22</f>
        <v>CENEFA R8 1V</v>
      </c>
      <c r="D34" s="25">
        <f>'4637'!D22</f>
        <v>3100</v>
      </c>
      <c r="E34" s="25">
        <f>'4637'!E22</f>
        <v>60</v>
      </c>
      <c r="F34" s="25" t="str">
        <f>'4637'!F22</f>
        <v>NIEBLA 2191 MT</v>
      </c>
      <c r="G34" s="1"/>
    </row>
    <row r="35" spans="1:7" ht="15.6" x14ac:dyDescent="0.3">
      <c r="A35" s="95"/>
      <c r="B35" s="25">
        <f>'4637'!B23</f>
        <v>2</v>
      </c>
      <c r="C35" s="98" t="str">
        <f>'4637'!C23</f>
        <v>CENEFA R8 1V</v>
      </c>
      <c r="D35" s="25">
        <f>'4637'!D23</f>
        <v>1000</v>
      </c>
      <c r="E35" s="25">
        <f>'4637'!E23</f>
        <v>60</v>
      </c>
      <c r="F35" s="25" t="str">
        <f>'4637'!F23</f>
        <v>NIEBLA 2191 MT</v>
      </c>
      <c r="G35" s="1"/>
    </row>
    <row r="36" spans="1:7" ht="15.6" x14ac:dyDescent="0.3">
      <c r="A36" s="95"/>
      <c r="B36" s="25">
        <f>'4637'!B24</f>
        <v>1</v>
      </c>
      <c r="C36" s="98" t="str">
        <f>'4637'!C24</f>
        <v>CENEFA R8 1V</v>
      </c>
      <c r="D36" s="25">
        <f>'4637'!D24</f>
        <v>2300</v>
      </c>
      <c r="E36" s="25">
        <f>'4637'!E24</f>
        <v>60</v>
      </c>
      <c r="F36" s="25" t="str">
        <f>'4637'!F24</f>
        <v>NIEBLA 2191 MT</v>
      </c>
      <c r="G36" s="1"/>
    </row>
    <row r="37" spans="1:7" ht="15.6" x14ac:dyDescent="0.3">
      <c r="A37" s="95"/>
      <c r="B37" s="25">
        <f>'4637'!B25</f>
        <v>1</v>
      </c>
      <c r="C37" s="98" t="str">
        <f>'4637'!C25</f>
        <v>CENEFA R8 1V</v>
      </c>
      <c r="D37" s="25">
        <f>'4637'!D25</f>
        <v>1000</v>
      </c>
      <c r="E37" s="25">
        <f>'4637'!E25</f>
        <v>60</v>
      </c>
      <c r="F37" s="25" t="str">
        <f>'4637'!F25</f>
        <v>NIEBLA 2191 MT</v>
      </c>
      <c r="G37" s="1"/>
    </row>
    <row r="38" spans="1:7" ht="15.6" x14ac:dyDescent="0.3">
      <c r="A38" s="95"/>
      <c r="B38" s="6"/>
      <c r="C38" s="102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40" t="s">
        <v>27</v>
      </c>
      <c r="D48" s="14">
        <f>'4637'!G8</f>
        <v>7313</v>
      </c>
      <c r="E48" s="1"/>
      <c r="F48" s="1"/>
      <c r="G48" s="1"/>
    </row>
    <row r="49" spans="1:7" ht="17.25" customHeight="1" x14ac:dyDescent="0.3">
      <c r="A49" s="1"/>
      <c r="B49" s="1"/>
      <c r="C49" s="41" t="s">
        <v>67</v>
      </c>
      <c r="D49" s="42" t="str">
        <f>'4637'!C10</f>
        <v>FCA. DE MUEBLES ALVEAR Y ALVEAR LTDA</v>
      </c>
      <c r="E49" s="43"/>
      <c r="F49" s="43"/>
      <c r="G49" s="1"/>
    </row>
    <row r="50" spans="1:7" ht="4.5" customHeight="1" x14ac:dyDescent="0.3">
      <c r="A50" s="1"/>
      <c r="B50" s="1"/>
      <c r="C50" s="44"/>
      <c r="D50" s="45"/>
      <c r="E50" s="1"/>
      <c r="F50" s="1"/>
      <c r="G50" s="1"/>
    </row>
    <row r="51" spans="1:7" ht="15.6" x14ac:dyDescent="0.3">
      <c r="A51" s="1"/>
      <c r="B51" s="1"/>
      <c r="C51" s="46" t="str">
        <f>'4637'!F11</f>
        <v>FECHA LIMITE :</v>
      </c>
      <c r="D51" s="13">
        <f>'4637'!G11</f>
        <v>0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19" t="s">
        <v>68</v>
      </c>
      <c r="B54" s="119"/>
      <c r="C54" s="119"/>
      <c r="D54" s="119"/>
      <c r="E54" s="119"/>
      <c r="F54" s="119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20" t="s">
        <v>69</v>
      </c>
      <c r="C56" s="121"/>
      <c r="D56" s="122"/>
      <c r="E56" s="122"/>
      <c r="F56" s="123"/>
      <c r="G56" s="1"/>
    </row>
    <row r="57" spans="1:7" s="15" customFormat="1" ht="12.75" customHeight="1" x14ac:dyDescent="0.3">
      <c r="A57" s="1"/>
      <c r="B57" s="36" t="s">
        <v>10</v>
      </c>
      <c r="C57" s="47" t="s">
        <v>11</v>
      </c>
      <c r="D57" s="48" t="s">
        <v>7</v>
      </c>
      <c r="E57" s="48" t="s">
        <v>8</v>
      </c>
      <c r="F57" s="49" t="s">
        <v>12</v>
      </c>
      <c r="G57" s="1"/>
    </row>
    <row r="58" spans="1:7" s="15" customFormat="1" ht="15" customHeight="1" x14ac:dyDescent="0.3">
      <c r="A58" s="95" t="s">
        <v>134</v>
      </c>
      <c r="B58" s="38">
        <f>'4637'!B22</f>
        <v>2</v>
      </c>
      <c r="C58" s="97" t="str">
        <f>'4637'!C22</f>
        <v>CENEFA R8 1V</v>
      </c>
      <c r="D58" s="39">
        <f>'4637'!D22</f>
        <v>3100</v>
      </c>
      <c r="E58" s="39">
        <f>'4637'!E22</f>
        <v>60</v>
      </c>
      <c r="F58" s="38" t="str">
        <f>'4637'!F22</f>
        <v>NIEBLA 2191 MT</v>
      </c>
      <c r="G58" s="1"/>
    </row>
    <row r="59" spans="1:7" s="15" customFormat="1" ht="15" customHeight="1" x14ac:dyDescent="0.3">
      <c r="A59" s="95"/>
      <c r="B59" s="38">
        <f>'4637'!B23</f>
        <v>2</v>
      </c>
      <c r="C59" s="97" t="str">
        <f>'4637'!C23</f>
        <v>CENEFA R8 1V</v>
      </c>
      <c r="D59" s="39">
        <f>'4637'!D23</f>
        <v>1000</v>
      </c>
      <c r="E59" s="39">
        <f>'4637'!E23</f>
        <v>60</v>
      </c>
      <c r="F59" s="38" t="str">
        <f>'4637'!F23</f>
        <v>NIEBLA 2191 MT</v>
      </c>
      <c r="G59" s="1"/>
    </row>
    <row r="60" spans="1:7" s="15" customFormat="1" ht="15" customHeight="1" x14ac:dyDescent="0.3">
      <c r="A60" s="95"/>
      <c r="B60" s="38">
        <f>'4637'!B24</f>
        <v>1</v>
      </c>
      <c r="C60" s="97" t="str">
        <f>'4637'!C24</f>
        <v>CENEFA R8 1V</v>
      </c>
      <c r="D60" s="39">
        <f>'4637'!D24</f>
        <v>2300</v>
      </c>
      <c r="E60" s="39">
        <f>'4637'!E24</f>
        <v>60</v>
      </c>
      <c r="F60" s="38" t="str">
        <f>'4637'!F24</f>
        <v>NIEBLA 2191 MT</v>
      </c>
      <c r="G60" s="1"/>
    </row>
    <row r="61" spans="1:7" s="15" customFormat="1" ht="15" customHeight="1" x14ac:dyDescent="0.3">
      <c r="A61" s="95"/>
      <c r="B61" s="38">
        <f>'4637'!B25</f>
        <v>1</v>
      </c>
      <c r="C61" s="97" t="str">
        <f>'4637'!C25</f>
        <v>CENEFA R8 1V</v>
      </c>
      <c r="D61" s="39">
        <f>'4637'!D25</f>
        <v>1000</v>
      </c>
      <c r="E61" s="39">
        <f>'4637'!E25</f>
        <v>60</v>
      </c>
      <c r="F61" s="38" t="str">
        <f>'4637'!F25</f>
        <v>NIEBLA 2191 MT</v>
      </c>
      <c r="G61" s="1"/>
    </row>
    <row r="62" spans="1:7" s="15" customFormat="1" ht="15" customHeight="1" x14ac:dyDescent="0.3">
      <c r="A62" s="95"/>
      <c r="B62" s="52"/>
      <c r="C62" s="108"/>
      <c r="D62" s="52"/>
      <c r="E62" s="52"/>
      <c r="F62" s="52"/>
      <c r="G62" s="1"/>
    </row>
    <row r="63" spans="1:7" s="15" customFormat="1" ht="15" customHeight="1" x14ac:dyDescent="0.3">
      <c r="A63" s="50"/>
      <c r="B63" s="52"/>
      <c r="C63" s="52"/>
      <c r="D63" s="52"/>
      <c r="E63" s="52"/>
      <c r="F63" s="52"/>
      <c r="G63" s="1"/>
    </row>
    <row r="64" spans="1:7" ht="15.6" x14ac:dyDescent="0.3">
      <c r="A64" s="6"/>
      <c r="B64" s="6"/>
      <c r="C64" s="1"/>
      <c r="D64" s="6"/>
      <c r="E64" s="6"/>
      <c r="F64" s="44"/>
      <c r="G64" s="1"/>
    </row>
    <row r="65" spans="1:7" ht="15.6" x14ac:dyDescent="0.3">
      <c r="A65" s="6"/>
      <c r="B65" s="6"/>
      <c r="C65" s="1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" customHeight="1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6"/>
      <c r="B71" s="5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x14ac:dyDescent="0.3">
      <c r="B73" s="20"/>
      <c r="C73" s="20"/>
      <c r="D73" s="20"/>
      <c r="E73" s="20"/>
      <c r="F73" s="20"/>
    </row>
    <row r="74" spans="1:7" x14ac:dyDescent="0.3">
      <c r="B74" s="20"/>
      <c r="C74" s="20"/>
      <c r="E74" s="20"/>
      <c r="F74" s="20"/>
    </row>
  </sheetData>
  <mergeCells count="6">
    <mergeCell ref="M3:N3"/>
    <mergeCell ref="A21:F21"/>
    <mergeCell ref="A10:F10"/>
    <mergeCell ref="A54:F54"/>
    <mergeCell ref="B56:F5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2025-10-01T15:22:02Z</cp:lastPrinted>
  <dcterms:created xsi:type="dcterms:W3CDTF">2013-03-19T12:54:14Z</dcterms:created>
  <dcterms:modified xsi:type="dcterms:W3CDTF">2025-10-28T00:22:21Z</dcterms:modified>
</cp:coreProperties>
</file>