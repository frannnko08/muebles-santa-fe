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D1233F77-4DF8-461C-BB24-60F7FCEA0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7" i="3"/>
  <c r="I17" i="3"/>
  <c r="B17" i="3" s="1"/>
  <c r="B59" i="3"/>
  <c r="C59" i="3"/>
  <c r="D59" i="3"/>
  <c r="E59" i="3"/>
  <c r="F59" i="3"/>
  <c r="B60" i="3"/>
  <c r="C60" i="3"/>
  <c r="D60" i="3"/>
  <c r="E60" i="3"/>
  <c r="F60" i="3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H23" i="4"/>
  <c r="H24" i="4"/>
  <c r="B34" i="3"/>
  <c r="I25" i="3" s="1"/>
  <c r="C34" i="3"/>
  <c r="F15" i="3" s="1"/>
  <c r="D34" i="3"/>
  <c r="J25" i="3" s="1"/>
  <c r="E34" i="3"/>
  <c r="K25" i="3" s="1"/>
  <c r="E25" i="3" s="1"/>
  <c r="F34" i="3"/>
  <c r="B58" i="3"/>
  <c r="C58" i="3"/>
  <c r="D58" i="3"/>
  <c r="E58" i="3"/>
  <c r="F58" i="3"/>
  <c r="H22" i="4"/>
  <c r="H21" i="4"/>
  <c r="K16" i="3" l="1"/>
  <c r="E16" i="3" s="1"/>
  <c r="K17" i="3"/>
  <c r="E17" i="3" s="1"/>
  <c r="J16" i="3"/>
  <c r="D16" i="3" s="1"/>
  <c r="J17" i="3"/>
  <c r="D17" i="3" s="1"/>
  <c r="I16" i="3"/>
  <c r="B16" i="3" s="1"/>
  <c r="B25" i="3"/>
  <c r="I15" i="3"/>
  <c r="B15" i="3" s="1"/>
  <c r="J15" i="3"/>
  <c r="D15" i="3" s="1"/>
  <c r="D25" i="3"/>
  <c r="F25" i="3"/>
  <c r="K15" i="3"/>
  <c r="E15" i="3" s="1"/>
  <c r="B33" i="3"/>
  <c r="I24" i="3" s="1"/>
  <c r="I14" i="3" s="1"/>
  <c r="B14" i="3" s="1"/>
  <c r="C33" i="3"/>
  <c r="F14" i="3" s="1"/>
  <c r="D33" i="3"/>
  <c r="J24" i="3" s="1"/>
  <c r="E33" i="3"/>
  <c r="F33" i="3"/>
  <c r="B57" i="3"/>
  <c r="C57" i="3"/>
  <c r="D57" i="3"/>
  <c r="E57" i="3"/>
  <c r="F57" i="3"/>
  <c r="H27" i="4"/>
  <c r="K24" i="3" l="1"/>
  <c r="K14" i="3" s="1"/>
  <c r="E14" i="3" s="1"/>
  <c r="D24" i="3"/>
  <c r="J14" i="3"/>
  <c r="D14" i="3" s="1"/>
  <c r="B24" i="3"/>
  <c r="F24" i="3"/>
  <c r="E24" i="3" l="1"/>
  <c r="H28" i="4"/>
  <c r="H29" i="4" l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<sst xmlns="http://schemas.openxmlformats.org/spreadsheetml/2006/main" count="253" uniqueCount="144">
  <si>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</si>
  <si>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</si>
  <si>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</si>
  <si>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</si>
  <si>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</si>
  <si>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</si>
  <si>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</si>
  <si>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</si>
  <si>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</si>
  <si>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</si>
  <si>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</si>
  <si>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</si>
  <si>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</si>
  <si>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</si>
  <si>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</si>
  <si>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</si>
  <si>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</si>
  <si>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</si>
  <si>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</si>
  <si>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</si>
  <si>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</si>
  <si>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</si>
  <si>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</si>
  <si>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</si>
  <si>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</si>
  <si>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</si>
  <si>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</si>
  <si>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</si>
  <si>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</si>
  <si>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</si>
  <si>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</si>
  <si>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</si>
  <si>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</si>
  <si>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</si>
  <si>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</si>
  <si>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</si>
  <si>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</si>
  <si>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</si>
  <si>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</si>
  <si>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</si>
  <si>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</si>
  <si>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</si>
  <si>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</si>
  <si>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</si>
  <si>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</si>
  <si>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</si>
  <si>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</si>
  <si>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</si>
  <si>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</si>
  <si>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</si>
  <si>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</si>
  <si>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</si>
  <si>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</si>
  <si>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</si>
  <si>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</si>
  <si>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</si>
  <si>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</si>
  <si>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</si>
  <si>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</si>
  <si>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</si>
  <si>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</si>
  <si>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</si>
  <si>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</si>
  <si>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</si>
  <si>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</si>
  <si>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</si>
  <si>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</si>
  <si>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</si>
  <si>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</si>
  <si>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</si>
  <si>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</si>
  <si>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</si>
  <si>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</si>
  <si>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</si>
  <si>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</si>
  <si>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</si>
  <si>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</si>
  <si>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</si>
  <si>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</si>
  <si>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</si>
  <si>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</si>
  <si>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</si>
  <si>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</si>
  <si>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</si>
  <si>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</si>
  <si>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</si>
  <si>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</si>
  <si>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</si>
  <si>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</si>
  <si>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</si>
  <si>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</si>
  <si>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</si>
  <si>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</si>
  <si>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</si>
  <si>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</si>
  <si>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</si>
  <si>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</si>
  <si>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</si>
  <si>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</si>
  <si>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</si>
  <si>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</si>
  <si>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</si>
  <si>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</si>
  <si>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</si>
  <si>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</si>
  <si>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</si>
  <si>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</si>
  <si>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</si>
  <si>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</si>
  <si>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</si>
  <si>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</si>
  <si>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</si>
  <si>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</si>
  <si>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</si>
  <si>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</si>
  <si>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</si>
  <si>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</si>
  <si>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</si>
  <si>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</si>
  <si>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</si>
  <si>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</si>
  <si>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</si>
  <si>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</si>
  <si>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</si>
  <si>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</si>
  <si>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</si>
  <si>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</si>
  <si>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</si>
  <si>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</si>
  <si>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</si>
  <si>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</si>
  <si>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</si>
  <si>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</si>
  <si>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</si>
  <si>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</si>
  <si>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</si>
  <si>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</si>
  <si>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</si>
  <si>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</si>
  <si>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</si>
  <si>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</si>
  <si>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N° 11687</t>
  </si>
  <si>
    <t>CUB C/R 90° R8</t>
  </si>
  <si>
    <t>SHELL WHITE 22011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</si>
</sst>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565543</xdr:colOff>
      <xdr:row>51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5" workbookViewId="0">
      <selection activeCell="F21" sqref="F21:F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7297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45937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23394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142</v>
      </c>
      <c r="D21" s="108">
        <v>3000</v>
      </c>
      <c r="E21" s="108">
        <v>800</v>
      </c>
      <c r="F21" s="105" t="s">
        <v>143</v>
      </c>
      <c r="G21" s="106">
        <v>114116</v>
      </c>
      <c r="H21" s="106">
        <f t="shared" ref="H21" si="0">G21*B21</f>
        <v>114116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5">
        <v>1</v>
      </c>
      <c r="C22" s="105" t="s">
        <v>142</v>
      </c>
      <c r="D22" s="108">
        <v>2900</v>
      </c>
      <c r="E22" s="108">
        <v>800</v>
      </c>
      <c r="F22" s="105" t="s">
        <v>143</v>
      </c>
      <c r="G22" s="106">
        <v>106770</v>
      </c>
      <c r="H22" s="106">
        <f t="shared" ref="H22:H24" si="1">G22*B22</f>
        <v>106770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5">
        <v>1</v>
      </c>
      <c r="C23" s="105" t="s">
        <v>142</v>
      </c>
      <c r="D23" s="108">
        <v>1600</v>
      </c>
      <c r="E23" s="108">
        <v>800</v>
      </c>
      <c r="F23" s="105" t="s">
        <v>143</v>
      </c>
      <c r="G23" s="106">
        <v>62699</v>
      </c>
      <c r="H23" s="106">
        <f t="shared" si="1"/>
        <v>62699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5">
        <v>1</v>
      </c>
      <c r="C24" s="105" t="s">
        <v>142</v>
      </c>
      <c r="D24" s="108">
        <v>2500</v>
      </c>
      <c r="E24" s="108">
        <v>800</v>
      </c>
      <c r="F24" s="105" t="s">
        <v>143</v>
      </c>
      <c r="G24" s="106">
        <v>94753</v>
      </c>
      <c r="H24" s="106">
        <f t="shared" si="1"/>
        <v>94753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6"/>
      <c r="C25" s="96"/>
      <c r="D25" s="96"/>
      <c r="E25" s="96"/>
      <c r="F25" s="97"/>
      <c r="G25" s="98"/>
      <c r="H25" s="98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378338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71884.22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450222.22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9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zoomScaleNormal="100" workbookViewId="0">
      <selection sqref="A1:F4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7297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3080</v>
      </c>
      <c r="E14" s="35">
        <f>K14+E$13</f>
        <v>770</v>
      </c>
      <c r="F14" s="102" t="str">
        <f>C33</f>
        <v>CUB C/R 90° R8</v>
      </c>
      <c r="G14" s="1"/>
      <c r="I14" s="89">
        <f>I24</f>
        <v>1</v>
      </c>
      <c r="J14" s="4">
        <f>J24</f>
        <v>3000</v>
      </c>
      <c r="K14" s="4">
        <f>K24</f>
        <v>800</v>
      </c>
    </row>
    <row r="15" spans="1:14" ht="15.6" x14ac:dyDescent="0.3">
      <c r="B15" s="25">
        <f t="shared" ref="B15" si="1">I15</f>
        <v>1</v>
      </c>
      <c r="C15" s="25"/>
      <c r="D15" s="25">
        <f>J15+80</f>
        <v>2980</v>
      </c>
      <c r="E15" s="35">
        <f t="shared" ref="E15" si="2">K15+E$13</f>
        <v>770</v>
      </c>
      <c r="F15" s="102" t="str">
        <f>C34</f>
        <v>CUB C/R 90° R8</v>
      </c>
      <c r="G15" s="1"/>
      <c r="I15" s="3">
        <f>I25</f>
        <v>1</v>
      </c>
      <c r="J15" s="4">
        <f>J25</f>
        <v>2900</v>
      </c>
      <c r="K15" s="4">
        <f>E34</f>
        <v>800</v>
      </c>
    </row>
    <row r="16" spans="1:14" ht="15.6" x14ac:dyDescent="0.3">
      <c r="A16" s="95"/>
      <c r="B16" s="25">
        <f t="shared" ref="B16:B17" si="3">I16</f>
        <v>1</v>
      </c>
      <c r="C16" s="25"/>
      <c r="D16" s="25">
        <f t="shared" ref="D16:D17" si="4">J16+80</f>
        <v>1680</v>
      </c>
      <c r="E16" s="35">
        <f t="shared" ref="E16:E17" si="5">K16+E$13</f>
        <v>770</v>
      </c>
      <c r="F16" s="102" t="str">
        <f t="shared" ref="F16:F17" si="6">C35</f>
        <v>CUB C/R 90° R8</v>
      </c>
      <c r="G16" s="1"/>
      <c r="I16" s="3">
        <f t="shared" ref="I16:J16" si="7">I26</f>
        <v>1</v>
      </c>
      <c r="J16" s="4">
        <f t="shared" si="7"/>
        <v>1600</v>
      </c>
      <c r="K16" s="4">
        <f t="shared" ref="K16:K17" si="8">E35</f>
        <v>800</v>
      </c>
    </row>
    <row r="17" spans="1:11" ht="15.6" x14ac:dyDescent="0.3">
      <c r="A17" s="95"/>
      <c r="B17" s="25">
        <f t="shared" si="3"/>
        <v>1</v>
      </c>
      <c r="C17" s="25"/>
      <c r="D17" s="25">
        <f t="shared" si="4"/>
        <v>2580</v>
      </c>
      <c r="E17" s="35">
        <f t="shared" si="5"/>
        <v>770</v>
      </c>
      <c r="F17" s="102" t="str">
        <f t="shared" si="6"/>
        <v>CUB C/R 90° R8</v>
      </c>
      <c r="G17" s="1"/>
      <c r="I17" s="3">
        <f t="shared" ref="I17:J17" si="9">I27</f>
        <v>1</v>
      </c>
      <c r="J17" s="4">
        <f t="shared" si="9"/>
        <v>2500</v>
      </c>
      <c r="K17" s="4">
        <f t="shared" si="8"/>
        <v>800</v>
      </c>
    </row>
    <row r="18" spans="1:11" ht="15.6" x14ac:dyDescent="0.3">
      <c r="A18" s="52"/>
      <c r="B18" s="6"/>
      <c r="C18" s="6"/>
      <c r="D18" s="6"/>
      <c r="E18" s="110"/>
      <c r="F18" s="6"/>
      <c r="G18" s="1"/>
      <c r="I18" s="89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9" t="s">
        <v>14</v>
      </c>
      <c r="B20" s="119"/>
      <c r="C20" s="119"/>
      <c r="D20" s="119"/>
      <c r="E20" s="119"/>
      <c r="F20" s="11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5"/>
      <c r="B24" s="16">
        <f t="shared" ref="B24" si="10">I24</f>
        <v>1</v>
      </c>
      <c r="C24" s="16"/>
      <c r="D24" s="16">
        <f>J24+D$23</f>
        <v>3040</v>
      </c>
      <c r="E24" s="16">
        <f>K24+E$23</f>
        <v>930</v>
      </c>
      <c r="F24" s="103" t="str">
        <f>C33</f>
        <v>CUB C/R 90° R8</v>
      </c>
      <c r="G24" s="1"/>
      <c r="I24" s="3">
        <f>B33</f>
        <v>1</v>
      </c>
      <c r="J24" s="4">
        <f>D33</f>
        <v>3000</v>
      </c>
      <c r="K24" s="4">
        <f t="shared" ref="K24" si="11">E33</f>
        <v>800</v>
      </c>
    </row>
    <row r="25" spans="1:11" ht="15.6" x14ac:dyDescent="0.3">
      <c r="A25" s="95"/>
      <c r="B25" s="16">
        <f t="shared" ref="B25" si="12">I25</f>
        <v>1</v>
      </c>
      <c r="C25" s="16"/>
      <c r="D25" s="16">
        <f>J25+D$23</f>
        <v>2940</v>
      </c>
      <c r="E25" s="16">
        <f>K25+E$23</f>
        <v>930</v>
      </c>
      <c r="F25" s="103" t="str">
        <f>C34</f>
        <v>CUB C/R 90° R8</v>
      </c>
      <c r="G25" s="1"/>
      <c r="I25" s="3">
        <f>B34</f>
        <v>1</v>
      </c>
      <c r="J25" s="4">
        <f>D34</f>
        <v>2900</v>
      </c>
      <c r="K25" s="4">
        <f t="shared" ref="K25" si="13">E34</f>
        <v>800</v>
      </c>
    </row>
    <row r="26" spans="1:11" ht="15.6" x14ac:dyDescent="0.3">
      <c r="A26" s="95"/>
      <c r="B26" s="16">
        <f t="shared" ref="B26:B27" si="14">I26</f>
        <v>1</v>
      </c>
      <c r="C26" s="16"/>
      <c r="D26" s="16">
        <f t="shared" ref="D26:D27" si="15">J26+D$23</f>
        <v>1640</v>
      </c>
      <c r="E26" s="16">
        <f t="shared" ref="E26:E27" si="16">K26+E$23</f>
        <v>930</v>
      </c>
      <c r="F26" s="103" t="str">
        <f t="shared" ref="F26:F27" si="17">C35</f>
        <v>CUB C/R 90° R8</v>
      </c>
      <c r="G26" s="1"/>
      <c r="I26" s="3">
        <f t="shared" ref="I26:I27" si="18">B35</f>
        <v>1</v>
      </c>
      <c r="J26" s="4">
        <f t="shared" ref="J26:J27" si="19">D35</f>
        <v>1600</v>
      </c>
      <c r="K26" s="4">
        <f t="shared" ref="K26:K27" si="20">E35</f>
        <v>800</v>
      </c>
    </row>
    <row r="27" spans="1:11" ht="15.6" x14ac:dyDescent="0.3">
      <c r="A27" s="95"/>
      <c r="B27" s="16">
        <f t="shared" si="14"/>
        <v>1</v>
      </c>
      <c r="C27" s="16"/>
      <c r="D27" s="16">
        <f t="shared" si="15"/>
        <v>2540</v>
      </c>
      <c r="E27" s="16">
        <f t="shared" si="16"/>
        <v>930</v>
      </c>
      <c r="F27" s="103" t="str">
        <f t="shared" si="17"/>
        <v>CUB C/R 90° R8</v>
      </c>
      <c r="G27" s="1"/>
      <c r="I27" s="3">
        <f t="shared" si="18"/>
        <v>1</v>
      </c>
      <c r="J27" s="4">
        <f t="shared" si="19"/>
        <v>2500</v>
      </c>
      <c r="K27" s="4">
        <f t="shared" si="20"/>
        <v>800</v>
      </c>
    </row>
    <row r="28" spans="1:11" ht="15.6" x14ac:dyDescent="0.3">
      <c r="A28" s="95"/>
      <c r="B28" s="6"/>
      <c r="C28" s="6"/>
      <c r="D28" s="6"/>
      <c r="E28" s="6"/>
      <c r="F28" s="6"/>
      <c r="G28" s="1"/>
      <c r="I28" s="89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8" t="s">
        <v>10</v>
      </c>
      <c r="C32" s="88" t="s">
        <v>110</v>
      </c>
      <c r="D32" s="88" t="s">
        <v>7</v>
      </c>
      <c r="E32" s="88" t="s">
        <v>8</v>
      </c>
      <c r="F32" s="88" t="s">
        <v>23</v>
      </c>
      <c r="G32" s="1"/>
    </row>
    <row r="33" spans="1:7" ht="15.6" x14ac:dyDescent="0.3">
      <c r="A33" s="95" t="s">
        <v>140</v>
      </c>
      <c r="B33" s="25">
        <f>'4637'!B21</f>
        <v>1</v>
      </c>
      <c r="C33" s="102" t="str">
        <f>'4637'!C21</f>
        <v>CUB C/R 90° R8</v>
      </c>
      <c r="D33" s="25">
        <f>'4637'!D21</f>
        <v>3000</v>
      </c>
      <c r="E33" s="25">
        <f>'4637'!E21</f>
        <v>800</v>
      </c>
      <c r="F33" s="25" t="str">
        <f>'4637'!F21</f>
        <v>SHELL WHITE 22011 SF</v>
      </c>
      <c r="G33" s="1"/>
    </row>
    <row r="34" spans="1:7" ht="15.6" x14ac:dyDescent="0.3">
      <c r="B34" s="25">
        <f>'4637'!B22</f>
        <v>1</v>
      </c>
      <c r="C34" s="102" t="str">
        <f>'4637'!C22</f>
        <v>CUB C/R 90° R8</v>
      </c>
      <c r="D34" s="25">
        <f>'4637'!D22</f>
        <v>2900</v>
      </c>
      <c r="E34" s="25">
        <f>'4637'!E22</f>
        <v>800</v>
      </c>
      <c r="F34" s="25" t="str">
        <f>'4637'!F22</f>
        <v>SHELL WHITE 22011 SF</v>
      </c>
      <c r="G34" s="1"/>
    </row>
    <row r="35" spans="1:7" ht="15.6" x14ac:dyDescent="0.3">
      <c r="B35" s="25">
        <f>'4637'!B23</f>
        <v>1</v>
      </c>
      <c r="C35" s="102" t="str">
        <f>'4637'!C23</f>
        <v>CUB C/R 90° R8</v>
      </c>
      <c r="D35" s="25">
        <f>'4637'!D23</f>
        <v>1600</v>
      </c>
      <c r="E35" s="25">
        <f>'4637'!E23</f>
        <v>800</v>
      </c>
      <c r="F35" s="25" t="str">
        <f>'4637'!F23</f>
        <v>SHELL WHITE 22011 SF</v>
      </c>
      <c r="G35" s="1"/>
    </row>
    <row r="36" spans="1:7" ht="15.6" x14ac:dyDescent="0.3">
      <c r="B36" s="25">
        <f>'4637'!B24</f>
        <v>1</v>
      </c>
      <c r="C36" s="102" t="str">
        <f>'4637'!C24</f>
        <v>CUB C/R 90° R8</v>
      </c>
      <c r="D36" s="25">
        <f>'4637'!D24</f>
        <v>2500</v>
      </c>
      <c r="E36" s="25">
        <f>'4637'!E24</f>
        <v>800</v>
      </c>
      <c r="F36" s="25" t="str">
        <f>'4637'!F24</f>
        <v>SHELL WHITE 22011 SF</v>
      </c>
      <c r="G36" s="1"/>
    </row>
    <row r="37" spans="1:7" ht="15.6" x14ac:dyDescent="0.3">
      <c r="A37" s="95"/>
      <c r="B37" s="6"/>
      <c r="C37" s="107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40" t="s">
        <v>27</v>
      </c>
      <c r="D47" s="14">
        <f>'4637'!G8</f>
        <v>7297</v>
      </c>
      <c r="E47" s="1"/>
      <c r="F47" s="1"/>
      <c r="G47" s="1"/>
    </row>
    <row r="48" spans="1:7" ht="17.25" customHeight="1" x14ac:dyDescent="0.3">
      <c r="A48" s="1"/>
      <c r="B48" s="1"/>
      <c r="C48" s="41" t="s">
        <v>67</v>
      </c>
      <c r="D48" s="42" t="str">
        <f>'4637'!C10</f>
        <v>MUEBLES ASENJO LTDA.</v>
      </c>
      <c r="E48" s="43"/>
      <c r="F48" s="43"/>
      <c r="G48" s="1"/>
    </row>
    <row r="49" spans="1:7" ht="4.5" customHeight="1" x14ac:dyDescent="0.3">
      <c r="A49" s="1"/>
      <c r="B49" s="1"/>
      <c r="C49" s="44"/>
      <c r="D49" s="45"/>
      <c r="E49" s="1"/>
      <c r="F49" s="1"/>
      <c r="G49" s="1"/>
    </row>
    <row r="50" spans="1:7" ht="15.6" x14ac:dyDescent="0.3">
      <c r="A50" s="1"/>
      <c r="B50" s="1"/>
      <c r="C50" s="46" t="str">
        <f>'4637'!F11</f>
        <v>FECHA LIMITE :</v>
      </c>
      <c r="D50" s="13">
        <f>'4637'!G11</f>
        <v>0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19" t="s">
        <v>68</v>
      </c>
      <c r="B53" s="119"/>
      <c r="C53" s="119"/>
      <c r="D53" s="119"/>
      <c r="E53" s="119"/>
      <c r="F53" s="119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20" t="s">
        <v>69</v>
      </c>
      <c r="C55" s="121"/>
      <c r="D55" s="122"/>
      <c r="E55" s="122"/>
      <c r="F55" s="123"/>
      <c r="G55" s="1"/>
    </row>
    <row r="56" spans="1:7" s="15" customFormat="1" ht="12.75" customHeight="1" x14ac:dyDescent="0.3">
      <c r="A56" s="1"/>
      <c r="B56" s="36" t="s">
        <v>10</v>
      </c>
      <c r="C56" s="47" t="s">
        <v>11</v>
      </c>
      <c r="D56" s="48" t="s">
        <v>7</v>
      </c>
      <c r="E56" s="48" t="s">
        <v>8</v>
      </c>
      <c r="F56" s="49" t="s">
        <v>12</v>
      </c>
      <c r="G56" s="1"/>
    </row>
    <row r="57" spans="1:7" s="15" customFormat="1" ht="15" customHeight="1" x14ac:dyDescent="0.3">
      <c r="A57" s="95" t="s">
        <v>140</v>
      </c>
      <c r="B57" s="38">
        <f>'4637'!B21</f>
        <v>1</v>
      </c>
      <c r="C57" s="101" t="str">
        <f>'4637'!C21</f>
        <v>CUB C/R 90° R8</v>
      </c>
      <c r="D57" s="39">
        <f>'4637'!D21</f>
        <v>3000</v>
      </c>
      <c r="E57" s="39">
        <f>'4637'!E21</f>
        <v>800</v>
      </c>
      <c r="F57" s="38" t="str">
        <f>'4637'!F21</f>
        <v>SHELL WHITE 22011 SF</v>
      </c>
      <c r="G57" s="1"/>
    </row>
    <row r="58" spans="1:7" s="15" customFormat="1" ht="15" customHeight="1" x14ac:dyDescent="0.3">
      <c r="B58" s="38">
        <f>'4637'!B22</f>
        <v>1</v>
      </c>
      <c r="C58" s="101" t="str">
        <f>'4637'!C22</f>
        <v>CUB C/R 90° R8</v>
      </c>
      <c r="D58" s="39">
        <f>'4637'!D22</f>
        <v>2900</v>
      </c>
      <c r="E58" s="39">
        <f>'4637'!E22</f>
        <v>800</v>
      </c>
      <c r="F58" s="38" t="str">
        <f>'4637'!F22</f>
        <v>SHELL WHITE 22011 SF</v>
      </c>
      <c r="G58" s="1"/>
    </row>
    <row r="59" spans="1:7" s="15" customFormat="1" ht="15" customHeight="1" x14ac:dyDescent="0.3">
      <c r="B59" s="38">
        <f>'4637'!B23</f>
        <v>1</v>
      </c>
      <c r="C59" s="101" t="str">
        <f>'4637'!C23</f>
        <v>CUB C/R 90° R8</v>
      </c>
      <c r="D59" s="39">
        <f>'4637'!D23</f>
        <v>1600</v>
      </c>
      <c r="E59" s="39">
        <f>'4637'!E23</f>
        <v>800</v>
      </c>
      <c r="F59" s="38" t="str">
        <f>'4637'!F23</f>
        <v>SHELL WHITE 22011 SF</v>
      </c>
      <c r="G59" s="1"/>
    </row>
    <row r="60" spans="1:7" s="15" customFormat="1" ht="15" customHeight="1" x14ac:dyDescent="0.3">
      <c r="B60" s="38">
        <f>'4637'!B24</f>
        <v>1</v>
      </c>
      <c r="C60" s="101" t="str">
        <f>'4637'!C24</f>
        <v>CUB C/R 90° R8</v>
      </c>
      <c r="D60" s="39">
        <f>'4637'!D24</f>
        <v>2500</v>
      </c>
      <c r="E60" s="39">
        <f>'4637'!E24</f>
        <v>800</v>
      </c>
      <c r="F60" s="38" t="str">
        <f>'4637'!F24</f>
        <v>SHELL WHITE 22011 SF</v>
      </c>
      <c r="G60" s="1"/>
    </row>
    <row r="61" spans="1:7" s="15" customFormat="1" ht="15" customHeight="1" x14ac:dyDescent="0.3">
      <c r="B61" s="52"/>
      <c r="C61" s="109"/>
      <c r="D61" s="52"/>
      <c r="E61" s="52"/>
      <c r="F61" s="52"/>
      <c r="G61" s="1"/>
    </row>
    <row r="62" spans="1:7" s="15" customFormat="1" ht="15" customHeight="1" x14ac:dyDescent="0.3">
      <c r="A62" s="50"/>
      <c r="B62" s="52"/>
      <c r="C62" s="52"/>
      <c r="D62" s="52"/>
      <c r="E62" s="52"/>
      <c r="F62" s="52"/>
      <c r="G62" s="1"/>
    </row>
    <row r="63" spans="1:7" ht="15.6" x14ac:dyDescent="0.3">
      <c r="A63" s="6"/>
      <c r="B63" s="6"/>
      <c r="C63" s="1"/>
      <c r="D63" s="6"/>
      <c r="E63" s="6"/>
      <c r="F63" s="44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1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2025-10-08T20:33:08Z</cp:lastPrinted>
  <dcterms:created xsi:type="dcterms:W3CDTF">2013-03-19T12:54:14Z</dcterms:created>
  <dcterms:modified xsi:type="dcterms:W3CDTF">2025-10-13T11:16:55Z</dcterms:modified>
</cp:coreProperties>
</file>