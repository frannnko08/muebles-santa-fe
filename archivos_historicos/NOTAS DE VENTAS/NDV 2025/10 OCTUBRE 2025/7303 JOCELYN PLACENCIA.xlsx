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791FC81D-D317-498C-A895-2455338EC9B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CUBIERTA!$A$42:$G$68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3" l="1"/>
  <c r="E16" i="3" s="1"/>
  <c r="B33" i="3"/>
  <c r="I24" i="3" s="1"/>
  <c r="B24" i="3" s="1"/>
  <c r="C33" i="3"/>
  <c r="F24" i="3" s="1"/>
  <c r="F15" i="3" s="1"/>
  <c r="D33" i="3"/>
  <c r="J24" i="3" s="1"/>
  <c r="D24" i="3" s="1"/>
  <c r="E33" i="3"/>
  <c r="K24" i="3" s="1"/>
  <c r="E24" i="3" s="1"/>
  <c r="F33" i="3"/>
  <c r="B34" i="3"/>
  <c r="I25" i="3" s="1"/>
  <c r="B25" i="3" s="1"/>
  <c r="C34" i="3"/>
  <c r="F25" i="3" s="1"/>
  <c r="F16" i="3" s="1"/>
  <c r="D34" i="3"/>
  <c r="J25" i="3" s="1"/>
  <c r="D25" i="3" s="1"/>
  <c r="E34" i="3"/>
  <c r="K25" i="3" s="1"/>
  <c r="E25" i="3" s="1"/>
  <c r="F34" i="3"/>
  <c r="B35" i="3"/>
  <c r="I26" i="3" s="1"/>
  <c r="B26" i="3" s="1"/>
  <c r="C35" i="3"/>
  <c r="F26" i="3" s="1"/>
  <c r="D35" i="3"/>
  <c r="J26" i="3" s="1"/>
  <c r="D26" i="3" s="1"/>
  <c r="E35" i="3"/>
  <c r="K26" i="3" s="1"/>
  <c r="F35" i="3"/>
  <c r="B56" i="3"/>
  <c r="C56" i="3"/>
  <c r="D56" i="3"/>
  <c r="E56" i="3"/>
  <c r="F56" i="3"/>
  <c r="B57" i="3"/>
  <c r="C57" i="3"/>
  <c r="D57" i="3"/>
  <c r="E57" i="3"/>
  <c r="F57" i="3"/>
  <c r="B58" i="3"/>
  <c r="C58" i="3"/>
  <c r="D58" i="3"/>
  <c r="E58" i="3"/>
  <c r="F58" i="3"/>
  <c r="H21" i="4"/>
  <c r="H22" i="4"/>
  <c r="H23" i="4"/>
  <c r="Q24" i="4"/>
  <c r="P20" i="4"/>
  <c r="Q20" i="4" s="1"/>
  <c r="P19" i="4"/>
  <c r="Q19" i="4" s="1"/>
  <c r="P18" i="4"/>
  <c r="Q18" i="4" s="1"/>
  <c r="C55" i="3"/>
  <c r="F55" i="3"/>
  <c r="E55" i="3"/>
  <c r="D55" i="3"/>
  <c r="B55" i="3"/>
  <c r="B32" i="3"/>
  <c r="I23" i="3" s="1"/>
  <c r="B23" i="3" s="1"/>
  <c r="C32" i="3"/>
  <c r="F23" i="3" s="1"/>
  <c r="F14" i="3" s="1"/>
  <c r="D32" i="3"/>
  <c r="J23" i="3" s="1"/>
  <c r="D23" i="3" s="1"/>
  <c r="E32" i="3"/>
  <c r="K23" i="3" s="1"/>
  <c r="K14" i="3" s="1"/>
  <c r="E14" i="3" s="1"/>
  <c r="F32" i="3"/>
  <c r="H20" i="4"/>
  <c r="J16" i="3" l="1"/>
  <c r="D16" i="3" s="1"/>
  <c r="J15" i="3"/>
  <c r="D15" i="3" s="1"/>
  <c r="I16" i="3"/>
  <c r="B16" i="3" s="1"/>
  <c r="I15" i="3"/>
  <c r="B15" i="3" s="1"/>
  <c r="K15" i="3"/>
  <c r="E15" i="3" s="1"/>
  <c r="E23" i="3"/>
  <c r="I14" i="3"/>
  <c r="B14" i="3" s="1"/>
  <c r="J14" i="3"/>
  <c r="D14" i="3" s="1"/>
  <c r="H26" i="4" l="1"/>
  <c r="N5" i="3" l="1"/>
  <c r="M5" i="3"/>
  <c r="L5" i="3"/>
  <c r="K5" i="3"/>
  <c r="H27" i="4"/>
  <c r="H28" i="4" s="1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<sst xmlns="http://schemas.openxmlformats.org/spreadsheetml/2006/main" count="257" uniqueCount="143">
  <si>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</si>
  <si>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</si>
  <si>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</si>
  <si>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</si>
  <si>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</si>
  <si>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</si>
  <si>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</si>
  <si>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</si>
  <si>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</si>
  <si>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</si>
  <si>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</si>
  <si>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</si>
  <si>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</si>
  <si>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</si>
  <si>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</si>
  <si>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</si>
  <si>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</si>
  <si>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</si>
  <si>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</si>
  <si>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</si>
  <si>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</si>
  <si>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</si>
  <si>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</si>
  <si>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</si>
  <si>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</si>
  <si>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</si>
  <si>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</si>
  <si>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</si>
  <si>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</si>
  <si>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</si>
  <si>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</si>
  <si>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</si>
  <si>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</si>
  <si>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</si>
  <si>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</si>
  <si>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</si>
  <si>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</si>
  <si>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</si>
  <si>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</si>
  <si>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</si>
  <si>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</si>
  <si>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</si>
  <si>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</si>
  <si>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</si>
  <si>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</si>
  <si>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</si>
  <si>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</si>
  <si>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</si>
  <si>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</si>
  <si>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</si>
  <si>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</si>
  <si>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</si>
  <si>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</si>
  <si>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</si>
  <si>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</si>
  <si>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</si>
  <si>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</si>
  <si>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</si>
  <si>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</si>
  <si>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</si>
  <si>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</si>
  <si>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</si>
  <si>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</si>
  <si>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</si>
  <si>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</si>
  <si>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</si>
  <si>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</si>
  <si>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</si>
  <si>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</si>
  <si>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</si>
  <si>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</si>
  <si>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</si>
  <si>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</si>
  <si>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</si>
  <si>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</si>
  <si>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</si>
  <si>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</si>
  <si>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</si>
  <si>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</si>
  <si>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</si>
  <si>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</si>
  <si>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</si>
  <si>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</si>
  <si>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</si>
  <si>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</si>
  <si>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</si>
  <si>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</si>
  <si>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</si>
  <si>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</si>
  <si>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</si>
  <si>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</si>
  <si>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</si>
  <si>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</si>
  <si>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</si>
  <si>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</si>
  <si>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</si>
  <si>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</si>
  <si>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</si>
  <si>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</si>
  <si>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</si>
  <si>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</si>
  <si>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</si>
  <si>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</si>
  <si>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</si>
  <si>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</si>
  <si>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</si>
  <si>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</si>
  <si>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</si>
  <si>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</si>
  <si>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</si>
  <si>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</si>
  <si>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</si>
  <si>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</si>
  <si>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</si>
  <si>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</si>
  <si>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</si>
  <si>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</si>
  <si>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</si>
  <si>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</si>
  <si>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</si>
  <si>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</si>
  <si>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</si>
  <si>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</si>
  <si>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</si>
  <si>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</si>
  <si>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</si>
  <si>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</si>
  <si>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</si>
  <si>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</si>
  <si>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</si>
  <si>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</si>
  <si>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</si>
  <si>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</si>
  <si>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</si>
  <si>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</si>
  <si>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</si>
  <si>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</si>
  <si>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CUB CON RESPALDO FRENTE 90° R6</t>
  </si>
  <si>
    <t>WHITE LILY GL</t>
  </si>
  <si>
    <t>ZOCALO</t>
  </si>
  <si>
    <t>CUB C/R R6</t>
  </si>
  <si>
    <t>JOCELYN PLACENCIA</t>
  </si>
  <si>
    <t>+569 3372 5380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</si>
</sst>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1" fontId="5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0" xfId="0" applyFill="1"/>
    <xf numFmtId="0" fontId="0" fillId="3" borderId="7" xfId="0" applyFill="1" applyBorder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165" fontId="29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1" fillId="0" borderId="2" xfId="0" applyNumberFormat="1" applyFont="1" applyBorder="1" applyAlignment="1">
      <alignment horizontal="center" vertical="center"/>
    </xf>
    <xf numFmtId="41" fontId="3" fillId="0" borderId="2" xfId="3" applyFont="1" applyBorder="1" applyAlignment="1">
      <alignment horizontal="center" vertical="center"/>
    </xf>
    <xf numFmtId="0" fontId="0" fillId="0" borderId="4" xfId="0" applyBorder="1"/>
    <xf numFmtId="0" fontId="32" fillId="0" borderId="0" xfId="0" applyFont="1" applyBorder="1"/>
    <xf numFmtId="0" fontId="0" fillId="4" borderId="0" xfId="0" applyFill="1" applyBorder="1"/>
    <xf numFmtId="0" fontId="33" fillId="3" borderId="0" xfId="0" applyFont="1" applyFill="1" applyBorder="1"/>
    <xf numFmtId="0" fontId="0" fillId="3" borderId="0" xfId="0" applyFill="1" applyBorder="1"/>
    <xf numFmtId="0" fontId="0" fillId="3" borderId="0" xfId="0" applyFill="1" applyBorder="1" applyAlignment="1">
      <alignment horizontal="left"/>
    </xf>
    <xf numFmtId="0" fontId="34" fillId="0" borderId="0" xfId="0" quotePrefix="1" applyFont="1" applyBorder="1"/>
    <xf numFmtId="0" fontId="0" fillId="4" borderId="0" xfId="0" applyFill="1" applyBorder="1" applyAlignment="1">
      <alignment horizontal="left"/>
    </xf>
    <xf numFmtId="0" fontId="32" fillId="3" borderId="0" xfId="0" applyFont="1" applyFill="1" applyBorder="1"/>
    <xf numFmtId="0" fontId="6" fillId="3" borderId="0" xfId="0" applyFont="1" applyFill="1" applyBorder="1"/>
    <xf numFmtId="0" fontId="0" fillId="0" borderId="9" xfId="0" applyBorder="1"/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11689	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24</xdr:row>
      <xdr:rowOff>91440</xdr:rowOff>
    </xdr:from>
    <xdr:to>
      <xdr:col>5</xdr:col>
      <xdr:colOff>1337310</xdr:colOff>
      <xdr:row>27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180975</xdr:rowOff>
    </xdr:from>
    <xdr:to>
      <xdr:col>2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180975</xdr:rowOff>
    </xdr:from>
    <xdr:to>
      <xdr:col>2</xdr:col>
      <xdr:colOff>1019175</xdr:colOff>
      <xdr:row>60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180975</xdr:rowOff>
    </xdr:from>
    <xdr:to>
      <xdr:col>3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180975</xdr:rowOff>
    </xdr:from>
    <xdr:to>
      <xdr:col>4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180975</xdr:rowOff>
    </xdr:from>
    <xdr:to>
      <xdr:col>5</xdr:col>
      <xdr:colOff>447675</xdr:colOff>
      <xdr:row>60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180975</xdr:rowOff>
    </xdr:from>
    <xdr:to>
      <xdr:col>6</xdr:col>
      <xdr:colOff>0</xdr:colOff>
      <xdr:row>60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60</xdr:row>
      <xdr:rowOff>190500</xdr:rowOff>
    </xdr:from>
    <xdr:to>
      <xdr:col>2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60</xdr:row>
      <xdr:rowOff>190500</xdr:rowOff>
    </xdr:from>
    <xdr:to>
      <xdr:col>2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190500</xdr:rowOff>
    </xdr:from>
    <xdr:to>
      <xdr:col>3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190500</xdr:rowOff>
    </xdr:from>
    <xdr:to>
      <xdr:col>4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190500</xdr:rowOff>
    </xdr:from>
    <xdr:to>
      <xdr:col>5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190500</xdr:rowOff>
    </xdr:from>
    <xdr:to>
      <xdr:col>6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36</xdr:row>
      <xdr:rowOff>192404</xdr:rowOff>
    </xdr:from>
    <xdr:to>
      <xdr:col>6</xdr:col>
      <xdr:colOff>32385</xdr:colOff>
      <xdr:row>40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62</xdr:row>
      <xdr:rowOff>175260</xdr:rowOff>
    </xdr:from>
    <xdr:to>
      <xdr:col>5</xdr:col>
      <xdr:colOff>1737360</xdr:colOff>
      <xdr:row>66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42</xdr:row>
      <xdr:rowOff>99060</xdr:rowOff>
    </xdr:from>
    <xdr:to>
      <xdr:col>1</xdr:col>
      <xdr:colOff>929398</xdr:colOff>
      <xdr:row>49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2"/>
  <sheetViews>
    <sheetView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2" t="s">
        <v>18</v>
      </c>
      <c r="C8" s="31"/>
      <c r="D8" s="33" t="s">
        <v>19</v>
      </c>
      <c r="F8" s="41" t="s">
        <v>30</v>
      </c>
      <c r="G8" s="40">
        <v>7303</v>
      </c>
    </row>
    <row r="9" spans="2:16" ht="15" thickBot="1" x14ac:dyDescent="0.35"/>
    <row r="10" spans="2:16" ht="16.2" thickBot="1" x14ac:dyDescent="0.35">
      <c r="B10" s="14" t="s">
        <v>7</v>
      </c>
      <c r="C10" s="135" t="s">
        <v>141</v>
      </c>
      <c r="D10" s="15"/>
      <c r="E10" s="15"/>
      <c r="F10" s="16" t="s">
        <v>31</v>
      </c>
      <c r="G10" s="17">
        <v>45943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7.399999999999999" thickBot="1" x14ac:dyDescent="0.45">
      <c r="B11" s="19" t="s">
        <v>2</v>
      </c>
      <c r="C11" s="136"/>
      <c r="D11" s="137"/>
      <c r="E11" s="137"/>
      <c r="F11" s="137" t="s">
        <v>131</v>
      </c>
      <c r="G11" s="99">
        <v>45947</v>
      </c>
      <c r="H11" s="20"/>
    </row>
    <row r="12" spans="2:16" x14ac:dyDescent="0.3">
      <c r="B12" s="86" t="s">
        <v>115</v>
      </c>
      <c r="C12" s="138"/>
      <c r="D12" s="139"/>
      <c r="E12" s="139"/>
      <c r="F12" s="139" t="s">
        <v>33</v>
      </c>
      <c r="G12" s="140"/>
      <c r="H12" s="22"/>
    </row>
    <row r="13" spans="2:16" x14ac:dyDescent="0.3">
      <c r="B13" s="19" t="s">
        <v>20</v>
      </c>
      <c r="C13" s="141" t="s">
        <v>142</v>
      </c>
      <c r="D13" s="142"/>
      <c r="E13" s="137"/>
      <c r="F13" s="137" t="s">
        <v>32</v>
      </c>
      <c r="G13" s="137"/>
      <c r="H13" s="20"/>
    </row>
    <row r="14" spans="2:16" ht="16.8" x14ac:dyDescent="0.4">
      <c r="B14" s="86" t="s">
        <v>1</v>
      </c>
      <c r="C14" s="143"/>
      <c r="D14" s="139"/>
      <c r="E14" s="139"/>
      <c r="F14" s="144" t="s">
        <v>78</v>
      </c>
      <c r="G14" s="144" t="s">
        <v>134</v>
      </c>
      <c r="H14" s="22"/>
    </row>
    <row r="15" spans="2:16" ht="15" thickBot="1" x14ac:dyDescent="0.35">
      <c r="B15" s="23" t="s">
        <v>3</v>
      </c>
      <c r="C15" s="145" t="s">
        <v>135</v>
      </c>
      <c r="D15" s="24"/>
      <c r="E15" s="25"/>
      <c r="F15" s="116" t="s">
        <v>21</v>
      </c>
      <c r="G15" s="116"/>
      <c r="H15" s="117"/>
    </row>
    <row r="17" spans="2:17" ht="15" thickBot="1" x14ac:dyDescent="0.35"/>
    <row r="18" spans="2:17" ht="16.2" thickBot="1" x14ac:dyDescent="0.35">
      <c r="B18" s="118" t="s">
        <v>22</v>
      </c>
      <c r="C18" s="119"/>
      <c r="D18" s="119"/>
      <c r="E18" s="119"/>
      <c r="F18" s="119"/>
      <c r="G18" s="120"/>
      <c r="H18" s="121"/>
      <c r="K18" s="109">
        <v>1</v>
      </c>
      <c r="L18" s="109" t="s">
        <v>137</v>
      </c>
      <c r="M18" s="131">
        <v>1</v>
      </c>
      <c r="N18" s="131">
        <v>0.61</v>
      </c>
      <c r="O18" s="109" t="s">
        <v>138</v>
      </c>
      <c r="P18" s="132">
        <f>Z18</f>
        <v>0</v>
      </c>
      <c r="Q18" s="132">
        <f t="shared" ref="Q18:Q20" si="0">P18*K18</f>
        <v>0</v>
      </c>
    </row>
    <row r="19" spans="2:17" ht="15.6" x14ac:dyDescent="0.3">
      <c r="B19" s="94" t="s">
        <v>23</v>
      </c>
      <c r="C19" s="95" t="s">
        <v>24</v>
      </c>
      <c r="D19" s="95" t="s">
        <v>25</v>
      </c>
      <c r="E19" s="95" t="s">
        <v>9</v>
      </c>
      <c r="F19" s="111" t="s">
        <v>26</v>
      </c>
      <c r="G19" s="112" t="s">
        <v>27</v>
      </c>
      <c r="H19" s="112" t="s">
        <v>4</v>
      </c>
      <c r="K19" s="109">
        <v>1</v>
      </c>
      <c r="L19" s="109" t="s">
        <v>137</v>
      </c>
      <c r="M19" s="131">
        <v>0.9</v>
      </c>
      <c r="N19" s="131">
        <v>0.31</v>
      </c>
      <c r="O19" s="109" t="s">
        <v>138</v>
      </c>
      <c r="P19" s="132">
        <f>Z19</f>
        <v>0</v>
      </c>
      <c r="Q19" s="132">
        <f t="shared" si="0"/>
        <v>0</v>
      </c>
    </row>
    <row r="20" spans="2:17" ht="15.6" x14ac:dyDescent="0.3">
      <c r="B20" s="109">
        <v>1</v>
      </c>
      <c r="C20" s="109" t="s">
        <v>140</v>
      </c>
      <c r="D20" s="110">
        <v>1000</v>
      </c>
      <c r="E20" s="110">
        <v>610</v>
      </c>
      <c r="F20" s="109" t="s">
        <v>138</v>
      </c>
      <c r="G20" s="134">
        <v>49459</v>
      </c>
      <c r="H20" s="133">
        <f t="shared" ref="H20:H23" si="1">G20*B20</f>
        <v>49459</v>
      </c>
      <c r="J20" s="57"/>
      <c r="K20" s="109">
        <v>1</v>
      </c>
      <c r="L20" s="109" t="s">
        <v>137</v>
      </c>
      <c r="M20" s="131">
        <v>0.75</v>
      </c>
      <c r="N20" s="131">
        <v>0.61</v>
      </c>
      <c r="O20" s="109" t="s">
        <v>138</v>
      </c>
      <c r="P20" s="132">
        <f>Z20</f>
        <v>0</v>
      </c>
      <c r="Q20" s="132">
        <f t="shared" si="0"/>
        <v>0</v>
      </c>
    </row>
    <row r="21" spans="2:17" ht="15.6" x14ac:dyDescent="0.3">
      <c r="B21" s="109">
        <v>1</v>
      </c>
      <c r="C21" s="109" t="s">
        <v>140</v>
      </c>
      <c r="D21" s="110">
        <v>900</v>
      </c>
      <c r="E21" s="110">
        <v>310</v>
      </c>
      <c r="F21" s="109" t="s">
        <v>138</v>
      </c>
      <c r="G21" s="134">
        <v>22808</v>
      </c>
      <c r="H21" s="133">
        <f t="shared" si="1"/>
        <v>22808</v>
      </c>
      <c r="J21" s="57"/>
      <c r="K21" s="109"/>
      <c r="L21" s="109"/>
      <c r="M21" s="131"/>
      <c r="N21" s="131"/>
      <c r="O21" s="109"/>
      <c r="P21" s="132"/>
      <c r="Q21" s="132"/>
    </row>
    <row r="22" spans="2:17" ht="15.6" x14ac:dyDescent="0.3">
      <c r="B22" s="109">
        <v>1</v>
      </c>
      <c r="C22" s="109" t="s">
        <v>140</v>
      </c>
      <c r="D22" s="110">
        <v>750</v>
      </c>
      <c r="E22" s="110">
        <v>610</v>
      </c>
      <c r="F22" s="109" t="s">
        <v>138</v>
      </c>
      <c r="G22" s="134">
        <v>38010</v>
      </c>
      <c r="H22" s="133">
        <f t="shared" si="1"/>
        <v>38010</v>
      </c>
      <c r="J22" s="57"/>
      <c r="K22" s="109"/>
      <c r="L22" s="109"/>
      <c r="M22" s="131"/>
      <c r="N22" s="131"/>
      <c r="O22" s="109"/>
      <c r="P22" s="132"/>
      <c r="Q22" s="132"/>
    </row>
    <row r="23" spans="2:17" ht="15.6" x14ac:dyDescent="0.3">
      <c r="B23" s="109">
        <v>1</v>
      </c>
      <c r="C23" s="109" t="s">
        <v>139</v>
      </c>
      <c r="D23" s="110">
        <v>3000</v>
      </c>
      <c r="E23" s="110">
        <v>95</v>
      </c>
      <c r="F23" s="109" t="s">
        <v>138</v>
      </c>
      <c r="G23" s="134">
        <v>3500</v>
      </c>
      <c r="H23" s="133">
        <f t="shared" si="1"/>
        <v>3500</v>
      </c>
      <c r="J23" s="57"/>
      <c r="K23" s="109"/>
      <c r="L23" s="109"/>
      <c r="M23" s="131"/>
      <c r="N23" s="131"/>
      <c r="O23" s="109"/>
      <c r="P23" s="132"/>
      <c r="Q23" s="132"/>
    </row>
    <row r="24" spans="2:17" ht="15.6" x14ac:dyDescent="0.3">
      <c r="B24" s="96"/>
      <c r="C24" s="96"/>
      <c r="D24" s="100"/>
      <c r="E24" s="100"/>
      <c r="F24" s="101"/>
      <c r="G24" s="97"/>
      <c r="H24" s="98"/>
      <c r="J24" s="57"/>
      <c r="Q24" s="132">
        <f>G23</f>
        <v>3500</v>
      </c>
    </row>
    <row r="25" spans="2:17" ht="8.25" customHeight="1" thickBot="1" x14ac:dyDescent="0.35">
      <c r="B25" s="57"/>
      <c r="C25" s="57"/>
      <c r="D25" s="57"/>
      <c r="E25" s="57"/>
      <c r="F25" s="57"/>
      <c r="G25" s="58"/>
      <c r="H25" s="59"/>
    </row>
    <row r="26" spans="2:17" ht="18" thickBot="1" x14ac:dyDescent="0.4">
      <c r="G26" s="26" t="s">
        <v>5</v>
      </c>
      <c r="H26" s="39">
        <f>SUM(H20:H25)</f>
        <v>113777</v>
      </c>
    </row>
    <row r="27" spans="2:17" ht="18" thickBot="1" x14ac:dyDescent="0.4">
      <c r="G27" s="36" t="s">
        <v>6</v>
      </c>
      <c r="H27" s="39">
        <f>H26*19%</f>
        <v>21617.63</v>
      </c>
    </row>
    <row r="28" spans="2:17" ht="18" thickBot="1" x14ac:dyDescent="0.4">
      <c r="G28" s="27" t="s">
        <v>4</v>
      </c>
      <c r="H28" s="39">
        <f>SUM(H26+H27)</f>
        <v>135394.63</v>
      </c>
    </row>
    <row r="30" spans="2:17" x14ac:dyDescent="0.3">
      <c r="B30" s="34" t="s">
        <v>130</v>
      </c>
      <c r="C30" s="28"/>
      <c r="D30" s="29"/>
      <c r="E30" s="29"/>
      <c r="F30" s="30"/>
    </row>
    <row r="31" spans="2:17" x14ac:dyDescent="0.3">
      <c r="B31" s="34" t="s">
        <v>129</v>
      </c>
      <c r="C31" s="35"/>
      <c r="D31" s="29"/>
      <c r="E31" s="29"/>
      <c r="F31" s="30"/>
    </row>
    <row r="32" spans="2:17" x14ac:dyDescent="0.3">
      <c r="B32" s="37" t="s">
        <v>28</v>
      </c>
      <c r="E32" s="38" t="s">
        <v>29</v>
      </c>
    </row>
  </sheetData>
  <sortState xmlns:xlrd2="http://schemas.microsoft.com/office/spreadsheetml/2017/richdata2" ref="B51">
    <sortCondition sortBy="fontColor" ref="B51" dxfId="0"/>
  </sortState>
  <mergeCells count="2">
    <mergeCell ref="F15:H15"/>
    <mergeCell ref="B18:H18"/>
  </mergeCells>
  <phoneticPr fontId="28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34</v>
      </c>
      <c r="C2" s="122"/>
      <c r="D2" s="122"/>
      <c r="E2" s="60"/>
      <c r="G2" s="122" t="s">
        <v>73</v>
      </c>
      <c r="H2" s="122"/>
      <c r="I2" s="122"/>
      <c r="P2" s="123" t="s">
        <v>61</v>
      </c>
      <c r="Q2" s="123"/>
      <c r="R2" s="123"/>
    </row>
    <row r="3" spans="2:18" x14ac:dyDescent="0.3">
      <c r="B3" s="44" t="s">
        <v>8</v>
      </c>
      <c r="C3" s="44" t="s">
        <v>9</v>
      </c>
      <c r="D3" s="44" t="s">
        <v>24</v>
      </c>
      <c r="E3" s="61"/>
      <c r="G3" s="44" t="s">
        <v>8</v>
      </c>
      <c r="H3" s="44" t="s">
        <v>9</v>
      </c>
      <c r="I3" s="44" t="s">
        <v>24</v>
      </c>
      <c r="P3" s="44" t="s">
        <v>8</v>
      </c>
      <c r="Q3" s="44" t="s">
        <v>9</v>
      </c>
      <c r="R3" s="44" t="s">
        <v>24</v>
      </c>
    </row>
    <row r="4" spans="2:18" x14ac:dyDescent="0.3">
      <c r="B4" s="42">
        <v>40</v>
      </c>
      <c r="C4" s="42">
        <v>60</v>
      </c>
      <c r="D4" s="43" t="s">
        <v>118</v>
      </c>
      <c r="E4" s="21" t="s">
        <v>104</v>
      </c>
      <c r="G4" s="87">
        <v>50</v>
      </c>
      <c r="H4" s="87">
        <v>100</v>
      </c>
      <c r="I4" s="88" t="s">
        <v>118</v>
      </c>
      <c r="J4" s="89" t="s">
        <v>112</v>
      </c>
      <c r="K4" s="89"/>
      <c r="L4" s="89"/>
      <c r="M4" s="89"/>
      <c r="P4">
        <v>50</v>
      </c>
      <c r="Q4">
        <v>-30</v>
      </c>
      <c r="R4" t="s">
        <v>35</v>
      </c>
    </row>
    <row r="5" spans="2:18" x14ac:dyDescent="0.3">
      <c r="B5" s="42">
        <v>40</v>
      </c>
      <c r="C5" s="42">
        <v>90</v>
      </c>
      <c r="D5" s="43" t="s">
        <v>119</v>
      </c>
      <c r="E5" s="21" t="s">
        <v>105</v>
      </c>
      <c r="G5" s="87">
        <v>50</v>
      </c>
      <c r="H5" s="87"/>
      <c r="I5" s="88" t="s">
        <v>120</v>
      </c>
      <c r="J5" s="89" t="s">
        <v>122</v>
      </c>
      <c r="K5" s="89"/>
      <c r="L5" s="89"/>
      <c r="M5" s="89"/>
      <c r="P5">
        <v>50</v>
      </c>
      <c r="Q5">
        <v>-30</v>
      </c>
      <c r="R5" t="s">
        <v>35</v>
      </c>
    </row>
    <row r="6" spans="2:18" x14ac:dyDescent="0.3">
      <c r="B6" s="42">
        <v>40</v>
      </c>
      <c r="C6" s="42">
        <v>100</v>
      </c>
      <c r="D6" s="43" t="s">
        <v>59</v>
      </c>
      <c r="E6" s="21" t="s">
        <v>106</v>
      </c>
      <c r="G6" s="42">
        <v>50</v>
      </c>
      <c r="H6" s="42">
        <v>100</v>
      </c>
      <c r="I6" s="43" t="s">
        <v>59</v>
      </c>
      <c r="P6">
        <v>50</v>
      </c>
      <c r="Q6">
        <v>-30</v>
      </c>
      <c r="R6" t="s">
        <v>37</v>
      </c>
    </row>
    <row r="7" spans="2:18" x14ac:dyDescent="0.3">
      <c r="B7" s="42">
        <v>40</v>
      </c>
      <c r="C7" s="42">
        <v>150</v>
      </c>
      <c r="D7" s="43" t="s">
        <v>60</v>
      </c>
      <c r="E7" s="21" t="s">
        <v>107</v>
      </c>
      <c r="G7" s="42">
        <v>50</v>
      </c>
      <c r="H7" s="42"/>
      <c r="I7" s="43" t="s">
        <v>60</v>
      </c>
      <c r="P7">
        <v>50</v>
      </c>
      <c r="Q7">
        <v>-30</v>
      </c>
      <c r="R7" t="s">
        <v>47</v>
      </c>
    </row>
    <row r="8" spans="2:18" x14ac:dyDescent="0.3">
      <c r="B8" s="42">
        <v>40</v>
      </c>
      <c r="C8" s="42">
        <v>100</v>
      </c>
      <c r="D8" s="43" t="s">
        <v>43</v>
      </c>
      <c r="E8" s="21" t="s">
        <v>108</v>
      </c>
      <c r="G8" s="42">
        <v>50</v>
      </c>
      <c r="H8" s="42">
        <v>100</v>
      </c>
      <c r="I8" s="43" t="s">
        <v>43</v>
      </c>
      <c r="L8" s="123" t="s">
        <v>61</v>
      </c>
      <c r="M8" s="123"/>
      <c r="N8" s="123"/>
      <c r="P8">
        <v>50</v>
      </c>
      <c r="Q8">
        <v>-30</v>
      </c>
      <c r="R8" t="s">
        <v>53</v>
      </c>
    </row>
    <row r="9" spans="2:18" x14ac:dyDescent="0.3">
      <c r="B9" s="42">
        <v>40</v>
      </c>
      <c r="C9" s="42">
        <v>50</v>
      </c>
      <c r="D9" s="43" t="s">
        <v>57</v>
      </c>
      <c r="E9" s="21" t="s">
        <v>79</v>
      </c>
      <c r="G9" s="42">
        <v>50</v>
      </c>
      <c r="H9" s="42">
        <v>100</v>
      </c>
      <c r="I9" s="43" t="s">
        <v>42</v>
      </c>
      <c r="L9" s="44" t="s">
        <v>8</v>
      </c>
      <c r="M9" s="44" t="s">
        <v>9</v>
      </c>
      <c r="N9" s="44" t="s">
        <v>24</v>
      </c>
      <c r="P9">
        <v>50</v>
      </c>
      <c r="Q9">
        <v>0</v>
      </c>
      <c r="R9" t="s">
        <v>48</v>
      </c>
    </row>
    <row r="10" spans="2:18" x14ac:dyDescent="0.3">
      <c r="B10" s="42">
        <v>40</v>
      </c>
      <c r="C10" s="42">
        <v>80</v>
      </c>
      <c r="D10" s="43" t="s">
        <v>58</v>
      </c>
      <c r="E10" s="21" t="s">
        <v>80</v>
      </c>
      <c r="G10" s="42">
        <v>50</v>
      </c>
      <c r="H10" s="42"/>
      <c r="I10" s="43" t="s">
        <v>44</v>
      </c>
      <c r="L10" s="42">
        <v>50</v>
      </c>
      <c r="M10" s="42">
        <v>-30</v>
      </c>
      <c r="N10" s="43" t="s">
        <v>35</v>
      </c>
      <c r="P10">
        <v>50</v>
      </c>
      <c r="Q10">
        <v>0</v>
      </c>
      <c r="R10" t="s">
        <v>36</v>
      </c>
    </row>
    <row r="11" spans="2:18" x14ac:dyDescent="0.3">
      <c r="B11" s="42">
        <v>40</v>
      </c>
      <c r="C11" s="42">
        <v>60</v>
      </c>
      <c r="D11" s="43" t="s">
        <v>74</v>
      </c>
      <c r="E11" s="21" t="s">
        <v>81</v>
      </c>
      <c r="G11" s="42">
        <v>50</v>
      </c>
      <c r="H11" s="42">
        <v>100</v>
      </c>
      <c r="I11" s="43" t="s">
        <v>57</v>
      </c>
      <c r="L11" s="42">
        <v>50</v>
      </c>
      <c r="M11" s="42">
        <v>0</v>
      </c>
      <c r="N11" s="43" t="s">
        <v>62</v>
      </c>
      <c r="P11">
        <v>50</v>
      </c>
      <c r="Q11">
        <v>0</v>
      </c>
      <c r="R11" t="s">
        <v>39</v>
      </c>
    </row>
    <row r="12" spans="2:18" x14ac:dyDescent="0.3">
      <c r="B12" s="42">
        <v>40</v>
      </c>
      <c r="C12" s="42">
        <v>100</v>
      </c>
      <c r="D12" s="43" t="s">
        <v>75</v>
      </c>
      <c r="E12" s="21" t="s">
        <v>82</v>
      </c>
      <c r="G12" s="42">
        <v>50</v>
      </c>
      <c r="H12" s="42"/>
      <c r="I12" s="43" t="s">
        <v>58</v>
      </c>
      <c r="L12" s="42">
        <v>50</v>
      </c>
      <c r="M12" s="42">
        <v>-2</v>
      </c>
      <c r="N12" s="43" t="s">
        <v>63</v>
      </c>
      <c r="P12">
        <v>50</v>
      </c>
      <c r="Q12">
        <v>0</v>
      </c>
      <c r="R12" t="s">
        <v>40</v>
      </c>
    </row>
    <row r="13" spans="2:18" x14ac:dyDescent="0.3">
      <c r="B13" s="42">
        <v>40</v>
      </c>
      <c r="C13" s="42">
        <v>130</v>
      </c>
      <c r="D13" s="43" t="s">
        <v>35</v>
      </c>
      <c r="E13" s="21" t="s">
        <v>83</v>
      </c>
      <c r="G13" s="42">
        <v>50</v>
      </c>
      <c r="H13" s="42">
        <v>-30</v>
      </c>
      <c r="I13" s="43" t="s">
        <v>35</v>
      </c>
      <c r="P13">
        <v>50</v>
      </c>
      <c r="Q13">
        <v>0</v>
      </c>
      <c r="R13" t="s">
        <v>41</v>
      </c>
    </row>
    <row r="14" spans="2:18" x14ac:dyDescent="0.3">
      <c r="B14" s="42">
        <v>40</v>
      </c>
      <c r="C14" s="42">
        <v>150</v>
      </c>
      <c r="D14" s="43" t="s">
        <v>37</v>
      </c>
      <c r="E14" s="21"/>
      <c r="G14" s="42">
        <v>50</v>
      </c>
      <c r="H14" s="42">
        <v>-30</v>
      </c>
      <c r="I14" s="43" t="s">
        <v>37</v>
      </c>
    </row>
    <row r="15" spans="2:18" x14ac:dyDescent="0.3">
      <c r="B15" s="42">
        <v>40</v>
      </c>
      <c r="C15" s="42">
        <v>150</v>
      </c>
      <c r="D15" s="43" t="s">
        <v>121</v>
      </c>
      <c r="E15" s="21" t="s">
        <v>84</v>
      </c>
      <c r="G15" s="42">
        <v>50</v>
      </c>
      <c r="H15" s="42">
        <v>-30</v>
      </c>
      <c r="I15" s="43" t="s">
        <v>47</v>
      </c>
      <c r="P15">
        <v>50</v>
      </c>
      <c r="Q15">
        <v>0</v>
      </c>
      <c r="R15" t="s">
        <v>38</v>
      </c>
    </row>
    <row r="16" spans="2:18" x14ac:dyDescent="0.3">
      <c r="B16" s="42">
        <v>40</v>
      </c>
      <c r="C16" s="42">
        <v>130</v>
      </c>
      <c r="D16" s="43" t="s">
        <v>109</v>
      </c>
      <c r="E16" s="21" t="s">
        <v>85</v>
      </c>
      <c r="G16" s="42">
        <v>50</v>
      </c>
      <c r="H16" s="42">
        <v>-30</v>
      </c>
      <c r="I16" s="43" t="s">
        <v>77</v>
      </c>
      <c r="P16">
        <v>50</v>
      </c>
      <c r="Q16">
        <v>0</v>
      </c>
      <c r="R16" t="s">
        <v>49</v>
      </c>
    </row>
    <row r="17" spans="2:18" x14ac:dyDescent="0.3">
      <c r="B17" s="42">
        <v>40</v>
      </c>
      <c r="C17" s="42">
        <v>150</v>
      </c>
      <c r="D17" s="43" t="s">
        <v>39</v>
      </c>
      <c r="E17" s="21" t="s">
        <v>86</v>
      </c>
      <c r="G17" s="42">
        <v>50</v>
      </c>
      <c r="H17" s="42"/>
      <c r="I17" s="43" t="s">
        <v>39</v>
      </c>
      <c r="P17">
        <v>50</v>
      </c>
      <c r="Q17">
        <v>0</v>
      </c>
      <c r="R17" t="s">
        <v>50</v>
      </c>
    </row>
    <row r="18" spans="2:18" x14ac:dyDescent="0.3">
      <c r="B18" s="42">
        <v>140</v>
      </c>
      <c r="C18" s="42">
        <v>150</v>
      </c>
      <c r="D18" s="43" t="s">
        <v>40</v>
      </c>
      <c r="E18" s="21" t="s">
        <v>87</v>
      </c>
      <c r="G18" s="42">
        <v>50</v>
      </c>
      <c r="H18" s="42"/>
      <c r="I18" s="43" t="s">
        <v>40</v>
      </c>
      <c r="P18">
        <v>50</v>
      </c>
      <c r="Q18">
        <v>0</v>
      </c>
      <c r="R18" t="s">
        <v>51</v>
      </c>
    </row>
    <row r="19" spans="2:18" x14ac:dyDescent="0.3">
      <c r="B19" s="42">
        <v>150</v>
      </c>
      <c r="C19" s="42">
        <v>150</v>
      </c>
      <c r="D19" s="43" t="s">
        <v>41</v>
      </c>
      <c r="E19" s="21" t="s">
        <v>88</v>
      </c>
      <c r="G19" s="42">
        <v>50</v>
      </c>
      <c r="H19" s="42"/>
      <c r="I19" s="43" t="s">
        <v>41</v>
      </c>
      <c r="P19">
        <v>50</v>
      </c>
      <c r="Q19">
        <v>0</v>
      </c>
      <c r="R19" t="s">
        <v>54</v>
      </c>
    </row>
    <row r="20" spans="2:18" x14ac:dyDescent="0.3">
      <c r="B20" s="42">
        <v>40</v>
      </c>
      <c r="C20" s="42">
        <v>100</v>
      </c>
      <c r="D20" s="43" t="s">
        <v>125</v>
      </c>
      <c r="E20" s="21" t="s">
        <v>89</v>
      </c>
      <c r="G20" s="42">
        <v>50</v>
      </c>
      <c r="H20" s="42">
        <v>0</v>
      </c>
      <c r="I20" s="43" t="s">
        <v>125</v>
      </c>
      <c r="J20" s="89" t="s">
        <v>114</v>
      </c>
      <c r="K20" s="89"/>
      <c r="L20" s="89"/>
      <c r="M20" s="89"/>
      <c r="P20">
        <v>50</v>
      </c>
      <c r="Q20">
        <v>0</v>
      </c>
      <c r="R20" t="s">
        <v>55</v>
      </c>
    </row>
    <row r="21" spans="2:18" x14ac:dyDescent="0.3">
      <c r="B21" s="42">
        <v>100</v>
      </c>
      <c r="C21" s="42">
        <v>100</v>
      </c>
      <c r="D21" s="43" t="s">
        <v>116</v>
      </c>
      <c r="E21" s="21" t="s">
        <v>90</v>
      </c>
      <c r="G21" s="42">
        <v>50</v>
      </c>
      <c r="H21" s="42">
        <v>0</v>
      </c>
      <c r="I21" s="43" t="s">
        <v>116</v>
      </c>
      <c r="P21">
        <v>50</v>
      </c>
      <c r="Q21">
        <v>0</v>
      </c>
      <c r="R21" t="s">
        <v>56</v>
      </c>
    </row>
    <row r="22" spans="2:18" x14ac:dyDescent="0.3">
      <c r="B22" s="42">
        <v>100</v>
      </c>
      <c r="C22" s="42">
        <v>100</v>
      </c>
      <c r="D22" s="43" t="s">
        <v>38</v>
      </c>
      <c r="E22" s="21" t="s">
        <v>91</v>
      </c>
      <c r="G22" s="87"/>
      <c r="H22" s="87"/>
      <c r="I22" s="88" t="s">
        <v>38</v>
      </c>
      <c r="P22">
        <v>50</v>
      </c>
      <c r="Q22">
        <v>0</v>
      </c>
      <c r="R22" t="s">
        <v>52</v>
      </c>
    </row>
    <row r="23" spans="2:18" x14ac:dyDescent="0.3">
      <c r="B23" s="42">
        <v>40</v>
      </c>
      <c r="C23" s="42">
        <v>150</v>
      </c>
      <c r="D23" s="43" t="s">
        <v>49</v>
      </c>
      <c r="E23" s="21" t="s">
        <v>92</v>
      </c>
      <c r="G23" s="42">
        <v>50</v>
      </c>
      <c r="H23" s="42"/>
      <c r="I23" s="43" t="s">
        <v>49</v>
      </c>
      <c r="R23" t="s">
        <v>45</v>
      </c>
    </row>
    <row r="24" spans="2:18" x14ac:dyDescent="0.3">
      <c r="B24" s="42">
        <v>140</v>
      </c>
      <c r="C24" s="42">
        <v>150</v>
      </c>
      <c r="D24" s="43" t="s">
        <v>50</v>
      </c>
      <c r="E24" s="21" t="s">
        <v>93</v>
      </c>
      <c r="G24" s="42">
        <v>50</v>
      </c>
      <c r="H24" s="42"/>
      <c r="I24" s="43" t="s">
        <v>50</v>
      </c>
      <c r="R24" t="s">
        <v>46</v>
      </c>
    </row>
    <row r="25" spans="2:18" x14ac:dyDescent="0.3">
      <c r="B25" s="42">
        <v>150</v>
      </c>
      <c r="C25" s="42">
        <v>150</v>
      </c>
      <c r="D25" s="43" t="s">
        <v>51</v>
      </c>
      <c r="E25" s="21" t="s">
        <v>94</v>
      </c>
      <c r="G25" s="42">
        <v>50</v>
      </c>
      <c r="H25" s="42"/>
      <c r="I25" s="43" t="s">
        <v>51</v>
      </c>
      <c r="R25" t="s">
        <v>59</v>
      </c>
    </row>
    <row r="26" spans="2:18" x14ac:dyDescent="0.3">
      <c r="B26" s="42">
        <v>40</v>
      </c>
      <c r="C26" s="42">
        <v>77</v>
      </c>
      <c r="D26" s="43" t="s">
        <v>54</v>
      </c>
      <c r="E26" s="21" t="s">
        <v>95</v>
      </c>
      <c r="G26" s="42">
        <v>50</v>
      </c>
      <c r="H26" s="42"/>
      <c r="I26" s="43" t="s">
        <v>54</v>
      </c>
      <c r="R26" t="s">
        <v>60</v>
      </c>
    </row>
    <row r="27" spans="2:18" x14ac:dyDescent="0.3">
      <c r="B27" s="42">
        <v>110</v>
      </c>
      <c r="C27" s="42">
        <v>77</v>
      </c>
      <c r="D27" s="43" t="s">
        <v>55</v>
      </c>
      <c r="E27" s="21" t="s">
        <v>96</v>
      </c>
      <c r="G27" s="42">
        <v>50</v>
      </c>
      <c r="H27" s="42"/>
      <c r="I27" s="43" t="s">
        <v>55</v>
      </c>
      <c r="R27" t="s">
        <v>43</v>
      </c>
    </row>
    <row r="28" spans="2:18" x14ac:dyDescent="0.3">
      <c r="B28" s="42">
        <v>120</v>
      </c>
      <c r="C28" s="42">
        <v>77</v>
      </c>
      <c r="D28" s="43" t="s">
        <v>56</v>
      </c>
      <c r="E28" s="21" t="s">
        <v>97</v>
      </c>
      <c r="G28" s="42">
        <v>50</v>
      </c>
      <c r="H28" s="42"/>
      <c r="I28" s="43" t="s">
        <v>56</v>
      </c>
      <c r="R28" t="s">
        <v>42</v>
      </c>
    </row>
    <row r="29" spans="2:18" x14ac:dyDescent="0.3">
      <c r="B29" s="42">
        <v>40</v>
      </c>
      <c r="C29" s="42">
        <v>50</v>
      </c>
      <c r="D29" s="43" t="s">
        <v>52</v>
      </c>
      <c r="E29" s="21" t="s">
        <v>98</v>
      </c>
      <c r="G29" s="42">
        <v>50</v>
      </c>
      <c r="H29" s="42"/>
      <c r="I29" s="43" t="s">
        <v>52</v>
      </c>
      <c r="R29" t="s">
        <v>44</v>
      </c>
    </row>
    <row r="30" spans="2:18" x14ac:dyDescent="0.3">
      <c r="B30" s="42">
        <v>40</v>
      </c>
      <c r="C30" s="42">
        <v>60</v>
      </c>
      <c r="D30" s="43" t="s">
        <v>76</v>
      </c>
      <c r="E30" s="21" t="s">
        <v>99</v>
      </c>
      <c r="G30" s="42">
        <v>50</v>
      </c>
      <c r="H30" s="42"/>
      <c r="I30" s="43" t="s">
        <v>36</v>
      </c>
      <c r="R30" t="s">
        <v>57</v>
      </c>
    </row>
    <row r="31" spans="2:18" x14ac:dyDescent="0.3">
      <c r="B31" s="42">
        <v>40</v>
      </c>
      <c r="C31" s="42">
        <v>100</v>
      </c>
      <c r="D31" s="43" t="s">
        <v>48</v>
      </c>
      <c r="E31" s="21" t="s">
        <v>100</v>
      </c>
      <c r="G31" s="42">
        <v>50</v>
      </c>
      <c r="H31" s="42"/>
      <c r="I31" s="43" t="s">
        <v>48</v>
      </c>
      <c r="R31" t="s">
        <v>58</v>
      </c>
    </row>
    <row r="32" spans="2:18" x14ac:dyDescent="0.3">
      <c r="B32" s="42">
        <v>40</v>
      </c>
      <c r="C32" s="42">
        <v>60</v>
      </c>
      <c r="D32" s="43" t="s">
        <v>111</v>
      </c>
      <c r="E32" s="21" t="s">
        <v>101</v>
      </c>
      <c r="G32" s="42">
        <v>50</v>
      </c>
      <c r="H32" s="42"/>
      <c r="I32" s="43" t="s">
        <v>111</v>
      </c>
      <c r="R32" t="s">
        <v>65</v>
      </c>
    </row>
    <row r="33" spans="2:18" x14ac:dyDescent="0.3">
      <c r="B33" s="42">
        <v>40</v>
      </c>
      <c r="C33" s="42">
        <v>90</v>
      </c>
      <c r="D33" s="43" t="s">
        <v>68</v>
      </c>
      <c r="E33" s="21" t="s">
        <v>102</v>
      </c>
      <c r="G33" s="42">
        <v>50</v>
      </c>
      <c r="H33" s="42">
        <v>-2</v>
      </c>
      <c r="I33" s="43" t="s">
        <v>68</v>
      </c>
      <c r="R33" t="s">
        <v>66</v>
      </c>
    </row>
    <row r="34" spans="2:18" x14ac:dyDescent="0.3">
      <c r="B34" s="42">
        <v>40</v>
      </c>
      <c r="C34" s="42">
        <v>90</v>
      </c>
      <c r="D34" s="43" t="s">
        <v>69</v>
      </c>
      <c r="E34" s="21"/>
      <c r="G34" s="42">
        <v>50</v>
      </c>
      <c r="H34" s="42">
        <v>-2</v>
      </c>
      <c r="I34" s="43" t="s">
        <v>69</v>
      </c>
    </row>
    <row r="35" spans="2:18" x14ac:dyDescent="0.3">
      <c r="B35" s="42">
        <v>40</v>
      </c>
      <c r="C35" s="42">
        <v>90</v>
      </c>
      <c r="D35" s="43" t="s">
        <v>65</v>
      </c>
      <c r="E35" s="21" t="s">
        <v>103</v>
      </c>
      <c r="G35" s="42">
        <v>50</v>
      </c>
      <c r="H35" s="42">
        <v>-2</v>
      </c>
      <c r="I35" s="43" t="s">
        <v>65</v>
      </c>
      <c r="R35" t="s">
        <v>67</v>
      </c>
    </row>
    <row r="36" spans="2:18" x14ac:dyDescent="0.3">
      <c r="B36" s="84">
        <v>40</v>
      </c>
      <c r="C36" s="84">
        <v>90</v>
      </c>
      <c r="D36" s="85" t="s">
        <v>66</v>
      </c>
      <c r="G36" s="42">
        <v>50</v>
      </c>
      <c r="H36" s="42">
        <v>-2</v>
      </c>
      <c r="I36" s="43" t="s">
        <v>66</v>
      </c>
      <c r="R36" t="s">
        <v>68</v>
      </c>
    </row>
    <row r="37" spans="2:18" x14ac:dyDescent="0.3">
      <c r="B37" s="84">
        <v>40</v>
      </c>
      <c r="C37" s="84">
        <v>90</v>
      </c>
      <c r="D37" s="85" t="s">
        <v>67</v>
      </c>
      <c r="G37" s="42">
        <v>50</v>
      </c>
      <c r="H37" s="42">
        <v>-2</v>
      </c>
      <c r="I37" s="43" t="s">
        <v>67</v>
      </c>
      <c r="R37" t="s">
        <v>69</v>
      </c>
    </row>
    <row r="48" spans="2:18" x14ac:dyDescent="0.3">
      <c r="B48" s="42">
        <v>40</v>
      </c>
      <c r="C48" s="42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71"/>
  <sheetViews>
    <sheetView tabSelected="1" topLeftCell="A30" zoomScaleNormal="100" workbookViewId="0">
      <selection activeCell="H37" sqref="H37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66" t="s">
        <v>133</v>
      </c>
      <c r="L2" s="66"/>
      <c r="M2" s="66"/>
    </row>
    <row r="3" spans="1:14" x14ac:dyDescent="0.3">
      <c r="K3" s="124" t="s">
        <v>64</v>
      </c>
      <c r="L3" s="124"/>
      <c r="M3" s="124" t="s">
        <v>16</v>
      </c>
      <c r="N3" s="124"/>
    </row>
    <row r="4" spans="1:14" ht="15.75" customHeight="1" x14ac:dyDescent="0.3">
      <c r="C4" s="51" t="s">
        <v>30</v>
      </c>
      <c r="D4" s="50">
        <f>'4637'!G8</f>
        <v>7303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4" t="s">
        <v>70</v>
      </c>
      <c r="D5" s="63" t="str">
        <f>'4637'!C10</f>
        <v>JOCELYN PLACENCIA</v>
      </c>
      <c r="E5" s="21"/>
      <c r="F5" s="2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2"/>
      <c r="D6" s="48"/>
    </row>
    <row r="7" spans="1:14" ht="15.6" x14ac:dyDescent="0.3">
      <c r="C7" s="103" t="str">
        <f>'4637'!F11</f>
        <v>FECHA LIMITE :</v>
      </c>
      <c r="D7" s="49">
        <f>'4637'!G11</f>
        <v>45947</v>
      </c>
      <c r="E7" s="1"/>
      <c r="F7" s="1"/>
    </row>
    <row r="8" spans="1:14" x14ac:dyDescent="0.3">
      <c r="C8" s="102" t="s">
        <v>132</v>
      </c>
    </row>
    <row r="10" spans="1:14" ht="15" customHeight="1" x14ac:dyDescent="0.3">
      <c r="A10" s="125" t="s">
        <v>64</v>
      </c>
      <c r="B10" s="125"/>
      <c r="C10" s="125"/>
      <c r="D10" s="125"/>
      <c r="E10" s="125"/>
      <c r="F10" s="125"/>
    </row>
    <row r="11" spans="1:14" ht="15.6" x14ac:dyDescent="0.3">
      <c r="C11" s="47"/>
    </row>
    <row r="12" spans="1:14" ht="15.6" x14ac:dyDescent="0.3">
      <c r="A12" s="1"/>
      <c r="B12" s="1"/>
      <c r="C12" s="1"/>
      <c r="D12" s="46" t="s">
        <v>8</v>
      </c>
      <c r="E12" s="46" t="s">
        <v>9</v>
      </c>
      <c r="F12" s="1"/>
    </row>
    <row r="13" spans="1:14" ht="15.6" x14ac:dyDescent="0.3">
      <c r="A13" s="46" t="s">
        <v>10</v>
      </c>
      <c r="B13" s="73" t="s">
        <v>11</v>
      </c>
      <c r="C13" s="73" t="s">
        <v>12</v>
      </c>
      <c r="D13" s="92">
        <v>80</v>
      </c>
      <c r="E13" s="92">
        <v>-30</v>
      </c>
      <c r="F13" s="73" t="s">
        <v>113</v>
      </c>
      <c r="J13" s="6" t="s">
        <v>8</v>
      </c>
      <c r="K13" s="6" t="s">
        <v>9</v>
      </c>
    </row>
    <row r="14" spans="1:14" ht="15.6" x14ac:dyDescent="0.3">
      <c r="A14" s="46" t="s">
        <v>136</v>
      </c>
      <c r="B14" s="55">
        <f>I14</f>
        <v>1</v>
      </c>
      <c r="C14" s="55"/>
      <c r="D14" s="55">
        <f t="shared" ref="D14" si="0">J14+D$13</f>
        <v>1080</v>
      </c>
      <c r="E14" s="42">
        <f>K14+E$13</f>
        <v>580</v>
      </c>
      <c r="F14" s="54" t="str">
        <f>F23</f>
        <v>CUB C/R R6</v>
      </c>
      <c r="I14" s="4">
        <f>I23</f>
        <v>1</v>
      </c>
      <c r="J14" s="5">
        <f>D32</f>
        <v>1000</v>
      </c>
      <c r="K14" s="5">
        <f>K23</f>
        <v>610</v>
      </c>
    </row>
    <row r="15" spans="1:14" ht="15.6" x14ac:dyDescent="0.3">
      <c r="A15" s="46"/>
      <c r="B15" s="55">
        <f t="shared" ref="B15:B16" si="1">I15</f>
        <v>1</v>
      </c>
      <c r="C15" s="55"/>
      <c r="D15" s="55">
        <f t="shared" ref="D15:D16" si="2">J15+D$13</f>
        <v>980</v>
      </c>
      <c r="E15" s="42">
        <f t="shared" ref="E15:E16" si="3">K15+E$13</f>
        <v>280</v>
      </c>
      <c r="F15" s="54" t="str">
        <f>F24</f>
        <v>CUB C/R R6</v>
      </c>
      <c r="I15" s="4">
        <f>I24</f>
        <v>1</v>
      </c>
      <c r="J15" s="5">
        <f>D33</f>
        <v>900</v>
      </c>
      <c r="K15" s="5">
        <f>K24</f>
        <v>310</v>
      </c>
    </row>
    <row r="16" spans="1:14" ht="15.6" x14ac:dyDescent="0.3">
      <c r="A16" s="46"/>
      <c r="B16" s="55">
        <f t="shared" si="1"/>
        <v>1</v>
      </c>
      <c r="C16" s="55"/>
      <c r="D16" s="55">
        <f t="shared" si="2"/>
        <v>830</v>
      </c>
      <c r="E16" s="42">
        <f t="shared" si="3"/>
        <v>580</v>
      </c>
      <c r="F16" s="54" t="str">
        <f>F25</f>
        <v>CUB C/R R6</v>
      </c>
      <c r="I16" s="4">
        <f>I25</f>
        <v>1</v>
      </c>
      <c r="J16" s="5">
        <f>D34</f>
        <v>750</v>
      </c>
      <c r="K16" s="5">
        <f>K25</f>
        <v>610</v>
      </c>
    </row>
    <row r="17" spans="1:11" ht="15.6" x14ac:dyDescent="0.3">
      <c r="A17" s="46"/>
      <c r="B17" s="7"/>
      <c r="C17" s="7"/>
      <c r="D17" s="7"/>
      <c r="E17" s="7"/>
      <c r="F17" s="45"/>
      <c r="I17" s="91"/>
      <c r="J17" s="3"/>
      <c r="K17" s="3"/>
    </row>
    <row r="18" spans="1:11" ht="6.75" customHeight="1" x14ac:dyDescent="0.3"/>
    <row r="19" spans="1:11" ht="15.6" x14ac:dyDescent="0.3">
      <c r="A19" s="125" t="s">
        <v>16</v>
      </c>
      <c r="B19" s="125"/>
      <c r="C19" s="125"/>
      <c r="D19" s="125"/>
      <c r="E19" s="125"/>
      <c r="F19" s="125"/>
      <c r="G19" s="1"/>
    </row>
    <row r="20" spans="1:11" ht="10.5" customHeight="1" x14ac:dyDescent="0.3">
      <c r="A20" s="1"/>
      <c r="B20" s="1"/>
      <c r="C20" s="47"/>
      <c r="D20" s="1"/>
      <c r="E20" s="1"/>
      <c r="F20" s="1"/>
      <c r="G20" s="1"/>
    </row>
    <row r="21" spans="1:11" ht="15.6" x14ac:dyDescent="0.3">
      <c r="A21" s="1"/>
      <c r="B21" s="1"/>
      <c r="C21" s="1"/>
      <c r="D21" s="46" t="s">
        <v>8</v>
      </c>
      <c r="E21" s="46" t="s">
        <v>9</v>
      </c>
      <c r="F21" s="1"/>
      <c r="G21" s="1"/>
    </row>
    <row r="22" spans="1:11" ht="15.6" x14ac:dyDescent="0.3">
      <c r="A22" s="46" t="s">
        <v>10</v>
      </c>
      <c r="B22" s="73" t="s">
        <v>11</v>
      </c>
      <c r="C22" s="73" t="s">
        <v>12</v>
      </c>
      <c r="D22" s="65">
        <v>40</v>
      </c>
      <c r="E22" s="65">
        <v>130</v>
      </c>
      <c r="F22" s="73" t="s">
        <v>113</v>
      </c>
      <c r="G22" s="1"/>
      <c r="J22" s="6" t="s">
        <v>8</v>
      </c>
      <c r="K22" s="6" t="s">
        <v>9</v>
      </c>
    </row>
    <row r="23" spans="1:11" ht="15.6" x14ac:dyDescent="0.3">
      <c r="A23" s="46"/>
      <c r="B23" s="55">
        <f t="shared" ref="B23" si="4">I23</f>
        <v>1</v>
      </c>
      <c r="C23" s="55"/>
      <c r="D23" s="55">
        <f>J23+D$22</f>
        <v>1040</v>
      </c>
      <c r="E23" s="55">
        <f>K23+E$22</f>
        <v>740</v>
      </c>
      <c r="F23" s="54" t="str">
        <f>C32</f>
        <v>CUB C/R R6</v>
      </c>
      <c r="G23" s="1"/>
      <c r="I23" s="4">
        <f>B32</f>
        <v>1</v>
      </c>
      <c r="J23" s="5">
        <f t="shared" ref="J23:K23" si="5">D32</f>
        <v>1000</v>
      </c>
      <c r="K23" s="5">
        <f t="shared" si="5"/>
        <v>610</v>
      </c>
    </row>
    <row r="24" spans="1:11" ht="15.6" x14ac:dyDescent="0.3">
      <c r="A24" s="46"/>
      <c r="B24" s="55">
        <f t="shared" ref="B24:B26" si="6">I24</f>
        <v>1</v>
      </c>
      <c r="C24" s="55"/>
      <c r="D24" s="55">
        <f t="shared" ref="D24:D26" si="7">J24+D$22</f>
        <v>940</v>
      </c>
      <c r="E24" s="55">
        <f>K24+E$22</f>
        <v>440</v>
      </c>
      <c r="F24" s="54" t="str">
        <f t="shared" ref="F24:F26" si="8">C33</f>
        <v>CUB C/R R6</v>
      </c>
      <c r="G24" s="1"/>
      <c r="I24" s="4">
        <f t="shared" ref="I24:I26" si="9">B33</f>
        <v>1</v>
      </c>
      <c r="J24" s="5">
        <f t="shared" ref="J24:J26" si="10">D33</f>
        <v>900</v>
      </c>
      <c r="K24" s="5">
        <f t="shared" ref="K24:K26" si="11">E33</f>
        <v>310</v>
      </c>
    </row>
    <row r="25" spans="1:11" ht="15.6" x14ac:dyDescent="0.3">
      <c r="A25" s="46"/>
      <c r="B25" s="55">
        <f t="shared" si="6"/>
        <v>1</v>
      </c>
      <c r="C25" s="55"/>
      <c r="D25" s="55">
        <f t="shared" si="7"/>
        <v>790</v>
      </c>
      <c r="E25" s="55">
        <f>K25+E$22</f>
        <v>740</v>
      </c>
      <c r="F25" s="54" t="str">
        <f t="shared" si="8"/>
        <v>CUB C/R R6</v>
      </c>
      <c r="G25" s="1"/>
      <c r="I25" s="4">
        <f t="shared" si="9"/>
        <v>1</v>
      </c>
      <c r="J25" s="5">
        <f t="shared" si="10"/>
        <v>750</v>
      </c>
      <c r="K25" s="5">
        <f t="shared" si="11"/>
        <v>610</v>
      </c>
    </row>
    <row r="26" spans="1:11" ht="15.6" x14ac:dyDescent="0.3">
      <c r="A26" s="46"/>
      <c r="B26" s="55">
        <f t="shared" si="6"/>
        <v>1</v>
      </c>
      <c r="C26" s="55"/>
      <c r="D26" s="55">
        <f t="shared" si="7"/>
        <v>3040</v>
      </c>
      <c r="E26" s="55">
        <v>95</v>
      </c>
      <c r="F26" s="54" t="str">
        <f t="shared" si="8"/>
        <v>ZOCALO</v>
      </c>
      <c r="G26" s="1"/>
      <c r="I26" s="4">
        <f t="shared" si="9"/>
        <v>1</v>
      </c>
      <c r="J26" s="5">
        <f t="shared" si="10"/>
        <v>3000</v>
      </c>
      <c r="K26" s="5">
        <f t="shared" si="11"/>
        <v>95</v>
      </c>
    </row>
    <row r="27" spans="1:11" ht="13.8" customHeight="1" x14ac:dyDescent="0.3">
      <c r="G27" s="1"/>
      <c r="I27" s="3"/>
      <c r="J27" s="3"/>
      <c r="K27" s="3"/>
    </row>
    <row r="28" spans="1:11" ht="16.2" thickBot="1" x14ac:dyDescent="0.35">
      <c r="A28" s="46"/>
      <c r="B28" s="7"/>
      <c r="C28" s="7"/>
      <c r="D28" s="7"/>
      <c r="E28" s="7"/>
      <c r="F28" s="45"/>
      <c r="I28" s="3"/>
      <c r="J28" s="3"/>
      <c r="K28" s="3"/>
    </row>
    <row r="29" spans="1:11" ht="16.2" thickBot="1" x14ac:dyDescent="0.35">
      <c r="A29" s="46"/>
      <c r="B29" s="67" t="s">
        <v>110</v>
      </c>
      <c r="C29" s="68"/>
      <c r="D29" s="68"/>
      <c r="E29" s="68"/>
      <c r="F29" s="69"/>
      <c r="I29" s="3"/>
      <c r="J29" s="3"/>
      <c r="K29" s="3"/>
    </row>
    <row r="30" spans="1:11" ht="10.5" customHeight="1" x14ac:dyDescent="0.3"/>
    <row r="31" spans="1:11" x14ac:dyDescent="0.3">
      <c r="A31" s="46" t="s">
        <v>10</v>
      </c>
      <c r="B31" s="72" t="s">
        <v>11</v>
      </c>
      <c r="C31" s="72" t="s">
        <v>113</v>
      </c>
      <c r="D31" s="72" t="s">
        <v>8</v>
      </c>
      <c r="E31" s="72" t="s">
        <v>9</v>
      </c>
      <c r="F31" s="72" t="s">
        <v>26</v>
      </c>
    </row>
    <row r="32" spans="1:11" ht="15.6" x14ac:dyDescent="0.3">
      <c r="A32" s="46" t="s">
        <v>136</v>
      </c>
      <c r="B32" s="70">
        <f>'4637'!B20</f>
        <v>1</v>
      </c>
      <c r="C32" s="71" t="str">
        <f>'4637'!C20</f>
        <v>CUB C/R R6</v>
      </c>
      <c r="D32" s="70">
        <f>'4637'!D20</f>
        <v>1000</v>
      </c>
      <c r="E32" s="70">
        <f>'4637'!E20</f>
        <v>610</v>
      </c>
      <c r="F32" s="115" t="str">
        <f>'4637'!F20</f>
        <v>WHITE LILY GL</v>
      </c>
    </row>
    <row r="33" spans="1:7" ht="15.6" x14ac:dyDescent="0.3">
      <c r="A33" s="46"/>
      <c r="B33" s="70">
        <f>'4637'!B21</f>
        <v>1</v>
      </c>
      <c r="C33" s="71" t="str">
        <f>'4637'!C21</f>
        <v>CUB C/R R6</v>
      </c>
      <c r="D33" s="70">
        <f>'4637'!D21</f>
        <v>900</v>
      </c>
      <c r="E33" s="70">
        <f>'4637'!E21</f>
        <v>310</v>
      </c>
      <c r="F33" s="115" t="str">
        <f>'4637'!F21</f>
        <v>WHITE LILY GL</v>
      </c>
    </row>
    <row r="34" spans="1:7" ht="15.6" x14ac:dyDescent="0.3">
      <c r="A34" s="46"/>
      <c r="B34" s="70">
        <f>'4637'!B22</f>
        <v>1</v>
      </c>
      <c r="C34" s="71" t="str">
        <f>'4637'!C22</f>
        <v>CUB C/R R6</v>
      </c>
      <c r="D34" s="70">
        <f>'4637'!D22</f>
        <v>750</v>
      </c>
      <c r="E34" s="70">
        <f>'4637'!E22</f>
        <v>610</v>
      </c>
      <c r="F34" s="115" t="str">
        <f>'4637'!F22</f>
        <v>WHITE LILY GL</v>
      </c>
    </row>
    <row r="35" spans="1:7" ht="15.6" x14ac:dyDescent="0.3">
      <c r="A35" s="46"/>
      <c r="B35" s="70">
        <f>'4637'!B23</f>
        <v>1</v>
      </c>
      <c r="C35" s="71" t="str">
        <f>'4637'!C23</f>
        <v>ZOCALO</v>
      </c>
      <c r="D35" s="70">
        <f>'4637'!D23</f>
        <v>3000</v>
      </c>
      <c r="E35" s="70">
        <f>'4637'!E23</f>
        <v>95</v>
      </c>
      <c r="F35" s="115" t="str">
        <f>'4637'!F23</f>
        <v>WHITE LILY GL</v>
      </c>
    </row>
    <row r="36" spans="1:7" ht="15.6" x14ac:dyDescent="0.3">
      <c r="A36" s="46"/>
      <c r="B36" s="7"/>
      <c r="C36" s="11"/>
      <c r="D36" s="7"/>
      <c r="E36" s="7"/>
      <c r="F36" s="56"/>
    </row>
    <row r="37" spans="1:7" ht="15.6" x14ac:dyDescent="0.3">
      <c r="B37" s="7"/>
      <c r="C37" s="11"/>
      <c r="D37" s="7"/>
      <c r="E37" s="7"/>
      <c r="F37" s="45"/>
    </row>
    <row r="38" spans="1:7" ht="15.6" x14ac:dyDescent="0.3">
      <c r="B38" s="7"/>
      <c r="C38" s="11"/>
      <c r="D38" s="7"/>
      <c r="E38" s="7"/>
      <c r="F38" s="45"/>
    </row>
    <row r="39" spans="1:7" ht="15.6" x14ac:dyDescent="0.3">
      <c r="B39" s="7"/>
      <c r="C39" s="11"/>
      <c r="D39" s="7"/>
      <c r="E39" s="7"/>
      <c r="F39" s="45"/>
    </row>
    <row r="40" spans="1:7" ht="15.6" x14ac:dyDescent="0.3">
      <c r="B40" s="7"/>
      <c r="C40" s="11"/>
      <c r="D40" s="7"/>
      <c r="E40" s="7"/>
      <c r="F40" s="45"/>
    </row>
    <row r="41" spans="1:7" ht="15.6" x14ac:dyDescent="0.3">
      <c r="B41" s="7"/>
      <c r="C41" s="11"/>
      <c r="D41" s="7"/>
      <c r="E41" s="7"/>
      <c r="F41" s="45"/>
    </row>
    <row r="42" spans="1:7" ht="15.6" x14ac:dyDescent="0.3">
      <c r="B42" s="7"/>
      <c r="C42" s="11"/>
      <c r="D42" s="7"/>
      <c r="E42" s="7"/>
      <c r="F42" s="45"/>
    </row>
    <row r="43" spans="1:7" ht="15.6" x14ac:dyDescent="0.3">
      <c r="B43" s="7"/>
      <c r="C43" s="11"/>
      <c r="D43" s="7"/>
      <c r="E43" s="7"/>
      <c r="F43" s="45"/>
    </row>
    <row r="44" spans="1:7" ht="15.6" x14ac:dyDescent="0.3">
      <c r="G44" s="1"/>
    </row>
    <row r="45" spans="1:7" ht="15.6" x14ac:dyDescent="0.3">
      <c r="C45" s="51" t="s">
        <v>30</v>
      </c>
      <c r="D45" s="50">
        <f>'4637'!G8</f>
        <v>7303</v>
      </c>
      <c r="G45" s="1"/>
    </row>
    <row r="46" spans="1:7" ht="17.25" customHeight="1" x14ac:dyDescent="0.3">
      <c r="C46" s="64" t="s">
        <v>70</v>
      </c>
      <c r="D46" s="63" t="str">
        <f>'4637'!C10</f>
        <v>JOCELYN PLACENCIA</v>
      </c>
      <c r="E46" s="21"/>
      <c r="F46" s="21"/>
      <c r="G46" s="1"/>
    </row>
    <row r="47" spans="1:7" ht="4.5" customHeight="1" x14ac:dyDescent="0.3">
      <c r="C47" s="52"/>
      <c r="D47" s="48"/>
      <c r="G47" s="1"/>
    </row>
    <row r="48" spans="1:7" ht="15.6" x14ac:dyDescent="0.3">
      <c r="C48" s="53" t="str">
        <f>'4637'!F11</f>
        <v>FECHA LIMITE :</v>
      </c>
      <c r="D48" s="49">
        <f>'4637'!G11</f>
        <v>45947</v>
      </c>
      <c r="E48" s="1"/>
      <c r="F48" s="1"/>
    </row>
    <row r="51" spans="1:6" x14ac:dyDescent="0.3">
      <c r="A51" s="126" t="s">
        <v>71</v>
      </c>
      <c r="B51" s="126"/>
      <c r="C51" s="126"/>
      <c r="D51" s="126"/>
      <c r="E51" s="126"/>
      <c r="F51" s="126"/>
    </row>
    <row r="53" spans="1:6" ht="9.75" customHeight="1" x14ac:dyDescent="0.3">
      <c r="B53" s="127" t="s">
        <v>72</v>
      </c>
      <c r="C53" s="128"/>
      <c r="D53" s="129"/>
      <c r="E53" s="129"/>
      <c r="F53" s="130"/>
    </row>
    <row r="54" spans="1:6" s="13" customFormat="1" ht="11.25" customHeight="1" x14ac:dyDescent="0.25">
      <c r="B54" s="104" t="s">
        <v>11</v>
      </c>
      <c r="C54" s="105" t="s">
        <v>12</v>
      </c>
      <c r="D54" s="106" t="s">
        <v>8</v>
      </c>
      <c r="E54" s="106" t="s">
        <v>9</v>
      </c>
      <c r="F54" s="107" t="s">
        <v>13</v>
      </c>
    </row>
    <row r="55" spans="1:6" s="13" customFormat="1" ht="15" customHeight="1" x14ac:dyDescent="0.3">
      <c r="A55" s="93" t="s">
        <v>136</v>
      </c>
      <c r="B55" s="108">
        <f>'4637'!B20</f>
        <v>1</v>
      </c>
      <c r="C55" s="113" t="str">
        <f>'4637'!C20</f>
        <v>CUB C/R R6</v>
      </c>
      <c r="D55" s="108">
        <f>'4637'!D20</f>
        <v>1000</v>
      </c>
      <c r="E55" s="108">
        <f>'4637'!E20</f>
        <v>610</v>
      </c>
      <c r="F55" s="114" t="str">
        <f>'4637'!F20</f>
        <v>WHITE LILY GL</v>
      </c>
    </row>
    <row r="56" spans="1:6" s="13" customFormat="1" ht="15" customHeight="1" x14ac:dyDescent="0.3">
      <c r="A56" s="93"/>
      <c r="B56" s="108">
        <f>'4637'!B21</f>
        <v>1</v>
      </c>
      <c r="C56" s="113" t="str">
        <f>'4637'!C21</f>
        <v>CUB C/R R6</v>
      </c>
      <c r="D56" s="108">
        <f>'4637'!D21</f>
        <v>900</v>
      </c>
      <c r="E56" s="108">
        <f>'4637'!E21</f>
        <v>310</v>
      </c>
      <c r="F56" s="114" t="str">
        <f>'4637'!F21</f>
        <v>WHITE LILY GL</v>
      </c>
    </row>
    <row r="57" spans="1:6" s="13" customFormat="1" ht="15" customHeight="1" x14ac:dyDescent="0.3">
      <c r="A57" s="93"/>
      <c r="B57" s="108">
        <f>'4637'!B22</f>
        <v>1</v>
      </c>
      <c r="C57" s="113" t="str">
        <f>'4637'!C22</f>
        <v>CUB C/R R6</v>
      </c>
      <c r="D57" s="108">
        <f>'4637'!D22</f>
        <v>750</v>
      </c>
      <c r="E57" s="108">
        <f>'4637'!E22</f>
        <v>610</v>
      </c>
      <c r="F57" s="114" t="str">
        <f>'4637'!F22</f>
        <v>WHITE LILY GL</v>
      </c>
    </row>
    <row r="58" spans="1:6" s="13" customFormat="1" ht="15" customHeight="1" x14ac:dyDescent="0.3">
      <c r="A58" s="93"/>
      <c r="B58" s="108">
        <f>'4637'!B23</f>
        <v>1</v>
      </c>
      <c r="C58" s="113" t="str">
        <f>'4637'!C23</f>
        <v>ZOCALO</v>
      </c>
      <c r="D58" s="108">
        <f>'4637'!D23</f>
        <v>3000</v>
      </c>
      <c r="E58" s="108">
        <f>'4637'!E23</f>
        <v>95</v>
      </c>
      <c r="F58" s="114" t="str">
        <f>'4637'!F23</f>
        <v>WHITE LILY GL</v>
      </c>
    </row>
    <row r="59" spans="1:6" s="13" customFormat="1" ht="15" customHeight="1" x14ac:dyDescent="0.3">
      <c r="A59" s="93"/>
      <c r="B59" s="3"/>
      <c r="C59" s="56"/>
      <c r="D59" s="3"/>
      <c r="E59" s="3"/>
      <c r="F59" s="3"/>
    </row>
    <row r="60" spans="1:6" ht="15.6" x14ac:dyDescent="0.3">
      <c r="A60" s="56"/>
      <c r="B60" s="3"/>
      <c r="C60" s="37"/>
      <c r="D60" s="7"/>
      <c r="E60" s="7"/>
      <c r="F60" s="45"/>
    </row>
    <row r="61" spans="1:6" ht="15.6" x14ac:dyDescent="0.3">
      <c r="A61" s="56"/>
      <c r="B61" s="3"/>
      <c r="C61" s="37"/>
      <c r="D61" s="7"/>
      <c r="E61" s="7"/>
      <c r="F61" s="52"/>
    </row>
    <row r="62" spans="1:6" ht="15.6" x14ac:dyDescent="0.3">
      <c r="A62" s="56"/>
      <c r="B62" s="3"/>
      <c r="C62" s="37"/>
      <c r="D62" s="7"/>
      <c r="E62" s="7"/>
      <c r="F62" s="45"/>
    </row>
    <row r="63" spans="1:6" ht="15" thickBot="1" x14ac:dyDescent="0.35"/>
    <row r="64" spans="1:6" x14ac:dyDescent="0.3">
      <c r="B64" s="74" t="s">
        <v>15</v>
      </c>
      <c r="C64" s="75"/>
      <c r="D64" s="76"/>
      <c r="E64" s="76"/>
      <c r="F64" s="77"/>
    </row>
    <row r="65" spans="1:7" x14ac:dyDescent="0.3">
      <c r="B65" s="78"/>
      <c r="C65" s="79" t="s">
        <v>117</v>
      </c>
      <c r="D65" s="9"/>
      <c r="E65" s="9"/>
      <c r="F65" s="80"/>
    </row>
    <row r="66" spans="1:7" ht="15" customHeight="1" x14ac:dyDescent="0.35">
      <c r="B66" s="79" t="s">
        <v>124</v>
      </c>
      <c r="C66" s="66"/>
      <c r="D66" s="10"/>
      <c r="E66" s="10"/>
      <c r="F66" s="81"/>
    </row>
    <row r="67" spans="1:7" ht="18.600000000000001" thickBot="1" x14ac:dyDescent="0.4">
      <c r="B67" s="90" t="s">
        <v>123</v>
      </c>
      <c r="C67" s="82"/>
      <c r="D67" s="82"/>
      <c r="E67" s="82"/>
      <c r="F67" s="83"/>
    </row>
    <row r="68" spans="1:7" ht="18" x14ac:dyDescent="0.35">
      <c r="A68" s="2"/>
      <c r="B68" s="8"/>
      <c r="G68" s="1"/>
    </row>
    <row r="69" spans="1:7" x14ac:dyDescent="0.3">
      <c r="B69" s="62"/>
      <c r="C69" s="62"/>
      <c r="D69" s="62"/>
      <c r="E69" s="62"/>
      <c r="F69" s="62"/>
    </row>
    <row r="70" spans="1:7" x14ac:dyDescent="0.3">
      <c r="B70" s="62"/>
      <c r="C70" s="62"/>
      <c r="D70" s="62"/>
      <c r="E70" s="62"/>
      <c r="F70" s="62"/>
    </row>
    <row r="71" spans="1:7" x14ac:dyDescent="0.3">
      <c r="B71" s="62"/>
      <c r="C71" s="62"/>
      <c r="E71" s="62"/>
      <c r="F71" s="62"/>
    </row>
  </sheetData>
  <mergeCells count="6">
    <mergeCell ref="M3:N3"/>
    <mergeCell ref="A19:F19"/>
    <mergeCell ref="A10:F10"/>
    <mergeCell ref="A51:F51"/>
    <mergeCell ref="B53:F53"/>
    <mergeCell ref="K3:L3"/>
  </mergeCells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2025-10-14T19:20:16Z</cp:lastPrinted>
  <dcterms:created xsi:type="dcterms:W3CDTF">2013-03-19T12:54:14Z</dcterms:created>
  <dcterms:modified xsi:type="dcterms:W3CDTF">2025-10-14T19:35:36Z</dcterms:modified>
</cp:coreProperties>
</file>