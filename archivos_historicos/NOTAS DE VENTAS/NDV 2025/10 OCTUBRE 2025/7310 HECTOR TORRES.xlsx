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0 OCTUBRE 2025\"/>
    </mc:Choice>
  </mc:AlternateContent>
  <xr:revisionPtr revIDLastSave="0" documentId="13_ncr:1_{437E412F-92B2-473C-AAF9-56AB5D3E3F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'4637'!$A$1:$H$29</definedName>
    <definedName name="_xlnm.Print_Area" localSheetId="2">CUBIERTA!$A$2:$F$34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2" i="4" l="1"/>
  <c r="P21" i="4"/>
  <c r="Q21" i="4" s="1"/>
  <c r="P20" i="4"/>
  <c r="Q20" i="4" s="1"/>
  <c r="P19" i="4"/>
  <c r="Q19" i="4" s="1"/>
  <c r="C47" i="3"/>
  <c r="F47" i="3"/>
  <c r="E47" i="3"/>
  <c r="D47" i="3"/>
  <c r="B47" i="3"/>
  <c r="B27" i="3"/>
  <c r="I21" i="3" s="1"/>
  <c r="B21" i="3" s="1"/>
  <c r="C27" i="3"/>
  <c r="F21" i="3" s="1"/>
  <c r="F14" i="3" s="1"/>
  <c r="D27" i="3"/>
  <c r="J21" i="3" s="1"/>
  <c r="D21" i="3" s="1"/>
  <c r="E27" i="3"/>
  <c r="K21" i="3" s="1"/>
  <c r="K14" i="3" s="1"/>
  <c r="E14" i="3" s="1"/>
  <c r="F27" i="3"/>
  <c r="H21" i="4"/>
  <c r="E21" i="3" l="1"/>
  <c r="I14" i="3"/>
  <c r="B14" i="3" s="1"/>
  <c r="J14" i="3"/>
  <c r="D14" i="3" s="1"/>
  <c r="H24" i="4" l="1"/>
  <c r="N5" i="3" l="1"/>
  <c r="M5" i="3"/>
  <c r="L5" i="3"/>
  <c r="K5" i="3"/>
  <c r="H25" i="4"/>
  <c r="H26" i="4" s="1"/>
  <c r="C40" i="3" l="1"/>
  <c r="C7" i="3"/>
  <c r="D38" i="3"/>
  <c r="D5" i="3"/>
  <c r="D40" i="3"/>
  <c r="D7" i="3"/>
  <c r="D37" i="3"/>
  <c r="D4" i="3"/>
</calcChain>
</file>

<file path=xl/sharedStrings.xml><?xml version="1.0" encoding="utf-8"?>
<sst xmlns="http://schemas.openxmlformats.org/spreadsheetml/2006/main" count="253" uniqueCount="145">
  <si>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</si>
  <si>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</si>
  <si>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</si>
  <si>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</si>
  <si>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</si>
  <si>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</si>
  <si>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</si>
  <si>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</si>
  <si>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</si>
  <si>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</si>
  <si>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</si>
  <si>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</si>
  <si>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</si>
  <si>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</si>
  <si>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</si>
  <si>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</si>
  <si>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</si>
  <si>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</si>
  <si>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</si>
  <si>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</si>
  <si>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</si>
  <si>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</si>
  <si>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</si>
  <si>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</si>
  <si>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</si>
  <si>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</si>
  <si>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</si>
  <si>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</si>
  <si>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</si>
  <si>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</si>
  <si>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</si>
  <si>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</si>
  <si>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</si>
  <si>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</si>
  <si>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</si>
  <si>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</si>
  <si>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</si>
  <si>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</si>
  <si>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</si>
  <si>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</si>
  <si>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</si>
  <si>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</si>
  <si>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</si>
  <si>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</si>
  <si>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</si>
  <si>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</si>
  <si>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</si>
  <si>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</si>
  <si>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</si>
  <si>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</si>
  <si>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</si>
  <si>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</si>
  <si>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</si>
  <si>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</si>
  <si>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</si>
  <si>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</si>
  <si>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</si>
  <si>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</si>
  <si>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</si>
  <si>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</si>
  <si>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</si>
  <si>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</si>
  <si>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</si>
  <si>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</si>
  <si>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</si>
  <si>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</si>
  <si>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</si>
  <si>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</si>
  <si>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</si>
  <si>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</si>
  <si>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</si>
  <si>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</si>
  <si>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</si>
  <si>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</si>
  <si>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</si>
  <si>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</si>
  <si>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</si>
  <si>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</si>
  <si>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</si>
  <si>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</si>
  <si>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</si>
  <si>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</si>
  <si>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</si>
  <si>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</si>
  <si>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</si>
  <si>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</si>
  <si>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</si>
  <si>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</si>
  <si>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</si>
  <si>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</si>
  <si>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</si>
  <si>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</si>
  <si>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</si>
  <si>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</si>
  <si>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</si>
  <si>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</si>
  <si>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</si>
  <si>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</si>
  <si>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</si>
  <si>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</si>
  <si>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</si>
  <si>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</si>
  <si>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</si>
  <si>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</si>
  <si>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</si>
  <si>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</si>
  <si>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</si>
  <si>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</si>
  <si>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</si>
  <si>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</si>
  <si>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</si>
  <si>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</si>
  <si>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</si>
  <si>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</si>
  <si>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</si>
  <si>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</si>
  <si>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</si>
  <si>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 xml:space="preserve">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</si>
  <si>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</si>
  <si>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</si>
  <si>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</si>
  <si>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</si>
  <si>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</si>
  <si>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  </t>
  </si>
  <si>
    <t xml:space="preserve">OBSERVACIONES: 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</si>
  <si>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</si>
  <si>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</si>
  <si>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</si>
  <si>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</si>
  <si>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</si>
  <si>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</si>
  <si>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</si>
  <si>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</si>
  <si>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</si>
  <si>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</si>
  <si>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SANTIAGO</t>
  </si>
  <si>
    <t>MDF18MM</t>
  </si>
  <si>
    <t>CUB CON RESPALDO FRENTE 90° R6</t>
  </si>
  <si>
    <t>WHITE LILY GL</t>
  </si>
  <si>
    <t>GIRO:</t>
  </si>
  <si>
    <t>20-10-205</t>
  </si>
  <si>
    <t>HECTOR TORRES</t>
  </si>
  <si>
    <t>56986411139</t>
  </si>
  <si>
    <t>CUB S/R R8</t>
  </si>
  <si>
    <t>OKUMEN 1535 XM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</si>
</sst>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3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1" fontId="5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3" borderId="0" xfId="0" applyFill="1"/>
    <xf numFmtId="0" fontId="0" fillId="3" borderId="7" xfId="0" applyFill="1" applyBorder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0" fontId="12" fillId="0" borderId="11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3" fontId="12" fillId="3" borderId="13" xfId="0" applyNumberFormat="1" applyFont="1" applyFill="1" applyBorder="1" applyAlignment="1">
      <alignment horizontal="center"/>
    </xf>
    <xf numFmtId="0" fontId="8" fillId="0" borderId="0" xfId="0" applyFont="1"/>
    <xf numFmtId="0" fontId="15" fillId="0" borderId="0" xfId="2" applyFont="1" applyFill="1" applyBorder="1" applyAlignment="1">
      <alignment horizontal="left" vertical="center" indent="1"/>
    </xf>
    <xf numFmtId="166" fontId="12" fillId="0" borderId="12" xfId="1" applyNumberFormat="1" applyFont="1" applyFill="1" applyBorder="1"/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19" fillId="6" borderId="2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/>
    <xf numFmtId="14" fontId="0" fillId="0" borderId="0" xfId="0" applyNumberFormat="1" applyAlignment="1">
      <alignment horizontal="right" vertical="top"/>
    </xf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4" fontId="20" fillId="0" borderId="0" xfId="0" applyNumberFormat="1" applyFont="1" applyAlignment="1">
      <alignment horizontal="left" indent="1"/>
    </xf>
    <xf numFmtId="0" fontId="1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5" fillId="0" borderId="0" xfId="1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9" fillId="6" borderId="0" xfId="0" applyFont="1" applyFill="1" applyAlignment="1">
      <alignment horizontal="center"/>
    </xf>
    <xf numFmtId="0" fontId="11" fillId="0" borderId="0" xfId="0" applyFont="1"/>
    <xf numFmtId="0" fontId="18" fillId="3" borderId="0" xfId="0" applyFont="1" applyFill="1" applyAlignment="1">
      <alignment horizontal="left"/>
    </xf>
    <xf numFmtId="0" fontId="20" fillId="3" borderId="0" xfId="0" applyFont="1" applyFill="1" applyAlignment="1">
      <alignment horizontal="left" indent="1"/>
    </xf>
    <xf numFmtId="0" fontId="3" fillId="7" borderId="18" xfId="0" applyFont="1" applyFill="1" applyBorder="1" applyAlignment="1">
      <alignment horizontal="center"/>
    </xf>
    <xf numFmtId="0" fontId="6" fillId="0" borderId="0" xfId="0" applyFont="1"/>
    <xf numFmtId="0" fontId="22" fillId="0" borderId="15" xfId="0" applyFont="1" applyBorder="1"/>
    <xf numFmtId="0" fontId="22" fillId="0" borderId="16" xfId="0" applyFont="1" applyBorder="1"/>
    <xf numFmtId="0" fontId="22" fillId="0" borderId="17" xfId="0" applyFont="1" applyBorder="1"/>
    <xf numFmtId="0" fontId="3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21" fillId="0" borderId="3" xfId="0" applyFont="1" applyBorder="1" applyAlignment="1">
      <alignment wrapText="1"/>
    </xf>
    <xf numFmtId="0" fontId="24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2" fillId="3" borderId="6" xfId="0" applyFont="1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25" fillId="0" borderId="0" xfId="0" applyFont="1" applyAlignment="1">
      <alignment horizontal="left" vertical="center"/>
    </xf>
    <xf numFmtId="0" fontId="0" fillId="2" borderId="0" xfId="0" applyFill="1" applyAlignment="1">
      <alignment horizontal="center"/>
    </xf>
    <xf numFmtId="0" fontId="3" fillId="7" borderId="25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6" fillId="8" borderId="23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8" fillId="0" borderId="0" xfId="1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4" fontId="0" fillId="4" borderId="27" xfId="0" applyNumberFormat="1" applyFill="1" applyBorder="1" applyAlignment="1">
      <alignment horizontal="left"/>
    </xf>
    <xf numFmtId="165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14" fontId="20" fillId="0" borderId="0" xfId="0" applyNumberFormat="1" applyFont="1" applyAlignment="1">
      <alignment horizontal="left" vertical="top" indent="1"/>
    </xf>
    <xf numFmtId="0" fontId="23" fillId="0" borderId="25" xfId="0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9" xfId="0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1" fontId="29" fillId="0" borderId="2" xfId="0" applyNumberFormat="1" applyFont="1" applyBorder="1" applyAlignment="1">
      <alignment horizontal="center" vertical="center"/>
    </xf>
    <xf numFmtId="0" fontId="6" fillId="8" borderId="30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29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1" fillId="0" borderId="2" xfId="0" applyNumberFormat="1" applyFont="1" applyBorder="1" applyAlignment="1">
      <alignment horizontal="center" vertical="center"/>
    </xf>
    <xf numFmtId="41" fontId="3" fillId="0" borderId="2" xfId="3" applyFont="1" applyBorder="1" applyAlignment="1">
      <alignment horizontal="center" vertical="center"/>
    </xf>
    <xf numFmtId="0" fontId="0" fillId="0" borderId="4" xfId="0" applyBorder="1"/>
    <xf numFmtId="0" fontId="32" fillId="0" borderId="0" xfId="0" applyFont="1"/>
    <xf numFmtId="0" fontId="0" fillId="4" borderId="0" xfId="0" applyFill="1"/>
    <xf numFmtId="0" fontId="33" fillId="3" borderId="0" xfId="0" applyFont="1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32" fillId="3" borderId="0" xfId="0" applyFont="1" applyFill="1"/>
    <xf numFmtId="0" fontId="6" fillId="3" borderId="0" xfId="0" applyFont="1" applyFill="1"/>
    <xf numFmtId="0" fontId="0" fillId="0" borderId="9" xfId="0" applyBorder="1"/>
    <xf numFmtId="14" fontId="0" fillId="4" borderId="0" xfId="0" applyNumberFormat="1" applyFill="1" applyAlignment="1">
      <alignment horizontal="left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9" fillId="3" borderId="15" xfId="0" applyFont="1" applyFill="1" applyBorder="1" applyAlignment="1">
      <alignment horizontal="center" vertical="center"/>
    </xf>
    <xf numFmtId="0" fontId="19" fillId="3" borderId="16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3" fillId="3" borderId="20" xfId="0" applyFont="1" applyFill="1" applyBorder="1" applyAlignment="1">
      <alignment horizontal="left" vertical="top" indent="28"/>
    </xf>
    <xf numFmtId="0" fontId="23" fillId="3" borderId="21" xfId="0" applyFont="1" applyFill="1" applyBorder="1" applyAlignment="1">
      <alignment horizontal="left" vertical="top" indent="28"/>
    </xf>
    <xf numFmtId="0" fontId="23" fillId="3" borderId="26" xfId="0" applyFont="1" applyFill="1" applyBorder="1" applyAlignment="1">
      <alignment horizontal="left" vertical="top" indent="28"/>
    </xf>
    <xf numFmtId="0" fontId="23" fillId="3" borderId="19" xfId="0" applyFont="1" applyFill="1" applyBorder="1" applyAlignment="1">
      <alignment horizontal="left" vertical="top" indent="28"/>
    </xf>
    <xf numFmtId="0" fontId="34" fillId="0" borderId="0" xfId="0" quotePrefix="1" applyFont="1" applyAlignment="1">
      <alignment horizontal="left" vertical="top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</xdr:colOff>
      <xdr:row>7</xdr:row>
      <xdr:rowOff>32385</xdr:rowOff>
    </xdr:from>
    <xdr:to>
      <xdr:col>4</xdr:col>
      <xdr:colOff>1905</xdr:colOff>
      <xdr:row>7</xdr:row>
      <xdr:rowOff>253365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94310" y="1375410"/>
          <a:ext cx="2284095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050" b="1"/>
            <a:t>P</a:t>
          </a:r>
          <a:r>
            <a:rPr lang="es-ES" sz="1050" b="1" baseline="0"/>
            <a:t>RESUPUESTO N° 11703	</a:t>
          </a:r>
        </a:p>
      </xdr:txBody>
    </xdr:sp>
    <xdr:clientData/>
  </xdr:twoCellAnchor>
  <xdr:twoCellAnchor>
    <xdr:from>
      <xdr:col>5</xdr:col>
      <xdr:colOff>0</xdr:colOff>
      <xdr:row>7</xdr:row>
      <xdr:rowOff>19050</xdr:rowOff>
    </xdr:from>
    <xdr:to>
      <xdr:col>6</xdr:col>
      <xdr:colOff>800100</xdr:colOff>
      <xdr:row>7</xdr:row>
      <xdr:rowOff>257175</xdr:rowOff>
    </xdr:to>
    <xdr:sp macro="" textlink="">
      <xdr:nvSpPr>
        <xdr:cNvPr id="2" name="Proces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057525" y="1362075"/>
          <a:ext cx="2219325" cy="238125"/>
        </a:xfrm>
        <a:prstGeom prst="flowChartProcess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182880</xdr:colOff>
      <xdr:row>22</xdr:row>
      <xdr:rowOff>91440</xdr:rowOff>
    </xdr:from>
    <xdr:to>
      <xdr:col>5</xdr:col>
      <xdr:colOff>1337310</xdr:colOff>
      <xdr:row>25</xdr:row>
      <xdr:rowOff>211455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2880" y="5044440"/>
          <a:ext cx="4271010" cy="6762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$ 30.000.-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460885</xdr:colOff>
      <xdr:row>5</xdr:row>
      <xdr:rowOff>142446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C323445-9BE7-484E-8261-CF02AD6B86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198120" y="182880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457200</xdr:colOff>
      <xdr:row>1</xdr:row>
      <xdr:rowOff>129540</xdr:rowOff>
    </xdr:from>
    <xdr:to>
      <xdr:col>3</xdr:col>
      <xdr:colOff>485467</xdr:colOff>
      <xdr:row>5</xdr:row>
      <xdr:rowOff>68651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1B5791-3C25-4328-9C48-864371826B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226820" y="31242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41</xdr:row>
      <xdr:rowOff>171450</xdr:rowOff>
    </xdr:from>
    <xdr:to>
      <xdr:col>5</xdr:col>
      <xdr:colOff>1685924</xdr:colOff>
      <xdr:row>43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38100</xdr:rowOff>
    </xdr:from>
    <xdr:to>
      <xdr:col>6</xdr:col>
      <xdr:colOff>0</xdr:colOff>
      <xdr:row>38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36</xdr:row>
      <xdr:rowOff>0</xdr:rowOff>
    </xdr:from>
    <xdr:to>
      <xdr:col>6</xdr:col>
      <xdr:colOff>0</xdr:colOff>
      <xdr:row>37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48</xdr:row>
      <xdr:rowOff>180975</xdr:rowOff>
    </xdr:from>
    <xdr:to>
      <xdr:col>2</xdr:col>
      <xdr:colOff>38100</xdr:colOff>
      <xdr:row>50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48</xdr:row>
      <xdr:rowOff>180975</xdr:rowOff>
    </xdr:from>
    <xdr:to>
      <xdr:col>2</xdr:col>
      <xdr:colOff>1019175</xdr:colOff>
      <xdr:row>49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48</xdr:row>
      <xdr:rowOff>180975</xdr:rowOff>
    </xdr:from>
    <xdr:to>
      <xdr:col>3</xdr:col>
      <xdr:colOff>352425</xdr:colOff>
      <xdr:row>50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48</xdr:row>
      <xdr:rowOff>180975</xdr:rowOff>
    </xdr:from>
    <xdr:to>
      <xdr:col>4</xdr:col>
      <xdr:colOff>257175</xdr:colOff>
      <xdr:row>50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48</xdr:row>
      <xdr:rowOff>180975</xdr:rowOff>
    </xdr:from>
    <xdr:to>
      <xdr:col>5</xdr:col>
      <xdr:colOff>447675</xdr:colOff>
      <xdr:row>49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48</xdr:row>
      <xdr:rowOff>180975</xdr:rowOff>
    </xdr:from>
    <xdr:to>
      <xdr:col>6</xdr:col>
      <xdr:colOff>0</xdr:colOff>
      <xdr:row>49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49</xdr:row>
      <xdr:rowOff>190500</xdr:rowOff>
    </xdr:from>
    <xdr:to>
      <xdr:col>2</xdr:col>
      <xdr:colOff>304800</xdr:colOff>
      <xdr:row>51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49</xdr:row>
      <xdr:rowOff>190500</xdr:rowOff>
    </xdr:from>
    <xdr:to>
      <xdr:col>2</xdr:col>
      <xdr:colOff>1276350</xdr:colOff>
      <xdr:row>51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49</xdr:row>
      <xdr:rowOff>190500</xdr:rowOff>
    </xdr:from>
    <xdr:to>
      <xdr:col>3</xdr:col>
      <xdr:colOff>619125</xdr:colOff>
      <xdr:row>51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49</xdr:row>
      <xdr:rowOff>190500</xdr:rowOff>
    </xdr:from>
    <xdr:to>
      <xdr:col>4</xdr:col>
      <xdr:colOff>523875</xdr:colOff>
      <xdr:row>51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49</xdr:row>
      <xdr:rowOff>190500</xdr:rowOff>
    </xdr:from>
    <xdr:to>
      <xdr:col>5</xdr:col>
      <xdr:colOff>723900</xdr:colOff>
      <xdr:row>51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49</xdr:row>
      <xdr:rowOff>190500</xdr:rowOff>
    </xdr:from>
    <xdr:to>
      <xdr:col>6</xdr:col>
      <xdr:colOff>0</xdr:colOff>
      <xdr:row>51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222885</xdr:colOff>
      <xdr:row>28</xdr:row>
      <xdr:rowOff>192404</xdr:rowOff>
    </xdr:from>
    <xdr:to>
      <xdr:col>6</xdr:col>
      <xdr:colOff>32385</xdr:colOff>
      <xdr:row>32</xdr:row>
      <xdr:rowOff>182880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22885" y="6585584"/>
          <a:ext cx="70789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 A LA MEDIDA Y ENCHAPAR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906780</xdr:colOff>
      <xdr:row>51</xdr:row>
      <xdr:rowOff>175260</xdr:rowOff>
    </xdr:from>
    <xdr:to>
      <xdr:col>5</xdr:col>
      <xdr:colOff>1737360</xdr:colOff>
      <xdr:row>55</xdr:row>
      <xdr:rowOff>211456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06780" y="920496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 : CORTAR A LA MEDIDA Y ENCHAPAR</a:t>
          </a:r>
          <a:r>
            <a:rPr lang="es-CL" sz="1050" b="1" i="1" baseline="0"/>
            <a:t> SIN REGRUESO</a:t>
          </a:r>
          <a:endParaRPr lang="es-CL" sz="1050" b="1" i="1" u="sng" baseline="0"/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530255F8-3B48-4120-84F9-E67832D1D31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114300</xdr:colOff>
      <xdr:row>3</xdr:row>
      <xdr:rowOff>0</xdr:rowOff>
    </xdr:from>
    <xdr:to>
      <xdr:col>1</xdr:col>
      <xdr:colOff>805507</xdr:colOff>
      <xdr:row>7</xdr:row>
      <xdr:rowOff>7691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3B1914-F935-4ABD-8D43-8247613BD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14300" y="57150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182880</xdr:colOff>
      <xdr:row>36</xdr:row>
      <xdr:rowOff>15240</xdr:rowOff>
    </xdr:from>
    <xdr:to>
      <xdr:col>1</xdr:col>
      <xdr:colOff>874087</xdr:colOff>
      <xdr:row>40</xdr:row>
      <xdr:rowOff>38171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D7C983B-153B-43EE-BBF2-849A3E3886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82880" y="6697980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0"/>
  <sheetViews>
    <sheetView topLeftCell="A3" workbookViewId="0">
      <selection activeCell="J22" sqref="J22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26.109375" customWidth="1"/>
    <col min="4" max="5" width="8.6640625" customWidth="1"/>
    <col min="6" max="6" width="31.77734375" customWidth="1"/>
    <col min="7" max="7" width="12.33203125" customWidth="1"/>
    <col min="8" max="8" width="14.109375" bestFit="1" customWidth="1"/>
  </cols>
  <sheetData>
    <row r="2" spans="2:16" ht="15.6" x14ac:dyDescent="0.3">
      <c r="F2" s="12" t="s">
        <v>126</v>
      </c>
    </row>
    <row r="3" spans="2:16" x14ac:dyDescent="0.3">
      <c r="F3" s="13" t="s">
        <v>127</v>
      </c>
    </row>
    <row r="4" spans="2:16" x14ac:dyDescent="0.3">
      <c r="F4" s="13" t="s">
        <v>128</v>
      </c>
    </row>
    <row r="5" spans="2:16" x14ac:dyDescent="0.3">
      <c r="F5" s="13" t="s">
        <v>0</v>
      </c>
    </row>
    <row r="6" spans="2:16" x14ac:dyDescent="0.3">
      <c r="F6" s="13" t="s">
        <v>17</v>
      </c>
    </row>
    <row r="7" spans="2:16" x14ac:dyDescent="0.3">
      <c r="F7" s="13" t="s">
        <v>14</v>
      </c>
    </row>
    <row r="8" spans="2:16" ht="21" x14ac:dyDescent="0.4">
      <c r="B8" s="32" t="s">
        <v>18</v>
      </c>
      <c r="C8" s="31"/>
      <c r="D8" s="33" t="s">
        <v>19</v>
      </c>
      <c r="F8" s="41" t="s">
        <v>30</v>
      </c>
      <c r="G8" s="40">
        <v>7310</v>
      </c>
    </row>
    <row r="9" spans="2:16" ht="15" thickBot="1" x14ac:dyDescent="0.35"/>
    <row r="10" spans="2:16" ht="16.2" thickBot="1" x14ac:dyDescent="0.35">
      <c r="B10" s="14" t="s">
        <v>7</v>
      </c>
      <c r="C10" s="120" t="s">
        <v>141</v>
      </c>
      <c r="D10" s="15"/>
      <c r="E10" s="15"/>
      <c r="F10" s="16" t="s">
        <v>31</v>
      </c>
      <c r="G10" s="17" t="s">
        <v>140</v>
      </c>
      <c r="H10" s="18"/>
      <c r="I10" s="1"/>
      <c r="J10" s="1"/>
      <c r="K10" s="1"/>
      <c r="L10" s="1"/>
      <c r="M10" s="1"/>
      <c r="N10" s="1"/>
      <c r="O10" s="1"/>
      <c r="P10" s="1"/>
    </row>
    <row r="11" spans="2:16" ht="17.399999999999999" thickBot="1" x14ac:dyDescent="0.45">
      <c r="B11" s="19" t="s">
        <v>2</v>
      </c>
      <c r="C11" s="121"/>
      <c r="D11" s="122"/>
      <c r="E11" s="122"/>
      <c r="F11" s="122" t="s">
        <v>131</v>
      </c>
      <c r="G11" s="99"/>
      <c r="H11" s="20"/>
    </row>
    <row r="12" spans="2:16" ht="16.8" x14ac:dyDescent="0.4">
      <c r="B12" s="19" t="s">
        <v>139</v>
      </c>
      <c r="C12" s="121"/>
      <c r="D12" s="122"/>
      <c r="E12" s="122"/>
      <c r="F12" s="122"/>
      <c r="G12" s="129"/>
      <c r="H12" s="20"/>
    </row>
    <row r="13" spans="2:16" x14ac:dyDescent="0.3">
      <c r="B13" s="86" t="s">
        <v>115</v>
      </c>
      <c r="C13" s="123"/>
      <c r="D13" s="21"/>
      <c r="E13" s="21"/>
      <c r="F13" s="21" t="s">
        <v>33</v>
      </c>
      <c r="G13" s="124"/>
      <c r="H13" s="22"/>
    </row>
    <row r="14" spans="2:16" x14ac:dyDescent="0.3">
      <c r="B14" s="19" t="s">
        <v>20</v>
      </c>
      <c r="C14" s="145" t="s">
        <v>142</v>
      </c>
      <c r="D14" s="125"/>
      <c r="E14" s="122"/>
      <c r="F14" s="122" t="s">
        <v>32</v>
      </c>
      <c r="G14" s="122"/>
      <c r="H14" s="20"/>
    </row>
    <row r="15" spans="2:16" ht="16.8" x14ac:dyDescent="0.4">
      <c r="B15" s="86" t="s">
        <v>1</v>
      </c>
      <c r="C15" s="126"/>
      <c r="D15" s="21"/>
      <c r="E15" s="21"/>
      <c r="F15" s="127" t="s">
        <v>78</v>
      </c>
      <c r="G15" s="127" t="s">
        <v>134</v>
      </c>
      <c r="H15" s="22"/>
    </row>
    <row r="16" spans="2:16" ht="15" thickBot="1" x14ac:dyDescent="0.35">
      <c r="B16" s="23" t="s">
        <v>3</v>
      </c>
      <c r="C16" s="128" t="s">
        <v>135</v>
      </c>
      <c r="D16" s="24"/>
      <c r="E16" s="25"/>
      <c r="F16" s="130" t="s">
        <v>21</v>
      </c>
      <c r="G16" s="130"/>
      <c r="H16" s="131"/>
    </row>
    <row r="18" spans="2:17" ht="15" thickBot="1" x14ac:dyDescent="0.35"/>
    <row r="19" spans="2:17" ht="16.2" thickBot="1" x14ac:dyDescent="0.35">
      <c r="B19" s="132" t="s">
        <v>22</v>
      </c>
      <c r="C19" s="133"/>
      <c r="D19" s="133"/>
      <c r="E19" s="133"/>
      <c r="F19" s="133"/>
      <c r="G19" s="134"/>
      <c r="H19" s="135"/>
      <c r="K19" s="109">
        <v>1</v>
      </c>
      <c r="L19" s="109" t="s">
        <v>137</v>
      </c>
      <c r="M19" s="116">
        <v>1</v>
      </c>
      <c r="N19" s="116">
        <v>0.61</v>
      </c>
      <c r="O19" s="109" t="s">
        <v>138</v>
      </c>
      <c r="P19" s="117">
        <f>Z19</f>
        <v>0</v>
      </c>
      <c r="Q19" s="117">
        <f t="shared" ref="Q19:Q21" si="0">P19*K19</f>
        <v>0</v>
      </c>
    </row>
    <row r="20" spans="2:17" ht="15.6" x14ac:dyDescent="0.3">
      <c r="B20" s="94" t="s">
        <v>23</v>
      </c>
      <c r="C20" s="95" t="s">
        <v>24</v>
      </c>
      <c r="D20" s="95" t="s">
        <v>25</v>
      </c>
      <c r="E20" s="95" t="s">
        <v>9</v>
      </c>
      <c r="F20" s="111" t="s">
        <v>26</v>
      </c>
      <c r="G20" s="112" t="s">
        <v>27</v>
      </c>
      <c r="H20" s="112" t="s">
        <v>4</v>
      </c>
      <c r="K20" s="109">
        <v>1</v>
      </c>
      <c r="L20" s="109" t="s">
        <v>137</v>
      </c>
      <c r="M20" s="116">
        <v>0.9</v>
      </c>
      <c r="N20" s="116">
        <v>0.31</v>
      </c>
      <c r="O20" s="109" t="s">
        <v>138</v>
      </c>
      <c r="P20" s="117">
        <f>Z20</f>
        <v>0</v>
      </c>
      <c r="Q20" s="117">
        <f t="shared" si="0"/>
        <v>0</v>
      </c>
    </row>
    <row r="21" spans="2:17" ht="15.6" x14ac:dyDescent="0.3">
      <c r="B21" s="109">
        <v>1</v>
      </c>
      <c r="C21" s="109" t="s">
        <v>143</v>
      </c>
      <c r="D21" s="110">
        <v>703</v>
      </c>
      <c r="E21" s="110">
        <v>600</v>
      </c>
      <c r="F21" s="109" t="s">
        <v>144</v>
      </c>
      <c r="G21" s="119">
        <v>49950</v>
      </c>
      <c r="H21" s="118">
        <f t="shared" ref="H21" si="1">G21*B21</f>
        <v>49950</v>
      </c>
      <c r="J21" s="57"/>
      <c r="K21" s="109">
        <v>1</v>
      </c>
      <c r="L21" s="109" t="s">
        <v>137</v>
      </c>
      <c r="M21" s="116">
        <v>0.75</v>
      </c>
      <c r="N21" s="116">
        <v>0.61</v>
      </c>
      <c r="O21" s="109" t="s">
        <v>138</v>
      </c>
      <c r="P21" s="117">
        <f>Z21</f>
        <v>0</v>
      </c>
      <c r="Q21" s="117">
        <f t="shared" si="0"/>
        <v>0</v>
      </c>
    </row>
    <row r="22" spans="2:17" ht="15.6" x14ac:dyDescent="0.3">
      <c r="B22" s="96"/>
      <c r="C22" s="96"/>
      <c r="D22" s="100"/>
      <c r="E22" s="100"/>
      <c r="F22" s="101"/>
      <c r="G22" s="97"/>
      <c r="H22" s="98"/>
      <c r="J22" s="57"/>
      <c r="Q22" s="117" t="e">
        <f>#REF!</f>
        <v>#REF!</v>
      </c>
    </row>
    <row r="23" spans="2:17" ht="8.25" customHeight="1" thickBot="1" x14ac:dyDescent="0.35">
      <c r="B23" s="57"/>
      <c r="C23" s="57"/>
      <c r="D23" s="57"/>
      <c r="E23" s="57"/>
      <c r="F23" s="57"/>
      <c r="G23" s="58"/>
      <c r="H23" s="59"/>
    </row>
    <row r="24" spans="2:17" ht="18" thickBot="1" x14ac:dyDescent="0.4">
      <c r="G24" s="26" t="s">
        <v>5</v>
      </c>
      <c r="H24" s="39">
        <f>SUM(H21:H23)</f>
        <v>49950</v>
      </c>
    </row>
    <row r="25" spans="2:17" ht="18" thickBot="1" x14ac:dyDescent="0.4">
      <c r="G25" s="36" t="s">
        <v>6</v>
      </c>
      <c r="H25" s="39">
        <f>H24*19%</f>
        <v>9490.5</v>
      </c>
    </row>
    <row r="26" spans="2:17" ht="18" thickBot="1" x14ac:dyDescent="0.4">
      <c r="G26" s="27" t="s">
        <v>4</v>
      </c>
      <c r="H26" s="39">
        <f>SUM(H24+H25)</f>
        <v>59440.5</v>
      </c>
    </row>
    <row r="28" spans="2:17" x14ac:dyDescent="0.3">
      <c r="B28" s="34" t="s">
        <v>130</v>
      </c>
      <c r="C28" s="28"/>
      <c r="D28" s="29"/>
      <c r="E28" s="29"/>
      <c r="F28" s="30"/>
    </row>
    <row r="29" spans="2:17" x14ac:dyDescent="0.3">
      <c r="B29" s="34" t="s">
        <v>129</v>
      </c>
      <c r="C29" s="35"/>
      <c r="D29" s="29"/>
      <c r="E29" s="29"/>
      <c r="F29" s="30"/>
    </row>
    <row r="30" spans="2:17" x14ac:dyDescent="0.3">
      <c r="B30" s="37" t="s">
        <v>28</v>
      </c>
      <c r="E30" s="38" t="s">
        <v>29</v>
      </c>
    </row>
  </sheetData>
  <sortState xmlns:xlrd2="http://schemas.microsoft.com/office/spreadsheetml/2017/richdata2" ref="B49">
    <sortCondition sortBy="fontColor" ref="B49" dxfId="0"/>
  </sortState>
  <mergeCells count="2">
    <mergeCell ref="F16:H16"/>
    <mergeCell ref="B19:H19"/>
  </mergeCells>
  <phoneticPr fontId="28" type="noConversion"/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4" workbookViewId="0">
      <selection activeCell="I4" sqref="I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6" t="s">
        <v>34</v>
      </c>
      <c r="C2" s="136"/>
      <c r="D2" s="136"/>
      <c r="E2" s="60"/>
      <c r="G2" s="136" t="s">
        <v>73</v>
      </c>
      <c r="H2" s="136"/>
      <c r="I2" s="136"/>
      <c r="P2" s="137" t="s">
        <v>61</v>
      </c>
      <c r="Q2" s="137"/>
      <c r="R2" s="137"/>
    </row>
    <row r="3" spans="2:18" x14ac:dyDescent="0.3">
      <c r="B3" s="44" t="s">
        <v>8</v>
      </c>
      <c r="C3" s="44" t="s">
        <v>9</v>
      </c>
      <c r="D3" s="44" t="s">
        <v>24</v>
      </c>
      <c r="E3" s="61"/>
      <c r="G3" s="44" t="s">
        <v>8</v>
      </c>
      <c r="H3" s="44" t="s">
        <v>9</v>
      </c>
      <c r="I3" s="44" t="s">
        <v>24</v>
      </c>
      <c r="P3" s="44" t="s">
        <v>8</v>
      </c>
      <c r="Q3" s="44" t="s">
        <v>9</v>
      </c>
      <c r="R3" s="44" t="s">
        <v>24</v>
      </c>
    </row>
    <row r="4" spans="2:18" x14ac:dyDescent="0.3">
      <c r="B4" s="42">
        <v>40</v>
      </c>
      <c r="C4" s="42">
        <v>60</v>
      </c>
      <c r="D4" s="43" t="s">
        <v>118</v>
      </c>
      <c r="E4" s="21" t="s">
        <v>104</v>
      </c>
      <c r="G4" s="87">
        <v>50</v>
      </c>
      <c r="H4" s="87">
        <v>100</v>
      </c>
      <c r="I4" s="88" t="s">
        <v>118</v>
      </c>
      <c r="J4" s="89" t="s">
        <v>112</v>
      </c>
      <c r="K4" s="89"/>
      <c r="L4" s="89"/>
      <c r="M4" s="89"/>
      <c r="P4">
        <v>50</v>
      </c>
      <c r="Q4">
        <v>-30</v>
      </c>
      <c r="R4" t="s">
        <v>35</v>
      </c>
    </row>
    <row r="5" spans="2:18" x14ac:dyDescent="0.3">
      <c r="B5" s="42">
        <v>40</v>
      </c>
      <c r="C5" s="42">
        <v>90</v>
      </c>
      <c r="D5" s="43" t="s">
        <v>119</v>
      </c>
      <c r="E5" s="21" t="s">
        <v>105</v>
      </c>
      <c r="G5" s="87">
        <v>50</v>
      </c>
      <c r="H5" s="87"/>
      <c r="I5" s="88" t="s">
        <v>120</v>
      </c>
      <c r="J5" s="89" t="s">
        <v>122</v>
      </c>
      <c r="K5" s="89"/>
      <c r="L5" s="89"/>
      <c r="M5" s="89"/>
      <c r="P5">
        <v>50</v>
      </c>
      <c r="Q5">
        <v>-30</v>
      </c>
      <c r="R5" t="s">
        <v>35</v>
      </c>
    </row>
    <row r="6" spans="2:18" x14ac:dyDescent="0.3">
      <c r="B6" s="42">
        <v>40</v>
      </c>
      <c r="C6" s="42">
        <v>100</v>
      </c>
      <c r="D6" s="43" t="s">
        <v>59</v>
      </c>
      <c r="E6" s="21" t="s">
        <v>106</v>
      </c>
      <c r="G6" s="42">
        <v>50</v>
      </c>
      <c r="H6" s="42">
        <v>100</v>
      </c>
      <c r="I6" s="43" t="s">
        <v>59</v>
      </c>
      <c r="P6">
        <v>50</v>
      </c>
      <c r="Q6">
        <v>-30</v>
      </c>
      <c r="R6" t="s">
        <v>37</v>
      </c>
    </row>
    <row r="7" spans="2:18" x14ac:dyDescent="0.3">
      <c r="B7" s="42">
        <v>40</v>
      </c>
      <c r="C7" s="42">
        <v>150</v>
      </c>
      <c r="D7" s="43" t="s">
        <v>60</v>
      </c>
      <c r="E7" s="21" t="s">
        <v>107</v>
      </c>
      <c r="G7" s="42">
        <v>50</v>
      </c>
      <c r="H7" s="42"/>
      <c r="I7" s="43" t="s">
        <v>60</v>
      </c>
      <c r="P7">
        <v>50</v>
      </c>
      <c r="Q7">
        <v>-30</v>
      </c>
      <c r="R7" t="s">
        <v>47</v>
      </c>
    </row>
    <row r="8" spans="2:18" x14ac:dyDescent="0.3">
      <c r="B8" s="42">
        <v>40</v>
      </c>
      <c r="C8" s="42">
        <v>100</v>
      </c>
      <c r="D8" s="43" t="s">
        <v>43</v>
      </c>
      <c r="E8" s="21" t="s">
        <v>108</v>
      </c>
      <c r="G8" s="42">
        <v>50</v>
      </c>
      <c r="H8" s="42">
        <v>100</v>
      </c>
      <c r="I8" s="43" t="s">
        <v>43</v>
      </c>
      <c r="L8" s="137" t="s">
        <v>61</v>
      </c>
      <c r="M8" s="137"/>
      <c r="N8" s="137"/>
      <c r="P8">
        <v>50</v>
      </c>
      <c r="Q8">
        <v>-30</v>
      </c>
      <c r="R8" t="s">
        <v>53</v>
      </c>
    </row>
    <row r="9" spans="2:18" x14ac:dyDescent="0.3">
      <c r="B9" s="42">
        <v>40</v>
      </c>
      <c r="C9" s="42">
        <v>50</v>
      </c>
      <c r="D9" s="43" t="s">
        <v>57</v>
      </c>
      <c r="E9" s="21" t="s">
        <v>79</v>
      </c>
      <c r="G9" s="42">
        <v>50</v>
      </c>
      <c r="H9" s="42">
        <v>100</v>
      </c>
      <c r="I9" s="43" t="s">
        <v>42</v>
      </c>
      <c r="L9" s="44" t="s">
        <v>8</v>
      </c>
      <c r="M9" s="44" t="s">
        <v>9</v>
      </c>
      <c r="N9" s="44" t="s">
        <v>24</v>
      </c>
      <c r="P9">
        <v>50</v>
      </c>
      <c r="Q9">
        <v>0</v>
      </c>
      <c r="R9" t="s">
        <v>48</v>
      </c>
    </row>
    <row r="10" spans="2:18" x14ac:dyDescent="0.3">
      <c r="B10" s="42">
        <v>40</v>
      </c>
      <c r="C10" s="42">
        <v>80</v>
      </c>
      <c r="D10" s="43" t="s">
        <v>58</v>
      </c>
      <c r="E10" s="21" t="s">
        <v>80</v>
      </c>
      <c r="G10" s="42">
        <v>50</v>
      </c>
      <c r="H10" s="42"/>
      <c r="I10" s="43" t="s">
        <v>44</v>
      </c>
      <c r="L10" s="42">
        <v>50</v>
      </c>
      <c r="M10" s="42">
        <v>-30</v>
      </c>
      <c r="N10" s="43" t="s">
        <v>35</v>
      </c>
      <c r="P10">
        <v>50</v>
      </c>
      <c r="Q10">
        <v>0</v>
      </c>
      <c r="R10" t="s">
        <v>36</v>
      </c>
    </row>
    <row r="11" spans="2:18" x14ac:dyDescent="0.3">
      <c r="B11" s="42">
        <v>40</v>
      </c>
      <c r="C11" s="42">
        <v>60</v>
      </c>
      <c r="D11" s="43" t="s">
        <v>74</v>
      </c>
      <c r="E11" s="21" t="s">
        <v>81</v>
      </c>
      <c r="G11" s="42">
        <v>50</v>
      </c>
      <c r="H11" s="42">
        <v>100</v>
      </c>
      <c r="I11" s="43" t="s">
        <v>57</v>
      </c>
      <c r="L11" s="42">
        <v>50</v>
      </c>
      <c r="M11" s="42">
        <v>0</v>
      </c>
      <c r="N11" s="43" t="s">
        <v>62</v>
      </c>
      <c r="P11">
        <v>50</v>
      </c>
      <c r="Q11">
        <v>0</v>
      </c>
      <c r="R11" t="s">
        <v>39</v>
      </c>
    </row>
    <row r="12" spans="2:18" x14ac:dyDescent="0.3">
      <c r="B12" s="42">
        <v>40</v>
      </c>
      <c r="C12" s="42">
        <v>100</v>
      </c>
      <c r="D12" s="43" t="s">
        <v>75</v>
      </c>
      <c r="E12" s="21" t="s">
        <v>82</v>
      </c>
      <c r="G12" s="42">
        <v>50</v>
      </c>
      <c r="H12" s="42"/>
      <c r="I12" s="43" t="s">
        <v>58</v>
      </c>
      <c r="L12" s="42">
        <v>50</v>
      </c>
      <c r="M12" s="42">
        <v>-2</v>
      </c>
      <c r="N12" s="43" t="s">
        <v>63</v>
      </c>
      <c r="P12">
        <v>50</v>
      </c>
      <c r="Q12">
        <v>0</v>
      </c>
      <c r="R12" t="s">
        <v>40</v>
      </c>
    </row>
    <row r="13" spans="2:18" x14ac:dyDescent="0.3">
      <c r="B13" s="42">
        <v>40</v>
      </c>
      <c r="C13" s="42">
        <v>130</v>
      </c>
      <c r="D13" s="43" t="s">
        <v>35</v>
      </c>
      <c r="E13" s="21" t="s">
        <v>83</v>
      </c>
      <c r="G13" s="42">
        <v>50</v>
      </c>
      <c r="H13" s="42">
        <v>-30</v>
      </c>
      <c r="I13" s="43" t="s">
        <v>35</v>
      </c>
      <c r="P13">
        <v>50</v>
      </c>
      <c r="Q13">
        <v>0</v>
      </c>
      <c r="R13" t="s">
        <v>41</v>
      </c>
    </row>
    <row r="14" spans="2:18" x14ac:dyDescent="0.3">
      <c r="B14" s="42">
        <v>40</v>
      </c>
      <c r="C14" s="42">
        <v>150</v>
      </c>
      <c r="D14" s="43" t="s">
        <v>37</v>
      </c>
      <c r="E14" s="21"/>
      <c r="G14" s="42">
        <v>50</v>
      </c>
      <c r="H14" s="42">
        <v>-30</v>
      </c>
      <c r="I14" s="43" t="s">
        <v>37</v>
      </c>
    </row>
    <row r="15" spans="2:18" x14ac:dyDescent="0.3">
      <c r="B15" s="42">
        <v>40</v>
      </c>
      <c r="C15" s="42">
        <v>150</v>
      </c>
      <c r="D15" s="43" t="s">
        <v>121</v>
      </c>
      <c r="E15" s="21" t="s">
        <v>84</v>
      </c>
      <c r="G15" s="42">
        <v>50</v>
      </c>
      <c r="H15" s="42">
        <v>-30</v>
      </c>
      <c r="I15" s="43" t="s">
        <v>47</v>
      </c>
      <c r="P15">
        <v>50</v>
      </c>
      <c r="Q15">
        <v>0</v>
      </c>
      <c r="R15" t="s">
        <v>38</v>
      </c>
    </row>
    <row r="16" spans="2:18" x14ac:dyDescent="0.3">
      <c r="B16" s="42">
        <v>40</v>
      </c>
      <c r="C16" s="42">
        <v>130</v>
      </c>
      <c r="D16" s="43" t="s">
        <v>109</v>
      </c>
      <c r="E16" s="21" t="s">
        <v>85</v>
      </c>
      <c r="G16" s="42">
        <v>50</v>
      </c>
      <c r="H16" s="42">
        <v>-30</v>
      </c>
      <c r="I16" s="43" t="s">
        <v>77</v>
      </c>
      <c r="P16">
        <v>50</v>
      </c>
      <c r="Q16">
        <v>0</v>
      </c>
      <c r="R16" t="s">
        <v>49</v>
      </c>
    </row>
    <row r="17" spans="2:18" x14ac:dyDescent="0.3">
      <c r="B17" s="42">
        <v>40</v>
      </c>
      <c r="C17" s="42">
        <v>150</v>
      </c>
      <c r="D17" s="43" t="s">
        <v>39</v>
      </c>
      <c r="E17" s="21" t="s">
        <v>86</v>
      </c>
      <c r="G17" s="42">
        <v>50</v>
      </c>
      <c r="H17" s="42"/>
      <c r="I17" s="43" t="s">
        <v>39</v>
      </c>
      <c r="P17">
        <v>50</v>
      </c>
      <c r="Q17">
        <v>0</v>
      </c>
      <c r="R17" t="s">
        <v>50</v>
      </c>
    </row>
    <row r="18" spans="2:18" x14ac:dyDescent="0.3">
      <c r="B18" s="42">
        <v>140</v>
      </c>
      <c r="C18" s="42">
        <v>150</v>
      </c>
      <c r="D18" s="43" t="s">
        <v>40</v>
      </c>
      <c r="E18" s="21" t="s">
        <v>87</v>
      </c>
      <c r="G18" s="42">
        <v>50</v>
      </c>
      <c r="H18" s="42"/>
      <c r="I18" s="43" t="s">
        <v>40</v>
      </c>
      <c r="P18">
        <v>50</v>
      </c>
      <c r="Q18">
        <v>0</v>
      </c>
      <c r="R18" t="s">
        <v>51</v>
      </c>
    </row>
    <row r="19" spans="2:18" x14ac:dyDescent="0.3">
      <c r="B19" s="42">
        <v>150</v>
      </c>
      <c r="C19" s="42">
        <v>150</v>
      </c>
      <c r="D19" s="43" t="s">
        <v>41</v>
      </c>
      <c r="E19" s="21" t="s">
        <v>88</v>
      </c>
      <c r="G19" s="42">
        <v>50</v>
      </c>
      <c r="H19" s="42"/>
      <c r="I19" s="43" t="s">
        <v>41</v>
      </c>
      <c r="P19">
        <v>50</v>
      </c>
      <c r="Q19">
        <v>0</v>
      </c>
      <c r="R19" t="s">
        <v>54</v>
      </c>
    </row>
    <row r="20" spans="2:18" x14ac:dyDescent="0.3">
      <c r="B20" s="42">
        <v>40</v>
      </c>
      <c r="C20" s="42">
        <v>100</v>
      </c>
      <c r="D20" s="43" t="s">
        <v>125</v>
      </c>
      <c r="E20" s="21" t="s">
        <v>89</v>
      </c>
      <c r="G20" s="42">
        <v>50</v>
      </c>
      <c r="H20" s="42">
        <v>0</v>
      </c>
      <c r="I20" s="43" t="s">
        <v>125</v>
      </c>
      <c r="J20" s="89" t="s">
        <v>114</v>
      </c>
      <c r="K20" s="89"/>
      <c r="L20" s="89"/>
      <c r="M20" s="89"/>
      <c r="P20">
        <v>50</v>
      </c>
      <c r="Q20">
        <v>0</v>
      </c>
      <c r="R20" t="s">
        <v>55</v>
      </c>
    </row>
    <row r="21" spans="2:18" x14ac:dyDescent="0.3">
      <c r="B21" s="42">
        <v>100</v>
      </c>
      <c r="C21" s="42">
        <v>100</v>
      </c>
      <c r="D21" s="43" t="s">
        <v>116</v>
      </c>
      <c r="E21" s="21" t="s">
        <v>90</v>
      </c>
      <c r="G21" s="42">
        <v>50</v>
      </c>
      <c r="H21" s="42">
        <v>0</v>
      </c>
      <c r="I21" s="43" t="s">
        <v>116</v>
      </c>
      <c r="P21">
        <v>50</v>
      </c>
      <c r="Q21">
        <v>0</v>
      </c>
      <c r="R21" t="s">
        <v>56</v>
      </c>
    </row>
    <row r="22" spans="2:18" x14ac:dyDescent="0.3">
      <c r="B22" s="42">
        <v>100</v>
      </c>
      <c r="C22" s="42">
        <v>100</v>
      </c>
      <c r="D22" s="43" t="s">
        <v>38</v>
      </c>
      <c r="E22" s="21" t="s">
        <v>91</v>
      </c>
      <c r="G22" s="87"/>
      <c r="H22" s="87"/>
      <c r="I22" s="88" t="s">
        <v>38</v>
      </c>
      <c r="P22">
        <v>50</v>
      </c>
      <c r="Q22">
        <v>0</v>
      </c>
      <c r="R22" t="s">
        <v>52</v>
      </c>
    </row>
    <row r="23" spans="2:18" x14ac:dyDescent="0.3">
      <c r="B23" s="42">
        <v>40</v>
      </c>
      <c r="C23" s="42">
        <v>150</v>
      </c>
      <c r="D23" s="43" t="s">
        <v>49</v>
      </c>
      <c r="E23" s="21" t="s">
        <v>92</v>
      </c>
      <c r="G23" s="42">
        <v>50</v>
      </c>
      <c r="H23" s="42"/>
      <c r="I23" s="43" t="s">
        <v>49</v>
      </c>
      <c r="R23" t="s">
        <v>45</v>
      </c>
    </row>
    <row r="24" spans="2:18" x14ac:dyDescent="0.3">
      <c r="B24" s="42">
        <v>140</v>
      </c>
      <c r="C24" s="42">
        <v>150</v>
      </c>
      <c r="D24" s="43" t="s">
        <v>50</v>
      </c>
      <c r="E24" s="21" t="s">
        <v>93</v>
      </c>
      <c r="G24" s="42">
        <v>50</v>
      </c>
      <c r="H24" s="42"/>
      <c r="I24" s="43" t="s">
        <v>50</v>
      </c>
      <c r="R24" t="s">
        <v>46</v>
      </c>
    </row>
    <row r="25" spans="2:18" x14ac:dyDescent="0.3">
      <c r="B25" s="42">
        <v>150</v>
      </c>
      <c r="C25" s="42">
        <v>150</v>
      </c>
      <c r="D25" s="43" t="s">
        <v>51</v>
      </c>
      <c r="E25" s="21" t="s">
        <v>94</v>
      </c>
      <c r="G25" s="42">
        <v>50</v>
      </c>
      <c r="H25" s="42"/>
      <c r="I25" s="43" t="s">
        <v>51</v>
      </c>
      <c r="R25" t="s">
        <v>59</v>
      </c>
    </row>
    <row r="26" spans="2:18" x14ac:dyDescent="0.3">
      <c r="B26" s="42">
        <v>40</v>
      </c>
      <c r="C26" s="42">
        <v>77</v>
      </c>
      <c r="D26" s="43" t="s">
        <v>54</v>
      </c>
      <c r="E26" s="21" t="s">
        <v>95</v>
      </c>
      <c r="G26" s="42">
        <v>50</v>
      </c>
      <c r="H26" s="42"/>
      <c r="I26" s="43" t="s">
        <v>54</v>
      </c>
      <c r="R26" t="s">
        <v>60</v>
      </c>
    </row>
    <row r="27" spans="2:18" x14ac:dyDescent="0.3">
      <c r="B27" s="42">
        <v>110</v>
      </c>
      <c r="C27" s="42">
        <v>77</v>
      </c>
      <c r="D27" s="43" t="s">
        <v>55</v>
      </c>
      <c r="E27" s="21" t="s">
        <v>96</v>
      </c>
      <c r="G27" s="42">
        <v>50</v>
      </c>
      <c r="H27" s="42"/>
      <c r="I27" s="43" t="s">
        <v>55</v>
      </c>
      <c r="R27" t="s">
        <v>43</v>
      </c>
    </row>
    <row r="28" spans="2:18" x14ac:dyDescent="0.3">
      <c r="B28" s="42">
        <v>120</v>
      </c>
      <c r="C28" s="42">
        <v>77</v>
      </c>
      <c r="D28" s="43" t="s">
        <v>56</v>
      </c>
      <c r="E28" s="21" t="s">
        <v>97</v>
      </c>
      <c r="G28" s="42">
        <v>50</v>
      </c>
      <c r="H28" s="42"/>
      <c r="I28" s="43" t="s">
        <v>56</v>
      </c>
      <c r="R28" t="s">
        <v>42</v>
      </c>
    </row>
    <row r="29" spans="2:18" x14ac:dyDescent="0.3">
      <c r="B29" s="42">
        <v>40</v>
      </c>
      <c r="C29" s="42">
        <v>50</v>
      </c>
      <c r="D29" s="43" t="s">
        <v>52</v>
      </c>
      <c r="E29" s="21" t="s">
        <v>98</v>
      </c>
      <c r="G29" s="42">
        <v>50</v>
      </c>
      <c r="H29" s="42"/>
      <c r="I29" s="43" t="s">
        <v>52</v>
      </c>
      <c r="R29" t="s">
        <v>44</v>
      </c>
    </row>
    <row r="30" spans="2:18" x14ac:dyDescent="0.3">
      <c r="B30" s="42">
        <v>40</v>
      </c>
      <c r="C30" s="42">
        <v>60</v>
      </c>
      <c r="D30" s="43" t="s">
        <v>76</v>
      </c>
      <c r="E30" s="21" t="s">
        <v>99</v>
      </c>
      <c r="G30" s="42">
        <v>50</v>
      </c>
      <c r="H30" s="42"/>
      <c r="I30" s="43" t="s">
        <v>36</v>
      </c>
      <c r="R30" t="s">
        <v>57</v>
      </c>
    </row>
    <row r="31" spans="2:18" x14ac:dyDescent="0.3">
      <c r="B31" s="42">
        <v>40</v>
      </c>
      <c r="C31" s="42">
        <v>100</v>
      </c>
      <c r="D31" s="43" t="s">
        <v>48</v>
      </c>
      <c r="E31" s="21" t="s">
        <v>100</v>
      </c>
      <c r="G31" s="42">
        <v>50</v>
      </c>
      <c r="H31" s="42"/>
      <c r="I31" s="43" t="s">
        <v>48</v>
      </c>
      <c r="R31" t="s">
        <v>58</v>
      </c>
    </row>
    <row r="32" spans="2:18" x14ac:dyDescent="0.3">
      <c r="B32" s="42">
        <v>40</v>
      </c>
      <c r="C32" s="42">
        <v>60</v>
      </c>
      <c r="D32" s="43" t="s">
        <v>111</v>
      </c>
      <c r="E32" s="21" t="s">
        <v>101</v>
      </c>
      <c r="G32" s="42">
        <v>50</v>
      </c>
      <c r="H32" s="42"/>
      <c r="I32" s="43" t="s">
        <v>111</v>
      </c>
      <c r="R32" t="s">
        <v>65</v>
      </c>
    </row>
    <row r="33" spans="2:18" x14ac:dyDescent="0.3">
      <c r="B33" s="42">
        <v>40</v>
      </c>
      <c r="C33" s="42">
        <v>90</v>
      </c>
      <c r="D33" s="43" t="s">
        <v>68</v>
      </c>
      <c r="E33" s="21" t="s">
        <v>102</v>
      </c>
      <c r="G33" s="42">
        <v>50</v>
      </c>
      <c r="H33" s="42">
        <v>-2</v>
      </c>
      <c r="I33" s="43" t="s">
        <v>68</v>
      </c>
      <c r="R33" t="s">
        <v>66</v>
      </c>
    </row>
    <row r="34" spans="2:18" x14ac:dyDescent="0.3">
      <c r="B34" s="42">
        <v>40</v>
      </c>
      <c r="C34" s="42">
        <v>90</v>
      </c>
      <c r="D34" s="43" t="s">
        <v>69</v>
      </c>
      <c r="E34" s="21"/>
      <c r="G34" s="42">
        <v>50</v>
      </c>
      <c r="H34" s="42">
        <v>-2</v>
      </c>
      <c r="I34" s="43" t="s">
        <v>69</v>
      </c>
    </row>
    <row r="35" spans="2:18" x14ac:dyDescent="0.3">
      <c r="B35" s="42">
        <v>40</v>
      </c>
      <c r="C35" s="42">
        <v>90</v>
      </c>
      <c r="D35" s="43" t="s">
        <v>65</v>
      </c>
      <c r="E35" s="21" t="s">
        <v>103</v>
      </c>
      <c r="G35" s="42">
        <v>50</v>
      </c>
      <c r="H35" s="42">
        <v>-2</v>
      </c>
      <c r="I35" s="43" t="s">
        <v>65</v>
      </c>
      <c r="R35" t="s">
        <v>67</v>
      </c>
    </row>
    <row r="36" spans="2:18" x14ac:dyDescent="0.3">
      <c r="B36" s="84">
        <v>40</v>
      </c>
      <c r="C36" s="84">
        <v>90</v>
      </c>
      <c r="D36" s="85" t="s">
        <v>66</v>
      </c>
      <c r="G36" s="42">
        <v>50</v>
      </c>
      <c r="H36" s="42">
        <v>-2</v>
      </c>
      <c r="I36" s="43" t="s">
        <v>66</v>
      </c>
      <c r="R36" t="s">
        <v>68</v>
      </c>
    </row>
    <row r="37" spans="2:18" x14ac:dyDescent="0.3">
      <c r="B37" s="84">
        <v>40</v>
      </c>
      <c r="C37" s="84">
        <v>90</v>
      </c>
      <c r="D37" s="85" t="s">
        <v>67</v>
      </c>
      <c r="G37" s="42">
        <v>50</v>
      </c>
      <c r="H37" s="42">
        <v>-2</v>
      </c>
      <c r="I37" s="43" t="s">
        <v>67</v>
      </c>
      <c r="R37" t="s">
        <v>69</v>
      </c>
    </row>
    <row r="48" spans="2:18" x14ac:dyDescent="0.3">
      <c r="B48" s="42">
        <v>40</v>
      </c>
      <c r="C48" s="42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60"/>
  <sheetViews>
    <sheetView tabSelected="1" zoomScaleNormal="100" workbookViewId="0">
      <selection activeCell="I49" sqref="I49"/>
    </sheetView>
  </sheetViews>
  <sheetFormatPr baseColWidth="10" defaultRowHeight="14.4" x14ac:dyDescent="0.3"/>
  <cols>
    <col min="1" max="1" width="16.44140625" customWidth="1"/>
    <col min="2" max="2" width="14" customWidth="1"/>
    <col min="3" max="3" width="28.33203125" customWidth="1"/>
    <col min="4" max="4" width="16" customWidth="1"/>
    <col min="5" max="5" width="12.6640625" bestFit="1" customWidth="1"/>
    <col min="6" max="6" width="25.44140625" bestFit="1" customWidth="1"/>
    <col min="9" max="9" width="5.44140625" customWidth="1"/>
    <col min="10" max="10" width="9.33203125" customWidth="1"/>
    <col min="11" max="11" width="8.6640625" customWidth="1"/>
  </cols>
  <sheetData>
    <row r="2" spans="1:14" ht="16.5" customHeight="1" x14ac:dyDescent="0.3">
      <c r="K2" s="66" t="s">
        <v>133</v>
      </c>
      <c r="L2" s="66"/>
      <c r="M2" s="66"/>
    </row>
    <row r="3" spans="1:14" x14ac:dyDescent="0.3">
      <c r="K3" s="138" t="s">
        <v>64</v>
      </c>
      <c r="L3" s="138"/>
      <c r="M3" s="138" t="s">
        <v>16</v>
      </c>
      <c r="N3" s="138"/>
    </row>
    <row r="4" spans="1:14" ht="15.75" customHeight="1" x14ac:dyDescent="0.3">
      <c r="C4" s="51" t="s">
        <v>30</v>
      </c>
      <c r="D4" s="50">
        <f>'4637'!G8</f>
        <v>7310</v>
      </c>
      <c r="K4" t="s">
        <v>8</v>
      </c>
      <c r="L4" t="s">
        <v>9</v>
      </c>
      <c r="M4" t="s">
        <v>8</v>
      </c>
      <c r="N4" t="s">
        <v>9</v>
      </c>
    </row>
    <row r="5" spans="1:14" ht="18" customHeight="1" x14ac:dyDescent="0.3">
      <c r="C5" s="64" t="s">
        <v>70</v>
      </c>
      <c r="D5" s="63" t="str">
        <f>'4637'!C10</f>
        <v>HECTOR TORRES</v>
      </c>
      <c r="E5" s="21"/>
      <c r="F5" s="2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C6" s="52"/>
      <c r="D6" s="48"/>
    </row>
    <row r="7" spans="1:14" ht="15.6" x14ac:dyDescent="0.3">
      <c r="C7" s="103" t="str">
        <f>'4637'!F11</f>
        <v>FECHA LIMITE :</v>
      </c>
      <c r="D7" s="49">
        <f>'4637'!G11</f>
        <v>0</v>
      </c>
      <c r="E7" s="1"/>
      <c r="F7" s="1"/>
    </row>
    <row r="8" spans="1:14" x14ac:dyDescent="0.3">
      <c r="C8" s="102" t="s">
        <v>132</v>
      </c>
    </row>
    <row r="10" spans="1:14" ht="15" customHeight="1" x14ac:dyDescent="0.3">
      <c r="A10" s="139" t="s">
        <v>64</v>
      </c>
      <c r="B10" s="139"/>
      <c r="C10" s="139"/>
      <c r="D10" s="139"/>
      <c r="E10" s="139"/>
      <c r="F10" s="139"/>
    </row>
    <row r="11" spans="1:14" ht="15.6" x14ac:dyDescent="0.3">
      <c r="C11" s="47"/>
    </row>
    <row r="12" spans="1:14" ht="15.6" x14ac:dyDescent="0.3">
      <c r="A12" s="1"/>
      <c r="B12" s="1"/>
      <c r="C12" s="1"/>
      <c r="D12" s="46" t="s">
        <v>8</v>
      </c>
      <c r="E12" s="46" t="s">
        <v>9</v>
      </c>
      <c r="F12" s="1"/>
    </row>
    <row r="13" spans="1:14" ht="15.6" x14ac:dyDescent="0.3">
      <c r="A13" s="46" t="s">
        <v>10</v>
      </c>
      <c r="B13" s="73" t="s">
        <v>11</v>
      </c>
      <c r="C13" s="73" t="s">
        <v>12</v>
      </c>
      <c r="D13" s="92">
        <v>80</v>
      </c>
      <c r="E13" s="92"/>
      <c r="F13" s="73" t="s">
        <v>113</v>
      </c>
      <c r="J13" s="6" t="s">
        <v>8</v>
      </c>
      <c r="K13" s="6" t="s">
        <v>9</v>
      </c>
    </row>
    <row r="14" spans="1:14" ht="15.6" x14ac:dyDescent="0.3">
      <c r="A14" s="46" t="s">
        <v>136</v>
      </c>
      <c r="B14" s="55">
        <f>I14</f>
        <v>1</v>
      </c>
      <c r="C14" s="55"/>
      <c r="D14" s="55">
        <f t="shared" ref="D14" si="0">J14+D$13</f>
        <v>783</v>
      </c>
      <c r="E14" s="42">
        <f>K14+E$13</f>
        <v>600</v>
      </c>
      <c r="F14" s="54" t="str">
        <f>F21</f>
        <v>CUB S/R R8</v>
      </c>
      <c r="I14" s="4">
        <f>I21</f>
        <v>1</v>
      </c>
      <c r="J14" s="5">
        <f>D27</f>
        <v>703</v>
      </c>
      <c r="K14" s="5">
        <f>K21</f>
        <v>600</v>
      </c>
    </row>
    <row r="15" spans="1:14" ht="15.6" x14ac:dyDescent="0.3">
      <c r="A15" s="46"/>
      <c r="B15" s="7"/>
      <c r="C15" s="7"/>
      <c r="D15" s="7"/>
      <c r="E15" s="7"/>
      <c r="F15" s="45"/>
      <c r="I15" s="91"/>
      <c r="J15" s="3"/>
      <c r="K15" s="3"/>
    </row>
    <row r="16" spans="1:14" ht="6.75" customHeight="1" x14ac:dyDescent="0.3"/>
    <row r="17" spans="1:11" ht="15.6" x14ac:dyDescent="0.3">
      <c r="A17" s="139" t="s">
        <v>16</v>
      </c>
      <c r="B17" s="139"/>
      <c r="C17" s="139"/>
      <c r="D17" s="139"/>
      <c r="E17" s="139"/>
      <c r="F17" s="139"/>
      <c r="G17" s="1"/>
    </row>
    <row r="18" spans="1:11" ht="10.5" customHeight="1" x14ac:dyDescent="0.3">
      <c r="A18" s="1"/>
      <c r="B18" s="1"/>
      <c r="C18" s="47"/>
      <c r="D18" s="1"/>
      <c r="E18" s="1"/>
      <c r="F18" s="1"/>
      <c r="G18" s="1"/>
    </row>
    <row r="19" spans="1:11" ht="15.6" x14ac:dyDescent="0.3">
      <c r="A19" s="1"/>
      <c r="B19" s="1"/>
      <c r="C19" s="1"/>
      <c r="D19" s="46" t="s">
        <v>8</v>
      </c>
      <c r="E19" s="46" t="s">
        <v>9</v>
      </c>
      <c r="F19" s="1"/>
      <c r="G19" s="1"/>
    </row>
    <row r="20" spans="1:11" ht="15.6" x14ac:dyDescent="0.3">
      <c r="A20" s="46" t="s">
        <v>10</v>
      </c>
      <c r="B20" s="73" t="s">
        <v>11</v>
      </c>
      <c r="C20" s="73" t="s">
        <v>12</v>
      </c>
      <c r="D20" s="65">
        <v>40</v>
      </c>
      <c r="E20" s="65">
        <v>60</v>
      </c>
      <c r="F20" s="73" t="s">
        <v>113</v>
      </c>
      <c r="G20" s="1"/>
      <c r="J20" s="6" t="s">
        <v>8</v>
      </c>
      <c r="K20" s="6" t="s">
        <v>9</v>
      </c>
    </row>
    <row r="21" spans="1:11" ht="15.6" x14ac:dyDescent="0.3">
      <c r="A21" s="46"/>
      <c r="B21" s="55">
        <f t="shared" ref="B21" si="1">I21</f>
        <v>1</v>
      </c>
      <c r="C21" s="55"/>
      <c r="D21" s="55">
        <f>J21+D$20</f>
        <v>743</v>
      </c>
      <c r="E21" s="55">
        <f>K21+E$20</f>
        <v>660</v>
      </c>
      <c r="F21" s="54" t="str">
        <f>C27</f>
        <v>CUB S/R R8</v>
      </c>
      <c r="G21" s="1"/>
      <c r="I21" s="4">
        <f>B27</f>
        <v>1</v>
      </c>
      <c r="J21" s="5">
        <f t="shared" ref="J21:K21" si="2">D27</f>
        <v>703</v>
      </c>
      <c r="K21" s="5">
        <f t="shared" si="2"/>
        <v>600</v>
      </c>
    </row>
    <row r="22" spans="1:11" ht="13.8" customHeight="1" x14ac:dyDescent="0.3">
      <c r="G22" s="1"/>
      <c r="I22" s="3"/>
      <c r="J22" s="3"/>
      <c r="K22" s="3"/>
    </row>
    <row r="23" spans="1:11" ht="16.2" thickBot="1" x14ac:dyDescent="0.35">
      <c r="A23" s="46"/>
      <c r="B23" s="7"/>
      <c r="C23" s="7"/>
      <c r="D23" s="7"/>
      <c r="E23" s="7"/>
      <c r="F23" s="45"/>
      <c r="I23" s="3"/>
      <c r="J23" s="3"/>
      <c r="K23" s="3"/>
    </row>
    <row r="24" spans="1:11" ht="16.2" thickBot="1" x14ac:dyDescent="0.35">
      <c r="A24" s="46"/>
      <c r="B24" s="67" t="s">
        <v>110</v>
      </c>
      <c r="C24" s="68"/>
      <c r="D24" s="68"/>
      <c r="E24" s="68"/>
      <c r="F24" s="69"/>
      <c r="I24" s="3"/>
      <c r="J24" s="3"/>
      <c r="K24" s="3"/>
    </row>
    <row r="25" spans="1:11" ht="10.5" customHeight="1" x14ac:dyDescent="0.3"/>
    <row r="26" spans="1:11" x14ac:dyDescent="0.3">
      <c r="A26" s="46" t="s">
        <v>10</v>
      </c>
      <c r="B26" s="72" t="s">
        <v>11</v>
      </c>
      <c r="C26" s="72" t="s">
        <v>113</v>
      </c>
      <c r="D26" s="72" t="s">
        <v>8</v>
      </c>
      <c r="E26" s="72" t="s">
        <v>9</v>
      </c>
      <c r="F26" s="72" t="s">
        <v>26</v>
      </c>
    </row>
    <row r="27" spans="1:11" ht="15.6" x14ac:dyDescent="0.3">
      <c r="A27" s="46" t="s">
        <v>136</v>
      </c>
      <c r="B27" s="70">
        <f>'4637'!B21</f>
        <v>1</v>
      </c>
      <c r="C27" s="71" t="str">
        <f>'4637'!C21</f>
        <v>CUB S/R R8</v>
      </c>
      <c r="D27" s="70">
        <f>'4637'!D21</f>
        <v>703</v>
      </c>
      <c r="E27" s="70">
        <f>'4637'!E21</f>
        <v>600</v>
      </c>
      <c r="F27" s="115" t="str">
        <f>'4637'!F21</f>
        <v>OKUMEN 1535 XM</v>
      </c>
    </row>
    <row r="28" spans="1:11" ht="15.6" x14ac:dyDescent="0.3">
      <c r="A28" s="46"/>
      <c r="B28" s="7"/>
      <c r="C28" s="11"/>
      <c r="D28" s="7"/>
      <c r="E28" s="7"/>
      <c r="F28" s="56"/>
    </row>
    <row r="29" spans="1:11" ht="15.6" x14ac:dyDescent="0.3">
      <c r="B29" s="7"/>
      <c r="C29" s="11"/>
      <c r="D29" s="7"/>
      <c r="E29" s="7"/>
      <c r="F29" s="45"/>
    </row>
    <row r="30" spans="1:11" ht="15.6" x14ac:dyDescent="0.3">
      <c r="B30" s="7"/>
      <c r="C30" s="11"/>
      <c r="D30" s="7"/>
      <c r="E30" s="7"/>
      <c r="F30" s="45"/>
    </row>
    <row r="31" spans="1:11" ht="15.6" x14ac:dyDescent="0.3">
      <c r="B31" s="7"/>
      <c r="C31" s="11"/>
      <c r="D31" s="7"/>
      <c r="E31" s="7"/>
      <c r="F31" s="45"/>
    </row>
    <row r="32" spans="1:11" ht="15.6" x14ac:dyDescent="0.3">
      <c r="B32" s="7"/>
      <c r="C32" s="11"/>
      <c r="D32" s="7"/>
      <c r="E32" s="7"/>
      <c r="F32" s="45"/>
    </row>
    <row r="33" spans="1:7" ht="15.6" x14ac:dyDescent="0.3">
      <c r="B33" s="7"/>
      <c r="C33" s="11"/>
      <c r="D33" s="7"/>
      <c r="E33" s="7"/>
      <c r="F33" s="45"/>
    </row>
    <row r="34" spans="1:7" ht="15.6" x14ac:dyDescent="0.3">
      <c r="B34" s="7"/>
      <c r="C34" s="11"/>
      <c r="D34" s="7"/>
      <c r="E34" s="7"/>
      <c r="F34" s="45"/>
    </row>
    <row r="35" spans="1:7" ht="15.6" x14ac:dyDescent="0.3">
      <c r="B35" s="7"/>
      <c r="C35" s="11"/>
      <c r="D35" s="7"/>
      <c r="E35" s="7"/>
      <c r="F35" s="45"/>
    </row>
    <row r="36" spans="1:7" ht="15.6" x14ac:dyDescent="0.3">
      <c r="G36" s="1"/>
    </row>
    <row r="37" spans="1:7" ht="15.6" x14ac:dyDescent="0.3">
      <c r="C37" s="51" t="s">
        <v>30</v>
      </c>
      <c r="D37" s="50">
        <f>'4637'!G8</f>
        <v>7310</v>
      </c>
      <c r="G37" s="1"/>
    </row>
    <row r="38" spans="1:7" ht="17.25" customHeight="1" x14ac:dyDescent="0.3">
      <c r="C38" s="64" t="s">
        <v>70</v>
      </c>
      <c r="D38" s="63" t="str">
        <f>'4637'!C10</f>
        <v>HECTOR TORRES</v>
      </c>
      <c r="E38" s="21"/>
      <c r="F38" s="21"/>
      <c r="G38" s="1"/>
    </row>
    <row r="39" spans="1:7" ht="4.5" customHeight="1" x14ac:dyDescent="0.3">
      <c r="C39" s="52"/>
      <c r="D39" s="48"/>
      <c r="G39" s="1"/>
    </row>
    <row r="40" spans="1:7" ht="15.6" x14ac:dyDescent="0.3">
      <c r="C40" s="53" t="str">
        <f>'4637'!F11</f>
        <v>FECHA LIMITE :</v>
      </c>
      <c r="D40" s="49">
        <f>'4637'!G11</f>
        <v>0</v>
      </c>
      <c r="E40" s="1"/>
      <c r="F40" s="1"/>
    </row>
    <row r="43" spans="1:7" x14ac:dyDescent="0.3">
      <c r="A43" s="140" t="s">
        <v>71</v>
      </c>
      <c r="B43" s="140"/>
      <c r="C43" s="140"/>
      <c r="D43" s="140"/>
      <c r="E43" s="140"/>
      <c r="F43" s="140"/>
    </row>
    <row r="45" spans="1:7" ht="9.75" customHeight="1" x14ac:dyDescent="0.3">
      <c r="B45" s="141" t="s">
        <v>72</v>
      </c>
      <c r="C45" s="142"/>
      <c r="D45" s="143"/>
      <c r="E45" s="143"/>
      <c r="F45" s="144"/>
    </row>
    <row r="46" spans="1:7" s="13" customFormat="1" ht="11.25" customHeight="1" x14ac:dyDescent="0.25">
      <c r="B46" s="104" t="s">
        <v>11</v>
      </c>
      <c r="C46" s="105" t="s">
        <v>12</v>
      </c>
      <c r="D46" s="106" t="s">
        <v>8</v>
      </c>
      <c r="E46" s="106" t="s">
        <v>9</v>
      </c>
      <c r="F46" s="107" t="s">
        <v>13</v>
      </c>
    </row>
    <row r="47" spans="1:7" s="13" customFormat="1" ht="15" customHeight="1" x14ac:dyDescent="0.3">
      <c r="A47" s="93" t="s">
        <v>136</v>
      </c>
      <c r="B47" s="108">
        <f>'4637'!B21</f>
        <v>1</v>
      </c>
      <c r="C47" s="113" t="str">
        <f>'4637'!C21</f>
        <v>CUB S/R R8</v>
      </c>
      <c r="D47" s="108">
        <f>'4637'!D21</f>
        <v>703</v>
      </c>
      <c r="E47" s="108">
        <f>'4637'!E21</f>
        <v>600</v>
      </c>
      <c r="F47" s="114" t="str">
        <f>'4637'!F21</f>
        <v>OKUMEN 1535 XM</v>
      </c>
    </row>
    <row r="48" spans="1:7" s="13" customFormat="1" ht="15" customHeight="1" x14ac:dyDescent="0.3">
      <c r="A48" s="93"/>
      <c r="B48" s="3"/>
      <c r="C48" s="56"/>
      <c r="D48" s="3"/>
      <c r="E48" s="3"/>
      <c r="F48" s="3"/>
    </row>
    <row r="49" spans="1:7" ht="15.6" x14ac:dyDescent="0.3">
      <c r="A49" s="56"/>
      <c r="B49" s="3"/>
      <c r="C49" s="37"/>
      <c r="D49" s="7"/>
      <c r="E49" s="7"/>
      <c r="F49" s="45"/>
    </row>
    <row r="50" spans="1:7" ht="15.6" x14ac:dyDescent="0.3">
      <c r="A50" s="56"/>
      <c r="B50" s="3"/>
      <c r="C50" s="37"/>
      <c r="D50" s="7"/>
      <c r="E50" s="7"/>
      <c r="F50" s="52"/>
    </row>
    <row r="51" spans="1:7" ht="15.6" x14ac:dyDescent="0.3">
      <c r="A51" s="56"/>
      <c r="B51" s="3"/>
      <c r="C51" s="37"/>
      <c r="D51" s="7"/>
      <c r="E51" s="7"/>
      <c r="F51" s="45"/>
    </row>
    <row r="52" spans="1:7" ht="15" thickBot="1" x14ac:dyDescent="0.35"/>
    <row r="53" spans="1:7" x14ac:dyDescent="0.3">
      <c r="B53" s="74" t="s">
        <v>15</v>
      </c>
      <c r="C53" s="75"/>
      <c r="D53" s="76"/>
      <c r="E53" s="76"/>
      <c r="F53" s="77"/>
    </row>
    <row r="54" spans="1:7" x14ac:dyDescent="0.3">
      <c r="B54" s="78"/>
      <c r="C54" s="79" t="s">
        <v>117</v>
      </c>
      <c r="D54" s="9"/>
      <c r="E54" s="9"/>
      <c r="F54" s="80"/>
    </row>
    <row r="55" spans="1:7" ht="15" customHeight="1" x14ac:dyDescent="0.35">
      <c r="B55" s="79" t="s">
        <v>124</v>
      </c>
      <c r="C55" s="66"/>
      <c r="D55" s="10"/>
      <c r="E55" s="10"/>
      <c r="F55" s="81"/>
    </row>
    <row r="56" spans="1:7" ht="18.600000000000001" thickBot="1" x14ac:dyDescent="0.4">
      <c r="B56" s="90" t="s">
        <v>123</v>
      </c>
      <c r="C56" s="82"/>
      <c r="D56" s="82"/>
      <c r="E56" s="82"/>
      <c r="F56" s="83"/>
    </row>
    <row r="57" spans="1:7" ht="18" x14ac:dyDescent="0.35">
      <c r="A57" s="2"/>
      <c r="B57" s="8"/>
      <c r="G57" s="1"/>
    </row>
    <row r="58" spans="1:7" x14ac:dyDescent="0.3">
      <c r="B58" s="62"/>
      <c r="C58" s="62"/>
      <c r="D58" s="62"/>
      <c r="E58" s="62"/>
      <c r="F58" s="62"/>
    </row>
    <row r="59" spans="1:7" x14ac:dyDescent="0.3">
      <c r="B59" s="62"/>
      <c r="C59" s="62"/>
      <c r="D59" s="62"/>
      <c r="E59" s="62"/>
      <c r="F59" s="62"/>
    </row>
    <row r="60" spans="1:7" x14ac:dyDescent="0.3">
      <c r="B60" s="62"/>
      <c r="C60" s="62"/>
      <c r="E60" s="62"/>
      <c r="F60" s="62"/>
    </row>
  </sheetData>
  <mergeCells count="6">
    <mergeCell ref="M3:N3"/>
    <mergeCell ref="A17:F17"/>
    <mergeCell ref="A10:F10"/>
    <mergeCell ref="A43:F43"/>
    <mergeCell ref="B45:F45"/>
    <mergeCell ref="K3:L3"/>
  </mergeCells>
  <pageMargins left="0.70866141732283472" right="0.70866141732283472" top="0.74803149606299213" bottom="0.74803149606299213" header="0.31496062992125984" footer="0.31496062992125984"/>
  <pageSetup scale="8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2025-10-20T21:34:32Z</cp:lastPrinted>
  <dcterms:created xsi:type="dcterms:W3CDTF">2013-03-19T12:54:14Z</dcterms:created>
  <dcterms:modified xsi:type="dcterms:W3CDTF">2025-10-21T09:55:03Z</dcterms:modified>
</cp:coreProperties>
</file>