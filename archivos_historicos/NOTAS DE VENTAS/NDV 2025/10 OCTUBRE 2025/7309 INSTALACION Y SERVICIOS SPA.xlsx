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E965D6A0-5739-4774-BC27-398182E04C9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CUBIERTA!$A$43:$F$69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3" l="1"/>
  <c r="D26" i="3"/>
  <c r="D25" i="3"/>
  <c r="E25" i="3"/>
  <c r="E24" i="3"/>
  <c r="D15" i="3"/>
  <c r="E14" i="3"/>
  <c r="H24" i="4"/>
  <c r="H23" i="4"/>
  <c r="H22" i="4"/>
  <c r="J34" i="3"/>
  <c r="M26" i="3" l="1"/>
  <c r="B33" i="3"/>
  <c r="I25" i="3" s="1"/>
  <c r="B25" i="3" s="1"/>
  <c r="C33" i="3"/>
  <c r="F25" i="3" s="1"/>
  <c r="D33" i="3"/>
  <c r="J25" i="3" s="1"/>
  <c r="E33" i="3"/>
  <c r="K25" i="3" s="1"/>
  <c r="F33" i="3"/>
  <c r="B34" i="3"/>
  <c r="I26" i="3" s="1"/>
  <c r="B26" i="3" s="1"/>
  <c r="C34" i="3"/>
  <c r="F26" i="3" s="1"/>
  <c r="D34" i="3"/>
  <c r="J26" i="3" s="1"/>
  <c r="E34" i="3"/>
  <c r="K26" i="3" s="1"/>
  <c r="F34" i="3"/>
  <c r="B56" i="3"/>
  <c r="C56" i="3"/>
  <c r="D56" i="3"/>
  <c r="E56" i="3"/>
  <c r="F56" i="3"/>
  <c r="B57" i="3"/>
  <c r="C57" i="3"/>
  <c r="D57" i="3"/>
  <c r="E57" i="3"/>
  <c r="F57" i="3"/>
  <c r="K16" i="3" l="1"/>
  <c r="E16" i="3" s="1"/>
  <c r="J16" i="3"/>
  <c r="D16" i="3" s="1"/>
  <c r="K15" i="3"/>
  <c r="E15" i="3" s="1"/>
  <c r="J15" i="3"/>
  <c r="I16" i="3"/>
  <c r="B16" i="3" s="1"/>
  <c r="I15" i="3"/>
  <c r="B15" i="3" s="1"/>
  <c r="F16" i="3"/>
  <c r="F15" i="3"/>
  <c r="B32" i="3" l="1"/>
  <c r="I24" i="3" s="1"/>
  <c r="I14" i="3" s="1"/>
  <c r="C32" i="3"/>
  <c r="F14" i="3" s="1"/>
  <c r="D32" i="3"/>
  <c r="J24" i="3" s="1"/>
  <c r="D24" i="3" s="1"/>
  <c r="E32" i="3"/>
  <c r="K24" i="3" s="1"/>
  <c r="F32" i="3"/>
  <c r="B55" i="3"/>
  <c r="C55" i="3"/>
  <c r="D55" i="3"/>
  <c r="E55" i="3"/>
  <c r="F55" i="3"/>
  <c r="H28" i="4"/>
  <c r="J14" i="3" l="1"/>
  <c r="D14" i="3" s="1"/>
  <c r="K14" i="3"/>
  <c r="B24" i="3"/>
  <c r="B14" i="3"/>
  <c r="F24" i="3"/>
  <c r="H29" i="4" l="1"/>
  <c r="H30" i="4" l="1"/>
  <c r="N5" i="3" l="1"/>
  <c r="M5" i="3" l="1"/>
  <c r="L5" i="3"/>
  <c r="K5" i="3"/>
  <c r="C48" i="3" l="1"/>
  <c r="C7" i="3"/>
  <c r="D46" i="3"/>
  <c r="D5" i="3"/>
  <c r="D48" i="3"/>
  <c r="D7" i="3"/>
  <c r="D45" i="3"/>
  <c r="D4" i="3"/>
</calcChain>
</file>

<file path=xl/sharedStrings.xml><?xml version="1.0" encoding="utf-8"?>
<sst xmlns="http://schemas.openxmlformats.org/spreadsheetml/2006/main" count="247" uniqueCount="144">
  <si>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</si>
  <si>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</si>
  <si>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</si>
  <si>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</si>
  <si>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</si>
  <si>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</si>
  <si>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</si>
  <si>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</si>
  <si>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</si>
  <si>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</si>
  <si>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</si>
  <si>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</si>
  <si>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</si>
  <si>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</si>
  <si>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</si>
  <si>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</si>
  <si>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</si>
  <si>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</si>
  <si>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</si>
  <si>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</si>
  <si>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</si>
  <si>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</si>
  <si>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</si>
  <si>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</si>
  <si>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</si>
  <si>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</si>
  <si>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</si>
  <si>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</si>
  <si>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</si>
  <si>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</si>
  <si>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</si>
  <si>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</si>
  <si>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</si>
  <si>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</si>
  <si>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</si>
  <si>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</si>
  <si>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</si>
  <si>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</si>
  <si>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</si>
  <si>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</si>
  <si>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</si>
  <si>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</si>
  <si>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</si>
  <si>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</si>
  <si>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</si>
  <si>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</si>
  <si>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</si>
  <si>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</si>
  <si>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</si>
  <si>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</si>
  <si>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</si>
  <si>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</si>
  <si>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</si>
  <si>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</si>
  <si>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</si>
  <si>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</si>
  <si>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</si>
  <si>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</si>
  <si>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</si>
  <si>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</si>
  <si>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</si>
  <si>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</si>
  <si>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</si>
  <si>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</si>
  <si>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</si>
  <si>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</si>
  <si>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</si>
  <si>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</si>
  <si>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</si>
  <si>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</si>
  <si>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</si>
  <si>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</si>
  <si>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</si>
  <si>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</si>
  <si>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</si>
  <si>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</si>
  <si>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</si>
  <si>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</si>
  <si>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</si>
  <si>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</si>
  <si>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</si>
  <si>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</si>
  <si>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</si>
  <si>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</si>
  <si>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</si>
  <si>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</si>
  <si>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</si>
  <si>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</si>
  <si>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</si>
  <si>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</si>
  <si>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</si>
  <si>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</si>
  <si>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</si>
  <si>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</si>
  <si>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</si>
  <si>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</si>
  <si>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</si>
  <si>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</si>
  <si>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</si>
  <si>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</si>
  <si>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</si>
  <si>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</si>
  <si>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</si>
  <si>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</si>
  <si>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</si>
  <si>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</si>
  <si>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</si>
  <si>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</si>
  <si>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</si>
  <si>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</si>
  <si>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</si>
  <si>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</si>
  <si>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</si>
  <si>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</si>
  <si>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</si>
  <si>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</si>
  <si>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</si>
  <si>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</si>
  <si>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</si>
  <si>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</si>
  <si>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</si>
  <si>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</si>
  <si>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</si>
  <si>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</si>
  <si>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</si>
  <si>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</si>
  <si>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</si>
  <si>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</si>
  <si>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</si>
  <si>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</si>
  <si>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</si>
  <si>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MDF18MM</t>
  </si>
  <si>
    <t>CORREO:</t>
  </si>
  <si>
    <t>ABONO 30%, CONTADO 20%, SALDO 30 DIAS</t>
  </si>
  <si>
    <t>OBRA:</t>
  </si>
  <si>
    <t xml:space="preserve">CUENTA CORRIENTE BANCO SANATNDER N° 87316181 A NOMBRE DE </t>
  </si>
  <si>
    <t>"MUEBLES SANTA FE SPA." - RUT : 77.054.606-0, CORREO: FRANCODONOSO@TOPMOBILI.CL</t>
  </si>
  <si>
    <t>N° 11704</t>
  </si>
  <si>
    <t>INSTALACION Y SERVICIOS SPA</t>
  </si>
  <si>
    <t>76.553.287-6</t>
  </si>
  <si>
    <t>CUB SIN RESPALDO FRENTE 180°</t>
  </si>
  <si>
    <t>SHELL WHITE 22011 OPACO</t>
  </si>
  <si>
    <t>CUB MESA FRENTE 180° 4 LADOS</t>
  </si>
  <si>
    <t>CUB MESA FRENTE 180° 2 LADOS UN LARGO Y LADO IZQUIERDO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</si>
</sst>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6" fillId="0" borderId="0" xfId="0" applyFont="1" applyAlignment="1">
      <alignment horizontal="center"/>
    </xf>
    <xf numFmtId="0" fontId="21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7" fillId="0" borderId="0" xfId="0" applyFont="1"/>
    <xf numFmtId="0" fontId="18" fillId="0" borderId="0" xfId="0" quotePrefix="1" applyFont="1" applyAlignment="1">
      <alignment horizontal="left" vertical="top"/>
    </xf>
    <xf numFmtId="0" fontId="22" fillId="0" borderId="2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165" fontId="15" fillId="0" borderId="0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3" fillId="0" borderId="18" xfId="0" applyFont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179070</xdr:colOff>
      <xdr:row>27</xdr:row>
      <xdr:rowOff>9525</xdr:rowOff>
    </xdr:from>
    <xdr:to>
      <xdr:col>5</xdr:col>
      <xdr:colOff>1360170</xdr:colOff>
      <xdr:row>31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79070" y="7789545"/>
          <a:ext cx="529590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$ 159.000.-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49</xdr:row>
      <xdr:rowOff>171450</xdr:rowOff>
    </xdr:from>
    <xdr:to>
      <xdr:col>5</xdr:col>
      <xdr:colOff>1685924</xdr:colOff>
      <xdr:row>51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38100</xdr:rowOff>
    </xdr:from>
    <xdr:to>
      <xdr:col>6</xdr:col>
      <xdr:colOff>0</xdr:colOff>
      <xdr:row>46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59</xdr:row>
      <xdr:rowOff>0</xdr:rowOff>
    </xdr:from>
    <xdr:to>
      <xdr:col>2</xdr:col>
      <xdr:colOff>38100</xdr:colOff>
      <xdr:row>60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59</xdr:row>
      <xdr:rowOff>0</xdr:rowOff>
    </xdr:from>
    <xdr:to>
      <xdr:col>2</xdr:col>
      <xdr:colOff>1019175</xdr:colOff>
      <xdr:row>59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0</xdr:rowOff>
    </xdr:from>
    <xdr:to>
      <xdr:col>3</xdr:col>
      <xdr:colOff>352425</xdr:colOff>
      <xdr:row>60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0</xdr:rowOff>
    </xdr:from>
    <xdr:to>
      <xdr:col>4</xdr:col>
      <xdr:colOff>257175</xdr:colOff>
      <xdr:row>60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0</xdr:rowOff>
    </xdr:from>
    <xdr:to>
      <xdr:col>5</xdr:col>
      <xdr:colOff>447675</xdr:colOff>
      <xdr:row>59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0</xdr:rowOff>
    </xdr:from>
    <xdr:to>
      <xdr:col>6</xdr:col>
      <xdr:colOff>0</xdr:colOff>
      <xdr:row>59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59</xdr:row>
      <xdr:rowOff>190500</xdr:rowOff>
    </xdr:from>
    <xdr:to>
      <xdr:col>2</xdr:col>
      <xdr:colOff>304800</xdr:colOff>
      <xdr:row>61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59</xdr:row>
      <xdr:rowOff>190500</xdr:rowOff>
    </xdr:from>
    <xdr:to>
      <xdr:col>2</xdr:col>
      <xdr:colOff>1276350</xdr:colOff>
      <xdr:row>61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190500</xdr:rowOff>
    </xdr:from>
    <xdr:to>
      <xdr:col>3</xdr:col>
      <xdr:colOff>619125</xdr:colOff>
      <xdr:row>61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190500</xdr:rowOff>
    </xdr:from>
    <xdr:to>
      <xdr:col>4</xdr:col>
      <xdr:colOff>523875</xdr:colOff>
      <xdr:row>61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190500</xdr:rowOff>
    </xdr:from>
    <xdr:to>
      <xdr:col>5</xdr:col>
      <xdr:colOff>723900</xdr:colOff>
      <xdr:row>61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190500</xdr:rowOff>
    </xdr:from>
    <xdr:to>
      <xdr:col>6</xdr:col>
      <xdr:colOff>0</xdr:colOff>
      <xdr:row>61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36</xdr:row>
      <xdr:rowOff>15239</xdr:rowOff>
    </xdr:from>
    <xdr:to>
      <xdr:col>6</xdr:col>
      <xdr:colOff>68580</xdr:colOff>
      <xdr:row>40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27</xdr:row>
      <xdr:rowOff>200025</xdr:rowOff>
    </xdr:from>
    <xdr:to>
      <xdr:col>6</xdr:col>
      <xdr:colOff>19049</xdr:colOff>
      <xdr:row>29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62</xdr:row>
      <xdr:rowOff>32385</xdr:rowOff>
    </xdr:from>
    <xdr:to>
      <xdr:col>6</xdr:col>
      <xdr:colOff>19050</xdr:colOff>
      <xdr:row>66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43</xdr:row>
      <xdr:rowOff>41910</xdr:rowOff>
    </xdr:from>
    <xdr:to>
      <xdr:col>1</xdr:col>
      <xdr:colOff>801763</xdr:colOff>
      <xdr:row>49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opLeftCell="A3" workbookViewId="0">
      <selection activeCell="I22" sqref="I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42.3320312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137</v>
      </c>
      <c r="E8" s="1"/>
      <c r="F8" s="94" t="s">
        <v>27</v>
      </c>
      <c r="G8" s="95">
        <v>7309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127</v>
      </c>
      <c r="C10" s="86" t="s">
        <v>138</v>
      </c>
      <c r="D10" s="55"/>
      <c r="E10" s="55"/>
      <c r="F10" s="56" t="s">
        <v>28</v>
      </c>
      <c r="G10" s="57">
        <v>45947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24" t="s">
        <v>139</v>
      </c>
      <c r="D11" s="60"/>
      <c r="E11" s="60"/>
      <c r="F11" s="60" t="s">
        <v>122</v>
      </c>
      <c r="G11" s="61">
        <v>45953</v>
      </c>
      <c r="H11" s="62"/>
      <c r="I11" s="1"/>
    </row>
    <row r="12" spans="1:17" ht="16.8" x14ac:dyDescent="0.4">
      <c r="A12" s="1"/>
      <c r="B12" s="63" t="s">
        <v>128</v>
      </c>
      <c r="C12" s="104"/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130</v>
      </c>
      <c r="D13" s="43"/>
      <c r="E13" s="43"/>
      <c r="F13" s="43" t="s">
        <v>126</v>
      </c>
      <c r="G13" s="64"/>
      <c r="H13" s="65"/>
      <c r="I13" s="1"/>
    </row>
    <row r="14" spans="1:17" ht="15.6" x14ac:dyDescent="0.3">
      <c r="A14" s="1"/>
      <c r="B14" s="63" t="s">
        <v>132</v>
      </c>
      <c r="C14" s="105"/>
      <c r="D14" s="43"/>
      <c r="E14" s="43"/>
      <c r="F14" s="43" t="s">
        <v>134</v>
      </c>
      <c r="G14" s="64"/>
      <c r="H14" s="65"/>
      <c r="I14" s="1"/>
    </row>
    <row r="15" spans="1:17" ht="15.6" x14ac:dyDescent="0.3">
      <c r="A15" s="1"/>
      <c r="B15" s="59" t="s">
        <v>17</v>
      </c>
      <c r="C15" s="125">
        <v>56964395293</v>
      </c>
      <c r="D15" s="66"/>
      <c r="E15" s="60"/>
      <c r="F15" s="60" t="s">
        <v>29</v>
      </c>
      <c r="G15" s="60"/>
      <c r="H15" s="62"/>
      <c r="I15" s="1"/>
    </row>
    <row r="16" spans="1:17" ht="16.8" x14ac:dyDescent="0.4">
      <c r="A16" s="1"/>
      <c r="B16" s="63" t="s">
        <v>1</v>
      </c>
      <c r="C16" s="104"/>
      <c r="D16" s="43"/>
      <c r="E16" s="43"/>
      <c r="F16" s="67" t="s">
        <v>75</v>
      </c>
      <c r="G16" s="107" t="s">
        <v>133</v>
      </c>
      <c r="H16" s="65"/>
      <c r="I16" s="1"/>
    </row>
    <row r="17" spans="1:16" ht="16.2" thickBot="1" x14ac:dyDescent="0.35">
      <c r="A17" s="1"/>
      <c r="B17" s="68" t="s">
        <v>3</v>
      </c>
      <c r="C17" s="106" t="s">
        <v>129</v>
      </c>
      <c r="D17" s="69"/>
      <c r="E17" s="70"/>
      <c r="F17" s="111" t="s">
        <v>18</v>
      </c>
      <c r="G17" s="111"/>
      <c r="H17" s="112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3" t="s">
        <v>19</v>
      </c>
      <c r="C20" s="114"/>
      <c r="D20" s="114"/>
      <c r="E20" s="114"/>
      <c r="F20" s="114"/>
      <c r="G20" s="114"/>
      <c r="H20" s="115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00">
        <v>1</v>
      </c>
      <c r="C22" s="100" t="s">
        <v>140</v>
      </c>
      <c r="D22" s="103">
        <v>2830</v>
      </c>
      <c r="E22" s="103">
        <v>650</v>
      </c>
      <c r="F22" s="100" t="s">
        <v>141</v>
      </c>
      <c r="G22" s="101">
        <v>94438</v>
      </c>
      <c r="H22" s="101">
        <f>G22*B22</f>
        <v>94438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0">
        <v>1</v>
      </c>
      <c r="C23" s="100" t="s">
        <v>142</v>
      </c>
      <c r="D23" s="103">
        <v>2520</v>
      </c>
      <c r="E23" s="103">
        <v>600</v>
      </c>
      <c r="F23" s="100" t="s">
        <v>141</v>
      </c>
      <c r="G23" s="101">
        <v>78764</v>
      </c>
      <c r="H23" s="101">
        <f t="shared" ref="H23:H24" si="0">G23*B23</f>
        <v>78764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0">
        <v>1</v>
      </c>
      <c r="C24" s="126" t="s">
        <v>143</v>
      </c>
      <c r="D24" s="103">
        <v>1860</v>
      </c>
      <c r="E24" s="103">
        <v>430</v>
      </c>
      <c r="F24" s="100" t="s">
        <v>141</v>
      </c>
      <c r="G24" s="101">
        <v>44445</v>
      </c>
      <c r="H24" s="101">
        <f t="shared" si="0"/>
        <v>44445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27"/>
      <c r="C25" s="128"/>
      <c r="D25" s="129"/>
      <c r="E25" s="129"/>
      <c r="F25" s="127"/>
      <c r="G25" s="75"/>
      <c r="H25" s="75"/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27"/>
      <c r="C26" s="128"/>
      <c r="D26" s="129"/>
      <c r="E26" s="129"/>
      <c r="F26" s="127"/>
      <c r="G26" s="75"/>
      <c r="H26" s="75"/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4"/>
      <c r="C27" s="74"/>
      <c r="D27" s="74"/>
      <c r="E27" s="74"/>
      <c r="F27" s="74"/>
      <c r="G27" s="75"/>
      <c r="H27" s="75"/>
      <c r="I27" s="1"/>
    </row>
    <row r="28" spans="1:16" ht="15.6" x14ac:dyDescent="0.3">
      <c r="A28" s="1"/>
      <c r="B28" s="1"/>
      <c r="C28" s="1"/>
      <c r="D28" s="1"/>
      <c r="E28" s="1"/>
      <c r="F28" s="1"/>
      <c r="G28" s="76" t="s">
        <v>5</v>
      </c>
      <c r="H28" s="77">
        <f>SUM(H22:H27)</f>
        <v>217647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8" t="s">
        <v>6</v>
      </c>
      <c r="H29" s="79">
        <f>H28*19%</f>
        <v>41352.93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80" t="s">
        <v>4</v>
      </c>
      <c r="H30" s="81">
        <f>H28+H29</f>
        <v>258999.93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2"/>
      <c r="H31" s="97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2" t="s">
        <v>135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82" t="s">
        <v>136</v>
      </c>
      <c r="C34" s="83"/>
      <c r="D34" s="84"/>
      <c r="E34" s="84"/>
      <c r="F34" s="74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5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0"/>
  </sortState>
  <mergeCells count="2">
    <mergeCell ref="F17:H17"/>
    <mergeCell ref="B20:H20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0"/>
  <sheetViews>
    <sheetView tabSelected="1" topLeftCell="A31" zoomScaleNormal="100" workbookViewId="0">
      <selection activeCell="A43" sqref="A43:F69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46.6640625" customWidth="1"/>
    <col min="4" max="4" width="13.77734375" customWidth="1"/>
    <col min="5" max="5" width="11" customWidth="1"/>
    <col min="6" max="6" width="38.2187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7309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INSTALACION Y SERVICIOS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45953</v>
      </c>
      <c r="E7" s="1"/>
      <c r="F7" s="1"/>
      <c r="G7" s="1"/>
    </row>
    <row r="8" spans="1:14" ht="15.6" x14ac:dyDescent="0.3">
      <c r="A8" s="1"/>
      <c r="B8" s="1"/>
      <c r="C8" s="53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131</v>
      </c>
      <c r="B14" s="25">
        <f t="shared" ref="B14" si="0">I14</f>
        <v>1</v>
      </c>
      <c r="C14" s="25"/>
      <c r="D14" s="25">
        <f>J14+D$13</f>
        <v>2910</v>
      </c>
      <c r="E14" s="35">
        <f>K14</f>
        <v>650</v>
      </c>
      <c r="F14" s="98" t="str">
        <f>C32</f>
        <v>CUB SIN RESPALDO FRENTE 180°</v>
      </c>
      <c r="G14" s="1"/>
      <c r="I14" s="3">
        <f>I24</f>
        <v>1</v>
      </c>
      <c r="J14" s="4">
        <f>J24</f>
        <v>2830</v>
      </c>
      <c r="K14" s="4">
        <f>E32</f>
        <v>650</v>
      </c>
    </row>
    <row r="15" spans="1:14" ht="15.6" x14ac:dyDescent="0.3">
      <c r="A15" s="96"/>
      <c r="B15" s="25">
        <f t="shared" ref="B15:B16" si="1">I15</f>
        <v>1</v>
      </c>
      <c r="C15" s="25"/>
      <c r="D15" s="25">
        <f>J15</f>
        <v>2520</v>
      </c>
      <c r="E15" s="35">
        <f t="shared" ref="E15:E16" si="2">K15+E$13</f>
        <v>600</v>
      </c>
      <c r="F15" s="98" t="str">
        <f>C33</f>
        <v>CUB MESA FRENTE 180° 4 LADOS</v>
      </c>
      <c r="G15" s="1"/>
      <c r="I15" s="3">
        <f t="shared" ref="I15:J15" si="3">I25</f>
        <v>1</v>
      </c>
      <c r="J15" s="4">
        <f t="shared" si="3"/>
        <v>2520</v>
      </c>
      <c r="K15" s="4">
        <f>E33</f>
        <v>600</v>
      </c>
    </row>
    <row r="16" spans="1:14" ht="15.6" x14ac:dyDescent="0.3">
      <c r="A16" s="96"/>
      <c r="B16" s="25">
        <f t="shared" si="1"/>
        <v>1</v>
      </c>
      <c r="C16" s="25"/>
      <c r="D16" s="25">
        <f t="shared" ref="D15:D16" si="4">J16+D$13</f>
        <v>1940</v>
      </c>
      <c r="E16" s="35">
        <f t="shared" si="2"/>
        <v>430</v>
      </c>
      <c r="F16" s="130" t="str">
        <f>C34</f>
        <v>CUB MESA FRENTE 180° 2 LADOS UN LARGO Y LADO IZQUIERDO</v>
      </c>
      <c r="G16" s="1"/>
      <c r="I16" s="3">
        <f t="shared" ref="I16:J16" si="5">I26</f>
        <v>1</v>
      </c>
      <c r="J16" s="4">
        <f t="shared" si="5"/>
        <v>1860</v>
      </c>
      <c r="K16" s="4">
        <f>E34</f>
        <v>430</v>
      </c>
    </row>
    <row r="17" spans="1:13" ht="15.6" x14ac:dyDescent="0.3">
      <c r="A17" s="96"/>
      <c r="B17" s="6"/>
      <c r="C17" s="6"/>
      <c r="D17" s="6"/>
      <c r="E17" s="89"/>
      <c r="F17" s="102"/>
      <c r="G17" s="1"/>
      <c r="I17" s="90"/>
      <c r="J17" s="2"/>
      <c r="K17" s="2"/>
    </row>
    <row r="18" spans="1:13" ht="15.6" x14ac:dyDescent="0.3">
      <c r="A18" s="52"/>
      <c r="B18" s="6"/>
      <c r="C18" s="6"/>
      <c r="D18" s="6"/>
      <c r="E18" s="89"/>
      <c r="F18" s="6"/>
      <c r="G18" s="1"/>
      <c r="I18" s="90"/>
      <c r="J18" s="2"/>
      <c r="K18" s="2"/>
    </row>
    <row r="19" spans="1:13" ht="6.75" customHeight="1" x14ac:dyDescent="0.3">
      <c r="A19" s="1"/>
      <c r="B19" s="1"/>
      <c r="C19" s="1"/>
      <c r="D19" s="1"/>
      <c r="E19" s="1"/>
      <c r="F19" s="1"/>
      <c r="G19" s="1"/>
    </row>
    <row r="20" spans="1:13" ht="15.6" x14ac:dyDescent="0.3">
      <c r="A20" s="119" t="s">
        <v>14</v>
      </c>
      <c r="B20" s="119"/>
      <c r="C20" s="119"/>
      <c r="D20" s="119"/>
      <c r="E20" s="119"/>
      <c r="F20" s="119"/>
      <c r="G20" s="1"/>
    </row>
    <row r="21" spans="1:13" ht="10.5" customHeight="1" x14ac:dyDescent="0.3">
      <c r="A21" s="1"/>
      <c r="B21" s="1"/>
      <c r="C21" s="12"/>
      <c r="D21" s="1"/>
      <c r="E21" s="1"/>
      <c r="F21" s="1"/>
      <c r="G21" s="1"/>
    </row>
    <row r="22" spans="1:13" ht="15.6" x14ac:dyDescent="0.3">
      <c r="A22" s="1"/>
      <c r="B22" s="1"/>
      <c r="C22" s="1"/>
      <c r="D22" s="52" t="s">
        <v>7</v>
      </c>
      <c r="E22" s="52" t="s">
        <v>8</v>
      </c>
      <c r="F22" s="1"/>
      <c r="G22" s="1"/>
    </row>
    <row r="23" spans="1:13" ht="15.6" x14ac:dyDescent="0.3">
      <c r="A23" s="52" t="s">
        <v>9</v>
      </c>
      <c r="B23" s="36" t="s">
        <v>10</v>
      </c>
      <c r="C23" s="36" t="s">
        <v>11</v>
      </c>
      <c r="D23" s="21">
        <v>40</v>
      </c>
      <c r="E23" s="21">
        <v>60</v>
      </c>
      <c r="F23" s="36" t="s">
        <v>110</v>
      </c>
      <c r="G23" s="1"/>
      <c r="J23" s="5" t="s">
        <v>7</v>
      </c>
      <c r="K23" s="5" t="s">
        <v>8</v>
      </c>
    </row>
    <row r="24" spans="1:13" ht="15.6" x14ac:dyDescent="0.3">
      <c r="A24" s="96"/>
      <c r="B24" s="16">
        <f t="shared" ref="B24" si="6">I24</f>
        <v>1</v>
      </c>
      <c r="C24" s="16"/>
      <c r="D24" s="16">
        <f>J24+D$23</f>
        <v>2870</v>
      </c>
      <c r="E24" s="16">
        <f>K24+E23</f>
        <v>710</v>
      </c>
      <c r="F24" s="99" t="str">
        <f>C32</f>
        <v>CUB SIN RESPALDO FRENTE 180°</v>
      </c>
      <c r="G24" s="1"/>
      <c r="I24" s="3">
        <f>B32</f>
        <v>1</v>
      </c>
      <c r="J24" s="4">
        <f>D32</f>
        <v>2830</v>
      </c>
      <c r="K24" s="4">
        <f t="shared" ref="K24" si="7">E32</f>
        <v>650</v>
      </c>
      <c r="M24">
        <v>185</v>
      </c>
    </row>
    <row r="25" spans="1:13" ht="15.6" x14ac:dyDescent="0.3">
      <c r="A25" s="96"/>
      <c r="B25" s="16">
        <f t="shared" ref="B25:B26" si="8">I25</f>
        <v>1</v>
      </c>
      <c r="C25" s="16"/>
      <c r="D25" s="16">
        <f>J25+160</f>
        <v>2680</v>
      </c>
      <c r="E25" s="16">
        <f>K25+160</f>
        <v>760</v>
      </c>
      <c r="F25" s="99" t="str">
        <f>C33</f>
        <v>CUB MESA FRENTE 180° 4 LADOS</v>
      </c>
      <c r="G25" s="1"/>
      <c r="I25" s="3">
        <f>B33</f>
        <v>1</v>
      </c>
      <c r="J25" s="4">
        <f>D33</f>
        <v>2520</v>
      </c>
      <c r="K25" s="4">
        <f>E33</f>
        <v>600</v>
      </c>
      <c r="M25">
        <v>50</v>
      </c>
    </row>
    <row r="26" spans="1:13" ht="15.6" x14ac:dyDescent="0.3">
      <c r="A26" s="96"/>
      <c r="B26" s="16">
        <f t="shared" si="8"/>
        <v>1</v>
      </c>
      <c r="C26" s="16"/>
      <c r="D26" s="16">
        <f>J26+100</f>
        <v>1960</v>
      </c>
      <c r="E26" s="16">
        <f>K26+60</f>
        <v>490</v>
      </c>
      <c r="F26" s="131" t="str">
        <f>C34</f>
        <v>CUB MESA FRENTE 180° 2 LADOS UN LARGO Y LADO IZQUIERDO</v>
      </c>
      <c r="G26" s="1"/>
      <c r="I26" s="3">
        <f>B34</f>
        <v>1</v>
      </c>
      <c r="J26" s="4">
        <f>D34</f>
        <v>1860</v>
      </c>
      <c r="K26" s="4">
        <f>E34</f>
        <v>430</v>
      </c>
      <c r="M26">
        <f>SUM(M24:M25)</f>
        <v>235</v>
      </c>
    </row>
    <row r="27" spans="1:13" ht="15.6" x14ac:dyDescent="0.3">
      <c r="A27" s="96"/>
      <c r="B27" s="6"/>
      <c r="C27" s="6"/>
      <c r="D27" s="6"/>
      <c r="E27" s="6"/>
      <c r="F27" s="102"/>
      <c r="G27" s="1"/>
      <c r="I27" s="90"/>
      <c r="J27" s="2"/>
      <c r="K27" s="2"/>
    </row>
    <row r="28" spans="1:13" ht="16.2" thickBot="1" x14ac:dyDescent="0.35">
      <c r="A28" s="52"/>
      <c r="B28" s="6"/>
      <c r="C28" s="6"/>
      <c r="D28" s="6"/>
      <c r="E28" s="6"/>
      <c r="F28" s="6"/>
      <c r="G28" s="1"/>
      <c r="I28" s="2"/>
      <c r="J28" s="2"/>
      <c r="K28" s="2"/>
    </row>
    <row r="29" spans="1:13" ht="16.2" thickBot="1" x14ac:dyDescent="0.35">
      <c r="A29" s="52"/>
      <c r="B29" s="22" t="s">
        <v>107</v>
      </c>
      <c r="C29" s="23"/>
      <c r="D29" s="23"/>
      <c r="E29" s="23"/>
      <c r="F29" s="24"/>
      <c r="G29" s="1"/>
      <c r="I29" s="2"/>
      <c r="J29" s="2"/>
      <c r="K29" s="2"/>
    </row>
    <row r="30" spans="1:13" ht="10.5" customHeight="1" x14ac:dyDescent="0.3">
      <c r="A30" s="1"/>
      <c r="B30" s="1"/>
      <c r="C30" s="1"/>
      <c r="D30" s="1"/>
      <c r="E30" s="1"/>
      <c r="F30" s="1"/>
      <c r="G30" s="1"/>
    </row>
    <row r="31" spans="1:13" ht="15.6" x14ac:dyDescent="0.3">
      <c r="A31" s="52" t="s">
        <v>9</v>
      </c>
      <c r="B31" s="88" t="s">
        <v>10</v>
      </c>
      <c r="C31" s="88" t="s">
        <v>110</v>
      </c>
      <c r="D31" s="88" t="s">
        <v>7</v>
      </c>
      <c r="E31" s="88" t="s">
        <v>8</v>
      </c>
      <c r="F31" s="88" t="s">
        <v>23</v>
      </c>
      <c r="G31" s="1"/>
      <c r="J31">
        <v>1060</v>
      </c>
    </row>
    <row r="32" spans="1:13" ht="15.6" x14ac:dyDescent="0.3">
      <c r="A32" s="96"/>
      <c r="B32" s="25">
        <f>'4637'!B22</f>
        <v>1</v>
      </c>
      <c r="C32" s="110" t="str">
        <f>'4637'!C22</f>
        <v>CUB SIN RESPALDO FRENTE 180°</v>
      </c>
      <c r="D32" s="25">
        <f>'4637'!D22</f>
        <v>2830</v>
      </c>
      <c r="E32" s="25">
        <f>'4637'!E22</f>
        <v>650</v>
      </c>
      <c r="F32" s="25" t="str">
        <f>'4637'!F22</f>
        <v>SHELL WHITE 22011 OPACO</v>
      </c>
      <c r="G32" s="1"/>
      <c r="J32">
        <v>50</v>
      </c>
    </row>
    <row r="33" spans="1:10" ht="15.6" x14ac:dyDescent="0.3">
      <c r="A33" s="96"/>
      <c r="B33" s="25">
        <f>'4637'!B23</f>
        <v>1</v>
      </c>
      <c r="C33" s="110" t="str">
        <f>'4637'!C23</f>
        <v>CUB MESA FRENTE 180° 4 LADOS</v>
      </c>
      <c r="D33" s="25">
        <f>'4637'!D23</f>
        <v>2520</v>
      </c>
      <c r="E33" s="25">
        <f>'4637'!E23</f>
        <v>600</v>
      </c>
      <c r="F33" s="25" t="str">
        <f>'4637'!F23</f>
        <v>SHELL WHITE 22011 OPACO</v>
      </c>
      <c r="G33" s="1"/>
      <c r="J33">
        <v>80</v>
      </c>
    </row>
    <row r="34" spans="1:10" ht="15.6" x14ac:dyDescent="0.3">
      <c r="A34" s="96"/>
      <c r="B34" s="25">
        <f>'4637'!B24</f>
        <v>1</v>
      </c>
      <c r="C34" s="110" t="str">
        <f>'4637'!C24</f>
        <v>CUB MESA FRENTE 180° 2 LADOS UN LARGO Y LADO IZQUIERDO</v>
      </c>
      <c r="D34" s="25">
        <f>'4637'!D24</f>
        <v>1860</v>
      </c>
      <c r="E34" s="25">
        <f>'4637'!E24</f>
        <v>430</v>
      </c>
      <c r="F34" s="25" t="str">
        <f>'4637'!F24</f>
        <v>SHELL WHITE 22011 OPACO</v>
      </c>
      <c r="G34" s="1"/>
      <c r="J34">
        <f>SUM(J31:J33)</f>
        <v>1190</v>
      </c>
    </row>
    <row r="35" spans="1:10" ht="15.6" x14ac:dyDescent="0.3">
      <c r="A35" s="96"/>
      <c r="B35" s="6"/>
      <c r="C35" s="102"/>
      <c r="D35" s="6"/>
      <c r="E35" s="6"/>
      <c r="F35" s="6"/>
      <c r="G35" s="1"/>
    </row>
    <row r="36" spans="1:10" ht="15.6" x14ac:dyDescent="0.3">
      <c r="A36" s="1"/>
      <c r="B36" s="6"/>
      <c r="C36" s="6"/>
      <c r="D36" s="6"/>
      <c r="E36" s="6"/>
      <c r="F36" s="6"/>
      <c r="G36" s="1"/>
    </row>
    <row r="37" spans="1:10" ht="15.6" x14ac:dyDescent="0.3">
      <c r="A37" s="1"/>
      <c r="B37" s="6"/>
      <c r="C37" s="6"/>
      <c r="D37" s="6"/>
      <c r="E37" s="6"/>
      <c r="F37" s="6"/>
      <c r="G37" s="1"/>
    </row>
    <row r="38" spans="1:10" ht="15.6" x14ac:dyDescent="0.3">
      <c r="A38" s="1"/>
      <c r="B38" s="6"/>
      <c r="C38" s="6"/>
      <c r="D38" s="6"/>
      <c r="E38" s="6"/>
      <c r="F38" s="6"/>
      <c r="G38" s="1"/>
    </row>
    <row r="39" spans="1:10" ht="15.6" x14ac:dyDescent="0.3">
      <c r="A39" s="1"/>
      <c r="B39" s="6"/>
      <c r="C39" s="6"/>
      <c r="D39" s="6"/>
      <c r="E39" s="6"/>
      <c r="F39" s="6"/>
      <c r="G39" s="1"/>
    </row>
    <row r="40" spans="1:10" ht="15.6" x14ac:dyDescent="0.3">
      <c r="A40" s="1"/>
      <c r="B40" s="6"/>
      <c r="C40" s="6"/>
      <c r="D40" s="6"/>
      <c r="E40" s="6"/>
      <c r="F40" s="6"/>
      <c r="G40" s="1"/>
    </row>
    <row r="41" spans="1:10" ht="15.6" x14ac:dyDescent="0.3">
      <c r="A41" s="1"/>
      <c r="B41" s="6"/>
      <c r="C41" s="6"/>
      <c r="D41" s="6"/>
      <c r="E41" s="6"/>
      <c r="F41" s="6"/>
      <c r="G41" s="1"/>
    </row>
    <row r="42" spans="1:10" ht="15.6" x14ac:dyDescent="0.3">
      <c r="A42" s="1"/>
      <c r="B42" s="6"/>
      <c r="C42" s="6"/>
      <c r="D42" s="6"/>
      <c r="E42" s="6"/>
      <c r="F42" s="6"/>
      <c r="G42" s="1"/>
    </row>
    <row r="43" spans="1:10" ht="15.6" x14ac:dyDescent="0.3">
      <c r="A43" s="1"/>
      <c r="B43" s="6"/>
      <c r="C43" s="6"/>
      <c r="D43" s="6"/>
      <c r="E43" s="6"/>
      <c r="F43" s="6"/>
      <c r="G43" s="1"/>
    </row>
    <row r="44" spans="1:10" ht="15.6" x14ac:dyDescent="0.3">
      <c r="A44" s="1"/>
      <c r="B44" s="1"/>
      <c r="C44" s="1"/>
      <c r="D44" s="1"/>
      <c r="E44" s="1"/>
      <c r="F44" s="1"/>
      <c r="G44" s="1"/>
    </row>
    <row r="45" spans="1:10" ht="15.6" x14ac:dyDescent="0.3">
      <c r="A45" s="1"/>
      <c r="B45" s="1"/>
      <c r="C45" s="40" t="s">
        <v>27</v>
      </c>
      <c r="D45" s="14">
        <f>'4637'!G8</f>
        <v>7309</v>
      </c>
      <c r="E45" s="1"/>
      <c r="F45" s="1"/>
      <c r="G45" s="1"/>
    </row>
    <row r="46" spans="1:10" ht="17.25" customHeight="1" x14ac:dyDescent="0.3">
      <c r="A46" s="1"/>
      <c r="B46" s="1"/>
      <c r="C46" s="41" t="s">
        <v>67</v>
      </c>
      <c r="D46" s="42" t="str">
        <f>'4637'!C10</f>
        <v>INSTALACION Y SERVICIOS SPA</v>
      </c>
      <c r="E46" s="43"/>
      <c r="F46" s="43"/>
      <c r="G46" s="1"/>
    </row>
    <row r="47" spans="1:10" ht="4.5" customHeight="1" x14ac:dyDescent="0.3">
      <c r="A47" s="1"/>
      <c r="B47" s="1"/>
      <c r="C47" s="44"/>
      <c r="D47" s="45"/>
      <c r="E47" s="1"/>
      <c r="F47" s="1"/>
      <c r="G47" s="1"/>
    </row>
    <row r="48" spans="1:10" ht="15.6" x14ac:dyDescent="0.3">
      <c r="A48" s="1"/>
      <c r="B48" s="1"/>
      <c r="C48" s="46" t="str">
        <f>'4637'!F11</f>
        <v>FECHA LIMITE :</v>
      </c>
      <c r="D48" s="13">
        <f>'4637'!G11</f>
        <v>45953</v>
      </c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19" t="s">
        <v>68</v>
      </c>
      <c r="B51" s="119"/>
      <c r="C51" s="119"/>
      <c r="D51" s="119"/>
      <c r="E51" s="119"/>
      <c r="F51" s="119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75" customHeight="1" x14ac:dyDescent="0.3">
      <c r="A53" s="1"/>
      <c r="B53" s="120" t="s">
        <v>69</v>
      </c>
      <c r="C53" s="121"/>
      <c r="D53" s="122"/>
      <c r="E53" s="122"/>
      <c r="F53" s="123"/>
      <c r="G53" s="1"/>
    </row>
    <row r="54" spans="1:7" s="15" customFormat="1" ht="12.75" customHeight="1" x14ac:dyDescent="0.3">
      <c r="A54" s="1"/>
      <c r="B54" s="36" t="s">
        <v>10</v>
      </c>
      <c r="C54" s="47" t="s">
        <v>11</v>
      </c>
      <c r="D54" s="48" t="s">
        <v>7</v>
      </c>
      <c r="E54" s="48" t="s">
        <v>8</v>
      </c>
      <c r="F54" s="49" t="s">
        <v>12</v>
      </c>
      <c r="G54" s="1"/>
    </row>
    <row r="55" spans="1:7" s="15" customFormat="1" ht="15" customHeight="1" x14ac:dyDescent="0.3">
      <c r="A55" s="96"/>
      <c r="B55" s="38">
        <f>'4637'!B22</f>
        <v>1</v>
      </c>
      <c r="C55" s="109" t="str">
        <f>'4637'!C22</f>
        <v>CUB SIN RESPALDO FRENTE 180°</v>
      </c>
      <c r="D55" s="39">
        <f>'4637'!D22</f>
        <v>2830</v>
      </c>
      <c r="E55" s="39">
        <f>'4637'!E22</f>
        <v>650</v>
      </c>
      <c r="F55" s="38" t="str">
        <f>'4637'!F22</f>
        <v>SHELL WHITE 22011 OPACO</v>
      </c>
      <c r="G55" s="1"/>
    </row>
    <row r="56" spans="1:7" s="15" customFormat="1" ht="15" customHeight="1" x14ac:dyDescent="0.3">
      <c r="A56" s="96"/>
      <c r="B56" s="38">
        <f>'4637'!B23</f>
        <v>1</v>
      </c>
      <c r="C56" s="109" t="str">
        <f>'4637'!C23</f>
        <v>CUB MESA FRENTE 180° 4 LADOS</v>
      </c>
      <c r="D56" s="39">
        <f>'4637'!D23</f>
        <v>2520</v>
      </c>
      <c r="E56" s="39">
        <f>'4637'!E23</f>
        <v>600</v>
      </c>
      <c r="F56" s="38" t="str">
        <f>'4637'!F23</f>
        <v>SHELL WHITE 22011 OPACO</v>
      </c>
      <c r="G56" s="1"/>
    </row>
    <row r="57" spans="1:7" s="15" customFormat="1" ht="15" customHeight="1" x14ac:dyDescent="0.3">
      <c r="A57" s="96"/>
      <c r="B57" s="38">
        <f>'4637'!B24</f>
        <v>1</v>
      </c>
      <c r="C57" s="109" t="str">
        <f>'4637'!C24</f>
        <v>CUB MESA FRENTE 180° 2 LADOS UN LARGO Y LADO IZQUIERDO</v>
      </c>
      <c r="D57" s="39">
        <f>'4637'!D24</f>
        <v>1860</v>
      </c>
      <c r="E57" s="39">
        <f>'4637'!E24</f>
        <v>430</v>
      </c>
      <c r="F57" s="38" t="str">
        <f>'4637'!F24</f>
        <v>SHELL WHITE 22011 OPACO</v>
      </c>
      <c r="G57" s="1"/>
    </row>
    <row r="58" spans="1:7" s="15" customFormat="1" ht="15" customHeight="1" x14ac:dyDescent="0.3">
      <c r="A58" s="96"/>
      <c r="B58" s="52"/>
      <c r="C58" s="108"/>
      <c r="D58" s="52"/>
      <c r="E58" s="52"/>
      <c r="F58" s="52"/>
      <c r="G58" s="1"/>
    </row>
    <row r="59" spans="1:7" s="15" customFormat="1" ht="15" customHeight="1" x14ac:dyDescent="0.3">
      <c r="A59" s="50"/>
      <c r="B59" s="52"/>
      <c r="C59" s="52"/>
      <c r="D59" s="52"/>
      <c r="E59" s="52"/>
      <c r="F59" s="52"/>
      <c r="G59" s="1"/>
    </row>
    <row r="60" spans="1:7" ht="15.6" x14ac:dyDescent="0.3">
      <c r="A60" s="6"/>
      <c r="B60" s="6"/>
      <c r="C60" s="1"/>
      <c r="D60" s="6"/>
      <c r="E60" s="6"/>
      <c r="F60" s="44"/>
      <c r="G60" s="1"/>
    </row>
    <row r="61" spans="1:7" ht="15.6" x14ac:dyDescent="0.3">
      <c r="A61" s="6"/>
      <c r="B61" s="6"/>
      <c r="C61" s="1"/>
      <c r="D61" s="6"/>
      <c r="E61" s="6"/>
      <c r="F61" s="6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" customHeight="1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6"/>
      <c r="B67" s="5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x14ac:dyDescent="0.3">
      <c r="B69" s="20"/>
      <c r="C69" s="20"/>
      <c r="D69" s="20"/>
      <c r="E69" s="20"/>
      <c r="F69" s="20"/>
    </row>
    <row r="70" spans="1:7" x14ac:dyDescent="0.3">
      <c r="B70" s="20"/>
      <c r="C70" s="20"/>
      <c r="E70" s="20"/>
      <c r="F70" s="20"/>
    </row>
  </sheetData>
  <mergeCells count="6">
    <mergeCell ref="M3:N3"/>
    <mergeCell ref="A20:F20"/>
    <mergeCell ref="A10:F10"/>
    <mergeCell ref="A51:F51"/>
    <mergeCell ref="B53:F53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2025-10-20T21:45:01Z</cp:lastPrinted>
  <dcterms:created xsi:type="dcterms:W3CDTF">2013-03-19T12:54:14Z</dcterms:created>
  <dcterms:modified xsi:type="dcterms:W3CDTF">2025-10-20T21:46:02Z</dcterms:modified>
</cp:coreProperties>
</file>