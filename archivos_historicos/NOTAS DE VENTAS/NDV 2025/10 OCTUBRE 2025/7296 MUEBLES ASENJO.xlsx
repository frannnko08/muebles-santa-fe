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0 OCTUBRE 2025\"/>
    </mc:Choice>
  </mc:AlternateContent>
  <xr:revisionPtr revIDLastSave="0" documentId="13_ncr:1_{7CD3D2E4-DEB4-4557-AA19-AB2E66C557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CUBIERTA!$A$38:$F$64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3" l="1"/>
  <c r="I15" i="3"/>
  <c r="B15" i="3" s="1"/>
  <c r="J15" i="3"/>
  <c r="D15" i="3" s="1"/>
  <c r="K15" i="3"/>
  <c r="E15" i="3" s="1"/>
  <c r="B29" i="3"/>
  <c r="I23" i="3" s="1"/>
  <c r="B23" i="3" s="1"/>
  <c r="C29" i="3"/>
  <c r="F23" i="3" s="1"/>
  <c r="D29" i="3"/>
  <c r="J23" i="3" s="1"/>
  <c r="D23" i="3" s="1"/>
  <c r="E29" i="3"/>
  <c r="K23" i="3" s="1"/>
  <c r="E23" i="3" s="1"/>
  <c r="F29" i="3"/>
  <c r="B51" i="3"/>
  <c r="C51" i="3"/>
  <c r="D51" i="3"/>
  <c r="E51" i="3"/>
  <c r="F51" i="3"/>
  <c r="H22" i="4"/>
  <c r="H21" i="4"/>
  <c r="B28" i="3" l="1"/>
  <c r="I22" i="3" s="1"/>
  <c r="I14" i="3" s="1"/>
  <c r="B14" i="3" s="1"/>
  <c r="C28" i="3"/>
  <c r="F14" i="3" s="1"/>
  <c r="D28" i="3"/>
  <c r="J22" i="3" s="1"/>
  <c r="E28" i="3"/>
  <c r="F28" i="3"/>
  <c r="B50" i="3"/>
  <c r="C50" i="3"/>
  <c r="D50" i="3"/>
  <c r="E50" i="3"/>
  <c r="F50" i="3"/>
  <c r="H25" i="4"/>
  <c r="K22" i="3" l="1"/>
  <c r="K14" i="3" s="1"/>
  <c r="E14" i="3" s="1"/>
  <c r="D22" i="3"/>
  <c r="J14" i="3"/>
  <c r="D14" i="3" s="1"/>
  <c r="B22" i="3"/>
  <c r="F22" i="3"/>
  <c r="E22" i="3" l="1"/>
  <c r="H26" i="4"/>
  <c r="H27" i="4" l="1"/>
  <c r="N5" i="3" l="1"/>
  <c r="M5" i="3" l="1"/>
  <c r="L5" i="3"/>
  <c r="K5" i="3"/>
  <c r="C43" i="3" l="1"/>
  <c r="C7" i="3"/>
  <c r="D41" i="3"/>
  <c r="D5" i="3"/>
  <c r="D43" i="3"/>
  <c r="D7" i="3"/>
  <c r="D40" i="3"/>
  <c r="D4" i="3"/>
</calcChain>
</file>

<file path=xl/sharedStrings.xml><?xml version="1.0" encoding="utf-8"?>
<sst xmlns="http://schemas.openxmlformats.org/spreadsheetml/2006/main" count="249" uniqueCount="144">
  <si>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</si>
  <si>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</si>
  <si>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</si>
  <si>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</si>
  <si>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</si>
  <si>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</si>
  <si>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</si>
  <si>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</si>
  <si>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</si>
  <si>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</si>
  <si>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</si>
  <si>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</si>
  <si>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</si>
  <si>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</si>
  <si>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</si>
  <si>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</si>
  <si>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</si>
  <si>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</si>
  <si>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</si>
  <si>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</si>
  <si>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</si>
  <si>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</si>
  <si>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</si>
  <si>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</si>
  <si>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</si>
  <si>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</si>
  <si>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</si>
  <si>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</si>
  <si>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</si>
  <si>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</si>
  <si>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</si>
  <si>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</si>
  <si>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</si>
  <si>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</si>
  <si>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</si>
  <si>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</si>
  <si>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</si>
  <si>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</si>
  <si>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</si>
  <si>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</si>
  <si>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</si>
  <si>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</si>
  <si>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</si>
  <si>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</si>
  <si>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</si>
  <si>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</si>
  <si>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</si>
  <si>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</si>
  <si>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</si>
  <si>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</si>
  <si>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</si>
  <si>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</si>
  <si>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</si>
  <si>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</si>
  <si>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</si>
  <si>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</si>
  <si>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</si>
  <si>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</si>
  <si>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</si>
  <si>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</si>
  <si>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</si>
  <si>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</si>
  <si>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</si>
  <si>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</si>
  <si>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</si>
  <si>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</si>
  <si>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</si>
  <si>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</si>
  <si>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</si>
  <si>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</si>
  <si>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</si>
  <si>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</si>
  <si>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</si>
  <si>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</si>
  <si>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</si>
  <si>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</si>
  <si>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</si>
  <si>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</si>
  <si>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</si>
  <si>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</si>
  <si>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</si>
  <si>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</si>
  <si>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</si>
  <si>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</si>
  <si>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</si>
  <si>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</si>
  <si>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</si>
  <si>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</si>
  <si>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</si>
  <si>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</si>
  <si>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</si>
  <si>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</si>
  <si>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</si>
  <si>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</si>
  <si>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</si>
  <si>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</si>
  <si>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</si>
  <si>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</si>
  <si>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</si>
  <si>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</si>
  <si>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</si>
  <si>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</si>
  <si>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</si>
  <si>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</si>
  <si>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</si>
  <si>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</si>
  <si>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</si>
  <si>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</si>
  <si>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</si>
  <si>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</si>
  <si>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</si>
  <si>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</si>
  <si>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</si>
  <si>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</si>
  <si>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</si>
  <si>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</si>
  <si>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</si>
  <si>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</si>
  <si>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</si>
  <si>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</si>
  <si>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</si>
  <si>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</si>
  <si>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</si>
  <si>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</si>
  <si>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</si>
  <si>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</si>
  <si>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</si>
  <si>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</si>
  <si>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</si>
  <si>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</si>
  <si>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</si>
  <si>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</si>
  <si>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</si>
  <si>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</si>
  <si>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</si>
  <si>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</si>
  <si>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</si>
  <si>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</si>
  <si>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</si>
  <si>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NO</t>
  </si>
  <si>
    <t>MDF18MM</t>
  </si>
  <si>
    <t>CUB C/R 90° R8</t>
  </si>
  <si>
    <t>N° 11691</t>
  </si>
  <si>
    <t>SHELL WHITE 22011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</si>
</sst>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15" fillId="0" borderId="2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44</xdr:row>
      <xdr:rowOff>171450</xdr:rowOff>
    </xdr:from>
    <xdr:to>
      <xdr:col>5</xdr:col>
      <xdr:colOff>1685924</xdr:colOff>
      <xdr:row>46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0</xdr:rowOff>
    </xdr:from>
    <xdr:to>
      <xdr:col>6</xdr:col>
      <xdr:colOff>0</xdr:colOff>
      <xdr:row>43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38100</xdr:rowOff>
    </xdr:from>
    <xdr:to>
      <xdr:col>6</xdr:col>
      <xdr:colOff>0</xdr:colOff>
      <xdr:row>41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53</xdr:row>
      <xdr:rowOff>0</xdr:rowOff>
    </xdr:from>
    <xdr:to>
      <xdr:col>2</xdr:col>
      <xdr:colOff>38100</xdr:colOff>
      <xdr:row>54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53</xdr:row>
      <xdr:rowOff>0</xdr:rowOff>
    </xdr:from>
    <xdr:to>
      <xdr:col>2</xdr:col>
      <xdr:colOff>1019175</xdr:colOff>
      <xdr:row>53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53</xdr:row>
      <xdr:rowOff>0</xdr:rowOff>
    </xdr:from>
    <xdr:to>
      <xdr:col>3</xdr:col>
      <xdr:colOff>352425</xdr:colOff>
      <xdr:row>54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53</xdr:row>
      <xdr:rowOff>0</xdr:rowOff>
    </xdr:from>
    <xdr:to>
      <xdr:col>4</xdr:col>
      <xdr:colOff>257175</xdr:colOff>
      <xdr:row>54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53</xdr:row>
      <xdr:rowOff>0</xdr:rowOff>
    </xdr:from>
    <xdr:to>
      <xdr:col>5</xdr:col>
      <xdr:colOff>447675</xdr:colOff>
      <xdr:row>53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53</xdr:row>
      <xdr:rowOff>0</xdr:rowOff>
    </xdr:from>
    <xdr:to>
      <xdr:col>6</xdr:col>
      <xdr:colOff>0</xdr:colOff>
      <xdr:row>53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53</xdr:row>
      <xdr:rowOff>190500</xdr:rowOff>
    </xdr:from>
    <xdr:to>
      <xdr:col>2</xdr:col>
      <xdr:colOff>304800</xdr:colOff>
      <xdr:row>55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53</xdr:row>
      <xdr:rowOff>190500</xdr:rowOff>
    </xdr:from>
    <xdr:to>
      <xdr:col>2</xdr:col>
      <xdr:colOff>1276350</xdr:colOff>
      <xdr:row>55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53</xdr:row>
      <xdr:rowOff>190500</xdr:rowOff>
    </xdr:from>
    <xdr:to>
      <xdr:col>3</xdr:col>
      <xdr:colOff>619125</xdr:colOff>
      <xdr:row>55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53</xdr:row>
      <xdr:rowOff>190500</xdr:rowOff>
    </xdr:from>
    <xdr:to>
      <xdr:col>4</xdr:col>
      <xdr:colOff>523875</xdr:colOff>
      <xdr:row>55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53</xdr:row>
      <xdr:rowOff>190500</xdr:rowOff>
    </xdr:from>
    <xdr:to>
      <xdr:col>5</xdr:col>
      <xdr:colOff>723900</xdr:colOff>
      <xdr:row>55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53</xdr:row>
      <xdr:rowOff>190500</xdr:rowOff>
    </xdr:from>
    <xdr:to>
      <xdr:col>6</xdr:col>
      <xdr:colOff>0</xdr:colOff>
      <xdr:row>55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31</xdr:row>
      <xdr:rowOff>15239</xdr:rowOff>
    </xdr:from>
    <xdr:to>
      <xdr:col>6</xdr:col>
      <xdr:colOff>68580</xdr:colOff>
      <xdr:row>35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56</xdr:row>
      <xdr:rowOff>32385</xdr:rowOff>
    </xdr:from>
    <xdr:to>
      <xdr:col>6</xdr:col>
      <xdr:colOff>19050</xdr:colOff>
      <xdr:row>60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38</xdr:row>
      <xdr:rowOff>41910</xdr:rowOff>
    </xdr:from>
    <xdr:to>
      <xdr:col>1</xdr:col>
      <xdr:colOff>565543</xdr:colOff>
      <xdr:row>44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544588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abSelected="1" workbookViewId="0">
      <selection activeCell="J15" sqref="J15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142</v>
      </c>
      <c r="E8" s="1"/>
      <c r="F8" s="93" t="s">
        <v>27</v>
      </c>
      <c r="G8" s="94">
        <v>7296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133</v>
      </c>
      <c r="D10" s="55"/>
      <c r="E10" s="55"/>
      <c r="F10" s="56" t="s">
        <v>28</v>
      </c>
      <c r="G10" s="57">
        <v>45943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134</v>
      </c>
      <c r="D11" s="60"/>
      <c r="E11" s="60"/>
      <c r="F11" s="60" t="s">
        <v>124</v>
      </c>
      <c r="G11" s="61">
        <v>45944</v>
      </c>
      <c r="H11" s="62"/>
      <c r="I11" s="1"/>
    </row>
    <row r="12" spans="1:17" ht="16.2" thickBot="1" x14ac:dyDescent="0.35">
      <c r="A12" s="1"/>
      <c r="B12" s="63" t="s">
        <v>130</v>
      </c>
      <c r="C12" t="s">
        <v>135</v>
      </c>
      <c r="D12" s="43"/>
      <c r="E12" s="43"/>
      <c r="F12" s="43" t="s">
        <v>30</v>
      </c>
      <c r="G12" s="64">
        <v>23412</v>
      </c>
      <c r="H12" s="65"/>
      <c r="I12" s="1"/>
    </row>
    <row r="13" spans="1:17" ht="15.6" x14ac:dyDescent="0.3">
      <c r="A13" s="1"/>
      <c r="B13" s="63" t="s">
        <v>132</v>
      </c>
      <c r="C13" s="86" t="s">
        <v>137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4">
        <v>56998844786</v>
      </c>
      <c r="D14" s="66"/>
      <c r="E14" s="60"/>
      <c r="F14" s="60" t="s">
        <v>29</v>
      </c>
      <c r="G14" s="60" t="s">
        <v>139</v>
      </c>
      <c r="H14" s="62"/>
      <c r="I14" s="1"/>
    </row>
    <row r="15" spans="1:17" ht="15.6" x14ac:dyDescent="0.3">
      <c r="A15" s="1"/>
      <c r="B15" s="63" t="s">
        <v>1</v>
      </c>
      <c r="C15" s="100" t="s">
        <v>136</v>
      </c>
      <c r="D15" s="43"/>
      <c r="E15" s="43"/>
      <c r="F15" s="67" t="s">
        <v>75</v>
      </c>
      <c r="G15" s="67" t="s">
        <v>138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11" t="s">
        <v>18</v>
      </c>
      <c r="G16" s="111"/>
      <c r="H16" s="112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3" t="s">
        <v>19</v>
      </c>
      <c r="C19" s="114"/>
      <c r="D19" s="114"/>
      <c r="E19" s="114"/>
      <c r="F19" s="114"/>
      <c r="G19" s="114"/>
      <c r="H19" s="115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5">
        <v>2</v>
      </c>
      <c r="C21" s="105" t="s">
        <v>141</v>
      </c>
      <c r="D21" s="108">
        <v>1900</v>
      </c>
      <c r="E21" s="108">
        <v>800</v>
      </c>
      <c r="F21" s="105" t="s">
        <v>143</v>
      </c>
      <c r="G21" s="106">
        <v>82265</v>
      </c>
      <c r="H21" s="106">
        <f t="shared" ref="H21" si="0">G21*B21</f>
        <v>164530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5">
        <v>2</v>
      </c>
      <c r="C22" s="105" t="s">
        <v>141</v>
      </c>
      <c r="D22" s="108">
        <v>1500</v>
      </c>
      <c r="E22" s="108">
        <v>800</v>
      </c>
      <c r="F22" s="105" t="s">
        <v>143</v>
      </c>
      <c r="G22" s="106">
        <v>66252</v>
      </c>
      <c r="H22" s="106">
        <f t="shared" ref="H22" si="1">G22*B22</f>
        <v>132504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6"/>
      <c r="C23" s="96"/>
      <c r="D23" s="96"/>
      <c r="E23" s="96"/>
      <c r="F23" s="97"/>
      <c r="G23" s="98"/>
      <c r="H23" s="98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SUM(H21:H24)</f>
        <v>297034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56436.46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353470.46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99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6" t="s">
        <v>31</v>
      </c>
      <c r="C2" s="116"/>
      <c r="D2" s="116"/>
      <c r="E2" s="18"/>
      <c r="G2" s="116" t="s">
        <v>70</v>
      </c>
      <c r="H2" s="116"/>
      <c r="I2" s="116"/>
      <c r="P2" s="117" t="s">
        <v>58</v>
      </c>
      <c r="Q2" s="117"/>
      <c r="R2" s="117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7" t="s">
        <v>58</v>
      </c>
      <c r="M8" s="117"/>
      <c r="N8" s="117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4"/>
  <sheetViews>
    <sheetView topLeftCell="A2" zoomScaleNormal="100" workbookViewId="0">
      <selection activeCell="J20" sqref="J20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8" t="s">
        <v>61</v>
      </c>
      <c r="L3" s="118"/>
      <c r="M3" s="118" t="s">
        <v>14</v>
      </c>
      <c r="N3" s="118"/>
    </row>
    <row r="4" spans="1:14" ht="15.75" customHeight="1" x14ac:dyDescent="0.3">
      <c r="A4" s="1"/>
      <c r="B4" s="1"/>
      <c r="C4" s="40" t="s">
        <v>27</v>
      </c>
      <c r="D4" s="14">
        <f>'4637'!G8</f>
        <v>7296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45944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9" t="s">
        <v>61</v>
      </c>
      <c r="B10" s="119"/>
      <c r="C10" s="119"/>
      <c r="D10" s="119"/>
      <c r="E10" s="119"/>
      <c r="F10" s="119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140</v>
      </c>
      <c r="B14" s="25">
        <f t="shared" ref="B14" si="0">I14</f>
        <v>2</v>
      </c>
      <c r="C14" s="25"/>
      <c r="D14" s="25">
        <f>J14+80</f>
        <v>1980</v>
      </c>
      <c r="E14" s="35">
        <f>K14+E$13</f>
        <v>770</v>
      </c>
      <c r="F14" s="102" t="str">
        <f>C28</f>
        <v>CUB C/R 90° R8</v>
      </c>
      <c r="G14" s="1"/>
      <c r="I14" s="89">
        <f t="shared" ref="I14:K15" si="1">I22</f>
        <v>2</v>
      </c>
      <c r="J14" s="4">
        <f t="shared" si="1"/>
        <v>1900</v>
      </c>
      <c r="K14" s="4">
        <f t="shared" si="1"/>
        <v>800</v>
      </c>
    </row>
    <row r="15" spans="1:14" ht="15.6" x14ac:dyDescent="0.3">
      <c r="A15" s="95"/>
      <c r="B15" s="25">
        <f t="shared" ref="B15" si="2">I15</f>
        <v>2</v>
      </c>
      <c r="C15" s="25"/>
      <c r="D15" s="25">
        <f>J15+80</f>
        <v>1580</v>
      </c>
      <c r="E15" s="35">
        <f>K15+E$13</f>
        <v>770</v>
      </c>
      <c r="F15" s="102" t="str">
        <f>C29</f>
        <v>CUB C/R 90° R8</v>
      </c>
      <c r="G15" s="1"/>
      <c r="I15" s="89">
        <f t="shared" si="1"/>
        <v>2</v>
      </c>
      <c r="J15" s="4">
        <f t="shared" si="1"/>
        <v>1500</v>
      </c>
      <c r="K15" s="4">
        <f t="shared" si="1"/>
        <v>800</v>
      </c>
    </row>
    <row r="16" spans="1:14" ht="15.6" x14ac:dyDescent="0.3">
      <c r="A16" s="52"/>
      <c r="B16" s="6"/>
      <c r="C16" s="6"/>
      <c r="D16" s="6"/>
      <c r="E16" s="110"/>
      <c r="F16" s="6"/>
      <c r="G16" s="1"/>
      <c r="I16" s="89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19" t="s">
        <v>14</v>
      </c>
      <c r="B18" s="119"/>
      <c r="C18" s="119"/>
      <c r="D18" s="119"/>
      <c r="E18" s="119"/>
      <c r="F18" s="119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130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5"/>
      <c r="B22" s="16">
        <f t="shared" ref="B22" si="3">I22</f>
        <v>2</v>
      </c>
      <c r="C22" s="16"/>
      <c r="D22" s="16">
        <f>J22+D$21</f>
        <v>1940</v>
      </c>
      <c r="E22" s="16">
        <f>K22+E$21</f>
        <v>930</v>
      </c>
      <c r="F22" s="103" t="str">
        <f>C28</f>
        <v>CUB C/R 90° R8</v>
      </c>
      <c r="G22" s="1"/>
      <c r="I22" s="3">
        <f>B28</f>
        <v>2</v>
      </c>
      <c r="J22" s="4">
        <f>D28</f>
        <v>1900</v>
      </c>
      <c r="K22" s="4">
        <f t="shared" ref="K22" si="4">E28</f>
        <v>800</v>
      </c>
    </row>
    <row r="23" spans="1:11" ht="15.6" x14ac:dyDescent="0.3">
      <c r="A23" s="95"/>
      <c r="B23" s="16">
        <f t="shared" ref="B23" si="5">I23</f>
        <v>2</v>
      </c>
      <c r="C23" s="16"/>
      <c r="D23" s="16">
        <f>J23+D$21</f>
        <v>1540</v>
      </c>
      <c r="E23" s="16">
        <f>K23+E$21</f>
        <v>930</v>
      </c>
      <c r="F23" s="103" t="str">
        <f>C29</f>
        <v>CUB C/R 90° R8</v>
      </c>
      <c r="G23" s="1"/>
      <c r="I23" s="3">
        <f>B29</f>
        <v>2</v>
      </c>
      <c r="J23" s="4">
        <f>D29</f>
        <v>1500</v>
      </c>
      <c r="K23" s="4">
        <f t="shared" ref="K23" si="6">E29</f>
        <v>800</v>
      </c>
    </row>
    <row r="24" spans="1:11" ht="16.2" thickBot="1" x14ac:dyDescent="0.35">
      <c r="A24" s="52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2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2" t="s">
        <v>9</v>
      </c>
      <c r="B27" s="88" t="s">
        <v>10</v>
      </c>
      <c r="C27" s="88" t="s">
        <v>110</v>
      </c>
      <c r="D27" s="88" t="s">
        <v>7</v>
      </c>
      <c r="E27" s="88" t="s">
        <v>8</v>
      </c>
      <c r="F27" s="88" t="s">
        <v>23</v>
      </c>
      <c r="G27" s="1"/>
    </row>
    <row r="28" spans="1:11" ht="15.6" x14ac:dyDescent="0.3">
      <c r="A28" s="95" t="s">
        <v>140</v>
      </c>
      <c r="B28" s="25">
        <f>'4637'!B21</f>
        <v>2</v>
      </c>
      <c r="C28" s="102" t="str">
        <f>'4637'!C21</f>
        <v>CUB C/R 90° R8</v>
      </c>
      <c r="D28" s="25">
        <f>'4637'!D21</f>
        <v>1900</v>
      </c>
      <c r="E28" s="25">
        <f>'4637'!E21</f>
        <v>800</v>
      </c>
      <c r="F28" s="25" t="str">
        <f>'4637'!F21</f>
        <v>SHELL WHITE 22011 SF</v>
      </c>
      <c r="G28" s="1"/>
    </row>
    <row r="29" spans="1:11" ht="15.6" x14ac:dyDescent="0.3">
      <c r="A29" s="95"/>
      <c r="B29" s="25">
        <f>'4637'!B22</f>
        <v>2</v>
      </c>
      <c r="C29" s="102" t="str">
        <f>'4637'!C22</f>
        <v>CUB C/R 90° R8</v>
      </c>
      <c r="D29" s="25">
        <f>'4637'!D22</f>
        <v>1500</v>
      </c>
      <c r="E29" s="25">
        <f>'4637'!E22</f>
        <v>800</v>
      </c>
      <c r="F29" s="25" t="str">
        <f>'4637'!F22</f>
        <v>SHELL WHITE 22011 SF</v>
      </c>
      <c r="G29" s="1"/>
    </row>
    <row r="30" spans="1:11" ht="15.6" x14ac:dyDescent="0.3">
      <c r="A30" s="95"/>
      <c r="B30" s="6"/>
      <c r="C30" s="107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1"/>
      <c r="C39" s="1"/>
      <c r="D39" s="1"/>
      <c r="E39" s="1"/>
      <c r="F39" s="1"/>
      <c r="G39" s="1"/>
    </row>
    <row r="40" spans="1:7" ht="15.6" x14ac:dyDescent="0.3">
      <c r="A40" s="1"/>
      <c r="B40" s="1"/>
      <c r="C40" s="40" t="s">
        <v>27</v>
      </c>
      <c r="D40" s="14">
        <f>'4637'!G8</f>
        <v>7296</v>
      </c>
      <c r="E40" s="1"/>
      <c r="F40" s="1"/>
      <c r="G40" s="1"/>
    </row>
    <row r="41" spans="1:7" ht="17.25" customHeight="1" x14ac:dyDescent="0.3">
      <c r="A41" s="1"/>
      <c r="B41" s="1"/>
      <c r="C41" s="41" t="s">
        <v>67</v>
      </c>
      <c r="D41" s="42" t="str">
        <f>'4637'!C10</f>
        <v>MUEBLES ASENJO LTDA.</v>
      </c>
      <c r="E41" s="43"/>
      <c r="F41" s="43"/>
      <c r="G41" s="1"/>
    </row>
    <row r="42" spans="1:7" ht="4.5" customHeight="1" x14ac:dyDescent="0.3">
      <c r="A42" s="1"/>
      <c r="B42" s="1"/>
      <c r="C42" s="44"/>
      <c r="D42" s="45"/>
      <c r="E42" s="1"/>
      <c r="F42" s="1"/>
      <c r="G42" s="1"/>
    </row>
    <row r="43" spans="1:7" ht="15.6" x14ac:dyDescent="0.3">
      <c r="A43" s="1"/>
      <c r="B43" s="1"/>
      <c r="C43" s="46" t="str">
        <f>'4637'!F11</f>
        <v>FECHA LIMITE :</v>
      </c>
      <c r="D43" s="13">
        <f>'4637'!G11</f>
        <v>45944</v>
      </c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19" t="s">
        <v>68</v>
      </c>
      <c r="B46" s="119"/>
      <c r="C46" s="119"/>
      <c r="D46" s="119"/>
      <c r="E46" s="119"/>
      <c r="F46" s="119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75" customHeight="1" x14ac:dyDescent="0.3">
      <c r="A48" s="1"/>
      <c r="B48" s="120" t="s">
        <v>69</v>
      </c>
      <c r="C48" s="121"/>
      <c r="D48" s="122"/>
      <c r="E48" s="122"/>
      <c r="F48" s="123"/>
      <c r="G48" s="1"/>
    </row>
    <row r="49" spans="1:7" s="15" customFormat="1" ht="12.75" customHeight="1" x14ac:dyDescent="0.3">
      <c r="A49" s="1"/>
      <c r="B49" s="36" t="s">
        <v>10</v>
      </c>
      <c r="C49" s="47" t="s">
        <v>11</v>
      </c>
      <c r="D49" s="48" t="s">
        <v>7</v>
      </c>
      <c r="E49" s="48" t="s">
        <v>8</v>
      </c>
      <c r="F49" s="49" t="s">
        <v>12</v>
      </c>
      <c r="G49" s="1"/>
    </row>
    <row r="50" spans="1:7" s="15" customFormat="1" ht="15" customHeight="1" x14ac:dyDescent="0.3">
      <c r="A50" s="95" t="s">
        <v>140</v>
      </c>
      <c r="B50" s="38">
        <f>'4637'!B21</f>
        <v>2</v>
      </c>
      <c r="C50" s="101" t="str">
        <f>'4637'!C21</f>
        <v>CUB C/R 90° R8</v>
      </c>
      <c r="D50" s="39">
        <f>'4637'!D21</f>
        <v>1900</v>
      </c>
      <c r="E50" s="39">
        <f>'4637'!E21</f>
        <v>800</v>
      </c>
      <c r="F50" s="38" t="str">
        <f>'4637'!F21</f>
        <v>SHELL WHITE 22011 SF</v>
      </c>
      <c r="G50" s="1"/>
    </row>
    <row r="51" spans="1:7" s="15" customFormat="1" ht="15" customHeight="1" x14ac:dyDescent="0.3">
      <c r="A51" s="95"/>
      <c r="B51" s="38">
        <f>'4637'!B22</f>
        <v>2</v>
      </c>
      <c r="C51" s="101" t="str">
        <f>'4637'!C22</f>
        <v>CUB C/R 90° R8</v>
      </c>
      <c r="D51" s="39">
        <f>'4637'!D22</f>
        <v>1500</v>
      </c>
      <c r="E51" s="39">
        <f>'4637'!E22</f>
        <v>800</v>
      </c>
      <c r="F51" s="38" t="str">
        <f>'4637'!F22</f>
        <v>SHELL WHITE 22011 SF</v>
      </c>
      <c r="G51" s="1"/>
    </row>
    <row r="52" spans="1:7" s="15" customFormat="1" ht="15" customHeight="1" x14ac:dyDescent="0.3">
      <c r="B52" s="52"/>
      <c r="C52" s="109"/>
      <c r="D52" s="52"/>
      <c r="E52" s="52"/>
      <c r="F52" s="52"/>
      <c r="G52" s="1"/>
    </row>
    <row r="53" spans="1:7" s="15" customFormat="1" ht="15" customHeight="1" x14ac:dyDescent="0.3">
      <c r="A53" s="50"/>
      <c r="B53" s="52"/>
      <c r="C53" s="52"/>
      <c r="D53" s="52"/>
      <c r="E53" s="52"/>
      <c r="F53" s="52"/>
      <c r="G53" s="1"/>
    </row>
    <row r="54" spans="1:7" ht="15.6" x14ac:dyDescent="0.3">
      <c r="A54" s="6"/>
      <c r="B54" s="6"/>
      <c r="C54" s="1"/>
      <c r="D54" s="6"/>
      <c r="E54" s="6"/>
      <c r="F54" s="44"/>
      <c r="G54" s="1"/>
    </row>
    <row r="55" spans="1:7" ht="15.6" x14ac:dyDescent="0.3">
      <c r="A55" s="6"/>
      <c r="B55" s="6"/>
      <c r="C55" s="1"/>
      <c r="D55" s="6"/>
      <c r="E55" s="6"/>
      <c r="F55" s="6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" customHeight="1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6"/>
      <c r="B61" s="5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x14ac:dyDescent="0.3">
      <c r="B63" s="20"/>
      <c r="C63" s="20"/>
      <c r="D63" s="20"/>
      <c r="E63" s="20"/>
      <c r="F63" s="20"/>
    </row>
    <row r="64" spans="1:7" x14ac:dyDescent="0.3">
      <c r="B64" s="20"/>
      <c r="C64" s="20"/>
      <c r="E64" s="20"/>
      <c r="F64" s="20"/>
    </row>
  </sheetData>
  <mergeCells count="6">
    <mergeCell ref="M3:N3"/>
    <mergeCell ref="A18:F18"/>
    <mergeCell ref="A10:F10"/>
    <mergeCell ref="A46:F46"/>
    <mergeCell ref="B48:F48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2025-10-08T20:40:04Z</cp:lastPrinted>
  <dcterms:created xsi:type="dcterms:W3CDTF">2013-03-19T12:54:14Z</dcterms:created>
  <dcterms:modified xsi:type="dcterms:W3CDTF">2025-10-13T11:18:56Z</dcterms:modified>
</cp:coreProperties>
</file>