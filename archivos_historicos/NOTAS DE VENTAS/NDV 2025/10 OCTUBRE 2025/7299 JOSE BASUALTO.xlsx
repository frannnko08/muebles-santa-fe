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0 OCTUBRE 2025\"/>
    </mc:Choice>
  </mc:AlternateContent>
  <xr:revisionPtr revIDLastSave="0" documentId="13_ncr:1_{452F2E63-A59B-430E-8F6C-5518AA320D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'4637'!$A$1:$H$53</definedName>
    <definedName name="_xlnm.Print_Area" localSheetId="2">CUBIERTA!$A$68:$F$99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3" l="1"/>
  <c r="E15" i="3" s="1"/>
  <c r="J16" i="3"/>
  <c r="D16" i="3" s="1"/>
  <c r="F17" i="3"/>
  <c r="J17" i="3"/>
  <c r="D17" i="3" s="1"/>
  <c r="I18" i="3"/>
  <c r="B18" i="3" s="1"/>
  <c r="J18" i="3"/>
  <c r="D18" i="3" s="1"/>
  <c r="I19" i="3"/>
  <c r="B19" i="3" s="1"/>
  <c r="J20" i="3"/>
  <c r="D20" i="3" s="1"/>
  <c r="F21" i="3"/>
  <c r="J21" i="3"/>
  <c r="D21" i="3" s="1"/>
  <c r="I22" i="3"/>
  <c r="B22" i="3" s="1"/>
  <c r="J22" i="3"/>
  <c r="D22" i="3" s="1"/>
  <c r="I23" i="3"/>
  <c r="B23" i="3" s="1"/>
  <c r="J24" i="3"/>
  <c r="B49" i="3"/>
  <c r="I32" i="3" s="1"/>
  <c r="B32" i="3" s="1"/>
  <c r="C49" i="3"/>
  <c r="F32" i="3" s="1"/>
  <c r="D49" i="3"/>
  <c r="J32" i="3" s="1"/>
  <c r="D32" i="3" s="1"/>
  <c r="E49" i="3"/>
  <c r="K32" i="3" s="1"/>
  <c r="E32" i="3" s="1"/>
  <c r="F49" i="3"/>
  <c r="B50" i="3"/>
  <c r="I33" i="3" s="1"/>
  <c r="B33" i="3" s="1"/>
  <c r="C50" i="3"/>
  <c r="F33" i="3" s="1"/>
  <c r="D50" i="3"/>
  <c r="J33" i="3" s="1"/>
  <c r="D33" i="3" s="1"/>
  <c r="E50" i="3"/>
  <c r="K33" i="3" s="1"/>
  <c r="E33" i="3" s="1"/>
  <c r="F50" i="3"/>
  <c r="B51" i="3"/>
  <c r="I34" i="3" s="1"/>
  <c r="B34" i="3" s="1"/>
  <c r="C51" i="3"/>
  <c r="F34" i="3" s="1"/>
  <c r="D51" i="3"/>
  <c r="J34" i="3" s="1"/>
  <c r="D34" i="3" s="1"/>
  <c r="E51" i="3"/>
  <c r="K34" i="3" s="1"/>
  <c r="E34" i="3" s="1"/>
  <c r="F51" i="3"/>
  <c r="B52" i="3"/>
  <c r="I35" i="3" s="1"/>
  <c r="B35" i="3" s="1"/>
  <c r="C52" i="3"/>
  <c r="F35" i="3" s="1"/>
  <c r="D52" i="3"/>
  <c r="J35" i="3" s="1"/>
  <c r="D35" i="3" s="1"/>
  <c r="E52" i="3"/>
  <c r="K35" i="3" s="1"/>
  <c r="E35" i="3" s="1"/>
  <c r="F52" i="3"/>
  <c r="B53" i="3"/>
  <c r="I36" i="3" s="1"/>
  <c r="B36" i="3" s="1"/>
  <c r="C53" i="3"/>
  <c r="F36" i="3" s="1"/>
  <c r="D53" i="3"/>
  <c r="J36" i="3" s="1"/>
  <c r="D36" i="3" s="1"/>
  <c r="E53" i="3"/>
  <c r="K36" i="3" s="1"/>
  <c r="E36" i="3" s="1"/>
  <c r="F53" i="3"/>
  <c r="B54" i="3"/>
  <c r="I37" i="3" s="1"/>
  <c r="B37" i="3" s="1"/>
  <c r="C54" i="3"/>
  <c r="F37" i="3" s="1"/>
  <c r="D54" i="3"/>
  <c r="J37" i="3" s="1"/>
  <c r="D37" i="3" s="1"/>
  <c r="E54" i="3"/>
  <c r="K37" i="3" s="1"/>
  <c r="E37" i="3" s="1"/>
  <c r="F54" i="3"/>
  <c r="B55" i="3"/>
  <c r="I38" i="3" s="1"/>
  <c r="B38" i="3" s="1"/>
  <c r="C55" i="3"/>
  <c r="F38" i="3" s="1"/>
  <c r="D55" i="3"/>
  <c r="J38" i="3" s="1"/>
  <c r="D38" i="3" s="1"/>
  <c r="E55" i="3"/>
  <c r="K38" i="3" s="1"/>
  <c r="E38" i="3" s="1"/>
  <c r="F55" i="3"/>
  <c r="B56" i="3"/>
  <c r="I39" i="3" s="1"/>
  <c r="B39" i="3" s="1"/>
  <c r="C56" i="3"/>
  <c r="F39" i="3" s="1"/>
  <c r="D56" i="3"/>
  <c r="J39" i="3" s="1"/>
  <c r="D39" i="3" s="1"/>
  <c r="E56" i="3"/>
  <c r="K39" i="3" s="1"/>
  <c r="E39" i="3" s="1"/>
  <c r="F56" i="3"/>
  <c r="B57" i="3"/>
  <c r="I40" i="3" s="1"/>
  <c r="B40" i="3" s="1"/>
  <c r="C57" i="3"/>
  <c r="F40" i="3" s="1"/>
  <c r="D57" i="3"/>
  <c r="J40" i="3" s="1"/>
  <c r="D40" i="3" s="1"/>
  <c r="E57" i="3"/>
  <c r="K40" i="3" s="1"/>
  <c r="K23" i="3" s="1"/>
  <c r="F57" i="3"/>
  <c r="B58" i="3"/>
  <c r="I41" i="3" s="1"/>
  <c r="B41" i="3" s="1"/>
  <c r="C58" i="3"/>
  <c r="F41" i="3" s="1"/>
  <c r="D58" i="3"/>
  <c r="J41" i="3" s="1"/>
  <c r="D41" i="3" s="1"/>
  <c r="E58" i="3"/>
  <c r="K41" i="3" s="1"/>
  <c r="K24" i="3" s="1"/>
  <c r="F58" i="3"/>
  <c r="B59" i="3"/>
  <c r="C59" i="3"/>
  <c r="D59" i="3"/>
  <c r="E59" i="3"/>
  <c r="F59" i="3"/>
  <c r="B81" i="3"/>
  <c r="C81" i="3"/>
  <c r="D81" i="3"/>
  <c r="E81" i="3"/>
  <c r="F81" i="3"/>
  <c r="B82" i="3"/>
  <c r="C82" i="3"/>
  <c r="D82" i="3"/>
  <c r="E82" i="3"/>
  <c r="F82" i="3"/>
  <c r="B83" i="3"/>
  <c r="C83" i="3"/>
  <c r="D83" i="3"/>
  <c r="E83" i="3"/>
  <c r="F83" i="3"/>
  <c r="B84" i="3"/>
  <c r="C84" i="3"/>
  <c r="D84" i="3"/>
  <c r="E84" i="3"/>
  <c r="F84" i="3"/>
  <c r="B85" i="3"/>
  <c r="C85" i="3"/>
  <c r="D85" i="3"/>
  <c r="E85" i="3"/>
  <c r="F85" i="3"/>
  <c r="B86" i="3"/>
  <c r="C86" i="3"/>
  <c r="D86" i="3"/>
  <c r="E86" i="3"/>
  <c r="F86" i="3"/>
  <c r="B87" i="3"/>
  <c r="C87" i="3"/>
  <c r="D87" i="3"/>
  <c r="E87" i="3"/>
  <c r="F87" i="3"/>
  <c r="B88" i="3"/>
  <c r="C88" i="3"/>
  <c r="D88" i="3"/>
  <c r="E88" i="3"/>
  <c r="F88" i="3"/>
  <c r="B89" i="3"/>
  <c r="C89" i="3"/>
  <c r="D89" i="3"/>
  <c r="E89" i="3"/>
  <c r="F89" i="3"/>
  <c r="B90" i="3"/>
  <c r="C90" i="3"/>
  <c r="D90" i="3"/>
  <c r="E90" i="3"/>
  <c r="F90" i="3"/>
  <c r="B91" i="3"/>
  <c r="C91" i="3"/>
  <c r="D91" i="3"/>
  <c r="E91" i="3"/>
  <c r="F91" i="3"/>
  <c r="H35" i="4"/>
  <c r="H36" i="4" s="1"/>
  <c r="H34" i="4"/>
  <c r="H32" i="4"/>
  <c r="H31" i="4"/>
  <c r="H30" i="4"/>
  <c r="H29" i="4"/>
  <c r="H28" i="4"/>
  <c r="H27" i="4"/>
  <c r="H26" i="4"/>
  <c r="H25" i="4"/>
  <c r="H24" i="4"/>
  <c r="H23" i="4"/>
  <c r="H22" i="4"/>
  <c r="H21" i="4"/>
  <c r="J23" i="3" l="1"/>
  <c r="J19" i="3"/>
  <c r="D19" i="3" s="1"/>
  <c r="I24" i="3"/>
  <c r="B24" i="3" s="1"/>
  <c r="I21" i="3"/>
  <c r="B21" i="3" s="1"/>
  <c r="I20" i="3"/>
  <c r="B20" i="3" s="1"/>
  <c r="I17" i="3"/>
  <c r="B17" i="3" s="1"/>
  <c r="I16" i="3"/>
  <c r="B16" i="3" s="1"/>
  <c r="J15" i="3"/>
  <c r="D15" i="3" s="1"/>
  <c r="F24" i="3"/>
  <c r="F23" i="3"/>
  <c r="F22" i="3"/>
  <c r="F20" i="3"/>
  <c r="F19" i="3"/>
  <c r="F18" i="3"/>
  <c r="F16" i="3"/>
  <c r="I15" i="3"/>
  <c r="B15" i="3" s="1"/>
  <c r="K22" i="3"/>
  <c r="E22" i="3" s="1"/>
  <c r="K21" i="3"/>
  <c r="E21" i="3" s="1"/>
  <c r="K20" i="3"/>
  <c r="E20" i="3" s="1"/>
  <c r="K19" i="3"/>
  <c r="E19" i="3" s="1"/>
  <c r="K18" i="3"/>
  <c r="E18" i="3" s="1"/>
  <c r="K17" i="3"/>
  <c r="E17" i="3" s="1"/>
  <c r="K16" i="3"/>
  <c r="E16" i="3" s="1"/>
  <c r="F15" i="3"/>
  <c r="B48" i="3"/>
  <c r="I31" i="3" s="1"/>
  <c r="I14" i="3" s="1"/>
  <c r="B14" i="3" s="1"/>
  <c r="C48" i="3"/>
  <c r="F14" i="3" s="1"/>
  <c r="D48" i="3"/>
  <c r="J31" i="3" s="1"/>
  <c r="D31" i="3" s="1"/>
  <c r="E48" i="3"/>
  <c r="F48" i="3"/>
  <c r="B80" i="3"/>
  <c r="C80" i="3"/>
  <c r="D80" i="3"/>
  <c r="E80" i="3"/>
  <c r="F80" i="3"/>
  <c r="H47" i="4"/>
  <c r="K31" i="3" l="1"/>
  <c r="J14" i="3"/>
  <c r="D14" i="3" s="1"/>
  <c r="B31" i="3"/>
  <c r="F31" i="3"/>
  <c r="K14" i="3" l="1"/>
  <c r="E14" i="3" s="1"/>
  <c r="E31" i="3"/>
  <c r="H48" i="4"/>
  <c r="H49" i="4" l="1"/>
  <c r="N5" i="3" l="1"/>
  <c r="M5" i="3" l="1"/>
  <c r="L5" i="3"/>
  <c r="K5" i="3"/>
  <c r="C73" i="3" l="1"/>
  <c r="C7" i="3"/>
  <c r="D71" i="3"/>
  <c r="D5" i="3"/>
  <c r="D73" i="3"/>
  <c r="D7" i="3"/>
  <c r="D70" i="3"/>
  <c r="D4" i="3"/>
</calcChain>
</file>

<file path=xl/sharedStrings.xml><?xml version="1.0" encoding="utf-8"?>
<sst xmlns="http://schemas.openxmlformats.org/spreadsheetml/2006/main" count="273" uniqueCount="150">
  <si>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</si>
  <si>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</si>
  <si>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</si>
  <si>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</si>
  <si>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</si>
  <si>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</si>
  <si>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</si>
  <si>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</si>
  <si>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</si>
  <si>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</si>
  <si>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</si>
  <si>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</si>
  <si>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</si>
  <si>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</si>
  <si>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</si>
  <si>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</si>
  <si>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</si>
  <si>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</si>
  <si>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</si>
  <si>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</si>
  <si>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</si>
  <si>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</si>
  <si>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</si>
  <si>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</si>
  <si>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</si>
  <si>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</si>
  <si>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</si>
  <si>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</si>
  <si>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</si>
  <si>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</si>
  <si>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</si>
  <si>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</si>
  <si>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</si>
  <si>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</si>
  <si>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</si>
  <si>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</si>
  <si>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</si>
  <si>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</si>
  <si>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</si>
  <si>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</si>
  <si>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</si>
  <si>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</si>
  <si>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</si>
  <si>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</si>
  <si>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</si>
  <si>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</si>
  <si>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</si>
  <si>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</si>
  <si>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</si>
  <si>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</si>
  <si>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</si>
  <si>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</si>
  <si>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</si>
  <si>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</si>
  <si>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</si>
  <si>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</si>
  <si>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</si>
  <si>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</si>
  <si>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</si>
  <si>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</si>
  <si>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</si>
  <si>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</si>
  <si>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</si>
  <si>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</si>
  <si>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</si>
  <si>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</si>
  <si>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</si>
  <si>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</si>
  <si>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</si>
  <si>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</si>
  <si>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</si>
  <si>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</si>
  <si>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</si>
  <si>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</si>
  <si>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</si>
  <si>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</si>
  <si>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</si>
  <si>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</si>
  <si>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</si>
  <si>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</si>
  <si>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</si>
  <si>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</si>
  <si>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</si>
  <si>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</si>
  <si>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</si>
  <si>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</si>
  <si>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</si>
  <si>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</si>
  <si>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</si>
  <si>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</si>
  <si>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</si>
  <si>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</si>
  <si>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</si>
  <si>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</si>
  <si>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</si>
  <si>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</si>
  <si>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</si>
  <si>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</si>
  <si>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</si>
  <si>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</si>
  <si>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</si>
  <si>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</si>
  <si>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</si>
  <si>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</si>
  <si>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</si>
  <si>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</si>
  <si>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</si>
  <si>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</si>
  <si>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</si>
  <si>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</si>
  <si>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</si>
  <si>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</si>
  <si>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</si>
  <si>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</si>
  <si>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</si>
  <si>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</si>
  <si>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</si>
  <si>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</si>
  <si>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</si>
  <si>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</si>
  <si>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</si>
  <si>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</si>
  <si>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</si>
  <si>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</si>
  <si>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</si>
  <si>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</si>
  <si>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</si>
  <si>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</si>
  <si>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</si>
  <si>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</si>
  <si>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</si>
  <si>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</si>
  <si>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O/C 30 DIAS</t>
  </si>
  <si>
    <t>NO</t>
  </si>
  <si>
    <t>MDF18MM</t>
  </si>
  <si>
    <t>WHITE LILY 21081 SF</t>
  </si>
  <si>
    <t>N° 11676</t>
  </si>
  <si>
    <t>+56 9 933214283</t>
  </si>
  <si>
    <t>PR8 CORTE 45°</t>
  </si>
  <si>
    <t>CENEFA R8 1V</t>
  </si>
  <si>
    <t>PERFORACION PARA BISAGRA 35°</t>
  </si>
  <si>
    <t>descto. 5%</t>
  </si>
  <si>
    <t>IVA</t>
  </si>
  <si>
    <t>ABONO $ 350.000.-</t>
  </si>
  <si>
    <t>MELAMIL 18MM</t>
  </si>
  <si>
    <t>ABONO $ 200.000.-</t>
  </si>
  <si>
    <t>CURICO</t>
  </si>
  <si>
    <t>JOSE BASOALTO DIAZ</t>
  </si>
  <si>
    <t>16.858.192-0</t>
  </si>
  <si>
    <t>FABRICACION DE MUEBLES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</si>
</sst>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13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0" borderId="4" xfId="0" applyBorder="1"/>
    <xf numFmtId="0" fontId="5" fillId="3" borderId="0" xfId="0" applyFont="1" applyFill="1"/>
    <xf numFmtId="0" fontId="18" fillId="0" borderId="0" xfId="0" quotePrefix="1" applyFont="1"/>
    <xf numFmtId="1" fontId="15" fillId="0" borderId="0" xfId="0" applyNumberFormat="1" applyFont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41" fontId="20" fillId="0" borderId="2" xfId="4" applyFont="1" applyBorder="1" applyAlignment="1">
      <alignment horizontal="center" vertical="center"/>
    </xf>
    <xf numFmtId="0" fontId="3" fillId="0" borderId="32" xfId="0" applyFont="1" applyBorder="1" applyAlignment="1">
      <alignment horizontal="center"/>
    </xf>
    <xf numFmtId="42" fontId="21" fillId="0" borderId="33" xfId="3" applyFont="1" applyFill="1" applyBorder="1"/>
    <xf numFmtId="3" fontId="3" fillId="9" borderId="13" xfId="0" applyNumberFormat="1" applyFont="1" applyFill="1" applyBorder="1" applyAlignment="1">
      <alignment horizontal="center"/>
    </xf>
    <xf numFmtId="42" fontId="21" fillId="9" borderId="31" xfId="3" applyFont="1" applyFill="1" applyBorder="1"/>
    <xf numFmtId="0" fontId="3" fillId="0" borderId="14" xfId="0" applyFont="1" applyBorder="1" applyAlignment="1">
      <alignment horizontal="center"/>
    </xf>
    <xf numFmtId="42" fontId="21" fillId="0" borderId="30" xfId="3" applyFont="1" applyFill="1" applyBorder="1"/>
    <xf numFmtId="0" fontId="16" fillId="0" borderId="2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46</xdr:row>
      <xdr:rowOff>9525</xdr:rowOff>
    </xdr:from>
    <xdr:to>
      <xdr:col>5</xdr:col>
      <xdr:colOff>1390650</xdr:colOff>
      <xdr:row>50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37</xdr:row>
      <xdr:rowOff>7620</xdr:rowOff>
    </xdr:from>
    <xdr:to>
      <xdr:col>7</xdr:col>
      <xdr:colOff>141585</xdr:colOff>
      <xdr:row>40</xdr:row>
      <xdr:rowOff>553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1F96AE1D-2C33-4AC3-91C2-9F6432DCF2C5}"/>
            </a:ext>
          </a:extLst>
        </xdr:cNvPr>
        <xdr:cNvSpPr/>
      </xdr:nvSpPr>
      <xdr:spPr>
        <a:xfrm>
          <a:off x="0" y="7917180"/>
          <a:ext cx="7030065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PUERTAS SE ENTREGAN CORTADAS A LA MEDIDA CON CORTE 45° Y ENCHAPE CON TAPACANTO PVC 0,45MM BLANCO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</a:t>
          </a:r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MELAMIL TRASCARA BLANCA 18MM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25</xdr:row>
      <xdr:rowOff>76200</xdr:rowOff>
    </xdr:from>
    <xdr:to>
      <xdr:col>5</xdr:col>
      <xdr:colOff>1676399</xdr:colOff>
      <xdr:row>27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74</xdr:row>
      <xdr:rowOff>171450</xdr:rowOff>
    </xdr:from>
    <xdr:to>
      <xdr:col>5</xdr:col>
      <xdr:colOff>1685924</xdr:colOff>
      <xdr:row>76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72</xdr:row>
      <xdr:rowOff>0</xdr:rowOff>
    </xdr:from>
    <xdr:to>
      <xdr:col>6</xdr:col>
      <xdr:colOff>0</xdr:colOff>
      <xdr:row>73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70</xdr:row>
      <xdr:rowOff>38100</xdr:rowOff>
    </xdr:from>
    <xdr:to>
      <xdr:col>6</xdr:col>
      <xdr:colOff>0</xdr:colOff>
      <xdr:row>71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69</xdr:row>
      <xdr:rowOff>0</xdr:rowOff>
    </xdr:from>
    <xdr:to>
      <xdr:col>6</xdr:col>
      <xdr:colOff>0</xdr:colOff>
      <xdr:row>70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93</xdr:row>
      <xdr:rowOff>0</xdr:rowOff>
    </xdr:from>
    <xdr:to>
      <xdr:col>2</xdr:col>
      <xdr:colOff>38100</xdr:colOff>
      <xdr:row>94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93</xdr:row>
      <xdr:rowOff>0</xdr:rowOff>
    </xdr:from>
    <xdr:to>
      <xdr:col>2</xdr:col>
      <xdr:colOff>1019175</xdr:colOff>
      <xdr:row>93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93</xdr:row>
      <xdr:rowOff>0</xdr:rowOff>
    </xdr:from>
    <xdr:to>
      <xdr:col>3</xdr:col>
      <xdr:colOff>352425</xdr:colOff>
      <xdr:row>94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93</xdr:row>
      <xdr:rowOff>0</xdr:rowOff>
    </xdr:from>
    <xdr:to>
      <xdr:col>4</xdr:col>
      <xdr:colOff>257175</xdr:colOff>
      <xdr:row>94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93</xdr:row>
      <xdr:rowOff>0</xdr:rowOff>
    </xdr:from>
    <xdr:to>
      <xdr:col>5</xdr:col>
      <xdr:colOff>447675</xdr:colOff>
      <xdr:row>93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93</xdr:row>
      <xdr:rowOff>0</xdr:rowOff>
    </xdr:from>
    <xdr:to>
      <xdr:col>6</xdr:col>
      <xdr:colOff>0</xdr:colOff>
      <xdr:row>93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93</xdr:row>
      <xdr:rowOff>190500</xdr:rowOff>
    </xdr:from>
    <xdr:to>
      <xdr:col>2</xdr:col>
      <xdr:colOff>304800</xdr:colOff>
      <xdr:row>95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93</xdr:row>
      <xdr:rowOff>190500</xdr:rowOff>
    </xdr:from>
    <xdr:to>
      <xdr:col>2</xdr:col>
      <xdr:colOff>1276350</xdr:colOff>
      <xdr:row>95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93</xdr:row>
      <xdr:rowOff>190500</xdr:rowOff>
    </xdr:from>
    <xdr:to>
      <xdr:col>3</xdr:col>
      <xdr:colOff>619125</xdr:colOff>
      <xdr:row>95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93</xdr:row>
      <xdr:rowOff>190500</xdr:rowOff>
    </xdr:from>
    <xdr:to>
      <xdr:col>4</xdr:col>
      <xdr:colOff>523875</xdr:colOff>
      <xdr:row>95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93</xdr:row>
      <xdr:rowOff>190500</xdr:rowOff>
    </xdr:from>
    <xdr:to>
      <xdr:col>5</xdr:col>
      <xdr:colOff>723900</xdr:colOff>
      <xdr:row>95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93</xdr:row>
      <xdr:rowOff>190500</xdr:rowOff>
    </xdr:from>
    <xdr:to>
      <xdr:col>6</xdr:col>
      <xdr:colOff>0</xdr:colOff>
      <xdr:row>95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61</xdr:row>
      <xdr:rowOff>15239</xdr:rowOff>
    </xdr:from>
    <xdr:to>
      <xdr:col>6</xdr:col>
      <xdr:colOff>68580</xdr:colOff>
      <xdr:row>65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OBSERVACIONES:PUERTAS SE ENTREGAN CORTADAS A LA MEDIDA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CON CORTE 45° ENCHAPADAS CON TAPACANTO PVC 0,4MM</a:t>
          </a:r>
        </a:p>
        <a:p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ALGUNAS PIEZAS LLEVAN PERFORACION DE BISAGRAS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43</xdr:row>
      <xdr:rowOff>200025</xdr:rowOff>
    </xdr:from>
    <xdr:to>
      <xdr:col>6</xdr:col>
      <xdr:colOff>19049</xdr:colOff>
      <xdr:row>45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160020</xdr:colOff>
      <xdr:row>68</xdr:row>
      <xdr:rowOff>41910</xdr:rowOff>
    </xdr:from>
    <xdr:to>
      <xdr:col>1</xdr:col>
      <xdr:colOff>565543</xdr:colOff>
      <xdr:row>74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544588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78105</xdr:colOff>
      <xdr:row>97</xdr:row>
      <xdr:rowOff>173355</xdr:rowOff>
    </xdr:from>
    <xdr:to>
      <xdr:col>5</xdr:col>
      <xdr:colOff>1789410</xdr:colOff>
      <xdr:row>101</xdr:row>
      <xdr:rowOff>120568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062FCD8-BF46-450A-A0DA-B0E114115C4F}"/>
            </a:ext>
          </a:extLst>
        </xdr:cNvPr>
        <xdr:cNvSpPr/>
      </xdr:nvSpPr>
      <xdr:spPr>
        <a:xfrm>
          <a:off x="1266825" y="10330815"/>
          <a:ext cx="7030065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PUERTAS SE ENTREGAN CORTADAS A LA MEDIDA CON CORTE 45° Y ENCHAPE CON TAPACANTO PVC 0,45MM BLANCO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</a:t>
          </a:r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MELAMIL TRASCARA BLANCA 18MM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6"/>
  <sheetViews>
    <sheetView tabSelected="1" topLeftCell="A4" workbookViewId="0">
      <selection activeCell="C15" sqref="C1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136</v>
      </c>
      <c r="E8" s="1"/>
      <c r="F8" s="91" t="s">
        <v>27</v>
      </c>
      <c r="G8" s="92">
        <v>7299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129</v>
      </c>
      <c r="C10" s="107" t="s">
        <v>147</v>
      </c>
      <c r="D10" s="54"/>
      <c r="E10" s="54"/>
      <c r="F10" s="55" t="s">
        <v>28</v>
      </c>
      <c r="G10" s="56">
        <v>45938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8" t="s">
        <v>2</v>
      </c>
      <c r="C11" s="1" t="s">
        <v>148</v>
      </c>
      <c r="D11" s="59"/>
      <c r="E11" s="59"/>
      <c r="F11" s="59" t="s">
        <v>124</v>
      </c>
      <c r="G11" s="60"/>
      <c r="H11" s="61"/>
      <c r="I11" s="1"/>
    </row>
    <row r="12" spans="1:17" ht="15.6" x14ac:dyDescent="0.3">
      <c r="A12" s="1"/>
      <c r="B12" s="62" t="s">
        <v>130</v>
      </c>
      <c r="C12" t="s">
        <v>149</v>
      </c>
      <c r="D12" s="43"/>
      <c r="E12" s="43"/>
      <c r="F12" s="43" t="s">
        <v>30</v>
      </c>
      <c r="G12" s="63"/>
      <c r="H12" s="64"/>
      <c r="I12" s="1"/>
    </row>
    <row r="13" spans="1:17" ht="15.6" x14ac:dyDescent="0.3">
      <c r="A13" s="1"/>
      <c r="B13" s="62" t="s">
        <v>131</v>
      </c>
      <c r="C13" s="108"/>
      <c r="D13" s="43"/>
      <c r="E13" s="43"/>
      <c r="F13" s="43" t="s">
        <v>128</v>
      </c>
      <c r="G13" s="63"/>
      <c r="H13" s="64"/>
      <c r="I13" s="1"/>
    </row>
    <row r="14" spans="1:17" ht="15.6" x14ac:dyDescent="0.3">
      <c r="A14" s="1"/>
      <c r="B14" s="58" t="s">
        <v>17</v>
      </c>
      <c r="C14" s="109" t="s">
        <v>137</v>
      </c>
      <c r="D14" s="65"/>
      <c r="E14" s="59"/>
      <c r="F14" s="59" t="s">
        <v>29</v>
      </c>
      <c r="G14" s="59" t="s">
        <v>133</v>
      </c>
      <c r="H14" s="61"/>
      <c r="I14" s="1"/>
    </row>
    <row r="15" spans="1:17" ht="15.6" x14ac:dyDescent="0.3">
      <c r="A15" s="1"/>
      <c r="B15" s="62" t="s">
        <v>1</v>
      </c>
      <c r="C15" s="98"/>
      <c r="D15" s="43"/>
      <c r="E15" s="43"/>
      <c r="F15" s="66" t="s">
        <v>75</v>
      </c>
      <c r="G15" s="66" t="s">
        <v>132</v>
      </c>
      <c r="H15" s="64"/>
      <c r="I15" s="1"/>
    </row>
    <row r="16" spans="1:17" ht="16.2" thickBot="1" x14ac:dyDescent="0.35">
      <c r="A16" s="1"/>
      <c r="B16" s="67" t="s">
        <v>3</v>
      </c>
      <c r="C16" s="68" t="s">
        <v>146</v>
      </c>
      <c r="D16" s="68"/>
      <c r="E16" s="69"/>
      <c r="F16" s="123" t="s">
        <v>18</v>
      </c>
      <c r="G16" s="123"/>
      <c r="H16" s="124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25" t="s">
        <v>19</v>
      </c>
      <c r="C19" s="126"/>
      <c r="D19" s="126"/>
      <c r="E19" s="126"/>
      <c r="F19" s="126"/>
      <c r="G19" s="126"/>
      <c r="H19" s="127"/>
      <c r="I19" s="1"/>
    </row>
    <row r="20" spans="1:16" ht="15.6" x14ac:dyDescent="0.3">
      <c r="A20" s="1"/>
      <c r="B20" s="70" t="s">
        <v>20</v>
      </c>
      <c r="C20" s="71" t="s">
        <v>21</v>
      </c>
      <c r="D20" s="71" t="s">
        <v>22</v>
      </c>
      <c r="E20" s="71" t="s">
        <v>8</v>
      </c>
      <c r="F20" s="72" t="s">
        <v>23</v>
      </c>
      <c r="G20" s="70" t="s">
        <v>24</v>
      </c>
      <c r="H20" s="72" t="s">
        <v>4</v>
      </c>
      <c r="I20" s="1"/>
    </row>
    <row r="21" spans="1:16" ht="18" customHeight="1" x14ac:dyDescent="0.3">
      <c r="A21" s="1"/>
      <c r="B21" s="102">
        <v>6</v>
      </c>
      <c r="C21" s="102" t="s">
        <v>138</v>
      </c>
      <c r="D21" s="105">
        <v>760</v>
      </c>
      <c r="E21" s="105">
        <v>398</v>
      </c>
      <c r="F21" s="102" t="s">
        <v>135</v>
      </c>
      <c r="G21" s="103">
        <v>27423</v>
      </c>
      <c r="H21" s="103">
        <f t="shared" ref="H21:H32" si="0">G21*B21</f>
        <v>164538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2">
        <v>1</v>
      </c>
      <c r="C22" s="102" t="s">
        <v>138</v>
      </c>
      <c r="D22" s="105">
        <v>760</v>
      </c>
      <c r="E22" s="105">
        <v>498</v>
      </c>
      <c r="F22" s="102" t="s">
        <v>135</v>
      </c>
      <c r="G22" s="103">
        <v>32555</v>
      </c>
      <c r="H22" s="103">
        <f t="shared" si="0"/>
        <v>32555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2">
        <v>3</v>
      </c>
      <c r="C23" s="102" t="s">
        <v>138</v>
      </c>
      <c r="D23" s="105">
        <v>250</v>
      </c>
      <c r="E23" s="105">
        <v>448</v>
      </c>
      <c r="F23" s="102" t="s">
        <v>135</v>
      </c>
      <c r="G23" s="103">
        <v>15514</v>
      </c>
      <c r="H23" s="103">
        <f t="shared" si="0"/>
        <v>46542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2">
        <v>6</v>
      </c>
      <c r="C24" s="102" t="s">
        <v>138</v>
      </c>
      <c r="D24" s="105">
        <v>600</v>
      </c>
      <c r="E24" s="105">
        <v>398</v>
      </c>
      <c r="F24" s="102" t="s">
        <v>135</v>
      </c>
      <c r="G24" s="103">
        <v>23389</v>
      </c>
      <c r="H24" s="103">
        <f t="shared" si="0"/>
        <v>140334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2">
        <v>1</v>
      </c>
      <c r="C25" s="102" t="s">
        <v>138</v>
      </c>
      <c r="D25" s="105">
        <v>600</v>
      </c>
      <c r="E25" s="105">
        <v>498</v>
      </c>
      <c r="F25" s="102" t="s">
        <v>135</v>
      </c>
      <c r="G25" s="103">
        <v>27507</v>
      </c>
      <c r="H25" s="103">
        <f t="shared" si="0"/>
        <v>27507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02">
        <v>1</v>
      </c>
      <c r="C26" s="102" t="s">
        <v>138</v>
      </c>
      <c r="D26" s="105">
        <v>600</v>
      </c>
      <c r="E26" s="105">
        <v>448</v>
      </c>
      <c r="F26" s="102" t="s">
        <v>135</v>
      </c>
      <c r="G26" s="103">
        <v>25448</v>
      </c>
      <c r="H26" s="103">
        <f t="shared" si="0"/>
        <v>25448</v>
      </c>
      <c r="I26" s="1"/>
      <c r="K26" s="17"/>
      <c r="L26" s="26"/>
      <c r="M26" s="17"/>
      <c r="N26" s="17"/>
      <c r="O26" s="26"/>
      <c r="P26" s="33"/>
    </row>
    <row r="27" spans="1:16" ht="18" customHeight="1" x14ac:dyDescent="0.3">
      <c r="A27" s="1"/>
      <c r="B27" s="102">
        <v>1</v>
      </c>
      <c r="C27" s="102" t="s">
        <v>138</v>
      </c>
      <c r="D27" s="105">
        <v>600</v>
      </c>
      <c r="E27" s="105">
        <v>360</v>
      </c>
      <c r="F27" s="102" t="s">
        <v>135</v>
      </c>
      <c r="G27" s="103">
        <v>20267</v>
      </c>
      <c r="H27" s="103">
        <f t="shared" si="0"/>
        <v>20267</v>
      </c>
      <c r="I27" s="1"/>
      <c r="K27" s="17"/>
      <c r="L27" s="26"/>
      <c r="M27" s="17"/>
      <c r="N27" s="17"/>
      <c r="O27" s="26"/>
      <c r="P27" s="33"/>
    </row>
    <row r="28" spans="1:16" ht="18" customHeight="1" x14ac:dyDescent="0.3">
      <c r="A28" s="1"/>
      <c r="B28" s="102">
        <v>1</v>
      </c>
      <c r="C28" s="102" t="s">
        <v>138</v>
      </c>
      <c r="D28" s="105">
        <v>780</v>
      </c>
      <c r="E28" s="105">
        <v>680</v>
      </c>
      <c r="F28" s="102" t="s">
        <v>135</v>
      </c>
      <c r="G28" s="103">
        <v>38999</v>
      </c>
      <c r="H28" s="103">
        <f t="shared" si="0"/>
        <v>38999</v>
      </c>
      <c r="I28" s="1"/>
      <c r="K28" s="17"/>
      <c r="L28" s="26"/>
      <c r="M28" s="17"/>
      <c r="N28" s="17"/>
      <c r="O28" s="26"/>
      <c r="P28" s="33"/>
    </row>
    <row r="29" spans="1:16" ht="18" customHeight="1" x14ac:dyDescent="0.3">
      <c r="A29" s="1"/>
      <c r="B29" s="102">
        <v>2</v>
      </c>
      <c r="C29" s="102" t="s">
        <v>138</v>
      </c>
      <c r="D29" s="105">
        <v>1770</v>
      </c>
      <c r="E29" s="105">
        <v>330</v>
      </c>
      <c r="F29" s="102" t="s">
        <v>135</v>
      </c>
      <c r="G29" s="103">
        <v>43051</v>
      </c>
      <c r="H29" s="103">
        <f t="shared" si="0"/>
        <v>86102</v>
      </c>
      <c r="I29" s="1"/>
      <c r="K29" s="17"/>
      <c r="L29" s="26"/>
      <c r="M29" s="17"/>
      <c r="N29" s="17"/>
      <c r="O29" s="26"/>
      <c r="P29" s="33"/>
    </row>
    <row r="30" spans="1:16" ht="18" customHeight="1" x14ac:dyDescent="0.3">
      <c r="A30" s="1"/>
      <c r="B30" s="102">
        <v>2</v>
      </c>
      <c r="C30" s="102" t="s">
        <v>139</v>
      </c>
      <c r="D30" s="105">
        <v>2400</v>
      </c>
      <c r="E30" s="105">
        <v>100</v>
      </c>
      <c r="F30" s="102" t="s">
        <v>135</v>
      </c>
      <c r="G30" s="103">
        <v>22521</v>
      </c>
      <c r="H30" s="103">
        <f t="shared" si="0"/>
        <v>45042</v>
      </c>
      <c r="I30" s="1"/>
      <c r="K30" s="17"/>
      <c r="L30" s="26"/>
      <c r="M30" s="17"/>
      <c r="N30" s="17"/>
      <c r="O30" s="26"/>
      <c r="P30" s="33"/>
    </row>
    <row r="31" spans="1:16" ht="18" customHeight="1" x14ac:dyDescent="0.3">
      <c r="A31" s="1"/>
      <c r="B31" s="102">
        <v>2</v>
      </c>
      <c r="C31" s="102" t="s">
        <v>139</v>
      </c>
      <c r="D31" s="105">
        <v>2400</v>
      </c>
      <c r="E31" s="105">
        <v>60</v>
      </c>
      <c r="F31" s="102" t="s">
        <v>135</v>
      </c>
      <c r="G31" s="103">
        <v>16313</v>
      </c>
      <c r="H31" s="103">
        <f t="shared" si="0"/>
        <v>32626</v>
      </c>
      <c r="I31" s="1"/>
      <c r="K31" s="17"/>
      <c r="L31" s="26"/>
      <c r="M31" s="17"/>
      <c r="N31" s="17"/>
      <c r="O31" s="26"/>
      <c r="P31" s="33"/>
    </row>
    <row r="32" spans="1:16" ht="18" customHeight="1" x14ac:dyDescent="0.3">
      <c r="A32" s="1"/>
      <c r="B32" s="102">
        <v>15</v>
      </c>
      <c r="C32" s="121" t="s">
        <v>140</v>
      </c>
      <c r="D32" s="111"/>
      <c r="E32" s="111"/>
      <c r="F32" s="102"/>
      <c r="G32" s="103">
        <v>1000</v>
      </c>
      <c r="H32" s="103">
        <f t="shared" si="0"/>
        <v>15000</v>
      </c>
      <c r="I32" s="1"/>
      <c r="K32" s="17"/>
      <c r="L32" s="26"/>
      <c r="M32" s="17"/>
      <c r="N32" s="17"/>
      <c r="O32" s="26"/>
      <c r="P32" s="33"/>
    </row>
    <row r="33" spans="1:16" ht="18" customHeight="1" x14ac:dyDescent="0.3">
      <c r="A33" s="1"/>
      <c r="B33" s="94"/>
      <c r="C33" s="94"/>
      <c r="D33" s="112"/>
      <c r="E33" s="112"/>
      <c r="F33" s="94"/>
      <c r="G33" s="113" t="s">
        <v>141</v>
      </c>
      <c r="H33" s="114">
        <v>-33748</v>
      </c>
      <c r="I33" s="1"/>
      <c r="K33" s="17"/>
      <c r="L33" s="26"/>
      <c r="M33" s="17"/>
      <c r="N33" s="17"/>
      <c r="O33" s="26"/>
      <c r="P33" s="33"/>
    </row>
    <row r="34" spans="1:16" ht="18" customHeight="1" x14ac:dyDescent="0.3">
      <c r="A34" s="1"/>
      <c r="B34" s="94"/>
      <c r="C34" s="94" t="s">
        <v>143</v>
      </c>
      <c r="D34" s="110"/>
      <c r="E34" s="110"/>
      <c r="F34" s="94"/>
      <c r="G34" s="115" t="s">
        <v>5</v>
      </c>
      <c r="H34" s="116">
        <f>SUM(H21:H33)</f>
        <v>641212</v>
      </c>
      <c r="I34" s="1"/>
      <c r="K34" s="17"/>
      <c r="L34" s="26"/>
      <c r="M34" s="17"/>
      <c r="N34" s="17"/>
      <c r="O34" s="26"/>
      <c r="P34" s="33"/>
    </row>
    <row r="35" spans="1:16" ht="18" customHeight="1" x14ac:dyDescent="0.3">
      <c r="A35" s="1"/>
      <c r="B35" s="94"/>
      <c r="C35" s="94" t="s">
        <v>145</v>
      </c>
      <c r="D35" s="110"/>
      <c r="E35" s="110"/>
      <c r="F35" s="94"/>
      <c r="G35" s="117" t="s">
        <v>142</v>
      </c>
      <c r="H35" s="118">
        <f>H34*0.19</f>
        <v>121830.28</v>
      </c>
      <c r="I35" s="1"/>
      <c r="K35" s="17"/>
      <c r="L35" s="26"/>
      <c r="M35" s="17"/>
      <c r="N35" s="17"/>
      <c r="O35" s="26"/>
      <c r="P35" s="33"/>
    </row>
    <row r="36" spans="1:16" ht="18" customHeight="1" thickBot="1" x14ac:dyDescent="0.35">
      <c r="A36" s="1"/>
      <c r="B36" s="94"/>
      <c r="C36" s="94"/>
      <c r="D36" s="110"/>
      <c r="E36" s="110"/>
      <c r="F36" s="94"/>
      <c r="G36" s="119" t="s">
        <v>4</v>
      </c>
      <c r="H36" s="120">
        <f>H34+H35</f>
        <v>763042.28</v>
      </c>
      <c r="I36" s="1"/>
      <c r="K36" s="17"/>
      <c r="L36" s="26"/>
      <c r="M36" s="17"/>
      <c r="N36" s="17"/>
      <c r="O36" s="26"/>
      <c r="P36" s="33"/>
    </row>
    <row r="37" spans="1:16" ht="18" customHeight="1" x14ac:dyDescent="0.3">
      <c r="A37" s="1"/>
      <c r="B37" s="94"/>
      <c r="C37" s="94"/>
      <c r="D37" s="110"/>
      <c r="E37" s="110"/>
      <c r="F37" s="94"/>
      <c r="G37" s="74"/>
      <c r="H37" s="74"/>
      <c r="I37" s="1"/>
      <c r="K37" s="17"/>
      <c r="L37" s="26"/>
      <c r="M37" s="17"/>
      <c r="N37" s="17"/>
      <c r="O37" s="26"/>
      <c r="P37" s="33"/>
    </row>
    <row r="38" spans="1:16" ht="18" customHeight="1" x14ac:dyDescent="0.3">
      <c r="A38" s="1"/>
      <c r="B38" s="94"/>
      <c r="C38" s="94"/>
      <c r="D38" s="110"/>
      <c r="E38" s="110"/>
      <c r="F38" s="94"/>
      <c r="G38" s="74"/>
      <c r="H38" s="74"/>
      <c r="I38" s="1"/>
      <c r="K38" s="17"/>
      <c r="L38" s="26"/>
      <c r="M38" s="17"/>
      <c r="N38" s="17"/>
      <c r="O38" s="26"/>
      <c r="P38" s="33"/>
    </row>
    <row r="39" spans="1:16" ht="18" customHeight="1" x14ac:dyDescent="0.3">
      <c r="A39" s="1"/>
      <c r="B39" s="94"/>
      <c r="C39" s="94"/>
      <c r="D39" s="110"/>
      <c r="E39" s="110"/>
      <c r="F39" s="94"/>
      <c r="G39" s="74"/>
      <c r="H39" s="74"/>
      <c r="I39" s="1"/>
      <c r="K39" s="17"/>
      <c r="L39" s="26"/>
      <c r="M39" s="17"/>
      <c r="N39" s="17"/>
      <c r="O39" s="26"/>
      <c r="P39" s="33"/>
    </row>
    <row r="40" spans="1:16" ht="18" customHeight="1" x14ac:dyDescent="0.3">
      <c r="A40" s="1"/>
      <c r="B40" s="94"/>
      <c r="C40" s="94"/>
      <c r="D40" s="110"/>
      <c r="E40" s="110"/>
      <c r="F40" s="94"/>
      <c r="G40" s="74"/>
      <c r="H40" s="74"/>
      <c r="I40" s="1"/>
      <c r="K40" s="17"/>
      <c r="L40" s="26"/>
      <c r="M40" s="17"/>
      <c r="N40" s="17"/>
      <c r="O40" s="26"/>
      <c r="P40" s="33"/>
    </row>
    <row r="41" spans="1:16" ht="18" customHeight="1" x14ac:dyDescent="0.3">
      <c r="A41" s="1"/>
      <c r="B41" s="94"/>
      <c r="C41" s="94"/>
      <c r="D41" s="110"/>
      <c r="E41" s="110"/>
      <c r="F41" s="94"/>
      <c r="G41" s="74"/>
      <c r="H41" s="74"/>
      <c r="I41" s="1"/>
      <c r="K41" s="17"/>
      <c r="L41" s="26"/>
      <c r="M41" s="17"/>
      <c r="N41" s="17"/>
      <c r="O41" s="26"/>
      <c r="P41" s="33"/>
    </row>
    <row r="42" spans="1:16" ht="18" customHeight="1" x14ac:dyDescent="0.3">
      <c r="A42" s="1"/>
      <c r="B42" s="94"/>
      <c r="C42" s="94"/>
      <c r="D42" s="110"/>
      <c r="E42" s="110"/>
      <c r="F42" s="94"/>
      <c r="G42" s="74"/>
      <c r="H42" s="74"/>
      <c r="I42" s="1"/>
      <c r="K42" s="17"/>
      <c r="L42" s="26"/>
      <c r="M42" s="17"/>
      <c r="N42" s="17"/>
      <c r="O42" s="26"/>
      <c r="P42" s="33"/>
    </row>
    <row r="43" spans="1:16" ht="18" customHeight="1" x14ac:dyDescent="0.3">
      <c r="A43" s="1"/>
      <c r="B43" s="94"/>
      <c r="C43" s="94"/>
      <c r="D43" s="110"/>
      <c r="E43" s="110"/>
      <c r="F43" s="94"/>
      <c r="G43" s="74"/>
      <c r="H43" s="74"/>
      <c r="I43" s="1"/>
      <c r="K43" s="17"/>
      <c r="L43" s="26"/>
      <c r="M43" s="17"/>
      <c r="N43" s="17"/>
      <c r="O43" s="26"/>
      <c r="P43" s="33"/>
    </row>
    <row r="44" spans="1:16" ht="18" customHeight="1" x14ac:dyDescent="0.3">
      <c r="A44" s="1"/>
      <c r="B44" s="94"/>
      <c r="C44" s="94"/>
      <c r="D44" s="110"/>
      <c r="E44" s="110"/>
      <c r="F44" s="94"/>
      <c r="G44" s="74"/>
      <c r="H44" s="74"/>
      <c r="I44" s="1"/>
      <c r="K44" s="17"/>
      <c r="L44" s="26"/>
      <c r="M44" s="17"/>
      <c r="N44" s="17"/>
      <c r="O44" s="26"/>
      <c r="P44" s="33"/>
    </row>
    <row r="45" spans="1:16" ht="18" customHeight="1" x14ac:dyDescent="0.3">
      <c r="A45" s="1"/>
      <c r="B45" s="94"/>
      <c r="C45" s="94"/>
      <c r="D45" s="94"/>
      <c r="E45" s="94"/>
      <c r="F45" s="95"/>
      <c r="G45" s="96"/>
      <c r="H45" s="96"/>
      <c r="I45" s="1"/>
      <c r="K45" s="17"/>
      <c r="L45" s="26"/>
      <c r="M45" s="17"/>
      <c r="N45" s="17"/>
      <c r="O45" s="26"/>
      <c r="P45" s="33"/>
    </row>
    <row r="46" spans="1:16" ht="8.25" customHeight="1" thickBot="1" x14ac:dyDescent="0.35">
      <c r="A46" s="1"/>
      <c r="B46" s="73"/>
      <c r="C46" s="73"/>
      <c r="D46" s="73"/>
      <c r="E46" s="73"/>
      <c r="F46" s="73"/>
      <c r="G46" s="74"/>
      <c r="H46" s="74"/>
      <c r="I46" s="1"/>
    </row>
    <row r="47" spans="1:16" ht="15.6" x14ac:dyDescent="0.3">
      <c r="A47" s="1"/>
      <c r="B47" s="1"/>
      <c r="C47" s="1"/>
      <c r="D47" s="1"/>
      <c r="E47" s="1"/>
      <c r="F47" s="1"/>
      <c r="G47" s="75" t="s">
        <v>5</v>
      </c>
      <c r="H47" s="76">
        <f>SUM(H21:H46)</f>
        <v>2167296.56</v>
      </c>
      <c r="I47" s="1"/>
    </row>
    <row r="48" spans="1:16" ht="15.6" x14ac:dyDescent="0.3">
      <c r="A48" s="1"/>
      <c r="B48" s="1"/>
      <c r="C48" s="1"/>
      <c r="D48" s="1"/>
      <c r="E48" s="1"/>
      <c r="F48" s="1"/>
      <c r="G48" s="77" t="s">
        <v>6</v>
      </c>
      <c r="H48" s="78">
        <f>H47*19%</f>
        <v>411786.34640000004</v>
      </c>
      <c r="I48" s="1"/>
    </row>
    <row r="49" spans="1:9" ht="16.2" thickBot="1" x14ac:dyDescent="0.35">
      <c r="A49" s="1"/>
      <c r="B49" s="1"/>
      <c r="C49" s="1"/>
      <c r="D49" s="1"/>
      <c r="E49" s="1"/>
      <c r="F49" s="1"/>
      <c r="G49" s="79" t="s">
        <v>4</v>
      </c>
      <c r="H49" s="80">
        <f>H47+H48</f>
        <v>2579082.9064000002</v>
      </c>
      <c r="I49" s="1"/>
    </row>
    <row r="50" spans="1:9" ht="15.6" x14ac:dyDescent="0.3">
      <c r="A50" s="1"/>
      <c r="B50" s="1"/>
      <c r="C50" s="1"/>
      <c r="D50" s="1"/>
      <c r="E50" s="1"/>
      <c r="F50" s="1"/>
      <c r="G50" s="51"/>
      <c r="H50" s="97"/>
      <c r="I50" s="1"/>
    </row>
    <row r="51" spans="1:9" ht="15.6" x14ac:dyDescent="0.3">
      <c r="A51" s="1"/>
      <c r="B51" s="1"/>
      <c r="C51" s="1"/>
      <c r="D51" s="1"/>
      <c r="E51" s="1"/>
      <c r="F51" s="1"/>
      <c r="G51" s="1"/>
      <c r="H51" s="1"/>
      <c r="I51" s="1"/>
    </row>
    <row r="52" spans="1:9" ht="15.6" x14ac:dyDescent="0.3">
      <c r="A52" s="1"/>
      <c r="B52" s="81" t="s">
        <v>123</v>
      </c>
      <c r="C52" s="82"/>
      <c r="D52" s="83"/>
      <c r="E52" s="83"/>
      <c r="F52" s="73"/>
      <c r="G52" s="1"/>
      <c r="H52" s="1"/>
      <c r="I52" s="1"/>
    </row>
    <row r="53" spans="1:9" ht="15.6" x14ac:dyDescent="0.3">
      <c r="A53" s="1"/>
      <c r="B53" s="81" t="s">
        <v>122</v>
      </c>
      <c r="C53" s="82"/>
      <c r="D53" s="83"/>
      <c r="E53" s="83"/>
      <c r="F53" s="73"/>
      <c r="G53" s="1"/>
      <c r="H53" s="1"/>
      <c r="I53" s="1"/>
    </row>
    <row r="54" spans="1:9" ht="15.6" x14ac:dyDescent="0.3">
      <c r="A54" s="1"/>
      <c r="B54" s="1" t="s">
        <v>25</v>
      </c>
      <c r="C54" s="1"/>
      <c r="D54" s="1"/>
      <c r="E54" s="84" t="s">
        <v>26</v>
      </c>
      <c r="F54" s="1"/>
      <c r="G54" s="1"/>
      <c r="H54" s="1"/>
      <c r="I54" s="1"/>
    </row>
    <row r="55" spans="1:9" ht="15.6" x14ac:dyDescent="0.3">
      <c r="A55" s="1"/>
      <c r="B55" s="1"/>
      <c r="C55" s="1"/>
      <c r="D55" s="1"/>
      <c r="E55" s="1"/>
      <c r="F55" s="1"/>
      <c r="G55" s="1"/>
      <c r="H55" s="1"/>
      <c r="I55" s="1"/>
    </row>
    <row r="56" spans="1:9" ht="15.6" x14ac:dyDescent="0.3">
      <c r="A56" s="1"/>
      <c r="B56" s="1"/>
      <c r="C56" s="1"/>
      <c r="D56" s="1"/>
      <c r="E56" s="1"/>
      <c r="F56" s="1"/>
      <c r="G56" s="1"/>
      <c r="H56" s="1"/>
      <c r="I56" s="1"/>
    </row>
  </sheetData>
  <sortState xmlns:xlrd2="http://schemas.microsoft.com/office/spreadsheetml/2017/richdata2" ref="B58">
    <sortCondition sortBy="fontColor" ref="B58" dxfId="0"/>
  </sortState>
  <mergeCells count="2">
    <mergeCell ref="F16:H16"/>
    <mergeCell ref="B19:H19"/>
  </mergeCells>
  <phoneticPr fontId="10" type="noConversion"/>
  <hyperlinks>
    <hyperlink ref="E5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8" t="s">
        <v>31</v>
      </c>
      <c r="C2" s="128"/>
      <c r="D2" s="128"/>
      <c r="E2" s="18"/>
      <c r="G2" s="128" t="s">
        <v>70</v>
      </c>
      <c r="H2" s="128"/>
      <c r="I2" s="128"/>
      <c r="P2" s="129" t="s">
        <v>58</v>
      </c>
      <c r="Q2" s="129"/>
      <c r="R2" s="129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9" t="s">
        <v>58</v>
      </c>
      <c r="M8" s="129"/>
      <c r="N8" s="129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99"/>
  <sheetViews>
    <sheetView zoomScaleNormal="100" workbookViewId="0">
      <selection activeCell="D25" sqref="D25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30" t="s">
        <v>61</v>
      </c>
      <c r="L3" s="130"/>
      <c r="M3" s="130" t="s">
        <v>14</v>
      </c>
      <c r="N3" s="130"/>
    </row>
    <row r="4" spans="1:14" ht="15.75" customHeight="1" x14ac:dyDescent="0.3">
      <c r="A4" s="1"/>
      <c r="B4" s="1"/>
      <c r="C4" s="40" t="s">
        <v>27</v>
      </c>
      <c r="D4" s="14">
        <f>'4637'!G8</f>
        <v>7299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JOSE BASOALTO DIAZ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5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31" t="s">
        <v>61</v>
      </c>
      <c r="B10" s="131"/>
      <c r="C10" s="131"/>
      <c r="D10" s="131"/>
      <c r="E10" s="131"/>
      <c r="F10" s="131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50</v>
      </c>
      <c r="E13" s="32">
        <v>-2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3" t="s">
        <v>134</v>
      </c>
      <c r="B14" s="25">
        <f t="shared" ref="B14" si="0">I14</f>
        <v>6</v>
      </c>
      <c r="C14" s="25"/>
      <c r="D14" s="25">
        <f>J14+D$13</f>
        <v>810</v>
      </c>
      <c r="E14" s="35">
        <f>K14+E$13</f>
        <v>396</v>
      </c>
      <c r="F14" s="100" t="str">
        <f t="shared" ref="F14:F24" si="1">C48</f>
        <v>PR8 CORTE 45°</v>
      </c>
      <c r="G14" s="1"/>
      <c r="I14" s="87">
        <f>I31</f>
        <v>6</v>
      </c>
      <c r="J14" s="4">
        <f>J31</f>
        <v>760</v>
      </c>
      <c r="K14" s="4">
        <f>K31</f>
        <v>398</v>
      </c>
    </row>
    <row r="15" spans="1:14" ht="15.6" x14ac:dyDescent="0.3">
      <c r="A15" s="93"/>
      <c r="B15" s="25">
        <f t="shared" ref="B15:B24" si="2">I15</f>
        <v>1</v>
      </c>
      <c r="C15" s="25"/>
      <c r="D15" s="25">
        <f t="shared" ref="D15:D22" si="3">J15+D$13</f>
        <v>810</v>
      </c>
      <c r="E15" s="35">
        <f t="shared" ref="E15:E22" si="4">K15+E$13</f>
        <v>496</v>
      </c>
      <c r="F15" s="100" t="str">
        <f t="shared" si="1"/>
        <v>PR8 CORTE 45°</v>
      </c>
      <c r="G15" s="1"/>
      <c r="I15" s="87">
        <f t="shared" ref="I15:K15" si="5">I32</f>
        <v>1</v>
      </c>
      <c r="J15" s="4">
        <f t="shared" si="5"/>
        <v>760</v>
      </c>
      <c r="K15" s="4">
        <f t="shared" si="5"/>
        <v>498</v>
      </c>
    </row>
    <row r="16" spans="1:14" ht="15.6" x14ac:dyDescent="0.3">
      <c r="A16" s="93"/>
      <c r="B16" s="25">
        <f t="shared" si="2"/>
        <v>3</v>
      </c>
      <c r="C16" s="25"/>
      <c r="D16" s="25">
        <f t="shared" si="3"/>
        <v>300</v>
      </c>
      <c r="E16" s="35">
        <f t="shared" si="4"/>
        <v>446</v>
      </c>
      <c r="F16" s="100" t="str">
        <f t="shared" si="1"/>
        <v>PR8 CORTE 45°</v>
      </c>
      <c r="G16" s="1"/>
      <c r="I16" s="87">
        <f t="shared" ref="I16:K16" si="6">I33</f>
        <v>3</v>
      </c>
      <c r="J16" s="4">
        <f t="shared" si="6"/>
        <v>250</v>
      </c>
      <c r="K16" s="4">
        <f t="shared" si="6"/>
        <v>448</v>
      </c>
    </row>
    <row r="17" spans="1:11" ht="15.6" x14ac:dyDescent="0.3">
      <c r="A17" s="93"/>
      <c r="B17" s="25">
        <f t="shared" si="2"/>
        <v>6</v>
      </c>
      <c r="C17" s="25"/>
      <c r="D17" s="25">
        <f t="shared" si="3"/>
        <v>650</v>
      </c>
      <c r="E17" s="35">
        <f t="shared" si="4"/>
        <v>396</v>
      </c>
      <c r="F17" s="100" t="str">
        <f t="shared" si="1"/>
        <v>PR8 CORTE 45°</v>
      </c>
      <c r="G17" s="1"/>
      <c r="I17" s="87">
        <f t="shared" ref="I17:K17" si="7">I34</f>
        <v>6</v>
      </c>
      <c r="J17" s="4">
        <f t="shared" si="7"/>
        <v>600</v>
      </c>
      <c r="K17" s="4">
        <f t="shared" si="7"/>
        <v>398</v>
      </c>
    </row>
    <row r="18" spans="1:11" ht="15.6" x14ac:dyDescent="0.3">
      <c r="A18" s="93"/>
      <c r="B18" s="25">
        <f t="shared" si="2"/>
        <v>1</v>
      </c>
      <c r="C18" s="25"/>
      <c r="D18" s="25">
        <f t="shared" si="3"/>
        <v>650</v>
      </c>
      <c r="E18" s="35">
        <f t="shared" si="4"/>
        <v>496</v>
      </c>
      <c r="F18" s="100" t="str">
        <f t="shared" si="1"/>
        <v>PR8 CORTE 45°</v>
      </c>
      <c r="G18" s="1"/>
      <c r="I18" s="87">
        <f t="shared" ref="I18:K18" si="8">I35</f>
        <v>1</v>
      </c>
      <c r="J18" s="4">
        <f t="shared" si="8"/>
        <v>600</v>
      </c>
      <c r="K18" s="4">
        <f t="shared" si="8"/>
        <v>498</v>
      </c>
    </row>
    <row r="19" spans="1:11" ht="15.6" x14ac:dyDescent="0.3">
      <c r="A19" s="93"/>
      <c r="B19" s="25">
        <f t="shared" si="2"/>
        <v>1</v>
      </c>
      <c r="C19" s="25"/>
      <c r="D19" s="25">
        <f t="shared" si="3"/>
        <v>650</v>
      </c>
      <c r="E19" s="35">
        <f t="shared" si="4"/>
        <v>446</v>
      </c>
      <c r="F19" s="100" t="str">
        <f t="shared" si="1"/>
        <v>PR8 CORTE 45°</v>
      </c>
      <c r="G19" s="1"/>
      <c r="I19" s="87">
        <f t="shared" ref="I19:K19" si="9">I36</f>
        <v>1</v>
      </c>
      <c r="J19" s="4">
        <f t="shared" si="9"/>
        <v>600</v>
      </c>
      <c r="K19" s="4">
        <f t="shared" si="9"/>
        <v>448</v>
      </c>
    </row>
    <row r="20" spans="1:11" ht="15.6" x14ac:dyDescent="0.3">
      <c r="A20" s="93"/>
      <c r="B20" s="25">
        <f t="shared" si="2"/>
        <v>1</v>
      </c>
      <c r="C20" s="25"/>
      <c r="D20" s="25">
        <f t="shared" si="3"/>
        <v>650</v>
      </c>
      <c r="E20" s="35">
        <f t="shared" si="4"/>
        <v>358</v>
      </c>
      <c r="F20" s="100" t="str">
        <f t="shared" si="1"/>
        <v>PR8 CORTE 45°</v>
      </c>
      <c r="G20" s="1"/>
      <c r="I20" s="87">
        <f t="shared" ref="I20:K20" si="10">I37</f>
        <v>1</v>
      </c>
      <c r="J20" s="4">
        <f t="shared" si="10"/>
        <v>600</v>
      </c>
      <c r="K20" s="4">
        <f t="shared" si="10"/>
        <v>360</v>
      </c>
    </row>
    <row r="21" spans="1:11" ht="15.6" x14ac:dyDescent="0.3">
      <c r="A21" s="93"/>
      <c r="B21" s="25">
        <f t="shared" si="2"/>
        <v>1</v>
      </c>
      <c r="C21" s="25"/>
      <c r="D21" s="25">
        <f t="shared" si="3"/>
        <v>830</v>
      </c>
      <c r="E21" s="35">
        <f t="shared" si="4"/>
        <v>678</v>
      </c>
      <c r="F21" s="100" t="str">
        <f t="shared" si="1"/>
        <v>PR8 CORTE 45°</v>
      </c>
      <c r="G21" s="1"/>
      <c r="I21" s="87">
        <f t="shared" ref="I21:K21" si="11">I38</f>
        <v>1</v>
      </c>
      <c r="J21" s="4">
        <f t="shared" si="11"/>
        <v>780</v>
      </c>
      <c r="K21" s="4">
        <f t="shared" si="11"/>
        <v>680</v>
      </c>
    </row>
    <row r="22" spans="1:11" ht="15.6" x14ac:dyDescent="0.3">
      <c r="A22" s="93"/>
      <c r="B22" s="25">
        <f t="shared" si="2"/>
        <v>2</v>
      </c>
      <c r="C22" s="25"/>
      <c r="D22" s="25">
        <f t="shared" si="3"/>
        <v>1820</v>
      </c>
      <c r="E22" s="35">
        <f t="shared" si="4"/>
        <v>328</v>
      </c>
      <c r="F22" s="100" t="str">
        <f t="shared" si="1"/>
        <v>PR8 CORTE 45°</v>
      </c>
      <c r="G22" s="1"/>
      <c r="I22" s="87">
        <f t="shared" ref="I22:K22" si="12">I39</f>
        <v>2</v>
      </c>
      <c r="J22" s="4">
        <f t="shared" si="12"/>
        <v>1770</v>
      </c>
      <c r="K22" s="4">
        <f t="shared" si="12"/>
        <v>330</v>
      </c>
    </row>
    <row r="23" spans="1:11" ht="15.6" x14ac:dyDescent="0.3">
      <c r="A23" s="93"/>
      <c r="B23" s="25">
        <f t="shared" si="2"/>
        <v>2</v>
      </c>
      <c r="C23" s="25"/>
      <c r="D23" s="25">
        <v>2440</v>
      </c>
      <c r="E23" s="35">
        <v>100</v>
      </c>
      <c r="F23" s="100" t="str">
        <f t="shared" si="1"/>
        <v>CENEFA R8 1V</v>
      </c>
      <c r="G23" s="1"/>
      <c r="I23" s="87">
        <f t="shared" ref="I23:K23" si="13">I40</f>
        <v>2</v>
      </c>
      <c r="J23" s="4">
        <f t="shared" si="13"/>
        <v>2400</v>
      </c>
      <c r="K23" s="4">
        <f t="shared" si="13"/>
        <v>100</v>
      </c>
    </row>
    <row r="24" spans="1:11" ht="15.6" x14ac:dyDescent="0.3">
      <c r="A24" s="93"/>
      <c r="B24" s="25">
        <f t="shared" si="2"/>
        <v>2</v>
      </c>
      <c r="C24" s="25"/>
      <c r="D24" s="25">
        <v>2440</v>
      </c>
      <c r="E24" s="35">
        <v>100</v>
      </c>
      <c r="F24" s="100" t="str">
        <f t="shared" si="1"/>
        <v>CENEFA R8 1V</v>
      </c>
      <c r="G24" s="1"/>
      <c r="I24" s="87">
        <f t="shared" ref="I24:K24" si="14">I41</f>
        <v>2</v>
      </c>
      <c r="J24" s="4">
        <f t="shared" si="14"/>
        <v>2400</v>
      </c>
      <c r="K24" s="4">
        <f t="shared" si="14"/>
        <v>60</v>
      </c>
    </row>
    <row r="25" spans="1:11" ht="15.6" x14ac:dyDescent="0.3">
      <c r="A25" s="51"/>
      <c r="B25" s="6"/>
      <c r="C25" s="6"/>
      <c r="D25" s="6"/>
      <c r="E25" s="106"/>
      <c r="F25" s="6"/>
      <c r="G25" s="1"/>
      <c r="I25" s="87"/>
      <c r="J25" s="2"/>
      <c r="K25" s="2"/>
    </row>
    <row r="26" spans="1:11" ht="6.7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131" t="s">
        <v>14</v>
      </c>
      <c r="B27" s="131"/>
      <c r="C27" s="131"/>
      <c r="D27" s="131"/>
      <c r="E27" s="131"/>
      <c r="F27" s="131"/>
      <c r="G27" s="1"/>
    </row>
    <row r="28" spans="1:11" ht="10.5" customHeight="1" x14ac:dyDescent="0.3">
      <c r="A28" s="1"/>
      <c r="B28" s="1"/>
      <c r="C28" s="12"/>
      <c r="D28" s="1"/>
      <c r="E28" s="1"/>
      <c r="F28" s="1"/>
      <c r="G28" s="1"/>
    </row>
    <row r="29" spans="1:11" ht="15.6" x14ac:dyDescent="0.3">
      <c r="A29" s="1"/>
      <c r="B29" s="1"/>
      <c r="C29" s="1"/>
      <c r="D29" s="51" t="s">
        <v>7</v>
      </c>
      <c r="E29" s="51" t="s">
        <v>8</v>
      </c>
      <c r="F29" s="1"/>
      <c r="G29" s="1"/>
    </row>
    <row r="30" spans="1:11" ht="15.6" x14ac:dyDescent="0.3">
      <c r="A30" s="51" t="s">
        <v>9</v>
      </c>
      <c r="B30" s="36" t="s">
        <v>10</v>
      </c>
      <c r="C30" s="36" t="s">
        <v>11</v>
      </c>
      <c r="D30" s="21">
        <v>40</v>
      </c>
      <c r="E30" s="21">
        <v>90</v>
      </c>
      <c r="F30" s="36" t="s">
        <v>110</v>
      </c>
      <c r="G30" s="1"/>
      <c r="J30" s="5" t="s">
        <v>7</v>
      </c>
      <c r="K30" s="5" t="s">
        <v>8</v>
      </c>
    </row>
    <row r="31" spans="1:11" ht="15.6" x14ac:dyDescent="0.3">
      <c r="A31" s="93"/>
      <c r="B31" s="16">
        <f t="shared" ref="B31" si="15">I31</f>
        <v>6</v>
      </c>
      <c r="C31" s="16"/>
      <c r="D31" s="16">
        <f>J31+D$30</f>
        <v>800</v>
      </c>
      <c r="E31" s="16">
        <f>K31+E$30</f>
        <v>488</v>
      </c>
      <c r="F31" s="101" t="str">
        <f>C48</f>
        <v>PR8 CORTE 45°</v>
      </c>
      <c r="G31" s="1"/>
      <c r="I31" s="3">
        <f>B48</f>
        <v>6</v>
      </c>
      <c r="J31" s="4">
        <f>D48</f>
        <v>760</v>
      </c>
      <c r="K31" s="4">
        <f t="shared" ref="K31" si="16">E48</f>
        <v>398</v>
      </c>
    </row>
    <row r="32" spans="1:11" ht="15.6" x14ac:dyDescent="0.3">
      <c r="A32" s="93"/>
      <c r="B32" s="16">
        <f t="shared" ref="B32:B41" si="17">I32</f>
        <v>1</v>
      </c>
      <c r="C32" s="16"/>
      <c r="D32" s="16">
        <f t="shared" ref="D32:D41" si="18">J32+D$30</f>
        <v>800</v>
      </c>
      <c r="E32" s="16">
        <f t="shared" ref="E32:E39" si="19">K32+E$30</f>
        <v>588</v>
      </c>
      <c r="F32" s="101" t="str">
        <f t="shared" ref="F32:F41" si="20">C49</f>
        <v>PR8 CORTE 45°</v>
      </c>
      <c r="G32" s="1"/>
      <c r="I32" s="3">
        <f t="shared" ref="I32:I41" si="21">B49</f>
        <v>1</v>
      </c>
      <c r="J32" s="4">
        <f t="shared" ref="J32:J41" si="22">D49</f>
        <v>760</v>
      </c>
      <c r="K32" s="4">
        <f t="shared" ref="K32:K41" si="23">E49</f>
        <v>498</v>
      </c>
    </row>
    <row r="33" spans="1:11" ht="15.6" x14ac:dyDescent="0.3">
      <c r="A33" s="93"/>
      <c r="B33" s="16">
        <f t="shared" si="17"/>
        <v>3</v>
      </c>
      <c r="C33" s="16"/>
      <c r="D33" s="16">
        <f t="shared" si="18"/>
        <v>290</v>
      </c>
      <c r="E33" s="16">
        <f t="shared" si="19"/>
        <v>538</v>
      </c>
      <c r="F33" s="101" t="str">
        <f t="shared" si="20"/>
        <v>PR8 CORTE 45°</v>
      </c>
      <c r="G33" s="1"/>
      <c r="I33" s="3">
        <f t="shared" si="21"/>
        <v>3</v>
      </c>
      <c r="J33" s="4">
        <f t="shared" si="22"/>
        <v>250</v>
      </c>
      <c r="K33" s="4">
        <f t="shared" si="23"/>
        <v>448</v>
      </c>
    </row>
    <row r="34" spans="1:11" ht="15.6" x14ac:dyDescent="0.3">
      <c r="A34" s="93"/>
      <c r="B34" s="16">
        <f t="shared" si="17"/>
        <v>6</v>
      </c>
      <c r="C34" s="16"/>
      <c r="D34" s="16">
        <f t="shared" si="18"/>
        <v>640</v>
      </c>
      <c r="E34" s="16">
        <f t="shared" si="19"/>
        <v>488</v>
      </c>
      <c r="F34" s="101" t="str">
        <f t="shared" si="20"/>
        <v>PR8 CORTE 45°</v>
      </c>
      <c r="G34" s="1"/>
      <c r="I34" s="3">
        <f t="shared" si="21"/>
        <v>6</v>
      </c>
      <c r="J34" s="4">
        <f t="shared" si="22"/>
        <v>600</v>
      </c>
      <c r="K34" s="4">
        <f t="shared" si="23"/>
        <v>398</v>
      </c>
    </row>
    <row r="35" spans="1:11" ht="15.6" x14ac:dyDescent="0.3">
      <c r="A35" s="93"/>
      <c r="B35" s="16">
        <f t="shared" si="17"/>
        <v>1</v>
      </c>
      <c r="C35" s="16"/>
      <c r="D35" s="16">
        <f t="shared" si="18"/>
        <v>640</v>
      </c>
      <c r="E35" s="16">
        <f t="shared" si="19"/>
        <v>588</v>
      </c>
      <c r="F35" s="101" t="str">
        <f t="shared" si="20"/>
        <v>PR8 CORTE 45°</v>
      </c>
      <c r="G35" s="1"/>
      <c r="I35" s="3">
        <f t="shared" si="21"/>
        <v>1</v>
      </c>
      <c r="J35" s="4">
        <f t="shared" si="22"/>
        <v>600</v>
      </c>
      <c r="K35" s="4">
        <f t="shared" si="23"/>
        <v>498</v>
      </c>
    </row>
    <row r="36" spans="1:11" ht="15.6" x14ac:dyDescent="0.3">
      <c r="A36" s="93"/>
      <c r="B36" s="16">
        <f t="shared" si="17"/>
        <v>1</v>
      </c>
      <c r="C36" s="16"/>
      <c r="D36" s="16">
        <f t="shared" si="18"/>
        <v>640</v>
      </c>
      <c r="E36" s="16">
        <f t="shared" si="19"/>
        <v>538</v>
      </c>
      <c r="F36" s="101" t="str">
        <f t="shared" si="20"/>
        <v>PR8 CORTE 45°</v>
      </c>
      <c r="G36" s="1"/>
      <c r="I36" s="3">
        <f t="shared" si="21"/>
        <v>1</v>
      </c>
      <c r="J36" s="4">
        <f t="shared" si="22"/>
        <v>600</v>
      </c>
      <c r="K36" s="4">
        <f t="shared" si="23"/>
        <v>448</v>
      </c>
    </row>
    <row r="37" spans="1:11" ht="15.6" x14ac:dyDescent="0.3">
      <c r="A37" s="93"/>
      <c r="B37" s="16">
        <f t="shared" si="17"/>
        <v>1</v>
      </c>
      <c r="C37" s="16"/>
      <c r="D37" s="16">
        <f t="shared" si="18"/>
        <v>640</v>
      </c>
      <c r="E37" s="16">
        <f t="shared" si="19"/>
        <v>450</v>
      </c>
      <c r="F37" s="101" t="str">
        <f t="shared" si="20"/>
        <v>PR8 CORTE 45°</v>
      </c>
      <c r="G37" s="1"/>
      <c r="I37" s="3">
        <f t="shared" si="21"/>
        <v>1</v>
      </c>
      <c r="J37" s="4">
        <f t="shared" si="22"/>
        <v>600</v>
      </c>
      <c r="K37" s="4">
        <f t="shared" si="23"/>
        <v>360</v>
      </c>
    </row>
    <row r="38" spans="1:11" ht="15.6" x14ac:dyDescent="0.3">
      <c r="A38" s="93"/>
      <c r="B38" s="16">
        <f t="shared" si="17"/>
        <v>1</v>
      </c>
      <c r="C38" s="16"/>
      <c r="D38" s="16">
        <f t="shared" si="18"/>
        <v>820</v>
      </c>
      <c r="E38" s="16">
        <f t="shared" si="19"/>
        <v>770</v>
      </c>
      <c r="F38" s="101" t="str">
        <f t="shared" si="20"/>
        <v>PR8 CORTE 45°</v>
      </c>
      <c r="G38" s="1"/>
      <c r="I38" s="3">
        <f t="shared" si="21"/>
        <v>1</v>
      </c>
      <c r="J38" s="4">
        <f t="shared" si="22"/>
        <v>780</v>
      </c>
      <c r="K38" s="4">
        <f t="shared" si="23"/>
        <v>680</v>
      </c>
    </row>
    <row r="39" spans="1:11" ht="15.6" x14ac:dyDescent="0.3">
      <c r="A39" s="93"/>
      <c r="B39" s="16">
        <f t="shared" si="17"/>
        <v>2</v>
      </c>
      <c r="C39" s="16"/>
      <c r="D39" s="16">
        <f t="shared" si="18"/>
        <v>1810</v>
      </c>
      <c r="E39" s="16">
        <f t="shared" si="19"/>
        <v>420</v>
      </c>
      <c r="F39" s="101" t="str">
        <f t="shared" si="20"/>
        <v>PR8 CORTE 45°</v>
      </c>
      <c r="G39" s="1"/>
      <c r="I39" s="3">
        <f t="shared" si="21"/>
        <v>2</v>
      </c>
      <c r="J39" s="4">
        <f t="shared" si="22"/>
        <v>1770</v>
      </c>
      <c r="K39" s="4">
        <f t="shared" si="23"/>
        <v>330</v>
      </c>
    </row>
    <row r="40" spans="1:11" ht="15.6" x14ac:dyDescent="0.3">
      <c r="A40" s="93"/>
      <c r="B40" s="16">
        <f t="shared" si="17"/>
        <v>2</v>
      </c>
      <c r="C40" s="16"/>
      <c r="D40" s="16">
        <f t="shared" si="18"/>
        <v>2440</v>
      </c>
      <c r="E40" s="16">
        <v>160</v>
      </c>
      <c r="F40" s="101" t="str">
        <f t="shared" si="20"/>
        <v>CENEFA R8 1V</v>
      </c>
      <c r="G40" s="1"/>
      <c r="I40" s="3">
        <f t="shared" si="21"/>
        <v>2</v>
      </c>
      <c r="J40" s="4">
        <f t="shared" si="22"/>
        <v>2400</v>
      </c>
      <c r="K40" s="4">
        <f t="shared" si="23"/>
        <v>100</v>
      </c>
    </row>
    <row r="41" spans="1:11" ht="15.6" x14ac:dyDescent="0.3">
      <c r="A41" s="93"/>
      <c r="B41" s="16">
        <f t="shared" si="17"/>
        <v>2</v>
      </c>
      <c r="C41" s="16"/>
      <c r="D41" s="16">
        <f t="shared" si="18"/>
        <v>2440</v>
      </c>
      <c r="E41" s="16">
        <v>120</v>
      </c>
      <c r="F41" s="101" t="str">
        <f t="shared" si="20"/>
        <v>CENEFA R8 1V</v>
      </c>
      <c r="G41" s="1"/>
      <c r="I41" s="3">
        <f t="shared" si="21"/>
        <v>2</v>
      </c>
      <c r="J41" s="4">
        <f t="shared" si="22"/>
        <v>2400</v>
      </c>
      <c r="K41" s="4">
        <f t="shared" si="23"/>
        <v>60</v>
      </c>
    </row>
    <row r="42" spans="1:11" ht="15.6" x14ac:dyDescent="0.3">
      <c r="A42" s="93"/>
      <c r="B42" s="6"/>
      <c r="C42" s="6"/>
      <c r="D42" s="6"/>
      <c r="E42" s="6"/>
      <c r="F42" s="104"/>
      <c r="G42" s="1"/>
      <c r="I42" s="87"/>
      <c r="J42" s="2"/>
      <c r="K42" s="2"/>
    </row>
    <row r="43" spans="1:11" ht="15.6" x14ac:dyDescent="0.3">
      <c r="A43" s="93"/>
      <c r="B43" s="6"/>
      <c r="C43" s="6"/>
      <c r="D43" s="6"/>
      <c r="E43" s="6"/>
      <c r="F43" s="6"/>
      <c r="G43" s="1"/>
      <c r="I43" s="87"/>
      <c r="J43" s="2"/>
      <c r="K43" s="2"/>
    </row>
    <row r="44" spans="1:11" ht="16.2" thickBot="1" x14ac:dyDescent="0.35">
      <c r="A44" s="51"/>
      <c r="B44" s="6"/>
      <c r="C44" s="6"/>
      <c r="D44" s="6"/>
      <c r="E44" s="6"/>
      <c r="F44" s="6"/>
      <c r="G44" s="1"/>
      <c r="I44" s="2"/>
      <c r="J44" s="2"/>
      <c r="K44" s="2"/>
    </row>
    <row r="45" spans="1:11" ht="16.2" thickBot="1" x14ac:dyDescent="0.35">
      <c r="A45" s="51"/>
      <c r="B45" s="22" t="s">
        <v>107</v>
      </c>
      <c r="C45" s="23"/>
      <c r="D45" s="23"/>
      <c r="E45" s="23"/>
      <c r="F45" s="24"/>
      <c r="G45" s="1"/>
      <c r="I45" s="2"/>
      <c r="J45" s="2"/>
      <c r="K45" s="2"/>
    </row>
    <row r="46" spans="1:11" ht="10.5" customHeight="1" x14ac:dyDescent="0.3">
      <c r="A46" s="1"/>
      <c r="B46" s="1"/>
      <c r="C46" s="1"/>
      <c r="D46" s="1"/>
      <c r="E46" s="1"/>
      <c r="F46" s="1"/>
      <c r="G46" s="1"/>
    </row>
    <row r="47" spans="1:11" ht="15.6" x14ac:dyDescent="0.3">
      <c r="A47" s="51" t="s">
        <v>9</v>
      </c>
      <c r="B47" s="86" t="s">
        <v>10</v>
      </c>
      <c r="C47" s="86" t="s">
        <v>110</v>
      </c>
      <c r="D47" s="86" t="s">
        <v>7</v>
      </c>
      <c r="E47" s="86" t="s">
        <v>8</v>
      </c>
      <c r="F47" s="86" t="s">
        <v>23</v>
      </c>
      <c r="G47" s="1"/>
    </row>
    <row r="48" spans="1:11" ht="15.6" x14ac:dyDescent="0.3">
      <c r="A48" s="93" t="s">
        <v>144</v>
      </c>
      <c r="B48" s="25">
        <f>'4637'!B21</f>
        <v>6</v>
      </c>
      <c r="C48" s="100" t="str">
        <f>'4637'!C21</f>
        <v>PR8 CORTE 45°</v>
      </c>
      <c r="D48" s="25">
        <f>'4637'!D21</f>
        <v>760</v>
      </c>
      <c r="E48" s="25">
        <f>'4637'!E21</f>
        <v>398</v>
      </c>
      <c r="F48" s="25" t="str">
        <f>'4637'!F21</f>
        <v>WHITE LILY 21081 SF</v>
      </c>
      <c r="G48" s="1"/>
    </row>
    <row r="49" spans="1:7" ht="15.6" x14ac:dyDescent="0.3">
      <c r="A49" s="93"/>
      <c r="B49" s="25">
        <f>'4637'!B22</f>
        <v>1</v>
      </c>
      <c r="C49" s="100" t="str">
        <f>'4637'!C22</f>
        <v>PR8 CORTE 45°</v>
      </c>
      <c r="D49" s="25">
        <f>'4637'!D22</f>
        <v>760</v>
      </c>
      <c r="E49" s="25">
        <f>'4637'!E22</f>
        <v>498</v>
      </c>
      <c r="F49" s="25" t="str">
        <f>'4637'!F22</f>
        <v>WHITE LILY 21081 SF</v>
      </c>
      <c r="G49" s="1"/>
    </row>
    <row r="50" spans="1:7" ht="15.6" x14ac:dyDescent="0.3">
      <c r="A50" s="93"/>
      <c r="B50" s="25">
        <f>'4637'!B23</f>
        <v>3</v>
      </c>
      <c r="C50" s="100" t="str">
        <f>'4637'!C23</f>
        <v>PR8 CORTE 45°</v>
      </c>
      <c r="D50" s="25">
        <f>'4637'!D23</f>
        <v>250</v>
      </c>
      <c r="E50" s="25">
        <f>'4637'!E23</f>
        <v>448</v>
      </c>
      <c r="F50" s="25" t="str">
        <f>'4637'!F23</f>
        <v>WHITE LILY 21081 SF</v>
      </c>
      <c r="G50" s="1"/>
    </row>
    <row r="51" spans="1:7" ht="15.6" x14ac:dyDescent="0.3">
      <c r="A51" s="93"/>
      <c r="B51" s="25">
        <f>'4637'!B24</f>
        <v>6</v>
      </c>
      <c r="C51" s="100" t="str">
        <f>'4637'!C24</f>
        <v>PR8 CORTE 45°</v>
      </c>
      <c r="D51" s="25">
        <f>'4637'!D24</f>
        <v>600</v>
      </c>
      <c r="E51" s="25">
        <f>'4637'!E24</f>
        <v>398</v>
      </c>
      <c r="F51" s="25" t="str">
        <f>'4637'!F24</f>
        <v>WHITE LILY 21081 SF</v>
      </c>
      <c r="G51" s="1"/>
    </row>
    <row r="52" spans="1:7" ht="15.6" x14ac:dyDescent="0.3">
      <c r="A52" s="93"/>
      <c r="B52" s="25">
        <f>'4637'!B25</f>
        <v>1</v>
      </c>
      <c r="C52" s="100" t="str">
        <f>'4637'!C25</f>
        <v>PR8 CORTE 45°</v>
      </c>
      <c r="D52" s="25">
        <f>'4637'!D25</f>
        <v>600</v>
      </c>
      <c r="E52" s="25">
        <f>'4637'!E25</f>
        <v>498</v>
      </c>
      <c r="F52" s="25" t="str">
        <f>'4637'!F25</f>
        <v>WHITE LILY 21081 SF</v>
      </c>
      <c r="G52" s="1"/>
    </row>
    <row r="53" spans="1:7" ht="15.6" x14ac:dyDescent="0.3">
      <c r="A53" s="93"/>
      <c r="B53" s="25">
        <f>'4637'!B26</f>
        <v>1</v>
      </c>
      <c r="C53" s="100" t="str">
        <f>'4637'!C26</f>
        <v>PR8 CORTE 45°</v>
      </c>
      <c r="D53" s="25">
        <f>'4637'!D26</f>
        <v>600</v>
      </c>
      <c r="E53" s="25">
        <f>'4637'!E26</f>
        <v>448</v>
      </c>
      <c r="F53" s="25" t="str">
        <f>'4637'!F26</f>
        <v>WHITE LILY 21081 SF</v>
      </c>
      <c r="G53" s="1"/>
    </row>
    <row r="54" spans="1:7" ht="15.6" x14ac:dyDescent="0.3">
      <c r="A54" s="93"/>
      <c r="B54" s="25">
        <f>'4637'!B27</f>
        <v>1</v>
      </c>
      <c r="C54" s="100" t="str">
        <f>'4637'!C27</f>
        <v>PR8 CORTE 45°</v>
      </c>
      <c r="D54" s="25">
        <f>'4637'!D27</f>
        <v>600</v>
      </c>
      <c r="E54" s="25">
        <f>'4637'!E27</f>
        <v>360</v>
      </c>
      <c r="F54" s="25" t="str">
        <f>'4637'!F27</f>
        <v>WHITE LILY 21081 SF</v>
      </c>
      <c r="G54" s="1"/>
    </row>
    <row r="55" spans="1:7" ht="15.6" x14ac:dyDescent="0.3">
      <c r="A55" s="93"/>
      <c r="B55" s="25">
        <f>'4637'!B28</f>
        <v>1</v>
      </c>
      <c r="C55" s="100" t="str">
        <f>'4637'!C28</f>
        <v>PR8 CORTE 45°</v>
      </c>
      <c r="D55" s="25">
        <f>'4637'!D28</f>
        <v>780</v>
      </c>
      <c r="E55" s="25">
        <f>'4637'!E28</f>
        <v>680</v>
      </c>
      <c r="F55" s="25" t="str">
        <f>'4637'!F28</f>
        <v>WHITE LILY 21081 SF</v>
      </c>
      <c r="G55" s="1"/>
    </row>
    <row r="56" spans="1:7" ht="15.6" x14ac:dyDescent="0.3">
      <c r="A56" s="93"/>
      <c r="B56" s="25">
        <f>'4637'!B29</f>
        <v>2</v>
      </c>
      <c r="C56" s="100" t="str">
        <f>'4637'!C29</f>
        <v>PR8 CORTE 45°</v>
      </c>
      <c r="D56" s="25">
        <f>'4637'!D29</f>
        <v>1770</v>
      </c>
      <c r="E56" s="25">
        <f>'4637'!E29</f>
        <v>330</v>
      </c>
      <c r="F56" s="25" t="str">
        <f>'4637'!F29</f>
        <v>WHITE LILY 21081 SF</v>
      </c>
      <c r="G56" s="1"/>
    </row>
    <row r="57" spans="1:7" ht="15.6" x14ac:dyDescent="0.3">
      <c r="A57" s="93"/>
      <c r="B57" s="25">
        <f>'4637'!B30</f>
        <v>2</v>
      </c>
      <c r="C57" s="100" t="str">
        <f>'4637'!C30</f>
        <v>CENEFA R8 1V</v>
      </c>
      <c r="D57" s="25">
        <f>'4637'!D30</f>
        <v>2400</v>
      </c>
      <c r="E57" s="25">
        <f>'4637'!E30</f>
        <v>100</v>
      </c>
      <c r="F57" s="25" t="str">
        <f>'4637'!F30</f>
        <v>WHITE LILY 21081 SF</v>
      </c>
      <c r="G57" s="1"/>
    </row>
    <row r="58" spans="1:7" ht="15.6" x14ac:dyDescent="0.3">
      <c r="A58" s="93"/>
      <c r="B58" s="25">
        <f>'4637'!B31</f>
        <v>2</v>
      </c>
      <c r="C58" s="100" t="str">
        <f>'4637'!C31</f>
        <v>CENEFA R8 1V</v>
      </c>
      <c r="D58" s="25">
        <f>'4637'!D31</f>
        <v>2400</v>
      </c>
      <c r="E58" s="25">
        <f>'4637'!E31</f>
        <v>60</v>
      </c>
      <c r="F58" s="25" t="str">
        <f>'4637'!F31</f>
        <v>WHITE LILY 21081 SF</v>
      </c>
      <c r="G58" s="1"/>
    </row>
    <row r="59" spans="1:7" ht="15.6" x14ac:dyDescent="0.3">
      <c r="A59" s="93"/>
      <c r="B59" s="25">
        <f>'4637'!B32</f>
        <v>15</v>
      </c>
      <c r="C59" s="100" t="str">
        <f>'4637'!C32</f>
        <v>PERFORACION PARA BISAGRA 35°</v>
      </c>
      <c r="D59" s="25">
        <f>'4637'!D32</f>
        <v>0</v>
      </c>
      <c r="E59" s="25">
        <f>'4637'!E32</f>
        <v>0</v>
      </c>
      <c r="F59" s="25">
        <f>'4637'!F32</f>
        <v>0</v>
      </c>
      <c r="G59" s="1"/>
    </row>
    <row r="60" spans="1:7" ht="15.6" x14ac:dyDescent="0.3">
      <c r="A60" s="93"/>
      <c r="B60" s="6"/>
      <c r="C60" s="104"/>
      <c r="D60" s="6"/>
      <c r="E60" s="6"/>
      <c r="F60" s="6"/>
      <c r="G60" s="1"/>
    </row>
    <row r="61" spans="1:7" ht="15.6" x14ac:dyDescent="0.3">
      <c r="A61" s="1"/>
      <c r="B61" s="6"/>
      <c r="C61" s="6"/>
      <c r="D61" s="6"/>
      <c r="E61" s="6"/>
      <c r="F61" s="6"/>
      <c r="G61" s="1"/>
    </row>
    <row r="62" spans="1:7" ht="15.6" x14ac:dyDescent="0.3">
      <c r="A62" s="1"/>
      <c r="B62" s="6"/>
      <c r="C62" s="6"/>
      <c r="D62" s="6"/>
      <c r="E62" s="6"/>
      <c r="F62" s="6"/>
      <c r="G62" s="1"/>
    </row>
    <row r="63" spans="1:7" ht="15.6" x14ac:dyDescent="0.3">
      <c r="A63" s="1"/>
      <c r="B63" s="6"/>
      <c r="C63" s="6"/>
      <c r="D63" s="6"/>
      <c r="E63" s="6"/>
      <c r="F63" s="6"/>
      <c r="G63" s="1"/>
    </row>
    <row r="64" spans="1:7" ht="15.6" x14ac:dyDescent="0.3">
      <c r="A64" s="1"/>
      <c r="B64" s="6"/>
      <c r="C64" s="6"/>
      <c r="D64" s="6"/>
      <c r="E64" s="6"/>
      <c r="F64" s="6"/>
      <c r="G64" s="1"/>
    </row>
    <row r="65" spans="1:7" ht="15.6" x14ac:dyDescent="0.3">
      <c r="A65" s="1"/>
      <c r="B65" s="6"/>
      <c r="C65" s="6"/>
      <c r="D65" s="6"/>
      <c r="E65" s="6"/>
      <c r="F65" s="6"/>
      <c r="G65" s="1"/>
    </row>
    <row r="66" spans="1:7" ht="15.6" x14ac:dyDescent="0.3">
      <c r="A66" s="1"/>
      <c r="B66" s="6"/>
      <c r="C66" s="6"/>
      <c r="D66" s="6"/>
      <c r="E66" s="6"/>
      <c r="F66" s="6"/>
      <c r="G66" s="1"/>
    </row>
    <row r="67" spans="1:7" ht="15.6" x14ac:dyDescent="0.3">
      <c r="A67" s="1"/>
      <c r="B67" s="6"/>
      <c r="C67" s="6"/>
      <c r="D67" s="6"/>
      <c r="E67" s="6"/>
      <c r="F67" s="6"/>
      <c r="G67" s="1"/>
    </row>
    <row r="68" spans="1:7" ht="15.6" x14ac:dyDescent="0.3">
      <c r="A68" s="1"/>
      <c r="B68" s="6"/>
      <c r="C68" s="6"/>
      <c r="D68" s="6"/>
      <c r="E68" s="6"/>
      <c r="F68" s="6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1"/>
      <c r="B70" s="1"/>
      <c r="C70" s="40" t="s">
        <v>27</v>
      </c>
      <c r="D70" s="14">
        <f>'4637'!G8</f>
        <v>7299</v>
      </c>
      <c r="E70" s="1"/>
      <c r="F70" s="1"/>
      <c r="G70" s="1"/>
    </row>
    <row r="71" spans="1:7" ht="17.25" customHeight="1" x14ac:dyDescent="0.3">
      <c r="A71" s="1"/>
      <c r="B71" s="1"/>
      <c r="C71" s="41" t="s">
        <v>67</v>
      </c>
      <c r="D71" s="42" t="str">
        <f>'4637'!C10</f>
        <v>JOSE BASOALTO DIAZ</v>
      </c>
      <c r="E71" s="43"/>
      <c r="F71" s="43"/>
      <c r="G71" s="1"/>
    </row>
    <row r="72" spans="1:7" ht="4.5" customHeight="1" x14ac:dyDescent="0.3">
      <c r="A72" s="1"/>
      <c r="B72" s="1"/>
      <c r="C72" s="44"/>
      <c r="D72" s="45"/>
      <c r="E72" s="1"/>
      <c r="F72" s="1"/>
      <c r="G72" s="1"/>
    </row>
    <row r="73" spans="1:7" ht="15.6" x14ac:dyDescent="0.3">
      <c r="A73" s="1"/>
      <c r="B73" s="1"/>
      <c r="C73" s="46" t="str">
        <f>'4637'!F11</f>
        <v>FECHA LIMITE :</v>
      </c>
      <c r="D73" s="13">
        <f>'4637'!G11</f>
        <v>0</v>
      </c>
      <c r="E73" s="1"/>
      <c r="F73" s="1"/>
      <c r="G73" s="1"/>
    </row>
    <row r="74" spans="1:7" ht="15.6" x14ac:dyDescent="0.3">
      <c r="A74" s="1"/>
      <c r="B74" s="1"/>
      <c r="C74" s="1"/>
      <c r="D74" s="1"/>
      <c r="E74" s="1"/>
      <c r="F74" s="1"/>
      <c r="G74" s="1"/>
    </row>
    <row r="75" spans="1:7" ht="15.6" x14ac:dyDescent="0.3">
      <c r="A75" s="1"/>
      <c r="B75" s="1"/>
      <c r="C75" s="1"/>
      <c r="D75" s="1"/>
      <c r="E75" s="1"/>
      <c r="F75" s="1"/>
      <c r="G75" s="1"/>
    </row>
    <row r="76" spans="1:7" ht="15.6" x14ac:dyDescent="0.3">
      <c r="A76" s="131" t="s">
        <v>68</v>
      </c>
      <c r="B76" s="131"/>
      <c r="C76" s="131"/>
      <c r="D76" s="131"/>
      <c r="E76" s="131"/>
      <c r="F76" s="131"/>
      <c r="G76" s="1"/>
    </row>
    <row r="77" spans="1:7" ht="15.6" x14ac:dyDescent="0.3">
      <c r="A77" s="1"/>
      <c r="B77" s="1"/>
      <c r="C77" s="1"/>
      <c r="D77" s="1"/>
      <c r="E77" s="1"/>
      <c r="F77" s="1"/>
      <c r="G77" s="1"/>
    </row>
    <row r="78" spans="1:7" ht="15.75" customHeight="1" x14ac:dyDescent="0.3">
      <c r="A78" s="1"/>
      <c r="B78" s="132" t="s">
        <v>69</v>
      </c>
      <c r="C78" s="133"/>
      <c r="D78" s="134"/>
      <c r="E78" s="134"/>
      <c r="F78" s="135"/>
      <c r="G78" s="1"/>
    </row>
    <row r="79" spans="1:7" s="15" customFormat="1" ht="12.75" customHeight="1" x14ac:dyDescent="0.3">
      <c r="A79" s="1"/>
      <c r="B79" s="36" t="s">
        <v>10</v>
      </c>
      <c r="C79" s="47" t="s">
        <v>11</v>
      </c>
      <c r="D79" s="48" t="s">
        <v>7</v>
      </c>
      <c r="E79" s="48" t="s">
        <v>8</v>
      </c>
      <c r="F79" s="49" t="s">
        <v>12</v>
      </c>
      <c r="G79" s="1"/>
    </row>
    <row r="80" spans="1:7" s="15" customFormat="1" ht="15" customHeight="1" x14ac:dyDescent="0.3">
      <c r="A80" s="93" t="s">
        <v>144</v>
      </c>
      <c r="B80" s="38">
        <f>'4637'!B21</f>
        <v>6</v>
      </c>
      <c r="C80" s="99" t="str">
        <f>'4637'!C21</f>
        <v>PR8 CORTE 45°</v>
      </c>
      <c r="D80" s="39">
        <f>'4637'!D21</f>
        <v>760</v>
      </c>
      <c r="E80" s="39">
        <f>'4637'!E21</f>
        <v>398</v>
      </c>
      <c r="F80" s="38" t="str">
        <f>'4637'!F21</f>
        <v>WHITE LILY 21081 SF</v>
      </c>
      <c r="G80" s="1"/>
    </row>
    <row r="81" spans="1:7" s="15" customFormat="1" ht="15" customHeight="1" x14ac:dyDescent="0.3">
      <c r="A81" s="93"/>
      <c r="B81" s="38">
        <f>'4637'!B22</f>
        <v>1</v>
      </c>
      <c r="C81" s="99" t="str">
        <f>'4637'!C22</f>
        <v>PR8 CORTE 45°</v>
      </c>
      <c r="D81" s="39">
        <f>'4637'!D22</f>
        <v>760</v>
      </c>
      <c r="E81" s="39">
        <f>'4637'!E22</f>
        <v>498</v>
      </c>
      <c r="F81" s="38" t="str">
        <f>'4637'!F22</f>
        <v>WHITE LILY 21081 SF</v>
      </c>
      <c r="G81" s="1"/>
    </row>
    <row r="82" spans="1:7" s="15" customFormat="1" ht="15" customHeight="1" x14ac:dyDescent="0.3">
      <c r="A82" s="93"/>
      <c r="B82" s="38">
        <f>'4637'!B23</f>
        <v>3</v>
      </c>
      <c r="C82" s="99" t="str">
        <f>'4637'!C23</f>
        <v>PR8 CORTE 45°</v>
      </c>
      <c r="D82" s="39">
        <f>'4637'!D23</f>
        <v>250</v>
      </c>
      <c r="E82" s="39">
        <f>'4637'!E23</f>
        <v>448</v>
      </c>
      <c r="F82" s="38" t="str">
        <f>'4637'!F23</f>
        <v>WHITE LILY 21081 SF</v>
      </c>
      <c r="G82" s="1"/>
    </row>
    <row r="83" spans="1:7" s="15" customFormat="1" ht="15" customHeight="1" x14ac:dyDescent="0.3">
      <c r="A83" s="93"/>
      <c r="B83" s="38">
        <f>'4637'!B24</f>
        <v>6</v>
      </c>
      <c r="C83" s="99" t="str">
        <f>'4637'!C24</f>
        <v>PR8 CORTE 45°</v>
      </c>
      <c r="D83" s="39">
        <f>'4637'!D24</f>
        <v>600</v>
      </c>
      <c r="E83" s="39">
        <f>'4637'!E24</f>
        <v>398</v>
      </c>
      <c r="F83" s="38" t="str">
        <f>'4637'!F24</f>
        <v>WHITE LILY 21081 SF</v>
      </c>
      <c r="G83" s="1"/>
    </row>
    <row r="84" spans="1:7" s="15" customFormat="1" ht="15" customHeight="1" x14ac:dyDescent="0.3">
      <c r="A84" s="93"/>
      <c r="B84" s="38">
        <f>'4637'!B25</f>
        <v>1</v>
      </c>
      <c r="C84" s="99" t="str">
        <f>'4637'!C25</f>
        <v>PR8 CORTE 45°</v>
      </c>
      <c r="D84" s="39">
        <f>'4637'!D25</f>
        <v>600</v>
      </c>
      <c r="E84" s="39">
        <f>'4637'!E25</f>
        <v>498</v>
      </c>
      <c r="F84" s="38" t="str">
        <f>'4637'!F25</f>
        <v>WHITE LILY 21081 SF</v>
      </c>
      <c r="G84" s="1"/>
    </row>
    <row r="85" spans="1:7" s="15" customFormat="1" ht="15" customHeight="1" x14ac:dyDescent="0.3">
      <c r="A85" s="93"/>
      <c r="B85" s="38">
        <f>'4637'!B26</f>
        <v>1</v>
      </c>
      <c r="C85" s="99" t="str">
        <f>'4637'!C26</f>
        <v>PR8 CORTE 45°</v>
      </c>
      <c r="D85" s="39">
        <f>'4637'!D26</f>
        <v>600</v>
      </c>
      <c r="E85" s="39">
        <f>'4637'!E26</f>
        <v>448</v>
      </c>
      <c r="F85" s="38" t="str">
        <f>'4637'!F26</f>
        <v>WHITE LILY 21081 SF</v>
      </c>
      <c r="G85" s="1"/>
    </row>
    <row r="86" spans="1:7" s="15" customFormat="1" ht="15" customHeight="1" x14ac:dyDescent="0.3">
      <c r="A86" s="93"/>
      <c r="B86" s="38">
        <f>'4637'!B27</f>
        <v>1</v>
      </c>
      <c r="C86" s="99" t="str">
        <f>'4637'!C27</f>
        <v>PR8 CORTE 45°</v>
      </c>
      <c r="D86" s="39">
        <f>'4637'!D27</f>
        <v>600</v>
      </c>
      <c r="E86" s="39">
        <f>'4637'!E27</f>
        <v>360</v>
      </c>
      <c r="F86" s="38" t="str">
        <f>'4637'!F27</f>
        <v>WHITE LILY 21081 SF</v>
      </c>
      <c r="G86" s="1"/>
    </row>
    <row r="87" spans="1:7" s="15" customFormat="1" ht="15" customHeight="1" x14ac:dyDescent="0.3">
      <c r="A87" s="93"/>
      <c r="B87" s="38">
        <f>'4637'!B28</f>
        <v>1</v>
      </c>
      <c r="C87" s="99" t="str">
        <f>'4637'!C28</f>
        <v>PR8 CORTE 45°</v>
      </c>
      <c r="D87" s="39">
        <f>'4637'!D28</f>
        <v>780</v>
      </c>
      <c r="E87" s="39">
        <f>'4637'!E28</f>
        <v>680</v>
      </c>
      <c r="F87" s="38" t="str">
        <f>'4637'!F28</f>
        <v>WHITE LILY 21081 SF</v>
      </c>
      <c r="G87" s="1"/>
    </row>
    <row r="88" spans="1:7" s="15" customFormat="1" ht="15" customHeight="1" x14ac:dyDescent="0.3">
      <c r="A88" s="93"/>
      <c r="B88" s="38">
        <f>'4637'!B29</f>
        <v>2</v>
      </c>
      <c r="C88" s="99" t="str">
        <f>'4637'!C29</f>
        <v>PR8 CORTE 45°</v>
      </c>
      <c r="D88" s="39">
        <f>'4637'!D29</f>
        <v>1770</v>
      </c>
      <c r="E88" s="39">
        <f>'4637'!E29</f>
        <v>330</v>
      </c>
      <c r="F88" s="38" t="str">
        <f>'4637'!F29</f>
        <v>WHITE LILY 21081 SF</v>
      </c>
      <c r="G88" s="1"/>
    </row>
    <row r="89" spans="1:7" s="15" customFormat="1" ht="15" customHeight="1" x14ac:dyDescent="0.3">
      <c r="A89" s="93"/>
      <c r="B89" s="38">
        <f>'4637'!B30</f>
        <v>2</v>
      </c>
      <c r="C89" s="99" t="str">
        <f>'4637'!C30</f>
        <v>CENEFA R8 1V</v>
      </c>
      <c r="D89" s="39">
        <f>'4637'!D30</f>
        <v>2400</v>
      </c>
      <c r="E89" s="39">
        <f>'4637'!E30</f>
        <v>100</v>
      </c>
      <c r="F89" s="38" t="str">
        <f>'4637'!F30</f>
        <v>WHITE LILY 21081 SF</v>
      </c>
      <c r="G89" s="1"/>
    </row>
    <row r="90" spans="1:7" s="15" customFormat="1" ht="15" customHeight="1" x14ac:dyDescent="0.3">
      <c r="A90" s="93"/>
      <c r="B90" s="38">
        <f>'4637'!B31</f>
        <v>2</v>
      </c>
      <c r="C90" s="99" t="str">
        <f>'4637'!C31</f>
        <v>CENEFA R8 1V</v>
      </c>
      <c r="D90" s="39">
        <f>'4637'!D31</f>
        <v>2400</v>
      </c>
      <c r="E90" s="39">
        <f>'4637'!E31</f>
        <v>60</v>
      </c>
      <c r="F90" s="38" t="str">
        <f>'4637'!F31</f>
        <v>WHITE LILY 21081 SF</v>
      </c>
      <c r="G90" s="1"/>
    </row>
    <row r="91" spans="1:7" s="15" customFormat="1" ht="15" customHeight="1" x14ac:dyDescent="0.3">
      <c r="A91" s="93"/>
      <c r="B91" s="38">
        <f>'4637'!B32</f>
        <v>15</v>
      </c>
      <c r="C91" s="99" t="str">
        <f>'4637'!C32</f>
        <v>PERFORACION PARA BISAGRA 35°</v>
      </c>
      <c r="D91" s="39">
        <f>'4637'!D32</f>
        <v>0</v>
      </c>
      <c r="E91" s="39">
        <f>'4637'!E32</f>
        <v>0</v>
      </c>
      <c r="F91" s="38">
        <f>'4637'!F32</f>
        <v>0</v>
      </c>
      <c r="G91" s="1"/>
    </row>
    <row r="92" spans="1:7" s="15" customFormat="1" ht="15" customHeight="1" x14ac:dyDescent="0.3">
      <c r="A92" s="93"/>
      <c r="B92" s="51"/>
      <c r="C92" s="122"/>
      <c r="D92" s="51"/>
      <c r="E92" s="51"/>
      <c r="F92" s="51"/>
      <c r="G92" s="1"/>
    </row>
    <row r="93" spans="1:7" s="15" customFormat="1" ht="15" customHeight="1" x14ac:dyDescent="0.3">
      <c r="A93" s="50"/>
      <c r="B93" s="51"/>
      <c r="C93" s="51"/>
      <c r="D93" s="51"/>
      <c r="E93" s="51"/>
      <c r="F93" s="51"/>
      <c r="G93" s="1"/>
    </row>
    <row r="94" spans="1:7" ht="15.6" x14ac:dyDescent="0.3">
      <c r="A94" s="6"/>
      <c r="B94" s="6"/>
      <c r="C94" s="1"/>
      <c r="D94" s="6"/>
      <c r="E94" s="6"/>
      <c r="F94" s="44"/>
      <c r="G94" s="1"/>
    </row>
    <row r="95" spans="1:7" ht="15.6" x14ac:dyDescent="0.3">
      <c r="A95" s="6"/>
      <c r="B95" s="6"/>
      <c r="C95" s="1"/>
      <c r="D95" s="6"/>
      <c r="E95" s="6"/>
      <c r="F95" s="6"/>
      <c r="G95" s="1"/>
    </row>
    <row r="96" spans="1:7" ht="15.6" x14ac:dyDescent="0.3">
      <c r="A96" s="1"/>
      <c r="B96" s="1"/>
      <c r="C96" s="1"/>
      <c r="D96" s="1"/>
      <c r="E96" s="1"/>
      <c r="F96" s="1"/>
      <c r="G96" s="1"/>
    </row>
    <row r="97" spans="1:7" ht="15.6" x14ac:dyDescent="0.3">
      <c r="A97" s="1"/>
      <c r="B97" s="1"/>
      <c r="C97" s="1"/>
      <c r="D97" s="1"/>
      <c r="E97" s="1"/>
      <c r="F97" s="1"/>
      <c r="G97" s="1"/>
    </row>
    <row r="98" spans="1:7" x14ac:dyDescent="0.3">
      <c r="B98" s="20"/>
      <c r="C98" s="20"/>
      <c r="D98" s="20"/>
      <c r="E98" s="20"/>
      <c r="F98" s="20"/>
    </row>
    <row r="99" spans="1:7" x14ac:dyDescent="0.3">
      <c r="B99" s="20"/>
      <c r="C99" s="20"/>
      <c r="E99" s="20"/>
      <c r="F99" s="20"/>
    </row>
  </sheetData>
  <mergeCells count="6">
    <mergeCell ref="M3:N3"/>
    <mergeCell ref="A27:F27"/>
    <mergeCell ref="A10:F10"/>
    <mergeCell ref="A76:F76"/>
    <mergeCell ref="B78:F7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2025-10-08T20:40:04Z</cp:lastPrinted>
  <dcterms:created xsi:type="dcterms:W3CDTF">2013-03-19T12:54:14Z</dcterms:created>
  <dcterms:modified xsi:type="dcterms:W3CDTF">2025-11-06T01:04:34Z</dcterms:modified>
</cp:coreProperties>
</file>