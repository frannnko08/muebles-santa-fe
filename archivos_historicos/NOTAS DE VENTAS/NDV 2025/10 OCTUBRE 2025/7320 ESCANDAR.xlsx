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B705553C-6466-4B4E-AC4C-29DD06264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2" i="3" s="1"/>
  <c r="C27" i="3"/>
  <c r="F14" i="3" s="1"/>
  <c r="D27" i="3"/>
  <c r="J14" i="3" s="1"/>
  <c r="D14" i="3" s="1"/>
  <c r="E27" i="3"/>
  <c r="K22" i="3" s="1"/>
  <c r="E22" i="3" s="1"/>
  <c r="F27" i="3"/>
  <c r="B49" i="3"/>
  <c r="C49" i="3"/>
  <c r="D49" i="3"/>
  <c r="E49" i="3"/>
  <c r="F49" i="3"/>
  <c r="J22" i="3" l="1"/>
  <c r="D22" i="3" s="1"/>
  <c r="K14" i="3"/>
  <c r="E14" i="3" s="1"/>
  <c r="B22" i="3"/>
  <c r="I14" i="3"/>
  <c r="B14" i="3" s="1"/>
  <c r="F22" i="3"/>
  <c r="H24" i="4"/>
  <c r="H25" i="4" l="1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<sst xmlns="http://schemas.openxmlformats.org/spreadsheetml/2006/main" count="247" uniqueCount="145">
  <si>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</si>
  <si>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</si>
  <si>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</si>
  <si>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</si>
  <si>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</si>
  <si>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</si>
  <si>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</si>
  <si>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</si>
  <si>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</si>
  <si>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</si>
  <si>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</si>
  <si>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</si>
  <si>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</si>
  <si>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</si>
  <si>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</si>
  <si>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</si>
  <si>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</si>
  <si>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</si>
  <si>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</si>
  <si>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</si>
  <si>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</si>
  <si>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</si>
  <si>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</si>
  <si>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</si>
  <si>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</si>
  <si>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</si>
  <si>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</si>
  <si>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</si>
  <si>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</si>
  <si>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</si>
  <si>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</si>
  <si>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</si>
  <si>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</si>
  <si>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</si>
  <si>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</si>
  <si>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</si>
  <si>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</si>
  <si>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</si>
  <si>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</si>
  <si>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</si>
  <si>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</si>
  <si>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</si>
  <si>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</si>
  <si>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</si>
  <si>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</si>
  <si>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</si>
  <si>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</si>
  <si>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</si>
  <si>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</si>
  <si>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</si>
  <si>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</si>
  <si>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</si>
  <si>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</si>
  <si>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</si>
  <si>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</si>
  <si>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</si>
  <si>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</si>
  <si>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</si>
  <si>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</si>
  <si>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</si>
  <si>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</si>
  <si>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</si>
  <si>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</si>
  <si>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</si>
  <si>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</si>
  <si>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</si>
  <si>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</si>
  <si>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</si>
  <si>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</si>
  <si>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</si>
  <si>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</si>
  <si>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</si>
  <si>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</si>
  <si>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</si>
  <si>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</si>
  <si>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</si>
  <si>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</si>
  <si>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</si>
  <si>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</si>
  <si>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</si>
  <si>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</si>
  <si>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</si>
  <si>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</si>
  <si>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</si>
  <si>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</si>
  <si>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</si>
  <si>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</si>
  <si>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</si>
  <si>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</si>
  <si>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</si>
  <si>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</si>
  <si>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</si>
  <si>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</si>
  <si>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</si>
  <si>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</si>
  <si>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</si>
  <si>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</si>
  <si>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</si>
  <si>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</si>
  <si>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</si>
  <si>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</si>
  <si>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</si>
  <si>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</si>
  <si>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</si>
  <si>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</si>
  <si>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</si>
  <si>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</si>
  <si>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</si>
  <si>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</si>
  <si>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</si>
  <si>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</si>
  <si>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</si>
  <si>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</si>
  <si>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</si>
  <si>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</si>
  <si>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</si>
  <si>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</si>
  <si>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</si>
  <si>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</si>
  <si>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</si>
  <si>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</si>
  <si>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</si>
  <si>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</si>
  <si>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</si>
  <si>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</si>
  <si>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</si>
  <si>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</si>
  <si>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</si>
  <si>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</si>
  <si>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</si>
  <si>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</si>
  <si>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</si>
  <si>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</si>
  <si>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</t>
  </si>
  <si>
    <t>NO</t>
  </si>
  <si>
    <t>CONTADO</t>
  </si>
  <si>
    <t>CUB S/R 180°</t>
  </si>
  <si>
    <t>,</t>
  </si>
  <si>
    <t>ESCANDAR</t>
  </si>
  <si>
    <t>JOSE GONZALEZ</t>
  </si>
  <si>
    <t>+56968491403</t>
  </si>
  <si>
    <t>BLANCO MERINO BRILLO</t>
  </si>
  <si>
    <t>N° 11709</t>
  </si>
  <si>
    <t xml:space="preserve">CUENTA CORRIENTE BANCO BCI N° 13738810 A NOMBRE DE </t>
  </si>
  <si>
    <t>"MUEBLES SANTA FE SPA." - RUT : 77.054.606-0, FDONOSO@TOPMOBILI.CL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</si>
</sst>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2" quotePrefix="1" applyFont="1" applyFill="1" applyBorder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255145</xdr:colOff>
      <xdr:row>5</xdr:row>
      <xdr:rowOff>96726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4F0C7E-E010-49DA-9ED2-014D410D9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289560</xdr:colOff>
      <xdr:row>2</xdr:row>
      <xdr:rowOff>7620</xdr:rowOff>
    </xdr:from>
    <xdr:to>
      <xdr:col>3</xdr:col>
      <xdr:colOff>500707</xdr:colOff>
      <xdr:row>5</xdr:row>
      <xdr:rowOff>99131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66C1F0-3810-48DC-A00D-9058FF570B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64920" y="40386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A LA MEDIDA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ENCHAPAR CON MISMA LAMINA SUS CANTOS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SUS CANTOS SIN REGRUESO 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3.4414062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7320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138</v>
      </c>
      <c r="D10" s="55"/>
      <c r="E10" s="55"/>
      <c r="F10" s="56" t="s">
        <v>28</v>
      </c>
      <c r="G10" s="57">
        <v>45959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122</v>
      </c>
      <c r="G11" s="61"/>
      <c r="H11" s="62"/>
      <c r="I11" s="1"/>
    </row>
    <row r="12" spans="1:17" ht="15.6" x14ac:dyDescent="0.3">
      <c r="A12" s="1"/>
      <c r="B12" s="63" t="s">
        <v>129</v>
      </c>
      <c r="C12" t="s">
        <v>133</v>
      </c>
      <c r="D12" s="43"/>
      <c r="E12" s="43"/>
      <c r="F12" s="43" t="s">
        <v>30</v>
      </c>
      <c r="G12" s="64" t="s">
        <v>137</v>
      </c>
      <c r="H12" s="65"/>
      <c r="I12" s="1"/>
    </row>
    <row r="13" spans="1:17" ht="15.6" x14ac:dyDescent="0.3">
      <c r="A13" s="1"/>
      <c r="B13" s="63" t="s">
        <v>131</v>
      </c>
      <c r="C13" t="s">
        <v>139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140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130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136</v>
      </c>
      <c r="D21" s="107">
        <v>700</v>
      </c>
      <c r="E21" s="107">
        <v>500</v>
      </c>
      <c r="F21" s="101" t="s">
        <v>141</v>
      </c>
      <c r="G21" s="102">
        <v>41197</v>
      </c>
      <c r="H21" s="102">
        <f>G21*B21</f>
        <v>41197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3"/>
      <c r="C22" s="103"/>
      <c r="D22" s="104"/>
      <c r="E22" s="104"/>
      <c r="F22" s="103"/>
      <c r="G22" s="75"/>
      <c r="H22" s="75"/>
      <c r="I22" s="1"/>
    </row>
    <row r="23" spans="1:16" ht="18" customHeight="1" thickBot="1" x14ac:dyDescent="0.35">
      <c r="A23" s="1"/>
      <c r="B23" s="103"/>
      <c r="C23" s="103"/>
      <c r="D23" s="104"/>
      <c r="E23" s="104"/>
      <c r="F23" s="103"/>
      <c r="G23" s="105"/>
      <c r="H23" s="106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SUM(H21:H21)</f>
        <v>41197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7827.43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49024.43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7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143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144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zoomScaleNormal="100" workbookViewId="0">
      <selection sqref="A1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7320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ESCANDAR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128</v>
      </c>
      <c r="B14" s="25">
        <f t="shared" ref="B14" si="0">I14</f>
        <v>1</v>
      </c>
      <c r="C14" s="25"/>
      <c r="D14" s="25">
        <f t="shared" ref="D14" si="1">J14+D$13</f>
        <v>780</v>
      </c>
      <c r="E14" s="35">
        <f>K14+E$13</f>
        <v>500</v>
      </c>
      <c r="F14" s="99" t="str">
        <f>C27</f>
        <v>CUB S/R 180°</v>
      </c>
      <c r="G14" s="1"/>
      <c r="I14" s="3">
        <f>I22</f>
        <v>1</v>
      </c>
      <c r="J14" s="4">
        <f>D27</f>
        <v>700</v>
      </c>
      <c r="K14" s="4">
        <f>E27</f>
        <v>500</v>
      </c>
    </row>
    <row r="15" spans="1:14" ht="15.6" x14ac:dyDescent="0.3">
      <c r="A15" s="96"/>
      <c r="B15" s="6"/>
      <c r="C15" s="6"/>
      <c r="D15" s="6"/>
      <c r="E15" s="89"/>
      <c r="F15" s="109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9" t="s">
        <v>14</v>
      </c>
      <c r="B18" s="119"/>
      <c r="C18" s="119"/>
      <c r="D18" s="119"/>
      <c r="E18" s="119"/>
      <c r="F18" s="119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128</v>
      </c>
      <c r="B22" s="16">
        <f t="shared" ref="B22" si="2">I22</f>
        <v>1</v>
      </c>
      <c r="C22" s="16"/>
      <c r="D22" s="16">
        <f>J22+D$21</f>
        <v>740</v>
      </c>
      <c r="E22" s="16">
        <f>K22+E$21</f>
        <v>560</v>
      </c>
      <c r="F22" s="100" t="str">
        <f>C27</f>
        <v>CUB S/R 180°</v>
      </c>
      <c r="G22" s="1"/>
      <c r="I22" s="3">
        <f>B27</f>
        <v>1</v>
      </c>
      <c r="J22" s="4">
        <f t="shared" ref="J22:K22" si="3">D27</f>
        <v>700</v>
      </c>
      <c r="K22" s="4">
        <f t="shared" si="3"/>
        <v>500</v>
      </c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6" t="s">
        <v>132</v>
      </c>
      <c r="B27" s="25">
        <f>'4637'!B21</f>
        <v>1</v>
      </c>
      <c r="C27" s="99" t="str">
        <f>'4637'!C21</f>
        <v>CUB S/R 180°</v>
      </c>
      <c r="D27" s="25">
        <f>'4637'!D21</f>
        <v>700</v>
      </c>
      <c r="E27" s="25">
        <f>'4637'!E21</f>
        <v>500</v>
      </c>
      <c r="F27" s="25" t="str">
        <f>'4637'!F21</f>
        <v>BLANCO MERINO BRILLO</v>
      </c>
      <c r="G27" s="1"/>
    </row>
    <row r="28" spans="1:11" ht="15.6" x14ac:dyDescent="0.3">
      <c r="A28" s="96"/>
      <c r="B28" s="6"/>
      <c r="C28" s="109"/>
      <c r="D28" s="6"/>
      <c r="E28" s="6"/>
      <c r="F28" s="6"/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7320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ESCANDAR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9" t="s">
        <v>68</v>
      </c>
      <c r="B45" s="119"/>
      <c r="C45" s="119"/>
      <c r="D45" s="119"/>
      <c r="E45" s="119"/>
      <c r="F45" s="119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0" t="s">
        <v>69</v>
      </c>
      <c r="C47" s="121"/>
      <c r="D47" s="122"/>
      <c r="E47" s="122"/>
      <c r="F47" s="123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98" t="str">
        <f>'4637'!C21</f>
        <v>CUB S/R 180°</v>
      </c>
      <c r="D49" s="39">
        <f>'4637'!D21</f>
        <v>700</v>
      </c>
      <c r="E49" s="39">
        <f>'4637'!E21</f>
        <v>500</v>
      </c>
      <c r="F49" s="38" t="str">
        <f>'4637'!F21</f>
        <v>BLANCO MERINO BRILLO</v>
      </c>
      <c r="G49" s="1"/>
    </row>
    <row r="50" spans="1:7" s="15" customFormat="1" ht="15" customHeight="1" x14ac:dyDescent="0.3">
      <c r="A50" s="96"/>
      <c r="B50" s="52"/>
      <c r="C50" s="108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2025-10-31T11:43:44Z</cp:lastPrinted>
  <dcterms:created xsi:type="dcterms:W3CDTF">2013-03-19T12:54:14Z</dcterms:created>
  <dcterms:modified xsi:type="dcterms:W3CDTF">2025-10-31T11:51:07Z</dcterms:modified>
</cp:coreProperties>
</file>