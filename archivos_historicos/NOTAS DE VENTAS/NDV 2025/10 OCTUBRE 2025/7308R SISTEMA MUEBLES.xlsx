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10 OCTUBRE 2025\"/>
    </mc:Choice>
  </mc:AlternateContent>
  <xr:revisionPtr revIDLastSave="0" documentId="13_ncr:1_{3BED5E0A-E3A7-4891-B668-803ED82A18E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'4637'!$A$1:$H$33</definedName>
    <definedName name="_xlnm.Print_Area" localSheetId="2">CUBIERTA!$A$46:$F$72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6" i="3" l="1"/>
  <c r="M27" i="3" l="1"/>
  <c r="B35" i="3"/>
  <c r="I26" i="3" s="1"/>
  <c r="B26" i="3" s="1"/>
  <c r="C35" i="3"/>
  <c r="F26" i="3" s="1"/>
  <c r="D35" i="3"/>
  <c r="J26" i="3" s="1"/>
  <c r="D26" i="3" s="1"/>
  <c r="E35" i="3"/>
  <c r="K26" i="3" s="1"/>
  <c r="F35" i="3"/>
  <c r="B36" i="3"/>
  <c r="I27" i="3" s="1"/>
  <c r="B27" i="3" s="1"/>
  <c r="C36" i="3"/>
  <c r="F27" i="3" s="1"/>
  <c r="D36" i="3"/>
  <c r="J27" i="3" s="1"/>
  <c r="D27" i="3" s="1"/>
  <c r="E36" i="3"/>
  <c r="K27" i="3" s="1"/>
  <c r="F36" i="3"/>
  <c r="B37" i="3"/>
  <c r="I28" i="3" s="1"/>
  <c r="B28" i="3" s="1"/>
  <c r="C37" i="3"/>
  <c r="F28" i="3" s="1"/>
  <c r="D37" i="3"/>
  <c r="J28" i="3" s="1"/>
  <c r="D28" i="3" s="1"/>
  <c r="E37" i="3"/>
  <c r="K28" i="3" s="1"/>
  <c r="F37" i="3"/>
  <c r="B59" i="3"/>
  <c r="C59" i="3"/>
  <c r="D59" i="3"/>
  <c r="E59" i="3"/>
  <c r="F59" i="3"/>
  <c r="B60" i="3"/>
  <c r="C60" i="3"/>
  <c r="D60" i="3"/>
  <c r="E60" i="3"/>
  <c r="F60" i="3"/>
  <c r="B61" i="3"/>
  <c r="C61" i="3"/>
  <c r="D61" i="3"/>
  <c r="E61" i="3"/>
  <c r="F61" i="3"/>
  <c r="H23" i="4"/>
  <c r="H24" i="4"/>
  <c r="H25" i="4"/>
  <c r="K16" i="3" l="1"/>
  <c r="E16" i="3" s="1"/>
  <c r="J17" i="3"/>
  <c r="D17" i="3" s="1"/>
  <c r="J16" i="3"/>
  <c r="D16" i="3" s="1"/>
  <c r="K17" i="3"/>
  <c r="K15" i="3"/>
  <c r="E15" i="3" s="1"/>
  <c r="J15" i="3"/>
  <c r="D15" i="3" s="1"/>
  <c r="I17" i="3"/>
  <c r="B17" i="3" s="1"/>
  <c r="I16" i="3"/>
  <c r="B16" i="3" s="1"/>
  <c r="I15" i="3"/>
  <c r="B15" i="3" s="1"/>
  <c r="F17" i="3"/>
  <c r="F16" i="3"/>
  <c r="F15" i="3"/>
  <c r="H22" i="4"/>
  <c r="B34" i="3" l="1"/>
  <c r="I25" i="3" s="1"/>
  <c r="I14" i="3" s="1"/>
  <c r="C34" i="3"/>
  <c r="F14" i="3" s="1"/>
  <c r="D34" i="3"/>
  <c r="J25" i="3" s="1"/>
  <c r="D25" i="3" s="1"/>
  <c r="E34" i="3"/>
  <c r="K25" i="3" s="1"/>
  <c r="F34" i="3"/>
  <c r="B58" i="3"/>
  <c r="C58" i="3"/>
  <c r="D58" i="3"/>
  <c r="E58" i="3"/>
  <c r="F58" i="3"/>
  <c r="H27" i="4"/>
  <c r="J14" i="3" l="1"/>
  <c r="D14" i="3" s="1"/>
  <c r="K14" i="3"/>
  <c r="B25" i="3"/>
  <c r="F25" i="3"/>
  <c r="H28" i="4" l="1"/>
  <c r="H29" i="4" l="1"/>
  <c r="N5" i="3" l="1"/>
  <c r="M5" i="3" l="1"/>
  <c r="L5" i="3"/>
  <c r="K5" i="3"/>
  <c r="C51" i="3" l="1"/>
  <c r="C7" i="3"/>
  <c r="D49" i="3"/>
  <c r="D5" i="3"/>
  <c r="D51" i="3"/>
  <c r="D7" i="3"/>
  <c r="D48" i="3"/>
  <c r="D4" i="3"/>
</calcChain>
</file>

<file path=xl/sharedStrings.xml><?xml version="1.0" encoding="utf-8"?>
<sst xmlns="http://schemas.openxmlformats.org/spreadsheetml/2006/main" count="265" uniqueCount="159">
  <si>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</si>
  <si>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</si>
  <si>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</si>
  <si>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</si>
  <si>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</si>
  <si>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</si>
  <si>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</si>
  <si>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</si>
  <si>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</si>
  <si>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</si>
  <si>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</si>
  <si>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</si>
  <si>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</si>
  <si>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</si>
  <si>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</si>
  <si>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</si>
  <si>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</si>
  <si>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</si>
  <si>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</si>
  <si>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</si>
  <si>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</si>
  <si>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</si>
  <si>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</si>
  <si>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</si>
  <si>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</si>
  <si>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</si>
  <si>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</si>
  <si>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</si>
  <si>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</si>
  <si>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</si>
  <si>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</si>
  <si>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</si>
  <si>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</si>
  <si>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</si>
  <si>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</si>
  <si>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</si>
  <si>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</si>
  <si>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</si>
  <si>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</si>
  <si>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</si>
  <si>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</si>
  <si>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</si>
  <si>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</si>
  <si>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</si>
  <si>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</si>
  <si>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</si>
  <si>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</si>
  <si>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</si>
  <si>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</si>
  <si>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</si>
  <si>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</si>
  <si>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</si>
  <si>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</si>
  <si>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</si>
  <si>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</si>
  <si>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</si>
  <si>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</si>
  <si>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</si>
  <si>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</si>
  <si>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</si>
  <si>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</si>
  <si>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</si>
  <si>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</si>
  <si>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</si>
  <si>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</si>
  <si>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</si>
  <si>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</si>
  <si>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</si>
  <si>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</si>
  <si>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</si>
  <si>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</si>
  <si>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</si>
  <si>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</si>
  <si>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</si>
  <si>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</si>
  <si>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</si>
  <si>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</si>
  <si>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</si>
  <si>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</si>
  <si>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</si>
  <si>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</si>
  <si>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</si>
  <si>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</si>
  <si>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</si>
  <si>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</si>
  <si>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</si>
  <si>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</si>
  <si>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</si>
  <si>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</si>
  <si>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</si>
  <si>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</si>
  <si>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</si>
  <si>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</si>
  <si>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</si>
  <si>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</si>
  <si>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</si>
  <si>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</si>
  <si>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</si>
  <si>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</si>
  <si>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</si>
  <si>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</si>
  <si>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</si>
  <si>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</si>
  <si>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</si>
  <si>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</si>
  <si>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</si>
  <si>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</si>
  <si>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</si>
  <si>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</si>
  <si>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</si>
  <si>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</si>
  <si>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</si>
  <si>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</si>
  <si>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</si>
  <si>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</si>
  <si>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</si>
  <si>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</si>
  <si>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</si>
  <si>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</si>
  <si>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</si>
  <si>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</si>
  <si>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</si>
  <si>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</si>
  <si>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</si>
  <si>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</si>
  <si>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</si>
  <si>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</si>
  <si>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</si>
  <si>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</si>
  <si>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</si>
  <si>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</si>
  <si>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NO</t>
  </si>
  <si>
    <t>MDF18MM</t>
  </si>
  <si>
    <t>SISTEMAS SERVICIOS SPA</t>
  </si>
  <si>
    <t>77.091.475-2</t>
  </si>
  <si>
    <t>FCA. DE MUEBLES</t>
  </si>
  <si>
    <t>MARIOLI CONCHA</t>
  </si>
  <si>
    <t>recepciondte@sistemamuebles.cl</t>
  </si>
  <si>
    <t>+569 9408 2633</t>
  </si>
  <si>
    <t>AV. SALVADOR ALLENDE 5040 CERRILLOS</t>
  </si>
  <si>
    <t>CORREO:</t>
  </si>
  <si>
    <t>ABONO 30%, CONTADO 20%, SALDO 30 DIAS</t>
  </si>
  <si>
    <t>F.DONOSO</t>
  </si>
  <si>
    <t>MDF30MM</t>
  </si>
  <si>
    <t>N° 11678</t>
  </si>
  <si>
    <t>OBRA:</t>
  </si>
  <si>
    <t>AEROPUERTO BALMACEDA</t>
  </si>
  <si>
    <t>GLACIAL WHITE 22191 SF</t>
  </si>
  <si>
    <t>CUB S/R 90° R12 MDF 18MM BALANCE</t>
  </si>
  <si>
    <t xml:space="preserve">CUENTA CORRIENTE BANCO SANATNDER N° 87316181 A NOMBRE DE </t>
  </si>
  <si>
    <t>"MUEBLES SANTA FE SPA." - RUT : 77.054.606-0, CORREO: FRANCODONOSO@TOPMOBILI.CL</t>
  </si>
  <si>
    <t>MDF25MM</t>
  </si>
  <si>
    <t>LAMINA COMPLETA</t>
  </si>
  <si>
    <t>TRASCARA BALANCE</t>
  </si>
  <si>
    <t>LATERAL 180° 1 LADO MDF 25MM</t>
  </si>
  <si>
    <t>LATERAL 180° 1 LADO MDF 30MM</t>
  </si>
  <si>
    <t>LATERAL 180° 2 LADOS MDF 25MM</t>
  </si>
  <si>
    <t>OCUPAR PIEZAS DISPONIBLES</t>
  </si>
  <si>
    <t>7308R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</si>
</sst>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6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15" fillId="0" borderId="2" xfId="0" applyNumberFormat="1" applyFont="1" applyBorder="1" applyAlignment="1">
      <alignment horizontal="center" vertical="center"/>
    </xf>
    <xf numFmtId="0" fontId="17" fillId="3" borderId="0" xfId="0" applyFont="1" applyFill="1"/>
    <xf numFmtId="0" fontId="6" fillId="3" borderId="0" xfId="2" applyFill="1"/>
    <xf numFmtId="0" fontId="18" fillId="0" borderId="0" xfId="0" quotePrefix="1" applyFont="1"/>
    <xf numFmtId="0" fontId="19" fillId="0" borderId="9" xfId="2" applyFont="1" applyFill="1" applyBorder="1" applyAlignment="1">
      <alignment horizontal="left"/>
    </xf>
    <xf numFmtId="0" fontId="20" fillId="3" borderId="0" xfId="0" applyFont="1" applyFill="1"/>
    <xf numFmtId="0" fontId="16" fillId="0" borderId="0" xfId="0" applyFont="1" applyAlignment="1">
      <alignment horizontal="center"/>
    </xf>
    <xf numFmtId="0" fontId="21" fillId="0" borderId="2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179070</xdr:colOff>
      <xdr:row>26</xdr:row>
      <xdr:rowOff>9525</xdr:rowOff>
    </xdr:from>
    <xdr:to>
      <xdr:col>5</xdr:col>
      <xdr:colOff>1360170</xdr:colOff>
      <xdr:row>30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79070" y="7789545"/>
          <a:ext cx="5295900" cy="8382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MATERIAL</a:t>
          </a:r>
          <a:r>
            <a:rPr lang="es-CL" sz="900" b="1" i="1" baseline="0"/>
            <a:t> DE REPOSICION</a:t>
          </a: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19</xdr:row>
      <xdr:rowOff>76200</xdr:rowOff>
    </xdr:from>
    <xdr:to>
      <xdr:col>5</xdr:col>
      <xdr:colOff>1676399</xdr:colOff>
      <xdr:row>21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52</xdr:row>
      <xdr:rowOff>171450</xdr:rowOff>
    </xdr:from>
    <xdr:to>
      <xdr:col>5</xdr:col>
      <xdr:colOff>1685924</xdr:colOff>
      <xdr:row>54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50</xdr:row>
      <xdr:rowOff>0</xdr:rowOff>
    </xdr:from>
    <xdr:to>
      <xdr:col>6</xdr:col>
      <xdr:colOff>0</xdr:colOff>
      <xdr:row>51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48</xdr:row>
      <xdr:rowOff>38100</xdr:rowOff>
    </xdr:from>
    <xdr:to>
      <xdr:col>6</xdr:col>
      <xdr:colOff>0</xdr:colOff>
      <xdr:row>49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47</xdr:row>
      <xdr:rowOff>0</xdr:rowOff>
    </xdr:from>
    <xdr:to>
      <xdr:col>6</xdr:col>
      <xdr:colOff>0</xdr:colOff>
      <xdr:row>48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63</xdr:row>
      <xdr:rowOff>0</xdr:rowOff>
    </xdr:from>
    <xdr:to>
      <xdr:col>2</xdr:col>
      <xdr:colOff>38100</xdr:colOff>
      <xdr:row>64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63</xdr:row>
      <xdr:rowOff>0</xdr:rowOff>
    </xdr:from>
    <xdr:to>
      <xdr:col>2</xdr:col>
      <xdr:colOff>1019175</xdr:colOff>
      <xdr:row>63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63</xdr:row>
      <xdr:rowOff>0</xdr:rowOff>
    </xdr:from>
    <xdr:to>
      <xdr:col>3</xdr:col>
      <xdr:colOff>352425</xdr:colOff>
      <xdr:row>64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63</xdr:row>
      <xdr:rowOff>0</xdr:rowOff>
    </xdr:from>
    <xdr:to>
      <xdr:col>4</xdr:col>
      <xdr:colOff>257175</xdr:colOff>
      <xdr:row>64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63</xdr:row>
      <xdr:rowOff>0</xdr:rowOff>
    </xdr:from>
    <xdr:to>
      <xdr:col>5</xdr:col>
      <xdr:colOff>447675</xdr:colOff>
      <xdr:row>63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63</xdr:row>
      <xdr:rowOff>0</xdr:rowOff>
    </xdr:from>
    <xdr:to>
      <xdr:col>6</xdr:col>
      <xdr:colOff>0</xdr:colOff>
      <xdr:row>63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63</xdr:row>
      <xdr:rowOff>190500</xdr:rowOff>
    </xdr:from>
    <xdr:to>
      <xdr:col>2</xdr:col>
      <xdr:colOff>304800</xdr:colOff>
      <xdr:row>65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63</xdr:row>
      <xdr:rowOff>190500</xdr:rowOff>
    </xdr:from>
    <xdr:to>
      <xdr:col>2</xdr:col>
      <xdr:colOff>1276350</xdr:colOff>
      <xdr:row>65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63</xdr:row>
      <xdr:rowOff>190500</xdr:rowOff>
    </xdr:from>
    <xdr:to>
      <xdr:col>3</xdr:col>
      <xdr:colOff>619125</xdr:colOff>
      <xdr:row>65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63</xdr:row>
      <xdr:rowOff>190500</xdr:rowOff>
    </xdr:from>
    <xdr:to>
      <xdr:col>4</xdr:col>
      <xdr:colOff>523875</xdr:colOff>
      <xdr:row>65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63</xdr:row>
      <xdr:rowOff>190500</xdr:rowOff>
    </xdr:from>
    <xdr:to>
      <xdr:col>5</xdr:col>
      <xdr:colOff>723900</xdr:colOff>
      <xdr:row>65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63</xdr:row>
      <xdr:rowOff>190500</xdr:rowOff>
    </xdr:from>
    <xdr:to>
      <xdr:col>6</xdr:col>
      <xdr:colOff>0</xdr:colOff>
      <xdr:row>65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39</xdr:row>
      <xdr:rowOff>15239</xdr:rowOff>
    </xdr:from>
    <xdr:to>
      <xdr:col>6</xdr:col>
      <xdr:colOff>68580</xdr:colOff>
      <xdr:row>43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SEGUN DIBUJOS ADJUNTOS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29</xdr:row>
      <xdr:rowOff>200025</xdr:rowOff>
    </xdr:from>
    <xdr:to>
      <xdr:col>6</xdr:col>
      <xdr:colOff>19049</xdr:colOff>
      <xdr:row>31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66</xdr:row>
      <xdr:rowOff>32385</xdr:rowOff>
    </xdr:from>
    <xdr:to>
      <xdr:col>6</xdr:col>
      <xdr:colOff>19050</xdr:colOff>
      <xdr:row>70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SEGUN DIBUJOS ADJUNTO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46</xdr:row>
      <xdr:rowOff>41910</xdr:rowOff>
    </xdr:from>
    <xdr:to>
      <xdr:col>1</xdr:col>
      <xdr:colOff>801763</xdr:colOff>
      <xdr:row>52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recepciondte@sistemamuebles.cl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6"/>
  <sheetViews>
    <sheetView topLeftCell="A9" workbookViewId="0">
      <selection activeCell="G11" sqref="G11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42.33203125" customWidth="1"/>
    <col min="4" max="5" width="9.109375" customWidth="1"/>
    <col min="6" max="6" width="27.44140625" customWidth="1"/>
    <col min="7" max="7" width="15.44140625" customWidth="1"/>
    <col min="8" max="8" width="13.21875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144</v>
      </c>
      <c r="E8" s="1"/>
      <c r="F8" s="94" t="s">
        <v>27</v>
      </c>
      <c r="G8" s="95" t="s">
        <v>158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127</v>
      </c>
      <c r="C10" s="86" t="s">
        <v>133</v>
      </c>
      <c r="D10" s="55"/>
      <c r="E10" s="55"/>
      <c r="F10" s="56" t="s">
        <v>28</v>
      </c>
      <c r="G10" s="57">
        <v>45985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134</v>
      </c>
      <c r="D11" s="60"/>
      <c r="E11" s="60"/>
      <c r="F11" s="60" t="s">
        <v>122</v>
      </c>
      <c r="G11" s="61"/>
      <c r="H11" s="62"/>
      <c r="I11" s="1"/>
    </row>
    <row r="12" spans="1:17" ht="16.8" x14ac:dyDescent="0.4">
      <c r="A12" s="1"/>
      <c r="B12" s="63" t="s">
        <v>128</v>
      </c>
      <c r="C12" s="104" t="s">
        <v>135</v>
      </c>
      <c r="D12" s="43"/>
      <c r="E12" s="43"/>
      <c r="F12" s="43" t="s">
        <v>30</v>
      </c>
      <c r="G12" s="64">
        <v>16498</v>
      </c>
      <c r="H12" s="65"/>
      <c r="I12" s="1"/>
    </row>
    <row r="13" spans="1:17" ht="15.6" x14ac:dyDescent="0.3">
      <c r="A13" s="1"/>
      <c r="B13" s="63" t="s">
        <v>130</v>
      </c>
      <c r="C13" t="s">
        <v>136</v>
      </c>
      <c r="D13" s="43"/>
      <c r="E13" s="43"/>
      <c r="F13" s="43" t="s">
        <v>126</v>
      </c>
      <c r="G13" s="64" t="s">
        <v>142</v>
      </c>
      <c r="H13" s="65"/>
      <c r="I13" s="1"/>
    </row>
    <row r="14" spans="1:17" ht="15.6" x14ac:dyDescent="0.3">
      <c r="A14" s="1"/>
      <c r="B14" s="63" t="s">
        <v>140</v>
      </c>
      <c r="C14" s="105" t="s">
        <v>137</v>
      </c>
      <c r="D14" s="43"/>
      <c r="E14" s="43"/>
      <c r="F14" s="43" t="s">
        <v>145</v>
      </c>
      <c r="G14" s="64" t="s">
        <v>146</v>
      </c>
      <c r="H14" s="65"/>
      <c r="I14" s="1"/>
    </row>
    <row r="15" spans="1:17" ht="15.6" x14ac:dyDescent="0.3">
      <c r="A15" s="1"/>
      <c r="B15" s="59" t="s">
        <v>17</v>
      </c>
      <c r="C15" s="106" t="s">
        <v>138</v>
      </c>
      <c r="D15" s="66"/>
      <c r="E15" s="60"/>
      <c r="F15" s="60" t="s">
        <v>29</v>
      </c>
      <c r="G15" s="60" t="s">
        <v>131</v>
      </c>
      <c r="H15" s="62"/>
      <c r="I15" s="1"/>
    </row>
    <row r="16" spans="1:17" ht="16.8" x14ac:dyDescent="0.4">
      <c r="A16" s="1"/>
      <c r="B16" s="63" t="s">
        <v>1</v>
      </c>
      <c r="C16" s="104" t="s">
        <v>139</v>
      </c>
      <c r="D16" s="43"/>
      <c r="E16" s="43"/>
      <c r="F16" s="67" t="s">
        <v>75</v>
      </c>
      <c r="G16" s="108" t="s">
        <v>141</v>
      </c>
      <c r="H16" s="65"/>
      <c r="I16" s="1"/>
    </row>
    <row r="17" spans="1:16" ht="16.2" thickBot="1" x14ac:dyDescent="0.35">
      <c r="A17" s="1"/>
      <c r="B17" s="68" t="s">
        <v>3</v>
      </c>
      <c r="C17" s="107" t="s">
        <v>129</v>
      </c>
      <c r="D17" s="69"/>
      <c r="E17" s="70"/>
      <c r="F17" s="113" t="s">
        <v>18</v>
      </c>
      <c r="G17" s="113"/>
      <c r="H17" s="114"/>
      <c r="I17" s="1"/>
    </row>
    <row r="18" spans="1:16" ht="15.6" x14ac:dyDescent="0.3">
      <c r="A18" s="1"/>
      <c r="B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6" ht="16.2" thickBot="1" x14ac:dyDescent="0.35">
      <c r="A20" s="1"/>
      <c r="B20" s="115" t="s">
        <v>19</v>
      </c>
      <c r="C20" s="116"/>
      <c r="D20" s="116"/>
      <c r="E20" s="116"/>
      <c r="F20" s="116"/>
      <c r="G20" s="116"/>
      <c r="H20" s="117"/>
      <c r="I20" s="1"/>
    </row>
    <row r="21" spans="1:16" ht="15.6" x14ac:dyDescent="0.3">
      <c r="A21" s="1"/>
      <c r="B21" s="71" t="s">
        <v>20</v>
      </c>
      <c r="C21" s="72" t="s">
        <v>21</v>
      </c>
      <c r="D21" s="72" t="s">
        <v>22</v>
      </c>
      <c r="E21" s="72" t="s">
        <v>8</v>
      </c>
      <c r="F21" s="73" t="s">
        <v>23</v>
      </c>
      <c r="G21" s="71" t="s">
        <v>24</v>
      </c>
      <c r="H21" s="73" t="s">
        <v>4</v>
      </c>
      <c r="I21" s="1"/>
    </row>
    <row r="22" spans="1:16" ht="18" customHeight="1" x14ac:dyDescent="0.3">
      <c r="A22" s="1"/>
      <c r="B22" s="100">
        <v>4</v>
      </c>
      <c r="C22" s="110" t="s">
        <v>155</v>
      </c>
      <c r="D22" s="103">
        <v>1050</v>
      </c>
      <c r="E22" s="103">
        <v>155</v>
      </c>
      <c r="F22" s="100" t="s">
        <v>147</v>
      </c>
      <c r="G22" s="101">
        <v>20503</v>
      </c>
      <c r="H22" s="101">
        <f t="shared" ref="H22:H25" si="0">G22*B22</f>
        <v>82012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0">
        <v>2</v>
      </c>
      <c r="C23" s="110" t="s">
        <v>148</v>
      </c>
      <c r="D23" s="103">
        <v>1050</v>
      </c>
      <c r="E23" s="103">
        <v>180</v>
      </c>
      <c r="F23" s="100" t="s">
        <v>147</v>
      </c>
      <c r="G23" s="101">
        <v>20487</v>
      </c>
      <c r="H23" s="101">
        <f t="shared" si="0"/>
        <v>40974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00">
        <v>5</v>
      </c>
      <c r="C24" s="110" t="s">
        <v>156</v>
      </c>
      <c r="D24" s="103">
        <v>1050</v>
      </c>
      <c r="E24" s="103">
        <v>387</v>
      </c>
      <c r="F24" s="100" t="s">
        <v>147</v>
      </c>
      <c r="G24" s="101">
        <v>35843</v>
      </c>
      <c r="H24" s="101">
        <f t="shared" si="0"/>
        <v>179215</v>
      </c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100">
        <v>3</v>
      </c>
      <c r="C25" s="110" t="s">
        <v>154</v>
      </c>
      <c r="D25" s="103">
        <v>1050</v>
      </c>
      <c r="E25" s="103">
        <v>490</v>
      </c>
      <c r="F25" s="100" t="s">
        <v>147</v>
      </c>
      <c r="G25" s="101">
        <v>49224</v>
      </c>
      <c r="H25" s="101">
        <f t="shared" si="0"/>
        <v>147672</v>
      </c>
      <c r="I25" s="1"/>
      <c r="K25" s="17"/>
      <c r="L25" s="26"/>
      <c r="M25" s="17"/>
      <c r="N25" s="17"/>
      <c r="O25" s="26"/>
      <c r="P25" s="33"/>
    </row>
    <row r="26" spans="1:16" ht="8.25" customHeight="1" thickBot="1" x14ac:dyDescent="0.35">
      <c r="A26" s="1"/>
      <c r="B26" s="74"/>
      <c r="C26" s="74"/>
      <c r="D26" s="74"/>
      <c r="E26" s="74"/>
      <c r="F26" s="74"/>
      <c r="G26" s="75"/>
      <c r="H26" s="75"/>
      <c r="I26" s="1"/>
    </row>
    <row r="27" spans="1:16" ht="15.6" x14ac:dyDescent="0.3">
      <c r="A27" s="1"/>
      <c r="B27" s="1"/>
      <c r="C27" s="1"/>
      <c r="D27" s="1"/>
      <c r="E27" s="1"/>
      <c r="F27" s="1"/>
      <c r="G27" s="76" t="s">
        <v>5</v>
      </c>
      <c r="H27" s="77">
        <f>SUM(H22:H26)</f>
        <v>449873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78" t="s">
        <v>6</v>
      </c>
      <c r="H28" s="79">
        <f>H27*19%</f>
        <v>85475.87</v>
      </c>
      <c r="I28" s="1"/>
    </row>
    <row r="29" spans="1:16" ht="16.2" thickBot="1" x14ac:dyDescent="0.35">
      <c r="A29" s="1"/>
      <c r="B29" s="1"/>
      <c r="C29" s="1"/>
      <c r="D29" s="1"/>
      <c r="E29" s="1"/>
      <c r="F29" s="1"/>
      <c r="G29" s="80" t="s">
        <v>4</v>
      </c>
      <c r="H29" s="81">
        <f>H27+H28</f>
        <v>535348.87</v>
      </c>
      <c r="I29" s="1"/>
    </row>
    <row r="30" spans="1:16" ht="15.6" x14ac:dyDescent="0.3">
      <c r="A30" s="1"/>
      <c r="B30" s="1"/>
      <c r="C30" s="1"/>
      <c r="D30" s="1"/>
      <c r="E30" s="1"/>
      <c r="F30" s="1"/>
      <c r="G30" s="52"/>
      <c r="H30" s="97"/>
      <c r="I30" s="1"/>
    </row>
    <row r="31" spans="1:16" ht="15.6" x14ac:dyDescent="0.3">
      <c r="A31" s="1"/>
      <c r="B31" s="1"/>
      <c r="C31" s="1"/>
      <c r="D31" s="1"/>
      <c r="E31" s="1"/>
      <c r="F31" s="1"/>
      <c r="G31" s="1"/>
      <c r="H31" s="1"/>
      <c r="I31" s="1"/>
    </row>
    <row r="32" spans="1:16" ht="15.6" x14ac:dyDescent="0.3">
      <c r="A32" s="1"/>
      <c r="B32" s="82" t="s">
        <v>149</v>
      </c>
      <c r="C32" s="83"/>
      <c r="D32" s="84"/>
      <c r="E32" s="84"/>
      <c r="F32" s="74"/>
      <c r="G32" s="1"/>
      <c r="H32" s="1"/>
      <c r="I32" s="1"/>
    </row>
    <row r="33" spans="1:9" ht="15.6" x14ac:dyDescent="0.3">
      <c r="A33" s="1"/>
      <c r="B33" s="82" t="s">
        <v>150</v>
      </c>
      <c r="C33" s="83"/>
      <c r="D33" s="84"/>
      <c r="E33" s="84"/>
      <c r="F33" s="74"/>
      <c r="G33" s="1"/>
      <c r="H33" s="1"/>
      <c r="I33" s="1"/>
    </row>
    <row r="34" spans="1:9" ht="15.6" x14ac:dyDescent="0.3">
      <c r="A34" s="1"/>
      <c r="B34" s="1" t="s">
        <v>25</v>
      </c>
      <c r="C34" s="1"/>
      <c r="D34" s="1"/>
      <c r="E34" s="85" t="s">
        <v>26</v>
      </c>
      <c r="F34" s="1"/>
      <c r="G34" s="1"/>
      <c r="H34" s="1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  <row r="36" spans="1:9" ht="15.6" x14ac:dyDescent="0.3">
      <c r="A36" s="1"/>
      <c r="B36" s="1"/>
      <c r="C36" s="1"/>
      <c r="D36" s="1"/>
      <c r="E36" s="1"/>
      <c r="F36" s="1"/>
      <c r="G36" s="1"/>
      <c r="H36" s="1"/>
      <c r="I36" s="1"/>
    </row>
  </sheetData>
  <sortState xmlns:xlrd2="http://schemas.microsoft.com/office/spreadsheetml/2017/richdata2" ref="B38">
    <sortCondition sortBy="fontColor" ref="B38" dxfId="1"/>
  </sortState>
  <mergeCells count="2">
    <mergeCell ref="F17:H17"/>
    <mergeCell ref="B20:H20"/>
  </mergeCells>
  <phoneticPr fontId="10" type="noConversion"/>
  <hyperlinks>
    <hyperlink ref="E34" r:id="rId1" xr:uid="{00000000-0004-0000-0000-000000000000}"/>
    <hyperlink ref="C14" r:id="rId2" xr:uid="{74510CA5-45C4-48B7-B660-5CAB5FEA000C}"/>
  </hyperlinks>
  <pageMargins left="0.70866141732283472" right="0.70866141732283472" top="0.74803149606299213" bottom="0.74803149606299213" header="0.31496062992125984" footer="0.31496062992125984"/>
  <pageSetup paperSize="9" scale="76" orientation="portrait" horizontalDpi="3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8" t="s">
        <v>31</v>
      </c>
      <c r="C2" s="118"/>
      <c r="D2" s="118"/>
      <c r="E2" s="18"/>
      <c r="G2" s="118" t="s">
        <v>70</v>
      </c>
      <c r="H2" s="118"/>
      <c r="I2" s="118"/>
      <c r="P2" s="119" t="s">
        <v>58</v>
      </c>
      <c r="Q2" s="119"/>
      <c r="R2" s="119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9" t="s">
        <v>58</v>
      </c>
      <c r="M8" s="119"/>
      <c r="N8" s="119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125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74"/>
  <sheetViews>
    <sheetView tabSelected="1" topLeftCell="A47" zoomScaleNormal="100" workbookViewId="0">
      <selection activeCell="A62" sqref="A62:XFD62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3.77734375" customWidth="1"/>
    <col min="5" max="5" width="11" customWidth="1"/>
    <col min="6" max="6" width="38.2187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124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0" t="s">
        <v>61</v>
      </c>
      <c r="L3" s="120"/>
      <c r="M3" s="120" t="s">
        <v>14</v>
      </c>
      <c r="N3" s="120"/>
    </row>
    <row r="4" spans="1:14" ht="15.75" customHeight="1" x14ac:dyDescent="0.3">
      <c r="A4" s="1"/>
      <c r="B4" s="1"/>
      <c r="C4" s="40" t="s">
        <v>27</v>
      </c>
      <c r="D4" s="14" t="str">
        <f>'4637'!G8</f>
        <v>7308R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SISTEMAS SERVICIOS SPA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3" t="s">
        <v>123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1" t="s">
        <v>61</v>
      </c>
      <c r="B10" s="121"/>
      <c r="C10" s="121"/>
      <c r="D10" s="121"/>
      <c r="E10" s="121"/>
      <c r="F10" s="121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/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143</v>
      </c>
      <c r="B14" s="25"/>
      <c r="C14" s="25" t="s">
        <v>157</v>
      </c>
      <c r="D14" s="25">
        <f>J14+D$13</f>
        <v>1130</v>
      </c>
      <c r="E14" s="35">
        <v>250</v>
      </c>
      <c r="F14" s="98" t="str">
        <f>C34</f>
        <v>LATERAL 180° 1 LADO MDF 30MM</v>
      </c>
      <c r="G14" s="1"/>
      <c r="I14" s="3">
        <f>I25</f>
        <v>4</v>
      </c>
      <c r="J14" s="4">
        <f>J25</f>
        <v>1050</v>
      </c>
      <c r="K14" s="4">
        <f>E34</f>
        <v>155</v>
      </c>
    </row>
    <row r="15" spans="1:14" ht="15.6" x14ac:dyDescent="0.3">
      <c r="A15" s="96" t="s">
        <v>132</v>
      </c>
      <c r="B15" s="25">
        <f t="shared" ref="B15:B17" si="0">I15</f>
        <v>2</v>
      </c>
      <c r="C15" s="25"/>
      <c r="D15" s="25">
        <f t="shared" ref="D15:D17" si="1">J15+D$13</f>
        <v>1130</v>
      </c>
      <c r="E15" s="35">
        <f t="shared" ref="E15:E16" si="2">K15+E$13</f>
        <v>180</v>
      </c>
      <c r="F15" s="98" t="str">
        <f>C35</f>
        <v>CUB S/R 90° R12 MDF 18MM BALANCE</v>
      </c>
      <c r="G15" s="1"/>
      <c r="I15" s="3">
        <f t="shared" ref="I15:J15" si="3">I26</f>
        <v>2</v>
      </c>
      <c r="J15" s="4">
        <f t="shared" si="3"/>
        <v>1050</v>
      </c>
      <c r="K15" s="4">
        <f>E35</f>
        <v>180</v>
      </c>
    </row>
    <row r="16" spans="1:14" ht="15.6" x14ac:dyDescent="0.3">
      <c r="A16" s="96" t="s">
        <v>151</v>
      </c>
      <c r="B16" s="25">
        <f t="shared" si="0"/>
        <v>5</v>
      </c>
      <c r="C16" s="25"/>
      <c r="D16" s="25">
        <f t="shared" si="1"/>
        <v>1130</v>
      </c>
      <c r="E16" s="35">
        <f t="shared" si="2"/>
        <v>387</v>
      </c>
      <c r="F16" s="98" t="str">
        <f>C36</f>
        <v>LATERAL 180° 2 LADOS MDF 25MM</v>
      </c>
      <c r="G16" s="1"/>
      <c r="I16" s="3">
        <f t="shared" ref="I16:J16" si="4">I27</f>
        <v>5</v>
      </c>
      <c r="J16" s="4">
        <f t="shared" si="4"/>
        <v>1050</v>
      </c>
      <c r="K16" s="4">
        <f>E36</f>
        <v>387</v>
      </c>
    </row>
    <row r="17" spans="1:13" ht="15.6" x14ac:dyDescent="0.3">
      <c r="A17" s="96"/>
      <c r="B17" s="25">
        <f t="shared" si="0"/>
        <v>3</v>
      </c>
      <c r="C17" s="25"/>
      <c r="D17" s="25">
        <f t="shared" si="1"/>
        <v>1130</v>
      </c>
      <c r="E17" s="35">
        <v>560</v>
      </c>
      <c r="F17" s="98" t="str">
        <f>C37</f>
        <v>LATERAL 180° 1 LADO MDF 25MM</v>
      </c>
      <c r="G17" s="1"/>
      <c r="I17" s="3">
        <f t="shared" ref="I17:J17" si="5">I28</f>
        <v>3</v>
      </c>
      <c r="J17" s="4">
        <f t="shared" si="5"/>
        <v>1050</v>
      </c>
      <c r="K17" s="4">
        <f>E37</f>
        <v>490</v>
      </c>
    </row>
    <row r="18" spans="1:13" ht="15.6" x14ac:dyDescent="0.3">
      <c r="A18" s="96"/>
      <c r="B18" s="6"/>
      <c r="C18" s="6"/>
      <c r="D18" s="6"/>
      <c r="E18" s="89"/>
      <c r="F18" s="102"/>
      <c r="G18" s="1"/>
      <c r="I18" s="90"/>
      <c r="J18" s="2"/>
      <c r="K18" s="2"/>
    </row>
    <row r="19" spans="1:13" ht="15.6" x14ac:dyDescent="0.3">
      <c r="A19" s="52"/>
      <c r="B19" s="6"/>
      <c r="C19" s="6"/>
      <c r="D19" s="6"/>
      <c r="E19" s="89"/>
      <c r="F19" s="6"/>
      <c r="G19" s="1"/>
      <c r="I19" s="90"/>
      <c r="J19" s="2"/>
      <c r="K19" s="2"/>
    </row>
    <row r="20" spans="1:13" ht="6.75" customHeight="1" x14ac:dyDescent="0.3">
      <c r="A20" s="1"/>
      <c r="B20" s="1"/>
      <c r="C20" s="1"/>
      <c r="D20" s="1"/>
      <c r="E20" s="1"/>
      <c r="F20" s="1"/>
      <c r="G20" s="1"/>
    </row>
    <row r="21" spans="1:13" ht="15.6" x14ac:dyDescent="0.3">
      <c r="A21" s="121" t="s">
        <v>14</v>
      </c>
      <c r="B21" s="121"/>
      <c r="C21" s="121"/>
      <c r="D21" s="121"/>
      <c r="E21" s="121"/>
      <c r="F21" s="121"/>
      <c r="G21" s="1"/>
    </row>
    <row r="22" spans="1:13" ht="10.5" customHeight="1" x14ac:dyDescent="0.3">
      <c r="A22" s="1"/>
      <c r="B22" s="1"/>
      <c r="C22" s="12"/>
      <c r="D22" s="1"/>
      <c r="E22" s="1"/>
      <c r="F22" s="1"/>
      <c r="G22" s="1"/>
    </row>
    <row r="23" spans="1:13" ht="15.6" x14ac:dyDescent="0.3">
      <c r="A23" s="1"/>
      <c r="B23" s="1"/>
      <c r="C23" s="1"/>
      <c r="D23" s="52" t="s">
        <v>7</v>
      </c>
      <c r="E23" s="52" t="s">
        <v>8</v>
      </c>
      <c r="F23" s="1"/>
      <c r="G23" s="1"/>
    </row>
    <row r="24" spans="1:13" ht="15.6" x14ac:dyDescent="0.3">
      <c r="A24" s="52" t="s">
        <v>9</v>
      </c>
      <c r="B24" s="36" t="s">
        <v>10</v>
      </c>
      <c r="C24" s="36" t="s">
        <v>11</v>
      </c>
      <c r="D24" s="21">
        <v>40</v>
      </c>
      <c r="E24" s="21">
        <v>65</v>
      </c>
      <c r="F24" s="36" t="s">
        <v>110</v>
      </c>
      <c r="G24" s="1"/>
      <c r="J24" s="5" t="s">
        <v>7</v>
      </c>
      <c r="K24" s="5" t="s">
        <v>8</v>
      </c>
    </row>
    <row r="25" spans="1:13" ht="15.6" x14ac:dyDescent="0.3">
      <c r="A25" s="96"/>
      <c r="B25" s="16">
        <f t="shared" ref="B25" si="6">I25</f>
        <v>4</v>
      </c>
      <c r="C25" s="16" t="s">
        <v>152</v>
      </c>
      <c r="D25" s="16">
        <f>J25+D$24</f>
        <v>1090</v>
      </c>
      <c r="E25" s="16">
        <v>400</v>
      </c>
      <c r="F25" s="99" t="str">
        <f>C34</f>
        <v>LATERAL 180° 1 LADO MDF 30MM</v>
      </c>
      <c r="G25" s="1"/>
      <c r="I25" s="3">
        <f>B34</f>
        <v>4</v>
      </c>
      <c r="J25" s="4">
        <f>D34</f>
        <v>1050</v>
      </c>
      <c r="K25" s="4">
        <f t="shared" ref="K25" si="7">E34</f>
        <v>155</v>
      </c>
      <c r="M25">
        <v>185</v>
      </c>
    </row>
    <row r="26" spans="1:13" ht="15.6" x14ac:dyDescent="0.3">
      <c r="A26" s="96"/>
      <c r="B26" s="16">
        <f t="shared" ref="B26:B28" si="8">I26</f>
        <v>2</v>
      </c>
      <c r="C26" s="16" t="s">
        <v>153</v>
      </c>
      <c r="D26" s="16">
        <f>J26+D$24</f>
        <v>1090</v>
      </c>
      <c r="E26" s="16">
        <v>220</v>
      </c>
      <c r="F26" s="99" t="str">
        <f>C35</f>
        <v>CUB S/R 90° R12 MDF 18MM BALANCE</v>
      </c>
      <c r="G26" s="1"/>
      <c r="I26" s="3">
        <f>B35</f>
        <v>2</v>
      </c>
      <c r="J26" s="4">
        <f>D35</f>
        <v>1050</v>
      </c>
      <c r="K26" s="4">
        <f>E35</f>
        <v>180</v>
      </c>
      <c r="M26">
        <v>50</v>
      </c>
    </row>
    <row r="27" spans="1:13" ht="15.6" x14ac:dyDescent="0.3">
      <c r="A27" s="96"/>
      <c r="B27" s="16">
        <f t="shared" si="8"/>
        <v>5</v>
      </c>
      <c r="C27" s="16" t="s">
        <v>152</v>
      </c>
      <c r="D27" s="16">
        <f>J27+D$24</f>
        <v>1090</v>
      </c>
      <c r="E27" s="16">
        <v>840</v>
      </c>
      <c r="F27" s="99" t="str">
        <f>C36</f>
        <v>LATERAL 180° 2 LADOS MDF 25MM</v>
      </c>
      <c r="G27" s="1"/>
      <c r="I27" s="3">
        <f>B36</f>
        <v>5</v>
      </c>
      <c r="J27" s="4">
        <f>D36</f>
        <v>1050</v>
      </c>
      <c r="K27" s="4">
        <f>E36</f>
        <v>387</v>
      </c>
      <c r="M27">
        <f>SUM(M25:M26)</f>
        <v>235</v>
      </c>
    </row>
    <row r="28" spans="1:13" ht="15.6" x14ac:dyDescent="0.3">
      <c r="A28" s="96"/>
      <c r="B28" s="16">
        <f t="shared" si="8"/>
        <v>3</v>
      </c>
      <c r="C28" s="16" t="s">
        <v>152</v>
      </c>
      <c r="D28" s="16">
        <f>J28+D$24</f>
        <v>1090</v>
      </c>
      <c r="E28" s="16">
        <v>1040</v>
      </c>
      <c r="F28" s="99" t="str">
        <f>C37</f>
        <v>LATERAL 180° 1 LADO MDF 25MM</v>
      </c>
      <c r="G28" s="1"/>
      <c r="I28" s="3">
        <f>B37</f>
        <v>3</v>
      </c>
      <c r="J28" s="4">
        <f>D37</f>
        <v>1050</v>
      </c>
      <c r="K28" s="4">
        <f>E37</f>
        <v>490</v>
      </c>
    </row>
    <row r="29" spans="1:13" ht="15.6" x14ac:dyDescent="0.3">
      <c r="A29" s="96"/>
      <c r="B29" s="6"/>
      <c r="C29" s="6"/>
      <c r="D29" s="6"/>
      <c r="E29" s="6"/>
      <c r="F29" s="102"/>
      <c r="G29" s="1"/>
      <c r="I29" s="90"/>
      <c r="J29" s="2"/>
      <c r="K29" s="2"/>
    </row>
    <row r="30" spans="1:13" ht="16.2" thickBot="1" x14ac:dyDescent="0.35">
      <c r="A30" s="52"/>
      <c r="B30" s="6"/>
      <c r="C30" s="6"/>
      <c r="D30" s="6"/>
      <c r="E30" s="6"/>
      <c r="F30" s="6"/>
      <c r="G30" s="1"/>
      <c r="I30" s="2"/>
      <c r="J30" s="2"/>
      <c r="K30" s="2"/>
    </row>
    <row r="31" spans="1:13" ht="16.2" thickBot="1" x14ac:dyDescent="0.35">
      <c r="A31" s="52"/>
      <c r="B31" s="22" t="s">
        <v>107</v>
      </c>
      <c r="C31" s="23"/>
      <c r="D31" s="23"/>
      <c r="E31" s="23"/>
      <c r="F31" s="24"/>
      <c r="G31" s="1"/>
      <c r="I31" s="2"/>
      <c r="J31" s="2"/>
      <c r="K31" s="2"/>
    </row>
    <row r="32" spans="1:13" ht="10.5" customHeight="1" x14ac:dyDescent="0.3">
      <c r="A32" s="1"/>
      <c r="B32" s="1"/>
      <c r="C32" s="1"/>
      <c r="D32" s="1"/>
      <c r="E32" s="1"/>
      <c r="F32" s="1"/>
      <c r="G32" s="1"/>
    </row>
    <row r="33" spans="1:10" ht="15.6" x14ac:dyDescent="0.3">
      <c r="A33" s="52" t="s">
        <v>9</v>
      </c>
      <c r="B33" s="88" t="s">
        <v>10</v>
      </c>
      <c r="C33" s="88" t="s">
        <v>110</v>
      </c>
      <c r="D33" s="88" t="s">
        <v>7</v>
      </c>
      <c r="E33" s="88" t="s">
        <v>8</v>
      </c>
      <c r="F33" s="88" t="s">
        <v>23</v>
      </c>
      <c r="G33" s="1"/>
      <c r="J33">
        <v>1060</v>
      </c>
    </row>
    <row r="34" spans="1:10" ht="15.6" x14ac:dyDescent="0.3">
      <c r="A34" s="96"/>
      <c r="B34" s="25">
        <f>'4637'!B22</f>
        <v>4</v>
      </c>
      <c r="C34" s="112" t="str">
        <f>'4637'!C22</f>
        <v>LATERAL 180° 1 LADO MDF 30MM</v>
      </c>
      <c r="D34" s="25">
        <f>'4637'!D22</f>
        <v>1050</v>
      </c>
      <c r="E34" s="25">
        <f>'4637'!E22</f>
        <v>155</v>
      </c>
      <c r="F34" s="25" t="str">
        <f>'4637'!F22</f>
        <v>GLACIAL WHITE 22191 SF</v>
      </c>
      <c r="G34" s="1"/>
      <c r="J34">
        <v>50</v>
      </c>
    </row>
    <row r="35" spans="1:10" ht="15.6" x14ac:dyDescent="0.3">
      <c r="A35" s="96"/>
      <c r="B35" s="25">
        <f>'4637'!B23</f>
        <v>2</v>
      </c>
      <c r="C35" s="112" t="str">
        <f>'4637'!C23</f>
        <v>CUB S/R 90° R12 MDF 18MM BALANCE</v>
      </c>
      <c r="D35" s="25">
        <f>'4637'!D23</f>
        <v>1050</v>
      </c>
      <c r="E35" s="25">
        <f>'4637'!E23</f>
        <v>180</v>
      </c>
      <c r="F35" s="25" t="str">
        <f>'4637'!F23</f>
        <v>GLACIAL WHITE 22191 SF</v>
      </c>
      <c r="G35" s="1"/>
      <c r="J35">
        <v>80</v>
      </c>
    </row>
    <row r="36" spans="1:10" ht="15.6" x14ac:dyDescent="0.3">
      <c r="A36" s="96"/>
      <c r="B36" s="25">
        <f>'4637'!B24</f>
        <v>5</v>
      </c>
      <c r="C36" s="112" t="str">
        <f>'4637'!C24</f>
        <v>LATERAL 180° 2 LADOS MDF 25MM</v>
      </c>
      <c r="D36" s="25">
        <f>'4637'!D24</f>
        <v>1050</v>
      </c>
      <c r="E36" s="25">
        <f>'4637'!E24</f>
        <v>387</v>
      </c>
      <c r="F36" s="25" t="str">
        <f>'4637'!F24</f>
        <v>GLACIAL WHITE 22191 SF</v>
      </c>
      <c r="G36" s="1"/>
      <c r="J36">
        <f>SUM(J33:J35)</f>
        <v>1190</v>
      </c>
    </row>
    <row r="37" spans="1:10" ht="15.6" x14ac:dyDescent="0.3">
      <c r="A37" s="96"/>
      <c r="B37" s="25">
        <f>'4637'!B25</f>
        <v>3</v>
      </c>
      <c r="C37" s="112" t="str">
        <f>'4637'!C25</f>
        <v>LATERAL 180° 1 LADO MDF 25MM</v>
      </c>
      <c r="D37" s="25">
        <f>'4637'!D25</f>
        <v>1050</v>
      </c>
      <c r="E37" s="25">
        <f>'4637'!E25</f>
        <v>490</v>
      </c>
      <c r="F37" s="25" t="str">
        <f>'4637'!F25</f>
        <v>GLACIAL WHITE 22191 SF</v>
      </c>
      <c r="G37" s="1"/>
    </row>
    <row r="38" spans="1:10" ht="15.6" x14ac:dyDescent="0.3">
      <c r="A38" s="96"/>
      <c r="B38" s="6"/>
      <c r="C38" s="102"/>
      <c r="D38" s="6"/>
      <c r="E38" s="6"/>
      <c r="F38" s="6"/>
      <c r="G38" s="1"/>
    </row>
    <row r="39" spans="1:10" ht="15.6" x14ac:dyDescent="0.3">
      <c r="A39" s="1"/>
      <c r="B39" s="6"/>
      <c r="C39" s="6"/>
      <c r="D39" s="6"/>
      <c r="E39" s="6"/>
      <c r="F39" s="6"/>
      <c r="G39" s="1"/>
    </row>
    <row r="40" spans="1:10" ht="15.6" x14ac:dyDescent="0.3">
      <c r="A40" s="1"/>
      <c r="B40" s="6"/>
      <c r="C40" s="6"/>
      <c r="D40" s="6"/>
      <c r="E40" s="6"/>
      <c r="F40" s="6"/>
      <c r="G40" s="1"/>
    </row>
    <row r="41" spans="1:10" ht="15.6" x14ac:dyDescent="0.3">
      <c r="A41" s="1"/>
      <c r="B41" s="6"/>
      <c r="C41" s="6"/>
      <c r="D41" s="6"/>
      <c r="E41" s="6"/>
      <c r="F41" s="6"/>
      <c r="G41" s="1"/>
    </row>
    <row r="42" spans="1:10" ht="15.6" x14ac:dyDescent="0.3">
      <c r="A42" s="1"/>
      <c r="B42" s="6"/>
      <c r="C42" s="6"/>
      <c r="D42" s="6"/>
      <c r="E42" s="6"/>
      <c r="F42" s="6"/>
      <c r="G42" s="1"/>
    </row>
    <row r="43" spans="1:10" ht="15.6" x14ac:dyDescent="0.3">
      <c r="A43" s="1"/>
      <c r="B43" s="6"/>
      <c r="C43" s="6"/>
      <c r="D43" s="6"/>
      <c r="E43" s="6"/>
      <c r="F43" s="6"/>
      <c r="G43" s="1"/>
    </row>
    <row r="44" spans="1:10" ht="15.6" x14ac:dyDescent="0.3">
      <c r="A44" s="1"/>
      <c r="B44" s="6"/>
      <c r="C44" s="6"/>
      <c r="D44" s="6"/>
      <c r="E44" s="6"/>
      <c r="F44" s="6"/>
      <c r="G44" s="1"/>
    </row>
    <row r="45" spans="1:10" ht="15.6" x14ac:dyDescent="0.3">
      <c r="A45" s="1"/>
      <c r="B45" s="6"/>
      <c r="C45" s="6"/>
      <c r="D45" s="6"/>
      <c r="E45" s="6"/>
      <c r="F45" s="6"/>
      <c r="G45" s="1"/>
    </row>
    <row r="46" spans="1:10" ht="15.6" x14ac:dyDescent="0.3">
      <c r="A46" s="1"/>
      <c r="B46" s="6"/>
      <c r="C46" s="6"/>
      <c r="D46" s="6"/>
      <c r="E46" s="6"/>
      <c r="F46" s="6"/>
      <c r="G46" s="1"/>
    </row>
    <row r="47" spans="1:10" ht="15.6" x14ac:dyDescent="0.3">
      <c r="A47" s="1"/>
      <c r="B47" s="1"/>
      <c r="C47" s="1"/>
      <c r="D47" s="1"/>
      <c r="E47" s="1"/>
      <c r="F47" s="1"/>
      <c r="G47" s="1"/>
    </row>
    <row r="48" spans="1:10" ht="15.6" x14ac:dyDescent="0.3">
      <c r="A48" s="1"/>
      <c r="B48" s="1"/>
      <c r="C48" s="40" t="s">
        <v>27</v>
      </c>
      <c r="D48" s="14" t="str">
        <f>'4637'!G8</f>
        <v>7308R</v>
      </c>
      <c r="E48" s="1"/>
      <c r="F48" s="1"/>
      <c r="G48" s="1"/>
    </row>
    <row r="49" spans="1:7" ht="17.25" customHeight="1" x14ac:dyDescent="0.3">
      <c r="A49" s="1"/>
      <c r="B49" s="1"/>
      <c r="C49" s="41" t="s">
        <v>67</v>
      </c>
      <c r="D49" s="42" t="str">
        <f>'4637'!C10</f>
        <v>SISTEMAS SERVICIOS SPA</v>
      </c>
      <c r="E49" s="43"/>
      <c r="F49" s="43"/>
      <c r="G49" s="1"/>
    </row>
    <row r="50" spans="1:7" ht="4.5" customHeight="1" x14ac:dyDescent="0.3">
      <c r="A50" s="1"/>
      <c r="B50" s="1"/>
      <c r="C50" s="44"/>
      <c r="D50" s="45"/>
      <c r="E50" s="1"/>
      <c r="F50" s="1"/>
      <c r="G50" s="1"/>
    </row>
    <row r="51" spans="1:7" ht="15.6" x14ac:dyDescent="0.3">
      <c r="A51" s="1"/>
      <c r="B51" s="1"/>
      <c r="C51" s="46" t="str">
        <f>'4637'!F11</f>
        <v>FECHA LIMITE :</v>
      </c>
      <c r="D51" s="13">
        <f>'4637'!G11</f>
        <v>0</v>
      </c>
      <c r="E51" s="1"/>
      <c r="F51" s="1"/>
      <c r="G51" s="1"/>
    </row>
    <row r="52" spans="1:7" ht="15.6" x14ac:dyDescent="0.3">
      <c r="A52" s="1"/>
      <c r="B52" s="1"/>
      <c r="C52" s="1"/>
      <c r="D52" s="1"/>
      <c r="E52" s="1"/>
      <c r="F52" s="1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21" t="s">
        <v>68</v>
      </c>
      <c r="B54" s="121"/>
      <c r="C54" s="121"/>
      <c r="D54" s="121"/>
      <c r="E54" s="121"/>
      <c r="F54" s="12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75" customHeight="1" x14ac:dyDescent="0.3">
      <c r="A56" s="1"/>
      <c r="B56" s="122" t="s">
        <v>69</v>
      </c>
      <c r="C56" s="123"/>
      <c r="D56" s="124"/>
      <c r="E56" s="124"/>
      <c r="F56" s="125"/>
      <c r="G56" s="1"/>
    </row>
    <row r="57" spans="1:7" s="15" customFormat="1" ht="12.75" customHeight="1" x14ac:dyDescent="0.3">
      <c r="A57" s="1"/>
      <c r="B57" s="36" t="s">
        <v>10</v>
      </c>
      <c r="C57" s="47" t="s">
        <v>11</v>
      </c>
      <c r="D57" s="48" t="s">
        <v>7</v>
      </c>
      <c r="E57" s="48" t="s">
        <v>8</v>
      </c>
      <c r="F57" s="49" t="s">
        <v>12</v>
      </c>
      <c r="G57" s="1"/>
    </row>
    <row r="58" spans="1:7" s="15" customFormat="1" ht="15" customHeight="1" x14ac:dyDescent="0.3">
      <c r="A58" s="96"/>
      <c r="B58" s="38">
        <f>'4637'!B22</f>
        <v>4</v>
      </c>
      <c r="C58" s="111" t="str">
        <f>'4637'!C22</f>
        <v>LATERAL 180° 1 LADO MDF 30MM</v>
      </c>
      <c r="D58" s="39">
        <f>'4637'!D22</f>
        <v>1050</v>
      </c>
      <c r="E58" s="39">
        <f>'4637'!E22</f>
        <v>155</v>
      </c>
      <c r="F58" s="38" t="str">
        <f>'4637'!F22</f>
        <v>GLACIAL WHITE 22191 SF</v>
      </c>
      <c r="G58" s="1"/>
    </row>
    <row r="59" spans="1:7" s="15" customFormat="1" ht="15" customHeight="1" x14ac:dyDescent="0.3">
      <c r="A59" s="96"/>
      <c r="B59" s="38">
        <f>'4637'!B23</f>
        <v>2</v>
      </c>
      <c r="C59" s="111" t="str">
        <f>'4637'!C23</f>
        <v>CUB S/R 90° R12 MDF 18MM BALANCE</v>
      </c>
      <c r="D59" s="39">
        <f>'4637'!D23</f>
        <v>1050</v>
      </c>
      <c r="E59" s="39">
        <f>'4637'!E23</f>
        <v>180</v>
      </c>
      <c r="F59" s="38" t="str">
        <f>'4637'!F23</f>
        <v>GLACIAL WHITE 22191 SF</v>
      </c>
      <c r="G59" s="1"/>
    </row>
    <row r="60" spans="1:7" s="15" customFormat="1" ht="15" customHeight="1" x14ac:dyDescent="0.3">
      <c r="A60" s="96"/>
      <c r="B60" s="38">
        <f>'4637'!B24</f>
        <v>5</v>
      </c>
      <c r="C60" s="111" t="str">
        <f>'4637'!C24</f>
        <v>LATERAL 180° 2 LADOS MDF 25MM</v>
      </c>
      <c r="D60" s="39">
        <f>'4637'!D24</f>
        <v>1050</v>
      </c>
      <c r="E60" s="39">
        <f>'4637'!E24</f>
        <v>387</v>
      </c>
      <c r="F60" s="38" t="str">
        <f>'4637'!F24</f>
        <v>GLACIAL WHITE 22191 SF</v>
      </c>
      <c r="G60" s="1"/>
    </row>
    <row r="61" spans="1:7" s="15" customFormat="1" ht="15" customHeight="1" x14ac:dyDescent="0.3">
      <c r="A61" s="96"/>
      <c r="B61" s="38">
        <f>'4637'!B25</f>
        <v>3</v>
      </c>
      <c r="C61" s="111" t="str">
        <f>'4637'!C25</f>
        <v>LATERAL 180° 1 LADO MDF 25MM</v>
      </c>
      <c r="D61" s="39">
        <f>'4637'!D25</f>
        <v>1050</v>
      </c>
      <c r="E61" s="39">
        <f>'4637'!E25</f>
        <v>490</v>
      </c>
      <c r="F61" s="38" t="str">
        <f>'4637'!F25</f>
        <v>GLACIAL WHITE 22191 SF</v>
      </c>
      <c r="G61" s="1"/>
    </row>
    <row r="62" spans="1:7" s="15" customFormat="1" ht="15" customHeight="1" x14ac:dyDescent="0.3">
      <c r="A62" s="96"/>
      <c r="B62" s="52"/>
      <c r="C62" s="109"/>
      <c r="D62" s="52"/>
      <c r="E62" s="52"/>
      <c r="F62" s="52"/>
      <c r="G62" s="1"/>
    </row>
    <row r="63" spans="1:7" s="15" customFormat="1" ht="15" customHeight="1" x14ac:dyDescent="0.3">
      <c r="A63" s="50"/>
      <c r="B63" s="52"/>
      <c r="C63" s="52"/>
      <c r="D63" s="52"/>
      <c r="E63" s="52"/>
      <c r="F63" s="52"/>
      <c r="G63" s="1"/>
    </row>
    <row r="64" spans="1:7" ht="15.6" x14ac:dyDescent="0.3">
      <c r="A64" s="6"/>
      <c r="B64" s="6"/>
      <c r="C64" s="1"/>
      <c r="D64" s="6"/>
      <c r="E64" s="6"/>
      <c r="F64" s="44"/>
      <c r="G64" s="1"/>
    </row>
    <row r="65" spans="1:7" ht="15.6" x14ac:dyDescent="0.3">
      <c r="A65" s="6"/>
      <c r="B65" s="6"/>
      <c r="C65" s="1"/>
      <c r="D65" s="6"/>
      <c r="E65" s="6"/>
      <c r="F65" s="6"/>
      <c r="G65" s="1"/>
    </row>
    <row r="66" spans="1:7" ht="15.6" x14ac:dyDescent="0.3">
      <c r="A66" s="1"/>
      <c r="B66" s="1"/>
      <c r="C66" s="1"/>
      <c r="D66" s="1"/>
      <c r="E66" s="1"/>
      <c r="F66" s="1"/>
      <c r="G66" s="1"/>
    </row>
    <row r="67" spans="1:7" ht="15.6" x14ac:dyDescent="0.3">
      <c r="A67" s="1"/>
      <c r="B67" s="1"/>
      <c r="C67" s="1"/>
      <c r="D67" s="1"/>
      <c r="E67" s="1"/>
      <c r="F67" s="1"/>
      <c r="G67" s="1"/>
    </row>
    <row r="68" spans="1:7" ht="15.6" x14ac:dyDescent="0.3">
      <c r="A68" s="1"/>
      <c r="B68" s="1"/>
      <c r="C68" s="1"/>
      <c r="D68" s="1"/>
      <c r="E68" s="1"/>
      <c r="F68" s="1"/>
      <c r="G68" s="1"/>
    </row>
    <row r="69" spans="1:7" ht="15" customHeight="1" x14ac:dyDescent="0.3">
      <c r="A69" s="1"/>
      <c r="B69" s="1"/>
      <c r="C69" s="1"/>
      <c r="D69" s="1"/>
      <c r="E69" s="1"/>
      <c r="F69" s="1"/>
      <c r="G69" s="1"/>
    </row>
    <row r="70" spans="1:7" ht="15.6" x14ac:dyDescent="0.3">
      <c r="A70" s="1"/>
      <c r="B70" s="1"/>
      <c r="C70" s="1"/>
      <c r="D70" s="1"/>
      <c r="E70" s="1"/>
      <c r="F70" s="1"/>
      <c r="G70" s="1"/>
    </row>
    <row r="71" spans="1:7" ht="15.6" x14ac:dyDescent="0.3">
      <c r="A71" s="6"/>
      <c r="B71" s="51"/>
      <c r="C71" s="1"/>
      <c r="D71" s="1"/>
      <c r="E71" s="1"/>
      <c r="F71" s="1"/>
      <c r="G71" s="1"/>
    </row>
    <row r="72" spans="1:7" ht="15.6" x14ac:dyDescent="0.3">
      <c r="A72" s="1"/>
      <c r="B72" s="1"/>
      <c r="C72" s="1"/>
      <c r="D72" s="1"/>
      <c r="E72" s="1"/>
      <c r="F72" s="1"/>
      <c r="G72" s="1"/>
    </row>
    <row r="73" spans="1:7" x14ac:dyDescent="0.3">
      <c r="B73" s="20"/>
      <c r="C73" s="20"/>
      <c r="D73" s="20"/>
      <c r="E73" s="20"/>
      <c r="F73" s="20"/>
    </row>
    <row r="74" spans="1:7" x14ac:dyDescent="0.3">
      <c r="B74" s="20"/>
      <c r="C74" s="20"/>
      <c r="E74" s="20"/>
      <c r="F74" s="20"/>
    </row>
  </sheetData>
  <mergeCells count="6">
    <mergeCell ref="M3:N3"/>
    <mergeCell ref="A21:F21"/>
    <mergeCell ref="A10:F10"/>
    <mergeCell ref="A54:F54"/>
    <mergeCell ref="B56:F56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3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2025-11-24T12:20:29Z</cp:lastPrinted>
  <dcterms:created xsi:type="dcterms:W3CDTF">2013-03-19T12:54:14Z</dcterms:created>
  <dcterms:modified xsi:type="dcterms:W3CDTF">2025-11-24T12:22:25Z</dcterms:modified>
</cp:coreProperties>
</file>