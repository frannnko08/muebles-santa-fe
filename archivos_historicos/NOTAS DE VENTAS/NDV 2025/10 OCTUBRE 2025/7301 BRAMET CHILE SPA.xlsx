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8C7656B2-A312-4F24-91EC-15B4F52CD0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4" i="3"/>
  <c r="K23" i="3"/>
  <c r="E23" i="3" s="1"/>
  <c r="B30" i="3"/>
  <c r="I23" i="3" s="1"/>
  <c r="B23" i="3" s="1"/>
  <c r="C30" i="3"/>
  <c r="F23" i="3" s="1"/>
  <c r="D30" i="3"/>
  <c r="J23" i="3" s="1"/>
  <c r="D23" i="3" s="1"/>
  <c r="E30" i="3"/>
  <c r="F30" i="3"/>
  <c r="B31" i="3"/>
  <c r="C31" i="3"/>
  <c r="D31" i="3"/>
  <c r="E31" i="3"/>
  <c r="F31" i="3"/>
  <c r="B53" i="3"/>
  <c r="C53" i="3"/>
  <c r="D53" i="3"/>
  <c r="E53" i="3"/>
  <c r="F53" i="3"/>
  <c r="B52" i="3"/>
  <c r="C52" i="3"/>
  <c r="D52" i="3"/>
  <c r="E52" i="3"/>
  <c r="F52" i="3"/>
  <c r="H22" i="4"/>
  <c r="H21" i="4"/>
  <c r="E15" i="3"/>
  <c r="C51" i="3"/>
  <c r="F51" i="3"/>
  <c r="E51" i="3"/>
  <c r="D51" i="3"/>
  <c r="B51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F29" i="3"/>
  <c r="H20" i="4"/>
  <c r="E22" i="3" l="1"/>
  <c r="I14" i="3"/>
  <c r="B14" i="3" s="1"/>
  <c r="J14" i="3"/>
  <c r="D14" i="3" s="1"/>
  <c r="H25" i="4" l="1"/>
  <c r="N5" i="3" l="1"/>
  <c r="M5" i="3"/>
  <c r="L5" i="3"/>
  <c r="K5" i="3"/>
  <c r="H26" i="4"/>
  <c r="H27" i="4" s="1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<sst xmlns="http://schemas.openxmlformats.org/spreadsheetml/2006/main" count="251" uniqueCount="145">
  <si>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</si>
  <si>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</si>
  <si>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</si>
  <si>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</si>
  <si>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</si>
  <si>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</si>
  <si>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</si>
  <si>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</si>
  <si>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</si>
  <si>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</si>
  <si>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</si>
  <si>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</si>
  <si>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</si>
  <si>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</si>
  <si>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</si>
  <si>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</si>
  <si>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</si>
  <si>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</si>
  <si>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</si>
  <si>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</si>
  <si>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</si>
  <si>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</si>
  <si>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</si>
  <si>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</si>
  <si>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</si>
  <si>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</si>
  <si>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</si>
  <si>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</si>
  <si>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</si>
  <si>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</si>
  <si>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</si>
  <si>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</si>
  <si>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</si>
  <si>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</si>
  <si>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</si>
  <si>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</si>
  <si>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</si>
  <si>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</si>
  <si>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</si>
  <si>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</si>
  <si>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</si>
  <si>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</si>
  <si>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</si>
  <si>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</si>
  <si>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</si>
  <si>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</si>
  <si>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</si>
  <si>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</si>
  <si>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</si>
  <si>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</si>
  <si>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</si>
  <si>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</si>
  <si>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</si>
  <si>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</si>
  <si>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</si>
  <si>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</si>
  <si>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</si>
  <si>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</si>
  <si>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</si>
  <si>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</si>
  <si>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</si>
  <si>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</si>
  <si>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</si>
  <si>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</si>
  <si>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</si>
  <si>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</si>
  <si>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</si>
  <si>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</si>
  <si>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</si>
  <si>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</si>
  <si>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</si>
  <si>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</si>
  <si>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</si>
  <si>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</si>
  <si>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</si>
  <si>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</si>
  <si>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</si>
  <si>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</si>
  <si>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</si>
  <si>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</si>
  <si>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</si>
  <si>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</si>
  <si>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</si>
  <si>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</si>
  <si>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</si>
  <si>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</si>
  <si>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</si>
  <si>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</si>
  <si>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</si>
  <si>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</si>
  <si>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</si>
  <si>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</si>
  <si>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</si>
  <si>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</si>
  <si>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</si>
  <si>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</si>
  <si>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</si>
  <si>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</si>
  <si>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</si>
  <si>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</si>
  <si>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</si>
  <si>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</si>
  <si>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</si>
  <si>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</si>
  <si>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</si>
  <si>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</si>
  <si>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</si>
  <si>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</si>
  <si>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</si>
  <si>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</si>
  <si>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</si>
  <si>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</si>
  <si>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</si>
  <si>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</si>
  <si>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</si>
  <si>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</si>
  <si>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</si>
  <si>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</si>
  <si>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</si>
  <si>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</si>
  <si>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</si>
  <si>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</si>
  <si>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</si>
  <si>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</si>
  <si>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</si>
  <si>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</si>
  <si>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</si>
  <si>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</si>
  <si>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</si>
  <si>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</si>
  <si>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</si>
  <si>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</si>
  <si>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</si>
  <si>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</si>
  <si>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</si>
  <si>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</si>
  <si>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</si>
  <si>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17--10-2025</t>
  </si>
  <si>
    <t>BREMET CHILE SPA</t>
  </si>
  <si>
    <t>76.869.468-0</t>
  </si>
  <si>
    <t>FRANCISCO BRAVO</t>
  </si>
  <si>
    <t>FRAY BEJAMIN MARTINEZ 2612 RECOLETA</t>
  </si>
  <si>
    <t>CUB C/R R8</t>
  </si>
  <si>
    <t>ASTRAL 3030 MT</t>
  </si>
  <si>
    <t>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</si>
</sst>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166" fontId="22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11681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180975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180975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180975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180975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180975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180975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32</xdr:row>
      <xdr:rowOff>192404</xdr:rowOff>
    </xdr:from>
    <xdr:to>
      <xdr:col>6</xdr:col>
      <xdr:colOff>32385</xdr:colOff>
      <xdr:row>36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:SON PARA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57</xdr:row>
      <xdr:rowOff>175260</xdr:rowOff>
    </xdr:from>
    <xdr:to>
      <xdr:col>5</xdr:col>
      <xdr:colOff>1737360</xdr:colOff>
      <xdr:row>61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SON PARA INSTALACION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38</xdr:row>
      <xdr:rowOff>99060</xdr:rowOff>
    </xdr:from>
    <xdr:to>
      <xdr:col>1</xdr:col>
      <xdr:colOff>929398</xdr:colOff>
      <xdr:row>45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1"/>
  <sheetViews>
    <sheetView topLeftCell="A8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7301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138</v>
      </c>
      <c r="D10" s="15"/>
      <c r="E10" s="15"/>
      <c r="F10" s="16" t="s">
        <v>31</v>
      </c>
      <c r="G10" s="17">
        <v>45939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139</v>
      </c>
      <c r="D11" s="20"/>
      <c r="E11" s="20"/>
      <c r="F11" s="20" t="s">
        <v>131</v>
      </c>
      <c r="G11" s="105" t="s">
        <v>137</v>
      </c>
      <c r="H11" s="21"/>
    </row>
    <row r="12" spans="2:16" x14ac:dyDescent="0.3">
      <c r="B12" s="91" t="s">
        <v>115</v>
      </c>
      <c r="C12" s="125" t="s">
        <v>140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8">
        <v>56967763037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141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9" t="s">
        <v>21</v>
      </c>
      <c r="G15" s="129"/>
      <c r="H15" s="130"/>
    </row>
    <row r="17" spans="2:15" ht="15" thickBot="1" x14ac:dyDescent="0.35"/>
    <row r="18" spans="2:15" ht="15" thickBot="1" x14ac:dyDescent="0.35">
      <c r="B18" s="131" t="s">
        <v>22</v>
      </c>
      <c r="C18" s="132"/>
      <c r="D18" s="132"/>
      <c r="E18" s="132"/>
      <c r="F18" s="132"/>
      <c r="G18" s="133"/>
      <c r="H18" s="134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1</v>
      </c>
      <c r="C20" s="120" t="s">
        <v>142</v>
      </c>
      <c r="D20" s="121">
        <v>2255</v>
      </c>
      <c r="E20" s="121">
        <v>557</v>
      </c>
      <c r="F20" s="120" t="s">
        <v>143</v>
      </c>
      <c r="G20" s="119">
        <v>89471</v>
      </c>
      <c r="H20" s="144">
        <f t="shared" ref="H20:H22" si="0">G20*B20</f>
        <v>89471</v>
      </c>
      <c r="J20" s="61"/>
      <c r="K20" s="88"/>
      <c r="L20" s="61"/>
      <c r="M20" s="61"/>
      <c r="N20" s="88"/>
      <c r="O20" s="99"/>
    </row>
    <row r="21" spans="2:15" ht="15.6" x14ac:dyDescent="0.3">
      <c r="B21" s="118">
        <v>1</v>
      </c>
      <c r="C21" s="120" t="s">
        <v>142</v>
      </c>
      <c r="D21" s="121">
        <v>2196</v>
      </c>
      <c r="E21" s="121">
        <v>353</v>
      </c>
      <c r="F21" s="120" t="s">
        <v>143</v>
      </c>
      <c r="G21" s="145">
        <v>55270</v>
      </c>
      <c r="H21" s="144">
        <f t="shared" si="0"/>
        <v>55270</v>
      </c>
      <c r="J21" s="61"/>
      <c r="K21" s="88"/>
      <c r="L21" s="61"/>
      <c r="M21" s="61"/>
      <c r="N21" s="88"/>
      <c r="O21" s="99"/>
    </row>
    <row r="22" spans="2:15" ht="15.6" x14ac:dyDescent="0.3">
      <c r="B22" s="118">
        <v>1</v>
      </c>
      <c r="C22" s="120" t="s">
        <v>144</v>
      </c>
      <c r="D22" s="121"/>
      <c r="E22" s="121"/>
      <c r="F22" s="120"/>
      <c r="G22" s="145">
        <v>100000</v>
      </c>
      <c r="H22" s="144">
        <f t="shared" si="0"/>
        <v>100000</v>
      </c>
      <c r="J22" s="61"/>
      <c r="K22" s="88"/>
      <c r="L22" s="61"/>
      <c r="M22" s="61"/>
      <c r="N22" s="88"/>
      <c r="O22" s="99"/>
    </row>
    <row r="23" spans="2:15" x14ac:dyDescent="0.3">
      <c r="B23" s="102"/>
      <c r="C23" s="102"/>
      <c r="D23" s="106"/>
      <c r="E23" s="106"/>
      <c r="F23" s="107"/>
      <c r="G23" s="103"/>
      <c r="H23" s="104"/>
      <c r="J23" s="61"/>
      <c r="K23" s="88"/>
      <c r="L23" s="61"/>
      <c r="M23" s="61"/>
      <c r="N23" s="88"/>
      <c r="O23" s="99"/>
    </row>
    <row r="24" spans="2:15" ht="8.25" customHeight="1" thickBot="1" x14ac:dyDescent="0.35">
      <c r="B24" s="61"/>
      <c r="C24" s="61"/>
      <c r="D24" s="61"/>
      <c r="E24" s="61"/>
      <c r="F24" s="61"/>
      <c r="G24" s="62"/>
      <c r="H24" s="63"/>
    </row>
    <row r="25" spans="2:15" ht="18" thickBot="1" x14ac:dyDescent="0.4">
      <c r="G25" s="30" t="s">
        <v>5</v>
      </c>
      <c r="H25" s="43">
        <f>SUM(H20:H24)</f>
        <v>244741</v>
      </c>
    </row>
    <row r="26" spans="2:15" ht="18" thickBot="1" x14ac:dyDescent="0.4">
      <c r="G26" s="40" t="s">
        <v>6</v>
      </c>
      <c r="H26" s="43">
        <f>H25*19%</f>
        <v>46500.79</v>
      </c>
    </row>
    <row r="27" spans="2:15" ht="18" thickBot="1" x14ac:dyDescent="0.4">
      <c r="G27" s="31" t="s">
        <v>4</v>
      </c>
      <c r="H27" s="43">
        <f>SUM(H25+H26)</f>
        <v>291241.78999999998</v>
      </c>
    </row>
    <row r="29" spans="2:15" x14ac:dyDescent="0.3">
      <c r="B29" s="38" t="s">
        <v>130</v>
      </c>
      <c r="C29" s="32"/>
      <c r="D29" s="33"/>
      <c r="E29" s="33"/>
      <c r="F29" s="34"/>
    </row>
    <row r="30" spans="2:15" x14ac:dyDescent="0.3">
      <c r="B30" s="38" t="s">
        <v>129</v>
      </c>
      <c r="C30" s="39"/>
      <c r="D30" s="33"/>
      <c r="E30" s="33"/>
      <c r="F30" s="34"/>
    </row>
    <row r="31" spans="2:15" x14ac:dyDescent="0.3">
      <c r="B31" s="41" t="s">
        <v>28</v>
      </c>
      <c r="E31" s="42" t="s">
        <v>29</v>
      </c>
    </row>
  </sheetData>
  <sortState xmlns:xlrd2="http://schemas.microsoft.com/office/spreadsheetml/2017/richdata2" ref="B50">
    <sortCondition sortBy="fontColor" ref="B50" dxfId="0"/>
  </sortState>
  <mergeCells count="2">
    <mergeCell ref="F15:H15"/>
    <mergeCell ref="B18:H18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34</v>
      </c>
      <c r="C2" s="135"/>
      <c r="D2" s="135"/>
      <c r="E2" s="64"/>
      <c r="G2" s="135" t="s">
        <v>73</v>
      </c>
      <c r="H2" s="135"/>
      <c r="I2" s="135"/>
      <c r="P2" s="136" t="s">
        <v>61</v>
      </c>
      <c r="Q2" s="136"/>
      <c r="R2" s="136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6" t="s">
        <v>61</v>
      </c>
      <c r="M8" s="136"/>
      <c r="N8" s="136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6"/>
  <sheetViews>
    <sheetView tabSelected="1" topLeftCell="A26" zoomScaleNormal="100" workbookViewId="0">
      <selection activeCell="O30" sqref="O30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7" t="s">
        <v>64</v>
      </c>
      <c r="L3" s="137"/>
      <c r="M3" s="137" t="s">
        <v>16</v>
      </c>
      <c r="N3" s="137"/>
    </row>
    <row r="4" spans="1:14" ht="15.75" customHeight="1" x14ac:dyDescent="0.3">
      <c r="C4" s="55" t="s">
        <v>30</v>
      </c>
      <c r="D4" s="54">
        <f>'4637'!G8</f>
        <v>7301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BREMET CHILE SPA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 t="str">
        <f>'4637'!G11</f>
        <v>17--10-2025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8" t="s">
        <v>64</v>
      </c>
      <c r="B10" s="138"/>
      <c r="C10" s="138"/>
      <c r="D10" s="138"/>
      <c r="E10" s="138"/>
      <c r="F10" s="138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80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2335</v>
      </c>
      <c r="E14" s="46">
        <f>K14+E$13</f>
        <v>527</v>
      </c>
      <c r="F14" s="58" t="str">
        <f>F22</f>
        <v>CUB C/R R8</v>
      </c>
      <c r="I14" s="4">
        <f>I22</f>
        <v>1</v>
      </c>
      <c r="J14" s="5">
        <f>D29</f>
        <v>2255</v>
      </c>
      <c r="K14" s="5">
        <f>K22</f>
        <v>557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2276</v>
      </c>
      <c r="E15" s="46">
        <f>K15</f>
        <v>353</v>
      </c>
      <c r="F15" s="58" t="str">
        <f>F23</f>
        <v>CUB C/R R8</v>
      </c>
      <c r="I15" s="4">
        <f>I23</f>
        <v>1</v>
      </c>
      <c r="J15" s="5">
        <f>D30</f>
        <v>2196</v>
      </c>
      <c r="K15" s="5">
        <f>K23</f>
        <v>353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8" t="s">
        <v>16</v>
      </c>
      <c r="B18" s="138"/>
      <c r="C18" s="138"/>
      <c r="D18" s="138"/>
      <c r="E18" s="138"/>
      <c r="F18" s="138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130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2295</v>
      </c>
      <c r="E22" s="59">
        <f>K22+E$21</f>
        <v>687</v>
      </c>
      <c r="F22" s="58" t="str">
        <f>C29</f>
        <v>CUB C/R R8</v>
      </c>
      <c r="G22" s="1"/>
      <c r="I22" s="4">
        <f>B29</f>
        <v>1</v>
      </c>
      <c r="J22" s="5">
        <f t="shared" ref="J22:K22" si="3">D29</f>
        <v>2255</v>
      </c>
      <c r="K22" s="5">
        <f t="shared" si="3"/>
        <v>557</v>
      </c>
    </row>
    <row r="23" spans="1:11" ht="15.6" x14ac:dyDescent="0.3">
      <c r="A23" s="50"/>
      <c r="B23" s="59">
        <f t="shared" ref="B23" si="4">I23</f>
        <v>1</v>
      </c>
      <c r="C23" s="59"/>
      <c r="D23" s="59">
        <f t="shared" ref="D23" si="5">J23+D$21</f>
        <v>2236</v>
      </c>
      <c r="E23" s="59">
        <f t="shared" ref="E23" si="6">K23+E$21</f>
        <v>483</v>
      </c>
      <c r="F23" s="58" t="str">
        <f>C30</f>
        <v>CUB C/R R8</v>
      </c>
      <c r="G23" s="1"/>
      <c r="I23" s="4">
        <f>B30</f>
        <v>1</v>
      </c>
      <c r="J23" s="5">
        <f>D30</f>
        <v>2196</v>
      </c>
      <c r="K23" s="5">
        <f>E30</f>
        <v>353</v>
      </c>
    </row>
    <row r="24" spans="1:11" ht="13.8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 t="s">
        <v>136</v>
      </c>
      <c r="B29" s="74">
        <f>'4637'!B20</f>
        <v>1</v>
      </c>
      <c r="C29" s="75" t="str">
        <f>'4637'!C20</f>
        <v>CUB C/R R8</v>
      </c>
      <c r="D29" s="74">
        <f>'4637'!D20</f>
        <v>2255</v>
      </c>
      <c r="E29" s="74">
        <f>'4637'!E20</f>
        <v>557</v>
      </c>
      <c r="F29" s="127" t="str">
        <f>'4637'!F20</f>
        <v>ASTRAL 3030 MT</v>
      </c>
    </row>
    <row r="30" spans="1:11" ht="15.6" x14ac:dyDescent="0.3">
      <c r="A30" s="50"/>
      <c r="B30" s="74">
        <f>'4637'!B21</f>
        <v>1</v>
      </c>
      <c r="C30" s="75" t="str">
        <f>'4637'!C21</f>
        <v>CUB C/R R8</v>
      </c>
      <c r="D30" s="74">
        <f>'4637'!D21</f>
        <v>2196</v>
      </c>
      <c r="E30" s="74">
        <f>'4637'!E21</f>
        <v>353</v>
      </c>
      <c r="F30" s="127" t="str">
        <f>'4637'!F21</f>
        <v>ASTRAL 3030 MT</v>
      </c>
    </row>
    <row r="31" spans="1:11" ht="15.6" x14ac:dyDescent="0.3">
      <c r="A31" s="50"/>
      <c r="B31" s="74">
        <f>'4637'!B22</f>
        <v>1</v>
      </c>
      <c r="C31" s="75" t="str">
        <f>'4637'!C22</f>
        <v>INSTALACION</v>
      </c>
      <c r="D31" s="74">
        <f>'4637'!D22</f>
        <v>0</v>
      </c>
      <c r="E31" s="74">
        <f>'4637'!E22</f>
        <v>0</v>
      </c>
      <c r="F31" s="127">
        <f>'4637'!F22</f>
        <v>0</v>
      </c>
    </row>
    <row r="32" spans="1:11" ht="15.6" x14ac:dyDescent="0.3">
      <c r="A32" s="50"/>
      <c r="B32" s="146"/>
      <c r="C32" s="147"/>
      <c r="D32" s="146"/>
      <c r="E32" s="146"/>
      <c r="F32" s="148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B39" s="7"/>
      <c r="C39" s="11"/>
      <c r="D39" s="7"/>
      <c r="E39" s="7"/>
      <c r="F39" s="49"/>
    </row>
    <row r="40" spans="1:7" ht="15.6" x14ac:dyDescent="0.3">
      <c r="G40" s="1"/>
    </row>
    <row r="41" spans="1:7" ht="15.6" x14ac:dyDescent="0.3">
      <c r="C41" s="55" t="s">
        <v>30</v>
      </c>
      <c r="D41" s="54">
        <f>'4637'!G8</f>
        <v>7301</v>
      </c>
      <c r="G41" s="1"/>
    </row>
    <row r="42" spans="1:7" ht="17.25" customHeight="1" x14ac:dyDescent="0.3">
      <c r="C42" s="68" t="s">
        <v>70</v>
      </c>
      <c r="D42" s="67" t="str">
        <f>'4637'!C10</f>
        <v>BREMET CHILE SPA</v>
      </c>
      <c r="E42" s="22"/>
      <c r="F42" s="22"/>
      <c r="G42" s="1"/>
    </row>
    <row r="43" spans="1:7" ht="4.5" customHeight="1" x14ac:dyDescent="0.3">
      <c r="C43" s="56"/>
      <c r="D43" s="52"/>
      <c r="G43" s="1"/>
    </row>
    <row r="44" spans="1:7" ht="15.6" x14ac:dyDescent="0.3">
      <c r="C44" s="57" t="str">
        <f>'4637'!F11</f>
        <v>FECHA LIMITE :</v>
      </c>
      <c r="D44" s="53" t="str">
        <f>'4637'!G11</f>
        <v>17--10-2025</v>
      </c>
      <c r="E44" s="1"/>
      <c r="F44" s="1"/>
    </row>
    <row r="47" spans="1:7" x14ac:dyDescent="0.3">
      <c r="A47" s="139" t="s">
        <v>71</v>
      </c>
      <c r="B47" s="139"/>
      <c r="C47" s="139"/>
      <c r="D47" s="139"/>
      <c r="E47" s="139"/>
      <c r="F47" s="139"/>
    </row>
    <row r="49" spans="1:7" ht="9.75" customHeight="1" x14ac:dyDescent="0.3">
      <c r="B49" s="140" t="s">
        <v>72</v>
      </c>
      <c r="C49" s="141"/>
      <c r="D49" s="142"/>
      <c r="E49" s="142"/>
      <c r="F49" s="143"/>
    </row>
    <row r="50" spans="1:7" s="13" customFormat="1" ht="11.25" customHeight="1" x14ac:dyDescent="0.25">
      <c r="B50" s="113" t="s">
        <v>11</v>
      </c>
      <c r="C50" s="114" t="s">
        <v>12</v>
      </c>
      <c r="D50" s="115" t="s">
        <v>8</v>
      </c>
      <c r="E50" s="115" t="s">
        <v>9</v>
      </c>
      <c r="F50" s="116" t="s">
        <v>13</v>
      </c>
    </row>
    <row r="51" spans="1:7" s="13" customFormat="1" ht="15" customHeight="1" x14ac:dyDescent="0.3">
      <c r="A51" s="98" t="s">
        <v>136</v>
      </c>
      <c r="B51" s="117">
        <f>'4637'!B20</f>
        <v>1</v>
      </c>
      <c r="C51" s="124" t="str">
        <f>'4637'!C20</f>
        <v>CUB C/R R8</v>
      </c>
      <c r="D51" s="117">
        <f>'4637'!D20</f>
        <v>2255</v>
      </c>
      <c r="E51" s="117">
        <f>'4637'!E20</f>
        <v>557</v>
      </c>
      <c r="F51" s="126" t="str">
        <f>'4637'!F20</f>
        <v>ASTRAL 3030 MT</v>
      </c>
    </row>
    <row r="52" spans="1:7" s="13" customFormat="1" ht="15" customHeight="1" x14ac:dyDescent="0.3">
      <c r="A52" s="98"/>
      <c r="B52" s="117">
        <f>'4637'!B21</f>
        <v>1</v>
      </c>
      <c r="C52" s="124" t="str">
        <f>'4637'!C21</f>
        <v>CUB C/R R8</v>
      </c>
      <c r="D52" s="117">
        <f>'4637'!D21</f>
        <v>2196</v>
      </c>
      <c r="E52" s="117">
        <f>'4637'!E21</f>
        <v>353</v>
      </c>
      <c r="F52" s="126" t="str">
        <f>'4637'!F21</f>
        <v>ASTRAL 3030 MT</v>
      </c>
    </row>
    <row r="53" spans="1:7" s="13" customFormat="1" ht="15" customHeight="1" x14ac:dyDescent="0.3">
      <c r="A53" s="98"/>
      <c r="B53" s="117">
        <f>'4637'!B22</f>
        <v>1</v>
      </c>
      <c r="C53" s="124" t="str">
        <f>'4637'!C22</f>
        <v>INSTALACION</v>
      </c>
      <c r="D53" s="117">
        <f>'4637'!D22</f>
        <v>0</v>
      </c>
      <c r="E53" s="117">
        <f>'4637'!E22</f>
        <v>0</v>
      </c>
      <c r="F53" s="126">
        <f>'4637'!F22</f>
        <v>0</v>
      </c>
    </row>
    <row r="54" spans="1:7" s="13" customFormat="1" ht="15" customHeight="1" x14ac:dyDescent="0.3">
      <c r="A54" s="98"/>
      <c r="B54" s="3"/>
      <c r="C54" s="60"/>
      <c r="D54" s="3"/>
      <c r="E54" s="3"/>
      <c r="F54" s="3"/>
    </row>
    <row r="55" spans="1:7" ht="15.6" x14ac:dyDescent="0.3">
      <c r="A55" s="60"/>
      <c r="B55" s="3"/>
      <c r="C55" s="41"/>
      <c r="D55" s="7"/>
      <c r="E55" s="7"/>
      <c r="F55" s="49"/>
    </row>
    <row r="56" spans="1:7" ht="15.6" x14ac:dyDescent="0.3">
      <c r="A56" s="60"/>
      <c r="B56" s="3"/>
      <c r="C56" s="41"/>
      <c r="D56" s="7"/>
      <c r="E56" s="7"/>
      <c r="F56" s="56"/>
    </row>
    <row r="57" spans="1:7" ht="15.6" x14ac:dyDescent="0.3">
      <c r="A57" s="60"/>
      <c r="B57" s="3"/>
      <c r="C57" s="41"/>
      <c r="D57" s="7"/>
      <c r="E57" s="7"/>
      <c r="F57" s="49"/>
    </row>
    <row r="58" spans="1:7" ht="15" thickBot="1" x14ac:dyDescent="0.35"/>
    <row r="59" spans="1:7" x14ac:dyDescent="0.3">
      <c r="B59" s="78" t="s">
        <v>15</v>
      </c>
      <c r="C59" s="79"/>
      <c r="D59" s="80"/>
      <c r="E59" s="80"/>
      <c r="F59" s="81"/>
    </row>
    <row r="60" spans="1:7" x14ac:dyDescent="0.3">
      <c r="B60" s="82"/>
      <c r="C60" s="83" t="s">
        <v>117</v>
      </c>
      <c r="D60" s="9"/>
      <c r="E60" s="9"/>
      <c r="F60" s="84"/>
    </row>
    <row r="61" spans="1:7" ht="15" customHeight="1" x14ac:dyDescent="0.35">
      <c r="B61" s="83" t="s">
        <v>124</v>
      </c>
      <c r="C61" s="70"/>
      <c r="D61" s="10"/>
      <c r="E61" s="10"/>
      <c r="F61" s="85"/>
    </row>
    <row r="62" spans="1:7" ht="18.600000000000001" thickBot="1" x14ac:dyDescent="0.4">
      <c r="B62" s="95" t="s">
        <v>123</v>
      </c>
      <c r="C62" s="86"/>
      <c r="D62" s="86"/>
      <c r="E62" s="86"/>
      <c r="F62" s="87"/>
    </row>
    <row r="63" spans="1:7" ht="18" x14ac:dyDescent="0.35">
      <c r="A63" s="2"/>
      <c r="B63" s="8"/>
      <c r="G63" s="1"/>
    </row>
    <row r="64" spans="1:7" x14ac:dyDescent="0.3">
      <c r="B64" s="66"/>
      <c r="C64" s="66"/>
      <c r="D64" s="66"/>
      <c r="E64" s="66"/>
      <c r="F64" s="66"/>
    </row>
    <row r="65" spans="2:6" x14ac:dyDescent="0.3">
      <c r="B65" s="66"/>
      <c r="C65" s="66"/>
      <c r="D65" s="66"/>
      <c r="E65" s="66"/>
      <c r="F65" s="66"/>
    </row>
    <row r="66" spans="2:6" x14ac:dyDescent="0.3">
      <c r="B66" s="66"/>
      <c r="C66" s="66"/>
      <c r="E66" s="66"/>
      <c r="F66" s="66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2025-10-14T11:49:09Z</cp:lastPrinted>
  <dcterms:created xsi:type="dcterms:W3CDTF">2013-03-19T12:54:14Z</dcterms:created>
  <dcterms:modified xsi:type="dcterms:W3CDTF">2025-10-14T11:50:12Z</dcterms:modified>
</cp:coreProperties>
</file>