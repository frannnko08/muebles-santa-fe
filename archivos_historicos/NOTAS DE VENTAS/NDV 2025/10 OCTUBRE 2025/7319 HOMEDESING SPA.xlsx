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68F97F8C-E813-4D38-BEC3-A83F45E50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CUBIERTA!$A$36:$G$63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3" l="1"/>
  <c r="F50" i="3" l="1"/>
  <c r="F28" i="3" s="1"/>
  <c r="E50" i="3"/>
  <c r="E28" i="3" s="1"/>
  <c r="D50" i="3"/>
  <c r="D28" i="3" s="1"/>
  <c r="C50" i="3"/>
  <c r="C28" i="3" s="1"/>
  <c r="B50" i="3"/>
  <c r="B28" i="3" s="1"/>
  <c r="H21" i="4"/>
  <c r="H24" i="4" l="1"/>
  <c r="H25" i="4" s="1"/>
  <c r="H26" i="4" s="1"/>
  <c r="I22" i="3" l="1"/>
  <c r="J22" i="3"/>
  <c r="K22" i="3"/>
  <c r="E22" i="3" s="1"/>
  <c r="F22" i="3"/>
  <c r="D5" i="3"/>
  <c r="K14" i="3" l="1"/>
  <c r="E14" i="3" s="1"/>
  <c r="I14" i="3"/>
  <c r="F14" i="3"/>
  <c r="J14" i="3"/>
  <c r="D14" i="3" s="1"/>
  <c r="D22" i="3" l="1"/>
  <c r="B22" i="3"/>
  <c r="B14" i="3"/>
  <c r="N5" i="3" l="1"/>
  <c r="M5" i="3" l="1"/>
  <c r="L5" i="3"/>
  <c r="K5" i="3"/>
  <c r="C41" i="3" l="1"/>
  <c r="C7" i="3"/>
  <c r="D40" i="3"/>
  <c r="D41" i="3"/>
  <c r="D7" i="3"/>
  <c r="D39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<sst xmlns="http://schemas.openxmlformats.org/spreadsheetml/2006/main" count="244" uniqueCount="141">
  <si>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</si>
  <si>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</si>
  <si>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</si>
  <si>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</si>
  <si>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</si>
  <si>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</si>
  <si>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</si>
  <si>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</si>
  <si>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</si>
  <si>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</si>
  <si>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</si>
  <si>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</si>
  <si>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</si>
  <si>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</si>
  <si>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</si>
  <si>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</si>
  <si>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</si>
  <si>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</si>
  <si>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</si>
  <si>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</si>
  <si>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</si>
  <si>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</si>
  <si>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</si>
  <si>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</si>
  <si>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</si>
  <si>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</si>
  <si>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</si>
  <si>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</si>
  <si>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</si>
  <si>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</si>
  <si>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</si>
  <si>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</si>
  <si>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</si>
  <si>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</si>
  <si>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</si>
  <si>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</si>
  <si>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</si>
  <si>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</si>
  <si>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</si>
  <si>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</si>
  <si>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</si>
  <si>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</si>
  <si>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</si>
  <si>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</si>
  <si>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</si>
  <si>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</si>
  <si>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</si>
  <si>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</si>
  <si>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</si>
  <si>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</si>
  <si>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</si>
  <si>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</si>
  <si>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</si>
  <si>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</si>
  <si>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</si>
  <si>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</si>
  <si>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</si>
  <si>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</si>
  <si>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</si>
  <si>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</si>
  <si>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</si>
  <si>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</si>
  <si>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</si>
  <si>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</si>
  <si>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</si>
  <si>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</si>
  <si>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</si>
  <si>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</si>
  <si>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</si>
  <si>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</si>
  <si>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</si>
  <si>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</si>
  <si>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</si>
  <si>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</si>
  <si>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</si>
  <si>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</si>
  <si>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</si>
  <si>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</si>
  <si>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</si>
  <si>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</si>
  <si>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</si>
  <si>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</si>
  <si>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</si>
  <si>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</si>
  <si>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</si>
  <si>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</si>
  <si>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</si>
  <si>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</si>
  <si>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</si>
  <si>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</si>
  <si>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</si>
  <si>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</si>
  <si>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</si>
  <si>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</si>
  <si>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</si>
  <si>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</si>
  <si>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</si>
  <si>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</si>
  <si>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</si>
  <si>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</si>
  <si>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</si>
  <si>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</si>
  <si>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</si>
  <si>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</si>
  <si>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</si>
  <si>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</si>
  <si>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</si>
  <si>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</si>
  <si>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</si>
  <si>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</si>
  <si>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</si>
  <si>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</si>
  <si>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</si>
  <si>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</si>
  <si>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</si>
  <si>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</si>
  <si>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</si>
  <si>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</si>
  <si>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</si>
  <si>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</si>
  <si>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</si>
  <si>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</si>
  <si>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</si>
  <si>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</si>
  <si>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</si>
  <si>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</si>
  <si>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</si>
  <si>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</si>
  <si>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</si>
  <si>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</si>
  <si>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</si>
  <si>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</si>
  <si>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</si>
  <si>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HOME DESING SPA</t>
  </si>
  <si>
    <t>NAIROBI  HERNANDEZ</t>
  </si>
  <si>
    <t>+569 8466 2944</t>
  </si>
  <si>
    <t>N° 11727</t>
  </si>
  <si>
    <t>CB C/R R6</t>
  </si>
  <si>
    <t>SALT PEPPER 40499 GL</t>
  </si>
  <si>
    <t>CUENTA CORRIENTE BANCO SANTANDER N° 87316181</t>
  </si>
  <si>
    <t>"MUEBLES SANTA FE SPA." - RUT : 77.054.606-0, FDONOSO@TOPMOBILI.CL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</si>
</sst>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42" fontId="3" fillId="0" borderId="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$ 72.481.-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43953D-85FB-4904-A82C-B23FE2D7F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655320</xdr:colOff>
      <xdr:row>2</xdr:row>
      <xdr:rowOff>0</xdr:rowOff>
    </xdr:from>
    <xdr:to>
      <xdr:col>3</xdr:col>
      <xdr:colOff>20647</xdr:colOff>
      <xdr:row>5</xdr:row>
      <xdr:rowOff>91511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DEBE16-803B-45F8-BAE4-45DFED466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30680" y="39624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2392680</xdr:colOff>
      <xdr:row>46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5</xdr:col>
      <xdr:colOff>2392680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5</xdr:col>
      <xdr:colOff>2392680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42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workbookViewId="0">
      <selection activeCell="J9" sqref="J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77734375" customWidth="1"/>
    <col min="4" max="5" width="9.109375" customWidth="1"/>
    <col min="6" max="6" width="33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136</v>
      </c>
      <c r="E8" s="1"/>
      <c r="F8" s="91" t="s">
        <v>27</v>
      </c>
      <c r="G8" s="92">
        <v>7319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85" t="s">
        <v>133</v>
      </c>
      <c r="D10" s="54"/>
      <c r="E10" s="54"/>
      <c r="F10" s="55" t="s">
        <v>28</v>
      </c>
      <c r="G10" s="56">
        <v>45960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5"/>
      <c r="D11" s="59"/>
      <c r="E11" s="59"/>
      <c r="F11" s="59" t="s">
        <v>122</v>
      </c>
      <c r="G11" s="60">
        <v>45974</v>
      </c>
      <c r="H11" s="61"/>
      <c r="I11" s="1"/>
    </row>
    <row r="12" spans="1:17" ht="16.8" x14ac:dyDescent="0.4">
      <c r="A12" s="1"/>
      <c r="B12" s="62" t="s">
        <v>127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128</v>
      </c>
      <c r="C13" t="s">
        <v>134</v>
      </c>
      <c r="D13" s="43"/>
      <c r="E13" s="43"/>
      <c r="F13" s="43" t="s">
        <v>125</v>
      </c>
      <c r="G13" s="63"/>
      <c r="H13" s="64"/>
      <c r="I13" s="1"/>
    </row>
    <row r="14" spans="1:17" ht="15.6" x14ac:dyDescent="0.3">
      <c r="A14" s="1"/>
      <c r="B14" s="58" t="s">
        <v>17</v>
      </c>
      <c r="C14" s="122" t="s">
        <v>135</v>
      </c>
      <c r="D14" s="65"/>
      <c r="E14" s="59"/>
      <c r="F14" s="59" t="s">
        <v>29</v>
      </c>
      <c r="G14" s="59" t="s">
        <v>130</v>
      </c>
      <c r="H14" s="61"/>
      <c r="I14" s="1"/>
    </row>
    <row r="15" spans="1:17" ht="16.8" x14ac:dyDescent="0.4">
      <c r="A15" s="1"/>
      <c r="B15" s="62" t="s">
        <v>1</v>
      </c>
      <c r="C15" s="103"/>
      <c r="D15" s="43"/>
      <c r="E15" s="43"/>
      <c r="F15" s="66" t="s">
        <v>75</v>
      </c>
      <c r="G15" s="66" t="s">
        <v>131</v>
      </c>
      <c r="H15" s="64"/>
      <c r="I15" s="1"/>
    </row>
    <row r="16" spans="1:17" ht="16.2" thickBot="1" x14ac:dyDescent="0.35">
      <c r="A16" s="1"/>
      <c r="B16" s="67" t="s">
        <v>3</v>
      </c>
      <c r="C16" s="104" t="s">
        <v>132</v>
      </c>
      <c r="D16" s="68"/>
      <c r="E16" s="69"/>
      <c r="F16" s="123" t="s">
        <v>18</v>
      </c>
      <c r="G16" s="123"/>
      <c r="H16" s="12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5" t="s">
        <v>19</v>
      </c>
      <c r="C19" s="126"/>
      <c r="D19" s="126"/>
      <c r="E19" s="126"/>
      <c r="F19" s="126"/>
      <c r="G19" s="126"/>
      <c r="H19" s="127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5.6" x14ac:dyDescent="0.3">
      <c r="A21" s="1"/>
      <c r="B21" s="101">
        <v>1</v>
      </c>
      <c r="C21" s="101" t="s">
        <v>137</v>
      </c>
      <c r="D21" s="119">
        <v>2220</v>
      </c>
      <c r="E21" s="119">
        <v>530</v>
      </c>
      <c r="F21" s="101" t="s">
        <v>138</v>
      </c>
      <c r="G21" s="118">
        <v>121817</v>
      </c>
      <c r="H21" s="115">
        <f>G21*B21</f>
        <v>121817</v>
      </c>
      <c r="I21" s="1"/>
    </row>
    <row r="22" spans="1:16" ht="18" customHeight="1" x14ac:dyDescent="0.3">
      <c r="A22" s="1"/>
      <c r="B22" s="94"/>
      <c r="C22" s="94"/>
      <c r="D22" s="94"/>
      <c r="E22" s="94"/>
      <c r="F22" s="95"/>
      <c r="G22" s="96"/>
      <c r="H22" s="96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SUM(H21:H21)</f>
        <v>121817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H24*0.19</f>
        <v>23145.23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144962.23000000001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1" t="s">
        <v>139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81" t="s">
        <v>140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31</v>
      </c>
      <c r="C2" s="128"/>
      <c r="D2" s="128"/>
      <c r="E2" s="18"/>
      <c r="G2" s="128" t="s">
        <v>70</v>
      </c>
      <c r="H2" s="128"/>
      <c r="I2" s="128"/>
      <c r="P2" s="129" t="s">
        <v>58</v>
      </c>
      <c r="Q2" s="129"/>
      <c r="R2" s="12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9" t="s">
        <v>58</v>
      </c>
      <c r="M8" s="129"/>
      <c r="N8" s="12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124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24" zoomScaleNormal="100" workbookViewId="0">
      <selection activeCell="A36" sqref="A36:G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123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0" t="s">
        <v>61</v>
      </c>
      <c r="L3" s="130"/>
      <c r="M3" s="130" t="s">
        <v>14</v>
      </c>
      <c r="N3" s="130"/>
    </row>
    <row r="4" spans="1:14" ht="15.75" customHeight="1" x14ac:dyDescent="0.3">
      <c r="A4" s="1"/>
      <c r="B4" s="1"/>
      <c r="C4" s="40" t="s">
        <v>27</v>
      </c>
      <c r="D4" s="14">
        <f>'4637'!G8</f>
        <v>7319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HOME DESING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45974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1" t="s">
        <v>61</v>
      </c>
      <c r="B10" s="131"/>
      <c r="C10" s="131"/>
      <c r="D10" s="131"/>
      <c r="E10" s="131"/>
      <c r="F10" s="13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129</v>
      </c>
      <c r="B14" s="25">
        <f>I14</f>
        <v>1</v>
      </c>
      <c r="C14" s="16"/>
      <c r="D14" s="25">
        <f>J14+D$13</f>
        <v>2300</v>
      </c>
      <c r="E14" s="35">
        <f>K14+$E$13</f>
        <v>500</v>
      </c>
      <c r="F14" s="99" t="str">
        <f>F28</f>
        <v>SALT PEPPER 40499 GL</v>
      </c>
      <c r="G14" s="1"/>
      <c r="I14" s="3">
        <f>B28</f>
        <v>1</v>
      </c>
      <c r="J14" s="4">
        <f>D28</f>
        <v>2220</v>
      </c>
      <c r="K14" s="4">
        <f>E28</f>
        <v>530</v>
      </c>
    </row>
    <row r="15" spans="1:14" ht="15.6" x14ac:dyDescent="0.3">
      <c r="A15" s="93"/>
      <c r="B15" s="6"/>
      <c r="C15" s="6"/>
      <c r="D15" s="6"/>
      <c r="E15" s="121"/>
      <c r="F15" s="116"/>
      <c r="G15" s="1"/>
      <c r="I15" s="120"/>
      <c r="J15" s="2"/>
      <c r="K15" s="2"/>
    </row>
    <row r="16" spans="1:14" x14ac:dyDescent="0.3">
      <c r="A16" s="93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31" t="s">
        <v>14</v>
      </c>
      <c r="B18" s="131"/>
      <c r="C18" s="131"/>
      <c r="D18" s="131"/>
      <c r="E18" s="131"/>
      <c r="F18" s="13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80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0">I22</f>
        <v>1</v>
      </c>
      <c r="C22" s="16"/>
      <c r="D22" s="16">
        <f>J22+D$21</f>
        <v>2300</v>
      </c>
      <c r="E22" s="16">
        <f>K22+E21</f>
        <v>660</v>
      </c>
      <c r="F22" s="100" t="str">
        <f>F28</f>
        <v>SALT PEPPER 40499 GL</v>
      </c>
      <c r="G22" s="1"/>
      <c r="I22" s="3">
        <f>B28</f>
        <v>1</v>
      </c>
      <c r="J22" s="4">
        <f>D28</f>
        <v>2220</v>
      </c>
      <c r="K22" s="4">
        <f>E28</f>
        <v>530</v>
      </c>
    </row>
    <row r="23" spans="1:11" ht="15.6" x14ac:dyDescent="0.3">
      <c r="A23" s="93"/>
      <c r="B23" s="6"/>
      <c r="C23" s="6"/>
      <c r="D23" s="6"/>
      <c r="E23" s="6"/>
      <c r="F23" s="116"/>
      <c r="G23" s="1"/>
      <c r="I23" s="120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  <c r="J27">
        <v>300</v>
      </c>
    </row>
    <row r="28" spans="1:11" ht="15.6" x14ac:dyDescent="0.3">
      <c r="A28" s="93" t="s">
        <v>129</v>
      </c>
      <c r="B28" s="25">
        <f>B50</f>
        <v>1</v>
      </c>
      <c r="C28" s="99" t="str">
        <f t="shared" ref="C28:F28" si="1">C50</f>
        <v>CB C/R R6</v>
      </c>
      <c r="D28" s="25">
        <f t="shared" si="1"/>
        <v>2220</v>
      </c>
      <c r="E28" s="25">
        <f t="shared" si="1"/>
        <v>530</v>
      </c>
      <c r="F28" s="25" t="str">
        <f t="shared" si="1"/>
        <v>SALT PEPPER 40499 GL</v>
      </c>
      <c r="G28" s="1"/>
      <c r="J28">
        <v>12</v>
      </c>
    </row>
    <row r="29" spans="1:11" ht="15.6" x14ac:dyDescent="0.3">
      <c r="A29" s="93"/>
      <c r="B29" s="6"/>
      <c r="C29" s="116"/>
      <c r="D29" s="6"/>
      <c r="E29" s="6"/>
      <c r="F29" s="6"/>
      <c r="G29" s="1"/>
      <c r="J29">
        <f>J27-J28</f>
        <v>288</v>
      </c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6.2" thickBot="1" x14ac:dyDescent="0.35">
      <c r="A38" s="1"/>
      <c r="B38" s="1"/>
      <c r="G38" s="1"/>
    </row>
    <row r="39" spans="1:7" ht="15.6" x14ac:dyDescent="0.3">
      <c r="A39" s="1"/>
      <c r="B39" s="1"/>
      <c r="C39" s="106" t="s">
        <v>27</v>
      </c>
      <c r="D39" s="107">
        <f>'4637'!G8</f>
        <v>7319</v>
      </c>
      <c r="E39" s="108"/>
      <c r="F39" s="109"/>
      <c r="G39" s="1"/>
    </row>
    <row r="40" spans="1:7" ht="15.6" x14ac:dyDescent="0.3">
      <c r="A40" s="1"/>
      <c r="B40" s="1"/>
      <c r="C40" s="110" t="s">
        <v>67</v>
      </c>
      <c r="D40" s="42" t="str">
        <f>'4637'!C10</f>
        <v>HOME DESING SPA</v>
      </c>
      <c r="E40" s="43"/>
      <c r="F40" s="64"/>
      <c r="G40" s="1"/>
    </row>
    <row r="41" spans="1:7" ht="16.2" thickBot="1" x14ac:dyDescent="0.35">
      <c r="A41" s="1"/>
      <c r="B41" s="1"/>
      <c r="C41" s="111" t="str">
        <f>'4637'!F11</f>
        <v>FECHA LIMITE :</v>
      </c>
      <c r="D41" s="112">
        <f>'4637'!G11</f>
        <v>45974</v>
      </c>
      <c r="E41" s="113"/>
      <c r="F41" s="114"/>
      <c r="G41" s="1"/>
    </row>
    <row r="42" spans="1:7" ht="15.6" x14ac:dyDescent="0.3">
      <c r="A42" s="1"/>
      <c r="B42" s="1"/>
      <c r="G42" s="1"/>
    </row>
    <row r="43" spans="1:7" ht="17.25" customHeight="1" x14ac:dyDescent="0.3">
      <c r="A43" s="1"/>
      <c r="B43" s="1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31" t="s">
        <v>68</v>
      </c>
      <c r="B46" s="131"/>
      <c r="C46" s="131"/>
      <c r="D46" s="131"/>
      <c r="E46" s="131"/>
      <c r="F46" s="13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32" t="s">
        <v>69</v>
      </c>
      <c r="C48" s="133"/>
      <c r="D48" s="134"/>
      <c r="E48" s="134"/>
      <c r="F48" s="135"/>
      <c r="G48" s="1"/>
    </row>
    <row r="49" spans="1:7" s="15" customFormat="1" ht="12.75" customHeight="1" x14ac:dyDescent="0.3">
      <c r="A49" s="1"/>
      <c r="B49" s="36" t="s">
        <v>10</v>
      </c>
      <c r="C49" s="46" t="s">
        <v>11</v>
      </c>
      <c r="D49" s="47" t="s">
        <v>7</v>
      </c>
      <c r="E49" s="47" t="s">
        <v>8</v>
      </c>
      <c r="F49" s="48" t="s">
        <v>12</v>
      </c>
      <c r="G49" s="1"/>
    </row>
    <row r="50" spans="1:7" s="15" customFormat="1" ht="15" customHeight="1" x14ac:dyDescent="0.3">
      <c r="A50" s="93" t="s">
        <v>129</v>
      </c>
      <c r="B50" s="38">
        <f>'4637'!B21</f>
        <v>1</v>
      </c>
      <c r="C50" s="98" t="str">
        <f>'4637'!C21</f>
        <v>CB C/R R6</v>
      </c>
      <c r="D50" s="39">
        <f>'4637'!D21</f>
        <v>2220</v>
      </c>
      <c r="E50" s="39">
        <f>'4637'!E21</f>
        <v>530</v>
      </c>
      <c r="F50" s="101" t="str">
        <f>'4637'!F21</f>
        <v>SALT PEPPER 40499 GL</v>
      </c>
      <c r="G50" s="1"/>
    </row>
    <row r="51" spans="1:7" s="15" customFormat="1" ht="15" customHeight="1" x14ac:dyDescent="0.3">
      <c r="A51" s="93"/>
      <c r="B51" s="51"/>
      <c r="C51" s="117"/>
      <c r="D51" s="51"/>
      <c r="E51" s="51"/>
      <c r="F51" s="94"/>
      <c r="G51" s="1"/>
    </row>
    <row r="52" spans="1:7" s="15" customFormat="1" ht="15" customHeight="1" x14ac:dyDescent="0.3">
      <c r="A52" s="49"/>
      <c r="B52" s="51"/>
      <c r="C52" s="51"/>
      <c r="D52" s="51"/>
      <c r="E52" s="51"/>
      <c r="F52" s="51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0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2025-10-31T11:47:37Z</cp:lastPrinted>
  <dcterms:created xsi:type="dcterms:W3CDTF">2013-03-19T12:54:14Z</dcterms:created>
  <dcterms:modified xsi:type="dcterms:W3CDTF">2025-10-31T11:55:00Z</dcterms:modified>
</cp:coreProperties>
</file>