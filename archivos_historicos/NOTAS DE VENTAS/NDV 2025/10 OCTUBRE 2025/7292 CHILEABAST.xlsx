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19DC793F-0446-42D1-B177-63F18116A6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H25" i="4" l="1"/>
  <c r="H26" i="4"/>
  <c r="B28" i="3"/>
  <c r="I22" i="3" s="1"/>
  <c r="I14" i="3" s="1"/>
  <c r="C28" i="3"/>
  <c r="F14" i="3" s="1"/>
  <c r="D28" i="3"/>
  <c r="J22" i="3" s="1"/>
  <c r="E28" i="3"/>
  <c r="K22" i="3" s="1"/>
  <c r="E22" i="3" s="1"/>
  <c r="F28" i="3"/>
  <c r="B49" i="3"/>
  <c r="C49" i="3"/>
  <c r="D49" i="3"/>
  <c r="E49" i="3"/>
  <c r="F49" i="3"/>
  <c r="D22" i="3" l="1"/>
  <c r="J14" i="3"/>
  <c r="D14" i="3" s="1"/>
  <c r="K14" i="3"/>
  <c r="E14" i="3" s="1"/>
  <c r="B22" i="3"/>
  <c r="B14" i="3"/>
  <c r="F22" i="3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<sst xmlns="http://schemas.openxmlformats.org/spreadsheetml/2006/main" count="247" uniqueCount="144">
  <si>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</si>
  <si>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</si>
  <si>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</si>
  <si>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</si>
  <si>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</si>
  <si>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</si>
  <si>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</si>
  <si>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</si>
  <si>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</si>
  <si>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</si>
  <si>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</si>
  <si>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</si>
  <si>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</si>
  <si>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</si>
  <si>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</si>
  <si>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</si>
  <si>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</si>
  <si>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</si>
  <si>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</si>
  <si>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</si>
  <si>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</si>
  <si>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</si>
  <si>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</si>
  <si>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</si>
  <si>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</si>
  <si>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</si>
  <si>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</si>
  <si>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</si>
  <si>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</si>
  <si>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</si>
  <si>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</si>
  <si>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</si>
  <si>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</si>
  <si>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</si>
  <si>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</si>
  <si>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</si>
  <si>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</si>
  <si>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</si>
  <si>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</si>
  <si>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</si>
  <si>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</si>
  <si>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</si>
  <si>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</si>
  <si>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</si>
  <si>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</si>
  <si>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</si>
  <si>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</si>
  <si>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</si>
  <si>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</si>
  <si>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</si>
  <si>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</si>
  <si>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</si>
  <si>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</si>
  <si>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</si>
  <si>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</si>
  <si>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</si>
  <si>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</si>
  <si>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</si>
  <si>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</si>
  <si>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</si>
  <si>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</si>
  <si>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</si>
  <si>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</si>
  <si>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</si>
  <si>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</si>
  <si>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</si>
  <si>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</si>
  <si>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</si>
  <si>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</si>
  <si>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</si>
  <si>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</si>
  <si>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</si>
  <si>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</si>
  <si>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</si>
  <si>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</si>
  <si>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</si>
  <si>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</si>
  <si>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</si>
  <si>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</si>
  <si>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</si>
  <si>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</si>
  <si>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</si>
  <si>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</si>
  <si>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</si>
  <si>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</si>
  <si>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</si>
  <si>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</si>
  <si>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</si>
  <si>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</si>
  <si>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</si>
  <si>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</si>
  <si>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</si>
  <si>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</si>
  <si>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</si>
  <si>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</si>
  <si>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</si>
  <si>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</si>
  <si>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</si>
  <si>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</si>
  <si>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</si>
  <si>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</si>
  <si>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</si>
  <si>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</si>
  <si>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</si>
  <si>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</si>
  <si>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</si>
  <si>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</si>
  <si>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</si>
  <si>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</si>
  <si>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</si>
  <si>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</si>
  <si>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</si>
  <si>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</si>
  <si>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</si>
  <si>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</si>
  <si>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</si>
  <si>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</si>
  <si>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</si>
  <si>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</si>
  <si>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</si>
  <si>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</si>
  <si>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</si>
  <si>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</si>
  <si>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</si>
  <si>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</si>
  <si>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</si>
  <si>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</si>
  <si>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</si>
  <si>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</si>
  <si>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</si>
  <si>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</si>
  <si>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</si>
  <si>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</si>
  <si>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</si>
  <si>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</si>
  <si>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CHILEABAST ABASTECIMIENTO, INGENIERIA Y LOGISTICA LIMITADA</t>
  </si>
  <si>
    <t>77.994.783-1</t>
  </si>
  <si>
    <t>ACTIVIDADES DE CONSULTORIA DE GESTION</t>
  </si>
  <si>
    <t>CARLA BOTTARI</t>
  </si>
  <si>
    <t>+56 9 9250 9201</t>
  </si>
  <si>
    <t>ZENTENO 998 D/302</t>
  </si>
  <si>
    <t>CONTADO</t>
  </si>
  <si>
    <t>CUB MESA 90° 2 LADOS</t>
  </si>
  <si>
    <t>SHELL WHITE 22011 BRILLO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</si>
</sst>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4" xfId="0" applyBorder="1"/>
    <xf numFmtId="0" fontId="19" fillId="0" borderId="0" xfId="0" applyFont="1"/>
    <xf numFmtId="0" fontId="20" fillId="3" borderId="0" xfId="0" applyFont="1" applyFill="1"/>
    <xf numFmtId="0" fontId="19" fillId="3" borderId="0" xfId="0" applyFont="1" applyFill="1"/>
    <xf numFmtId="0" fontId="21" fillId="0" borderId="9" xfId="2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 226.100.-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6</xdr:col>
      <xdr:colOff>0</xdr:colOff>
      <xdr:row>6</xdr:row>
      <xdr:rowOff>182880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47850" y="1076325"/>
          <a:ext cx="6823710" cy="1885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3440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9</xdr:row>
      <xdr:rowOff>175260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019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6</xdr:col>
      <xdr:colOff>0</xdr:colOff>
      <xdr:row>45</xdr:row>
      <xdr:rowOff>7620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8210550"/>
          <a:ext cx="8509635" cy="2324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2377440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25627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3" workbookViewId="0">
      <selection activeCell="I14" sqref="I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>
        <v>11679</v>
      </c>
      <c r="E8" s="1"/>
      <c r="F8" s="93" t="s">
        <v>27</v>
      </c>
      <c r="G8" s="94">
        <v>7292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121" t="s">
        <v>135</v>
      </c>
      <c r="D10" s="55"/>
      <c r="E10" s="55"/>
      <c r="F10" s="56" t="s">
        <v>28</v>
      </c>
      <c r="G10" s="57">
        <v>45933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22" t="s">
        <v>136</v>
      </c>
      <c r="D11" s="60"/>
      <c r="E11" s="60"/>
      <c r="F11" s="60" t="s">
        <v>124</v>
      </c>
      <c r="G11" s="61">
        <v>45940</v>
      </c>
      <c r="H11" s="62"/>
      <c r="I11" s="1"/>
    </row>
    <row r="12" spans="1:17" ht="15.6" x14ac:dyDescent="0.3">
      <c r="A12" s="1"/>
      <c r="B12" s="63" t="s">
        <v>130</v>
      </c>
      <c r="C12" s="123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138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7" t="s">
        <v>139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6.8" x14ac:dyDescent="0.4">
      <c r="A15" s="1"/>
      <c r="B15" s="63" t="s">
        <v>1</v>
      </c>
      <c r="C15" s="124" t="s">
        <v>140</v>
      </c>
      <c r="D15" s="43"/>
      <c r="E15" s="43"/>
      <c r="F15" s="67" t="s">
        <v>75</v>
      </c>
      <c r="G15" s="67" t="s">
        <v>141</v>
      </c>
      <c r="H15" s="65"/>
      <c r="I15" s="1"/>
    </row>
    <row r="16" spans="1:17" ht="16.2" thickBot="1" x14ac:dyDescent="0.35">
      <c r="A16" s="1"/>
      <c r="B16" s="68" t="s">
        <v>3</v>
      </c>
      <c r="C16" s="125" t="s">
        <v>131</v>
      </c>
      <c r="D16" s="69"/>
      <c r="E16" s="70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4</v>
      </c>
      <c r="C21" s="105" t="s">
        <v>142</v>
      </c>
      <c r="D21" s="128">
        <v>3000</v>
      </c>
      <c r="E21" s="128">
        <v>800</v>
      </c>
      <c r="F21" s="127" t="s">
        <v>143</v>
      </c>
      <c r="G21" s="126">
        <v>95000</v>
      </c>
      <c r="H21" s="106">
        <f t="shared" ref="H21" si="0">G21*B21</f>
        <v>380000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380000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H24*0.19</f>
        <v>72200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SUM(H24:H25)</f>
        <v>452200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22" zoomScaleNormal="100" workbookViewId="0">
      <selection activeCell="A37" sqref="A37:F5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40" t="s">
        <v>27</v>
      </c>
      <c r="D4" s="14">
        <f>'4637'!G8</f>
        <v>7292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CHILEABAST ABASTECIMIENTO, INGENIERIA Y LOGISTICA LIMITADA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45940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4</v>
      </c>
      <c r="C14" s="25"/>
      <c r="D14" s="25">
        <f>J14+D13</f>
        <v>3050</v>
      </c>
      <c r="E14" s="35">
        <f>K14+E$13</f>
        <v>800</v>
      </c>
      <c r="F14" s="101" t="str">
        <f>C28</f>
        <v>CUB MESA 90° 2 LADOS</v>
      </c>
      <c r="G14" s="1"/>
      <c r="I14" s="3">
        <f>I22</f>
        <v>4</v>
      </c>
      <c r="J14" s="4">
        <f>J22</f>
        <v>3000</v>
      </c>
      <c r="K14" s="4">
        <f>E28</f>
        <v>800</v>
      </c>
    </row>
    <row r="15" spans="1:14" ht="15.6" x14ac:dyDescent="0.3">
      <c r="A15" s="95"/>
      <c r="B15" s="6"/>
      <c r="C15" s="6"/>
      <c r="D15" s="6"/>
      <c r="E15" s="88"/>
      <c r="F15" s="103"/>
      <c r="G15" s="1"/>
      <c r="I15" s="89"/>
      <c r="J15" s="2"/>
      <c r="K15" s="2"/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6" t="s">
        <v>14</v>
      </c>
      <c r="B18" s="116"/>
      <c r="C18" s="116"/>
      <c r="D18" s="116"/>
      <c r="E18" s="116"/>
      <c r="F18" s="11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1">I22</f>
        <v>4</v>
      </c>
      <c r="C22" s="16"/>
      <c r="D22" s="16">
        <f>J22+D21</f>
        <v>3040</v>
      </c>
      <c r="E22" s="16">
        <f>K22+E$21</f>
        <v>930</v>
      </c>
      <c r="F22" s="102" t="str">
        <f>C28</f>
        <v>CUB MESA 90° 2 LADOS</v>
      </c>
      <c r="G22" s="1"/>
      <c r="I22" s="3">
        <f>B28</f>
        <v>4</v>
      </c>
      <c r="J22" s="4">
        <f>D28</f>
        <v>3000</v>
      </c>
      <c r="K22" s="4">
        <f t="shared" ref="K22" si="2">E28</f>
        <v>800</v>
      </c>
    </row>
    <row r="23" spans="1:11" ht="15.6" x14ac:dyDescent="0.3">
      <c r="A23" s="95"/>
      <c r="B23" s="6"/>
      <c r="C23" s="6"/>
      <c r="D23" s="6"/>
      <c r="E23" s="6"/>
      <c r="F23" s="6"/>
      <c r="G23" s="1"/>
      <c r="I23" s="89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5" t="s">
        <v>134</v>
      </c>
      <c r="B28" s="25">
        <f>'4637'!B21</f>
        <v>4</v>
      </c>
      <c r="C28" s="101" t="str">
        <f>'4637'!C21</f>
        <v>CUB MESA 90° 2 LADOS</v>
      </c>
      <c r="D28" s="25">
        <f>'4637'!D21</f>
        <v>3000</v>
      </c>
      <c r="E28" s="25">
        <f>'4637'!E21</f>
        <v>800</v>
      </c>
      <c r="F28" s="25" t="str">
        <f>'4637'!F21</f>
        <v>SHELL WHITE 22011 BRILLO MERINO</v>
      </c>
      <c r="G28" s="1"/>
    </row>
    <row r="29" spans="1:11" ht="15.6" x14ac:dyDescent="0.3">
      <c r="A29" s="95"/>
      <c r="B29" s="6"/>
      <c r="C29" s="103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7292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CHILEABAST ABASTECIMIENTO, INGENIERIA Y LOGISTICA LIMITADA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45940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6" t="s">
        <v>68</v>
      </c>
      <c r="B45" s="116"/>
      <c r="C45" s="116"/>
      <c r="D45" s="116"/>
      <c r="E45" s="116"/>
      <c r="F45" s="11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7" t="s">
        <v>69</v>
      </c>
      <c r="C47" s="118"/>
      <c r="D47" s="119"/>
      <c r="E47" s="119"/>
      <c r="F47" s="120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134</v>
      </c>
      <c r="B49" s="38">
        <f>'4637'!B21</f>
        <v>4</v>
      </c>
      <c r="C49" s="100" t="str">
        <f>'4637'!C21</f>
        <v>CUB MESA 90° 2 LADOS</v>
      </c>
      <c r="D49" s="39">
        <f>'4637'!D21</f>
        <v>3000</v>
      </c>
      <c r="E49" s="39">
        <f>'4637'!E21</f>
        <v>800</v>
      </c>
      <c r="F49" s="38" t="str">
        <f>'4637'!F21</f>
        <v>SHELL WHITE 22011 BRILLO MERINO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2025-10-03T15:06:15Z</cp:lastPrinted>
  <dcterms:created xsi:type="dcterms:W3CDTF">2013-03-19T12:54:14Z</dcterms:created>
  <dcterms:modified xsi:type="dcterms:W3CDTF">2025-10-03T15:17:57Z</dcterms:modified>
</cp:coreProperties>
</file>