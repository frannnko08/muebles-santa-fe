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F2CCDEA6-C59B-4589-B3C0-6B83FBA105F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<sst xmlns="http://schemas.openxmlformats.org/spreadsheetml/2006/main" count="247" uniqueCount="143">
  <si>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</si>
  <si>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</si>
  <si>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</si>
  <si>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</si>
  <si>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</si>
  <si>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</si>
  <si>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</si>
  <si>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</si>
  <si>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</si>
  <si>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</si>
  <si>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</si>
  <si>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</si>
  <si>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</si>
  <si>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</si>
  <si>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</si>
  <si>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</si>
  <si>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</si>
  <si>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</si>
  <si>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</si>
  <si>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</si>
  <si>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</si>
  <si>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</si>
  <si>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</si>
  <si>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</si>
  <si>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</si>
  <si>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</si>
  <si>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</si>
  <si>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</si>
  <si>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</si>
  <si>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</si>
  <si>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</si>
  <si>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</si>
  <si>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</si>
  <si>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</si>
  <si>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</si>
  <si>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</si>
  <si>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</si>
  <si>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</si>
  <si>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</si>
  <si>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</si>
  <si>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</si>
  <si>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</si>
  <si>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</si>
  <si>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</si>
  <si>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</si>
  <si>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</si>
  <si>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</si>
  <si>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</si>
  <si>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</si>
  <si>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</si>
  <si>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</si>
  <si>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</si>
  <si>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</si>
  <si>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</si>
  <si>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</si>
  <si>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</si>
  <si>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</si>
  <si>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</si>
  <si>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</si>
  <si>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</si>
  <si>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</si>
  <si>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</si>
  <si>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</si>
  <si>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</si>
  <si>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</si>
  <si>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</si>
  <si>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</si>
  <si>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</si>
  <si>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</si>
  <si>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</si>
  <si>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</si>
  <si>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</si>
  <si>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</si>
  <si>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</si>
  <si>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</si>
  <si>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</si>
  <si>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</si>
  <si>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</si>
  <si>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</si>
  <si>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</si>
  <si>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</si>
  <si>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</si>
  <si>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</si>
  <si>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</si>
  <si>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</si>
  <si>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</si>
  <si>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</si>
  <si>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</si>
  <si>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</si>
  <si>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</si>
  <si>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</si>
  <si>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</si>
  <si>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</si>
  <si>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</si>
  <si>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</si>
  <si>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</si>
  <si>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</si>
  <si>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</si>
  <si>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</si>
  <si>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</si>
  <si>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</si>
  <si>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</si>
  <si>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</si>
  <si>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</si>
  <si>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</si>
  <si>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</si>
  <si>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</si>
  <si>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</si>
  <si>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</si>
  <si>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</si>
  <si>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</si>
  <si>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</si>
  <si>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</si>
  <si>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</si>
  <si>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</si>
  <si>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</si>
  <si>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</si>
  <si>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</si>
  <si>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</si>
  <si>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</si>
  <si>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</si>
  <si>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</si>
  <si>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</si>
  <si>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</si>
  <si>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</si>
  <si>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</si>
  <si>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</si>
  <si>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</si>
  <si>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</si>
  <si>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</si>
  <si>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</si>
  <si>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</si>
  <si>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</si>
  <si>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</si>
  <si>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</si>
  <si>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</si>
  <si>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</si>
  <si>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C/R R8</t>
  </si>
  <si>
    <t>BWR RENODELACIONES SPA</t>
  </si>
  <si>
    <t>77.990.828-3</t>
  </si>
  <si>
    <t>J. IBARRA</t>
  </si>
  <si>
    <t>LOS MILITARES 5620 OF 905 LAS CONDES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</si>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</sst>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166" fontId="22" fillId="0" borderId="2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11681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$ 60.000.-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:SON PARA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7302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45943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139</v>
      </c>
      <c r="D11" s="20"/>
      <c r="E11" s="20"/>
      <c r="F11" s="20" t="s">
        <v>131</v>
      </c>
      <c r="G11" s="105">
        <v>45950</v>
      </c>
      <c r="H11" s="21"/>
    </row>
    <row r="12" spans="2:16" x14ac:dyDescent="0.3">
      <c r="B12" s="91" t="s">
        <v>115</v>
      </c>
      <c r="C12" s="125" t="s">
        <v>140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8">
        <v>56973819617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141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1</v>
      </c>
      <c r="C20" s="120" t="s">
        <v>137</v>
      </c>
      <c r="D20" s="121">
        <v>3000</v>
      </c>
      <c r="E20" s="121">
        <v>600</v>
      </c>
      <c r="F20" s="120" t="s">
        <v>142</v>
      </c>
      <c r="G20" s="119">
        <v>98346</v>
      </c>
      <c r="H20" s="129">
        <f t="shared" ref="H20" si="0">G20*B20</f>
        <v>98346</v>
      </c>
      <c r="J20" s="61"/>
      <c r="K20" s="88"/>
      <c r="L20" s="61"/>
      <c r="M20" s="61"/>
      <c r="N20" s="88"/>
      <c r="O20" s="99"/>
    </row>
    <row r="21" spans="2:15" x14ac:dyDescent="0.3">
      <c r="B21" s="102"/>
      <c r="C21" s="102"/>
      <c r="D21" s="106"/>
      <c r="E21" s="106"/>
      <c r="F21" s="107"/>
      <c r="G21" s="103"/>
      <c r="H21" s="104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98346</v>
      </c>
    </row>
    <row r="24" spans="2:15" ht="18" thickBot="1" x14ac:dyDescent="0.4">
      <c r="G24" s="40" t="s">
        <v>6</v>
      </c>
      <c r="H24" s="43">
        <f>H23*19%</f>
        <v>18685.740000000002</v>
      </c>
    </row>
    <row r="25" spans="2:15" ht="18" thickBot="1" x14ac:dyDescent="0.4">
      <c r="G25" s="31" t="s">
        <v>4</v>
      </c>
      <c r="H25" s="43">
        <f>SUM(H23+H24)</f>
        <v>117031.74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1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sqref="A1:F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7302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BWR RENODELACIONES SPA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45950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80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3080</v>
      </c>
      <c r="E14" s="46">
        <f>K14+E$13</f>
        <v>570</v>
      </c>
      <c r="F14" s="58" t="str">
        <f>F21</f>
        <v>CUB C/R R8</v>
      </c>
      <c r="I14" s="4">
        <f>I21</f>
        <v>1</v>
      </c>
      <c r="J14" s="5">
        <f>D27</f>
        <v>3000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9" t="s">
        <v>16</v>
      </c>
      <c r="B17" s="139"/>
      <c r="C17" s="139"/>
      <c r="D17" s="139"/>
      <c r="E17" s="139"/>
      <c r="F17" s="139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3040</v>
      </c>
      <c r="E21" s="59">
        <f>K21+E$20</f>
        <v>730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3000</v>
      </c>
      <c r="K21" s="5">
        <f t="shared" si="2"/>
        <v>600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 t="s">
        <v>136</v>
      </c>
      <c r="B27" s="74">
        <f>'4637'!B20</f>
        <v>1</v>
      </c>
      <c r="C27" s="75" t="str">
        <f>'4637'!C20</f>
        <v>CUB C/R R8</v>
      </c>
      <c r="D27" s="74">
        <f>'4637'!D20</f>
        <v>3000</v>
      </c>
      <c r="E27" s="74">
        <f>'4637'!E20</f>
        <v>600</v>
      </c>
      <c r="F27" s="127" t="str">
        <f>'4637'!F20</f>
        <v>SHELL WHITE 22011 SF</v>
      </c>
    </row>
    <row r="28" spans="1:11" ht="15.6" x14ac:dyDescent="0.3">
      <c r="A28" s="50"/>
      <c r="B28" s="7"/>
      <c r="C28" s="11"/>
      <c r="D28" s="7"/>
      <c r="E28" s="7"/>
      <c r="F28" s="60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7302</v>
      </c>
      <c r="G37" s="1"/>
    </row>
    <row r="38" spans="1:7" ht="17.25" customHeight="1" x14ac:dyDescent="0.3">
      <c r="C38" s="68" t="s">
        <v>70</v>
      </c>
      <c r="D38" s="67" t="str">
        <f>'4637'!C10</f>
        <v>BWR RENODELACIONES SPA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45950</v>
      </c>
      <c r="E40" s="1"/>
      <c r="F40" s="1"/>
    </row>
    <row r="43" spans="1:7" x14ac:dyDescent="0.3">
      <c r="A43" s="140" t="s">
        <v>71</v>
      </c>
      <c r="B43" s="140"/>
      <c r="C43" s="140"/>
      <c r="D43" s="140"/>
      <c r="E43" s="140"/>
      <c r="F43" s="140"/>
    </row>
    <row r="45" spans="1:7" ht="9.75" customHeight="1" x14ac:dyDescent="0.3">
      <c r="B45" s="141" t="s">
        <v>72</v>
      </c>
      <c r="C45" s="142"/>
      <c r="D45" s="143"/>
      <c r="E45" s="143"/>
      <c r="F45" s="144"/>
    </row>
    <row r="46" spans="1:7" s="13" customFormat="1" ht="11.25" customHeight="1" x14ac:dyDescent="0.25">
      <c r="B46" s="113" t="s">
        <v>11</v>
      </c>
      <c r="C46" s="114" t="s">
        <v>12</v>
      </c>
      <c r="D46" s="115" t="s">
        <v>8</v>
      </c>
      <c r="E46" s="115" t="s">
        <v>9</v>
      </c>
      <c r="F46" s="116" t="s">
        <v>13</v>
      </c>
    </row>
    <row r="47" spans="1:7" s="13" customFormat="1" ht="15" customHeight="1" x14ac:dyDescent="0.3">
      <c r="A47" s="98" t="s">
        <v>136</v>
      </c>
      <c r="B47" s="117">
        <f>'4637'!B20</f>
        <v>1</v>
      </c>
      <c r="C47" s="124" t="str">
        <f>'4637'!C20</f>
        <v>CUB C/R R8</v>
      </c>
      <c r="D47" s="117">
        <f>'4637'!D20</f>
        <v>3000</v>
      </c>
      <c r="E47" s="117">
        <f>'4637'!E20</f>
        <v>600</v>
      </c>
      <c r="F47" s="126" t="str">
        <f>'4637'!F20</f>
        <v>SHELL WHITE 22011 SF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2025-10-14T11:58:07Z</cp:lastPrinted>
  <dcterms:created xsi:type="dcterms:W3CDTF">2013-03-19T12:54:14Z</dcterms:created>
  <dcterms:modified xsi:type="dcterms:W3CDTF">2025-10-14T12:00:32Z</dcterms:modified>
</cp:coreProperties>
</file>