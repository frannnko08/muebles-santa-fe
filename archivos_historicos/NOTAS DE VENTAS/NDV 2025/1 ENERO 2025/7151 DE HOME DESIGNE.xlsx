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 ENERO 2025\"/>
    </mc:Choice>
  </mc:AlternateContent>
  <xr:revisionPtr revIDLastSave="0" documentId="13_ncr:1_{012B8837-92AF-4100-B5DA-ABF217B787F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3" l="1"/>
  <c r="H21" i="4"/>
  <c r="H22" i="4" s="1"/>
  <c r="B28" i="3"/>
  <c r="I22" i="3" s="1"/>
  <c r="C28" i="3"/>
  <c r="F14" i="3" s="1"/>
  <c r="D28" i="3"/>
  <c r="J14" i="3" s="1"/>
  <c r="D14" i="3" s="1"/>
  <c r="E28" i="3"/>
  <c r="K22" i="3" s="1"/>
  <c r="E22" i="3" s="1"/>
  <c r="F28" i="3"/>
  <c r="B49" i="3"/>
  <c r="C49" i="3"/>
  <c r="D49" i="3"/>
  <c r="E49" i="3"/>
  <c r="F49" i="3"/>
  <c r="J22" i="3" l="1"/>
  <c r="D22" i="3" s="1"/>
  <c r="K14" i="3"/>
  <c r="B22" i="3"/>
  <c r="I14" i="3"/>
  <c r="B14" i="3" s="1"/>
  <c r="F22" i="3"/>
  <c r="H25" i="4"/>
  <c r="H26" i="4" l="1"/>
  <c r="H27" i="4" l="1"/>
  <c r="N5" i="3" l="1"/>
  <c r="M5" i="3" l="1"/>
  <c r="L5" i="3"/>
  <c r="K5" i="3"/>
  <c r="C42" i="3" l="1"/>
  <c r="C7" i="3"/>
  <c r="D40" i="3"/>
  <c r="D5" i="3"/>
  <c r="D42" i="3"/>
  <c r="D7" i="3"/>
  <c r="D39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<sst xmlns="http://schemas.openxmlformats.org/spreadsheetml/2006/main" count="247" uniqueCount="145">
  <si>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</si>
  <si>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</si>
  <si>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</si>
  <si>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</si>
  <si>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</si>
  <si>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</si>
  <si>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</si>
  <si>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</si>
  <si>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</si>
  <si>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</si>
  <si>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</si>
  <si>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</si>
  <si>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</si>
  <si>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</si>
  <si>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</si>
  <si>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</si>
  <si>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</si>
  <si>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</si>
  <si>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</si>
  <si>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</si>
  <si>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</si>
  <si>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</si>
  <si>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</si>
  <si>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</si>
  <si>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</si>
  <si>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</si>
  <si>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</si>
  <si>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</si>
  <si>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</si>
  <si>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</si>
  <si>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</si>
  <si>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</si>
  <si>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</si>
  <si>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</si>
  <si>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</si>
  <si>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</si>
  <si>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</si>
  <si>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</si>
  <si>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</si>
  <si>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</si>
  <si>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</si>
  <si>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</si>
  <si>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</si>
  <si>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</si>
  <si>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</si>
  <si>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</si>
  <si>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</si>
  <si>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</si>
  <si>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</si>
  <si>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</si>
  <si>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</si>
  <si>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</si>
  <si>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</si>
  <si>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</si>
  <si>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</si>
  <si>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</si>
  <si>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</si>
  <si>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</si>
  <si>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</si>
  <si>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</si>
  <si>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</si>
  <si>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</si>
  <si>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</si>
  <si>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</si>
  <si>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</si>
  <si>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</si>
  <si>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</si>
  <si>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</si>
  <si>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</si>
  <si>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</si>
  <si>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</si>
  <si>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</si>
  <si>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</si>
  <si>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</si>
  <si>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</si>
  <si>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</si>
  <si>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</si>
  <si>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</si>
  <si>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</si>
  <si>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</si>
  <si>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</si>
  <si>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</si>
  <si>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</si>
  <si>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</si>
  <si>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</si>
  <si>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</si>
  <si>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</si>
  <si>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</si>
  <si>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</si>
  <si>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</si>
  <si>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</si>
  <si>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</si>
  <si>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</si>
  <si>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</si>
  <si>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</si>
  <si>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</si>
  <si>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</si>
  <si>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</si>
  <si>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</si>
  <si>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</si>
  <si>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</si>
  <si>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</si>
  <si>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</si>
  <si>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</si>
  <si>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</si>
  <si>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</si>
  <si>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</si>
  <si>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</si>
  <si>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</si>
  <si>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</si>
  <si>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</si>
  <si>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</si>
  <si>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</si>
  <si>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</si>
  <si>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</si>
  <si>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</si>
  <si>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</si>
  <si>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</si>
  <si>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</si>
  <si>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</si>
  <si>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</si>
  <si>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</si>
  <si>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</si>
  <si>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</si>
  <si>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</si>
  <si>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</si>
  <si>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</si>
  <si>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</si>
  <si>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</si>
  <si>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</si>
  <si>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</si>
  <si>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</si>
  <si>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</si>
  <si>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</si>
  <si>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</si>
  <si>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</si>
  <si>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CONTADO</t>
  </si>
  <si>
    <t>CUB C/R R8</t>
  </si>
  <si>
    <t>ALUMINA 2103 MT</t>
  </si>
  <si>
    <t>EXPRESS</t>
  </si>
  <si>
    <t>DE HOME DESIGNE</t>
  </si>
  <si>
    <t>JUAN GONZALEZ</t>
  </si>
  <si>
    <t>569 4219 4105</t>
  </si>
  <si>
    <t>N° 11232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</si>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</sst>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3" borderId="0" xfId="0" applyFont="1" applyFill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9" fillId="3" borderId="0" xfId="0" quotePrefix="1" applyFont="1" applyFill="1"/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CANCELADA</a:t>
          </a:r>
          <a:r>
            <a:rPr lang="es-CL" sz="900" b="1" i="1" baseline="0"/>
            <a:t> $ 107.621.-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43</xdr:row>
      <xdr:rowOff>171450</xdr:rowOff>
    </xdr:from>
    <xdr:to>
      <xdr:col>5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6</xdr:col>
      <xdr:colOff>68580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OBSERVACIONES:DESPUNTAR Y ENCHAPAR LAS ESQUINAS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43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3" workbookViewId="0">
      <selection activeCell="G14" sqref="G1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7151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140</v>
      </c>
      <c r="D10" s="55"/>
      <c r="E10" s="55"/>
      <c r="F10" s="56" t="s">
        <v>28</v>
      </c>
      <c r="G10" s="57">
        <v>45664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45666</v>
      </c>
      <c r="H11" s="62"/>
      <c r="I11" s="1"/>
    </row>
    <row r="12" spans="1:17" ht="15.6" x14ac:dyDescent="0.3">
      <c r="A12" s="1"/>
      <c r="B12" s="63" t="s">
        <v>132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134</v>
      </c>
      <c r="C13" s="112" t="s">
        <v>141</v>
      </c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28" t="s">
        <v>142</v>
      </c>
      <c r="D14" s="66"/>
      <c r="E14" s="60"/>
      <c r="F14" s="60" t="s">
        <v>29</v>
      </c>
      <c r="G14" s="60" t="s">
        <v>144</v>
      </c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136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13" t="s">
        <v>18</v>
      </c>
      <c r="G16" s="113"/>
      <c r="H16" s="114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5" t="s">
        <v>19</v>
      </c>
      <c r="C19" s="116"/>
      <c r="D19" s="116"/>
      <c r="E19" s="116"/>
      <c r="F19" s="116"/>
      <c r="G19" s="116"/>
      <c r="H19" s="117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</v>
      </c>
      <c r="C21" s="105" t="s">
        <v>137</v>
      </c>
      <c r="D21" s="110">
        <v>1300</v>
      </c>
      <c r="E21" s="110">
        <v>640</v>
      </c>
      <c r="F21" s="105" t="s">
        <v>138</v>
      </c>
      <c r="G21" s="126">
        <v>75365</v>
      </c>
      <c r="H21" s="127">
        <f t="shared" ref="H21" si="0">G21*B21</f>
        <v>75365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108"/>
      <c r="D22" s="109"/>
      <c r="E22" s="109"/>
      <c r="F22" s="97"/>
      <c r="G22" s="107" t="s">
        <v>139</v>
      </c>
      <c r="H22" s="107">
        <f>H21*20%</f>
        <v>15073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90438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17183.22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107621.22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8" t="s">
        <v>31</v>
      </c>
      <c r="C2" s="118"/>
      <c r="D2" s="118"/>
      <c r="E2" s="18"/>
      <c r="G2" s="118" t="s">
        <v>70</v>
      </c>
      <c r="H2" s="118"/>
      <c r="I2" s="118"/>
      <c r="P2" s="119" t="s">
        <v>58</v>
      </c>
      <c r="Q2" s="119"/>
      <c r="R2" s="119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9" t="s">
        <v>58</v>
      </c>
      <c r="M8" s="119"/>
      <c r="N8" s="119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zoomScaleNormal="100" workbookViewId="0">
      <selection activeCell="E15" sqref="E1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0" t="s">
        <v>61</v>
      </c>
      <c r="L3" s="120"/>
      <c r="M3" s="120" t="s">
        <v>14</v>
      </c>
      <c r="N3" s="120"/>
    </row>
    <row r="4" spans="1:14" ht="15.75" customHeight="1" x14ac:dyDescent="0.3">
      <c r="A4" s="1"/>
      <c r="B4" s="1"/>
      <c r="C4" s="40" t="s">
        <v>27</v>
      </c>
      <c r="D4" s="14">
        <f>'4637'!G8</f>
        <v>7151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DE HOME DESIGNE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45666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1" t="s">
        <v>61</v>
      </c>
      <c r="B10" s="121"/>
      <c r="C10" s="121"/>
      <c r="D10" s="121"/>
      <c r="E10" s="121"/>
      <c r="F10" s="121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 t="shared" ref="D14" si="1">J14+D$13</f>
        <v>1380</v>
      </c>
      <c r="E14" s="35">
        <f>K14+E13</f>
        <v>610</v>
      </c>
      <c r="F14" s="103" t="str">
        <f>C28</f>
        <v>CUB C/R R8</v>
      </c>
      <c r="G14" s="1"/>
      <c r="I14" s="3">
        <f>I22</f>
        <v>1</v>
      </c>
      <c r="J14" s="4">
        <f>D28</f>
        <v>1300</v>
      </c>
      <c r="K14" s="4">
        <f>E28</f>
        <v>640</v>
      </c>
    </row>
    <row r="15" spans="1:14" ht="15.6" x14ac:dyDescent="0.3">
      <c r="A15" s="96"/>
      <c r="B15" s="6"/>
      <c r="C15" s="6"/>
      <c r="D15" s="6"/>
      <c r="E15" s="89"/>
      <c r="F15" s="111"/>
      <c r="G15" s="1"/>
      <c r="I15" s="90"/>
      <c r="J15" s="2"/>
      <c r="K15" s="2"/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1" t="s">
        <v>14</v>
      </c>
      <c r="B18" s="121"/>
      <c r="C18" s="121"/>
      <c r="D18" s="121"/>
      <c r="E18" s="121"/>
      <c r="F18" s="121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2">I22</f>
        <v>1</v>
      </c>
      <c r="C22" s="16"/>
      <c r="D22" s="16">
        <f>J22+D$21</f>
        <v>1340</v>
      </c>
      <c r="E22" s="16">
        <f>K22+E21</f>
        <v>770</v>
      </c>
      <c r="F22" s="104" t="str">
        <f>C28</f>
        <v>CUB C/R R8</v>
      </c>
      <c r="G22" s="1"/>
      <c r="I22" s="3">
        <f>B28</f>
        <v>1</v>
      </c>
      <c r="J22" s="4">
        <f t="shared" ref="J22:K22" si="3">D28</f>
        <v>1300</v>
      </c>
      <c r="K22" s="4">
        <f t="shared" si="3"/>
        <v>640</v>
      </c>
    </row>
    <row r="23" spans="1:11" ht="15.6" x14ac:dyDescent="0.3">
      <c r="A23" s="96"/>
      <c r="B23" s="6"/>
      <c r="C23" s="6"/>
      <c r="D23" s="6"/>
      <c r="E23" s="6"/>
      <c r="F23" s="6"/>
      <c r="G23" s="1"/>
      <c r="I23" s="90"/>
      <c r="J23" s="2"/>
      <c r="K23" s="2"/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6" t="s">
        <v>135</v>
      </c>
      <c r="B28" s="25">
        <f>'4637'!B21</f>
        <v>1</v>
      </c>
      <c r="C28" s="103" t="str">
        <f>'4637'!C21</f>
        <v>CUB C/R R8</v>
      </c>
      <c r="D28" s="25">
        <f>'4637'!D21</f>
        <v>1300</v>
      </c>
      <c r="E28" s="25">
        <f>'4637'!E21</f>
        <v>640</v>
      </c>
      <c r="F28" s="25" t="str">
        <f>'4637'!F21</f>
        <v>ALUMINA 2103 MT</v>
      </c>
      <c r="G28" s="1"/>
    </row>
    <row r="29" spans="1:11" ht="15.6" x14ac:dyDescent="0.3">
      <c r="A29" s="52"/>
      <c r="B29" s="6"/>
      <c r="C29" s="6"/>
      <c r="D29" s="6"/>
      <c r="E29" s="6"/>
      <c r="F29" s="6"/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1"/>
      <c r="C38" s="1"/>
      <c r="D38" s="1"/>
      <c r="E38" s="1"/>
      <c r="F38" s="1"/>
      <c r="G38" s="1"/>
    </row>
    <row r="39" spans="1:7" ht="15.6" x14ac:dyDescent="0.3">
      <c r="A39" s="1"/>
      <c r="B39" s="1"/>
      <c r="C39" s="40" t="s">
        <v>27</v>
      </c>
      <c r="D39" s="14">
        <f>'4637'!G8</f>
        <v>7151</v>
      </c>
      <c r="E39" s="1"/>
      <c r="F39" s="1"/>
      <c r="G39" s="1"/>
    </row>
    <row r="40" spans="1:7" ht="17.25" customHeight="1" x14ac:dyDescent="0.3">
      <c r="A40" s="1"/>
      <c r="B40" s="1"/>
      <c r="C40" s="41" t="s">
        <v>67</v>
      </c>
      <c r="D40" s="42" t="str">
        <f>'4637'!C10</f>
        <v>DE HOME DESIGNE</v>
      </c>
      <c r="E40" s="43"/>
      <c r="F40" s="43"/>
      <c r="G40" s="1"/>
    </row>
    <row r="41" spans="1:7" ht="4.5" customHeight="1" x14ac:dyDescent="0.3">
      <c r="A41" s="1"/>
      <c r="B41" s="1"/>
      <c r="C41" s="44"/>
      <c r="D41" s="45"/>
      <c r="E41" s="1"/>
      <c r="F41" s="1"/>
      <c r="G41" s="1"/>
    </row>
    <row r="42" spans="1:7" ht="15.6" x14ac:dyDescent="0.3">
      <c r="A42" s="1"/>
      <c r="B42" s="1"/>
      <c r="C42" s="46" t="str">
        <f>'4637'!F11</f>
        <v>FECHA LIMITE :</v>
      </c>
      <c r="D42" s="13">
        <f>'4637'!G11</f>
        <v>45666</v>
      </c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21" t="s">
        <v>68</v>
      </c>
      <c r="B45" s="121"/>
      <c r="C45" s="121"/>
      <c r="D45" s="121"/>
      <c r="E45" s="121"/>
      <c r="F45" s="12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75" customHeight="1" x14ac:dyDescent="0.3">
      <c r="A47" s="1"/>
      <c r="B47" s="122" t="s">
        <v>69</v>
      </c>
      <c r="C47" s="123"/>
      <c r="D47" s="124"/>
      <c r="E47" s="124"/>
      <c r="F47" s="125"/>
      <c r="G47" s="1"/>
    </row>
    <row r="48" spans="1:7" s="15" customFormat="1" ht="12.75" customHeight="1" x14ac:dyDescent="0.3">
      <c r="A48" s="1"/>
      <c r="B48" s="36" t="s">
        <v>10</v>
      </c>
      <c r="C48" s="47" t="s">
        <v>11</v>
      </c>
      <c r="D48" s="48" t="s">
        <v>7</v>
      </c>
      <c r="E48" s="48" t="s">
        <v>8</v>
      </c>
      <c r="F48" s="49" t="s">
        <v>12</v>
      </c>
      <c r="G48" s="1"/>
    </row>
    <row r="49" spans="1:7" s="15" customFormat="1" ht="15" customHeight="1" x14ac:dyDescent="0.3">
      <c r="A49" s="96"/>
      <c r="B49" s="38">
        <f>'4637'!B21</f>
        <v>1</v>
      </c>
      <c r="C49" s="102" t="str">
        <f>'4637'!C21</f>
        <v>CUB C/R R8</v>
      </c>
      <c r="D49" s="39">
        <f>'4637'!D21</f>
        <v>1300</v>
      </c>
      <c r="E49" s="39">
        <f>'4637'!E21</f>
        <v>640</v>
      </c>
      <c r="F49" s="38" t="str">
        <f>'4637'!F21</f>
        <v>ALUMINA 2103 MT</v>
      </c>
      <c r="G49" s="1"/>
    </row>
    <row r="50" spans="1:7" s="15" customFormat="1" ht="15" customHeight="1" x14ac:dyDescent="0.3">
      <c r="A50" s="96"/>
      <c r="B50" s="52"/>
      <c r="C50" s="106"/>
      <c r="D50" s="52"/>
      <c r="E50" s="52"/>
      <c r="F50" s="52"/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8:F18"/>
    <mergeCell ref="A10:F10"/>
    <mergeCell ref="A45:F45"/>
    <mergeCell ref="B47:F47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2025-01-03T18:30:14Z</cp:lastPrinted>
  <dcterms:created xsi:type="dcterms:W3CDTF">2013-03-19T12:54:14Z</dcterms:created>
  <dcterms:modified xsi:type="dcterms:W3CDTF">2025-01-08T10:15:27Z</dcterms:modified>
</cp:coreProperties>
</file>