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0EE6C048-3961-4D76-8DD5-4488383145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<sst xmlns="http://schemas.openxmlformats.org/spreadsheetml/2006/main" count="250" uniqueCount="147">
  <si>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</si>
  <si>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</si>
  <si>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</si>
  <si>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</si>
  <si>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</si>
  <si>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</si>
  <si>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</si>
  <si>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</si>
  <si>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</si>
  <si>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</si>
  <si>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</si>
  <si>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</si>
  <si>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</si>
  <si>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</si>
  <si>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</si>
  <si>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</si>
  <si>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</si>
  <si>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</si>
  <si>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</si>
  <si>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</si>
  <si>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</si>
  <si>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</si>
  <si>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</si>
  <si>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</si>
  <si>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</si>
  <si>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</si>
  <si>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</si>
  <si>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</si>
  <si>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</si>
  <si>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</si>
  <si>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</si>
  <si>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</si>
  <si>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</si>
  <si>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</si>
  <si>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</si>
  <si>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</si>
  <si>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</si>
  <si>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</si>
  <si>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</si>
  <si>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</si>
  <si>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</si>
  <si>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</si>
  <si>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</si>
  <si>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</si>
  <si>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</si>
  <si>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</si>
  <si>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</si>
  <si>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</si>
  <si>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</si>
  <si>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</si>
  <si>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</si>
  <si>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</si>
  <si>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</si>
  <si>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</si>
  <si>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</si>
  <si>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</si>
  <si>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</si>
  <si>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</si>
  <si>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</si>
  <si>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</si>
  <si>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</si>
  <si>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</si>
  <si>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</si>
  <si>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</si>
  <si>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</si>
  <si>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</si>
  <si>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</si>
  <si>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</si>
  <si>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</si>
  <si>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</si>
  <si>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</si>
  <si>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</si>
  <si>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</si>
  <si>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</si>
  <si>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</si>
  <si>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</si>
  <si>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</si>
  <si>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</si>
  <si>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</si>
  <si>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</si>
  <si>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</si>
  <si>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</si>
  <si>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</si>
  <si>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</si>
  <si>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</si>
  <si>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</si>
  <si>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</si>
  <si>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</si>
  <si>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</si>
  <si>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</si>
  <si>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</si>
  <si>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</si>
  <si>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</si>
  <si>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</si>
  <si>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</si>
  <si>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</si>
  <si>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</si>
  <si>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</si>
  <si>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</si>
  <si>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</si>
  <si>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</si>
  <si>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</si>
  <si>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</si>
  <si>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</si>
  <si>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</si>
  <si>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</si>
  <si>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</si>
  <si>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</si>
  <si>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</si>
  <si>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</si>
  <si>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</si>
  <si>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</si>
  <si>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</si>
  <si>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</si>
  <si>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</si>
  <si>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</si>
  <si>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</si>
  <si>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</si>
  <si>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</si>
  <si>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</si>
  <si>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</si>
  <si>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</si>
  <si>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</si>
  <si>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</si>
  <si>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</si>
  <si>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</si>
  <si>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</si>
  <si>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</si>
  <si>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</si>
  <si>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</si>
  <si>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</si>
  <si>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</si>
  <si>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</si>
  <si>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</si>
  <si>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</si>
  <si>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</si>
  <si>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</si>
  <si>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</si>
  <si>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</si>
  <si>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</si>
  <si>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</si>
  <si>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</si>
  <si>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</si>
  <si>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11228</t>
  </si>
  <si>
    <t>GRANITINIO NEGRO 3014 BR</t>
  </si>
  <si>
    <t>CUB C/R R8</t>
  </si>
  <si>
    <t>CORTAR RESPALDO A 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</si>
</sst>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OBSERVACIONES:OJO RESPALDO DE 7 CMS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SOBRE LA BASE, SE DEBE CORTAR A 58MM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RESPALDO A 58MM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5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7152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45667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45670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22697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142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141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145</v>
      </c>
      <c r="D21" s="112">
        <v>600</v>
      </c>
      <c r="E21" s="112">
        <v>610</v>
      </c>
      <c r="F21" s="106" t="s">
        <v>144</v>
      </c>
      <c r="G21" s="109">
        <v>34119</v>
      </c>
      <c r="H21" s="107">
        <f t="shared" ref="H21" si="0">G21*B21</f>
        <v>34119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34119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6482.61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40601.61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1" zoomScaleNormal="100" workbookViewId="0">
      <selection activeCell="C63" sqref="C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7152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45670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  <c r="M13">
        <v>70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146</v>
      </c>
      <c r="D14" s="25">
        <f t="shared" ref="D14" si="1">J14+D$13</f>
        <v>680</v>
      </c>
      <c r="E14" s="35">
        <f>K14+E13</f>
        <v>580</v>
      </c>
      <c r="F14" s="103" t="str">
        <f>C28</f>
        <v>CUB C/R R8</v>
      </c>
      <c r="G14" s="1"/>
      <c r="I14" s="3">
        <f>I22</f>
        <v>1</v>
      </c>
      <c r="J14" s="4">
        <f>D28</f>
        <v>600</v>
      </c>
      <c r="K14" s="4">
        <f>E28</f>
        <v>610</v>
      </c>
      <c r="M14">
        <v>-12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  <c r="M15">
        <f>M13+M14</f>
        <v>58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 t="s">
        <v>146</v>
      </c>
      <c r="D22" s="16">
        <f>J22+D$21</f>
        <v>640</v>
      </c>
      <c r="E22" s="16">
        <f>K22+E21</f>
        <v>750</v>
      </c>
      <c r="F22" s="104" t="str">
        <f>C28</f>
        <v>CUB C/R R8</v>
      </c>
      <c r="G22" s="1"/>
      <c r="I22" s="3">
        <f>B28</f>
        <v>1</v>
      </c>
      <c r="J22" s="4">
        <f t="shared" ref="J22:K22" si="3">D28</f>
        <v>600</v>
      </c>
      <c r="K22" s="4">
        <f t="shared" si="3"/>
        <v>610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C/R R8</v>
      </c>
      <c r="D28" s="25">
        <f>'4637'!D21</f>
        <v>600</v>
      </c>
      <c r="E28" s="25">
        <f>'4637'!E21</f>
        <v>610</v>
      </c>
      <c r="F28" s="25" t="str">
        <f>'4637'!F21</f>
        <v>GRANITINIO NEGRO 3014 BR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7152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45670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600</v>
      </c>
      <c r="E49" s="39">
        <f>'4637'!E21</f>
        <v>610</v>
      </c>
      <c r="F49" s="38" t="str">
        <f>'4637'!F21</f>
        <v>GRANITINIO NEGRO 3014 BR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2025-01-03T18:30:14Z</cp:lastPrinted>
  <dcterms:created xsi:type="dcterms:W3CDTF">2013-03-19T12:54:14Z</dcterms:created>
  <dcterms:modified xsi:type="dcterms:W3CDTF">2025-01-13T11:36:39Z</dcterms:modified>
</cp:coreProperties>
</file>