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A75A58F8-E596-4CE3-A977-17DC6B0B3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CUBIERTA!$A$54:$F$84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I17" i="3"/>
  <c r="B17" i="3" s="1"/>
  <c r="J17" i="3"/>
  <c r="D17" i="3" s="1"/>
  <c r="K17" i="3"/>
  <c r="F18" i="3"/>
  <c r="I18" i="3"/>
  <c r="B18" i="3" s="1"/>
  <c r="J18" i="3"/>
  <c r="D18" i="3" s="1"/>
  <c r="K18" i="3"/>
  <c r="F19" i="3"/>
  <c r="I19" i="3"/>
  <c r="B19" i="3" s="1"/>
  <c r="J19" i="3"/>
  <c r="D19" i="3" s="1"/>
  <c r="K19" i="3"/>
  <c r="F20" i="3"/>
  <c r="I20" i="3"/>
  <c r="B20" i="3" s="1"/>
  <c r="J20" i="3"/>
  <c r="D20" i="3" s="1"/>
  <c r="K20" i="3"/>
  <c r="B43" i="3"/>
  <c r="I31" i="3" s="1"/>
  <c r="B31" i="3" s="1"/>
  <c r="C43" i="3"/>
  <c r="F31" i="3" s="1"/>
  <c r="D43" i="3"/>
  <c r="J31" i="3" s="1"/>
  <c r="D31" i="3" s="1"/>
  <c r="E43" i="3"/>
  <c r="K31" i="3" s="1"/>
  <c r="F43" i="3"/>
  <c r="B44" i="3"/>
  <c r="I32" i="3" s="1"/>
  <c r="B32" i="3" s="1"/>
  <c r="C44" i="3"/>
  <c r="F32" i="3" s="1"/>
  <c r="D44" i="3"/>
  <c r="J32" i="3" s="1"/>
  <c r="D32" i="3" s="1"/>
  <c r="E44" i="3"/>
  <c r="K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F45" i="3"/>
  <c r="B46" i="3"/>
  <c r="I34" i="3" s="1"/>
  <c r="B34" i="3" s="1"/>
  <c r="C46" i="3"/>
  <c r="F34" i="3" s="1"/>
  <c r="D46" i="3"/>
  <c r="J34" i="3" s="1"/>
  <c r="D34" i="3" s="1"/>
  <c r="E46" i="3"/>
  <c r="K34" i="3" s="1"/>
  <c r="F46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H27" i="4"/>
  <c r="H26" i="4"/>
  <c r="H25" i="4"/>
  <c r="H24" i="4"/>
  <c r="H23" i="4"/>
  <c r="H22" i="4"/>
  <c r="H21" i="4"/>
  <c r="B41" i="3"/>
  <c r="I29" i="3" s="1"/>
  <c r="B29" i="3" s="1"/>
  <c r="C41" i="3"/>
  <c r="F29" i="3" s="1"/>
  <c r="D41" i="3"/>
  <c r="J29" i="3" s="1"/>
  <c r="D29" i="3" s="1"/>
  <c r="E41" i="3"/>
  <c r="K29" i="3" s="1"/>
  <c r="E29" i="3" s="1"/>
  <c r="F41" i="3"/>
  <c r="B42" i="3"/>
  <c r="I30" i="3" s="1"/>
  <c r="B30" i="3" s="1"/>
  <c r="C42" i="3"/>
  <c r="F30" i="3" s="1"/>
  <c r="D42" i="3"/>
  <c r="J30" i="3" s="1"/>
  <c r="D30" i="3" s="1"/>
  <c r="E42" i="3"/>
  <c r="K30" i="3" s="1"/>
  <c r="E30" i="3" s="1"/>
  <c r="F42" i="3"/>
  <c r="B68" i="3"/>
  <c r="C68" i="3"/>
  <c r="D68" i="3"/>
  <c r="E68" i="3"/>
  <c r="F68" i="3"/>
  <c r="B69" i="3"/>
  <c r="C69" i="3"/>
  <c r="D69" i="3"/>
  <c r="E69" i="3"/>
  <c r="F69" i="3"/>
  <c r="B40" i="3"/>
  <c r="I28" i="3" s="1"/>
  <c r="C40" i="3"/>
  <c r="F14" i="3" s="1"/>
  <c r="D40" i="3"/>
  <c r="J14" i="3" s="1"/>
  <c r="E40" i="3"/>
  <c r="K28" i="3" s="1"/>
  <c r="E28" i="3" s="1"/>
  <c r="F40" i="3"/>
  <c r="B67" i="3"/>
  <c r="C67" i="3"/>
  <c r="D67" i="3"/>
  <c r="E67" i="3"/>
  <c r="F67" i="3"/>
  <c r="K16" i="3" l="1"/>
  <c r="E16" i="3" s="1"/>
  <c r="J16" i="3"/>
  <c r="D16" i="3" s="1"/>
  <c r="K15" i="3"/>
  <c r="E15" i="3" s="1"/>
  <c r="J15" i="3"/>
  <c r="D15" i="3" s="1"/>
  <c r="I16" i="3"/>
  <c r="B16" i="3" s="1"/>
  <c r="I15" i="3"/>
  <c r="B15" i="3" s="1"/>
  <c r="F16" i="3"/>
  <c r="F15" i="3"/>
  <c r="J28" i="3"/>
  <c r="D28" i="3" s="1"/>
  <c r="K14" i="3"/>
  <c r="E14" i="3" s="1"/>
  <c r="B28" i="3"/>
  <c r="I14" i="3"/>
  <c r="B14" i="3" s="1"/>
  <c r="F28" i="3"/>
  <c r="H30" i="4"/>
  <c r="H31" i="4" l="1"/>
  <c r="H32" i="4" l="1"/>
  <c r="N5" i="3" l="1"/>
  <c r="M5" i="3" l="1"/>
  <c r="L5" i="3"/>
  <c r="K5" i="3"/>
  <c r="C60" i="3" l="1"/>
  <c r="C7" i="3"/>
  <c r="D58" i="3"/>
  <c r="D5" i="3"/>
  <c r="D60" i="3"/>
  <c r="D7" i="3"/>
  <c r="D57" i="3"/>
  <c r="D4" i="3"/>
</calcChain>
</file>

<file path=xl/sharedStrings.xml><?xml version="1.0" encoding="utf-8"?>
<sst xmlns="http://schemas.openxmlformats.org/spreadsheetml/2006/main" count="260" uniqueCount="147">
  <si>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</si>
  <si>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</si>
  <si>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</si>
  <si>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</si>
  <si>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</si>
  <si>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</si>
  <si>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</si>
  <si>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</si>
  <si>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</si>
  <si>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</si>
  <si>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</si>
  <si>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</si>
  <si>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</si>
  <si>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</si>
  <si>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</si>
  <si>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</si>
  <si>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</si>
  <si>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</si>
  <si>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</si>
  <si>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</si>
  <si>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</si>
  <si>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</si>
  <si>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</si>
  <si>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</si>
  <si>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</si>
  <si>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</si>
  <si>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</si>
  <si>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</si>
  <si>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</si>
  <si>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</si>
  <si>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</si>
  <si>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</si>
  <si>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</si>
  <si>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</si>
  <si>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</si>
  <si>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</si>
  <si>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</si>
  <si>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</si>
  <si>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</si>
  <si>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</si>
  <si>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</si>
  <si>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</si>
  <si>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</si>
  <si>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</si>
  <si>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</si>
  <si>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</si>
  <si>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</si>
  <si>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</si>
  <si>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</si>
  <si>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</si>
  <si>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</si>
  <si>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</si>
  <si>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</si>
  <si>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</si>
  <si>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</si>
  <si>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</si>
  <si>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</si>
  <si>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</si>
  <si>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</si>
  <si>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</si>
  <si>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</si>
  <si>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</si>
  <si>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</si>
  <si>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</si>
  <si>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</si>
  <si>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</si>
  <si>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</si>
  <si>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</si>
  <si>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</si>
  <si>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</si>
  <si>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</si>
  <si>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</si>
  <si>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</si>
  <si>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</si>
  <si>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</si>
  <si>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</si>
  <si>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</si>
  <si>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</si>
  <si>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</si>
  <si>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</si>
  <si>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</si>
  <si>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</si>
  <si>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</si>
  <si>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</si>
  <si>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</si>
  <si>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</si>
  <si>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</si>
  <si>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</si>
  <si>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</si>
  <si>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</si>
  <si>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</si>
  <si>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</si>
  <si>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</si>
  <si>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</si>
  <si>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</si>
  <si>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</si>
  <si>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</si>
  <si>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</si>
  <si>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</si>
  <si>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</si>
  <si>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</si>
  <si>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</si>
  <si>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</si>
  <si>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</si>
  <si>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</si>
  <si>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</si>
  <si>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</si>
  <si>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</si>
  <si>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</si>
  <si>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</si>
  <si>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</si>
  <si>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</si>
  <si>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</si>
  <si>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</si>
  <si>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</si>
  <si>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</si>
  <si>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</si>
  <si>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</si>
  <si>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</si>
  <si>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</si>
  <si>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</si>
  <si>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</si>
  <si>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</si>
  <si>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</si>
  <si>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</si>
  <si>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</si>
  <si>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</si>
  <si>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</si>
  <si>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</si>
  <si>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</si>
  <si>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</si>
  <si>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</si>
  <si>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</si>
  <si>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</si>
  <si>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</si>
  <si>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</si>
  <si>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N° 11260</t>
  </si>
  <si>
    <t>LINARES</t>
  </si>
  <si>
    <t>DANIM</t>
  </si>
  <si>
    <t>+569 3670 7306</t>
  </si>
  <si>
    <t>CUB S/R R6</t>
  </si>
  <si>
    <t>GRANITO NEGRO 3014 MT</t>
  </si>
  <si>
    <t>RESPALDO</t>
  </si>
  <si>
    <t>ART MUEBLES SPA</t>
  </si>
  <si>
    <t>77.355.467-6</t>
  </si>
  <si>
    <t>FABRICACION DE MUEBLES A MEDIDA</t>
  </si>
  <si>
    <t>AV. JUANARIO ESPINOZA 848 LOCAL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</si>
</sst>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$ 300.000.-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22</xdr:row>
      <xdr:rowOff>76200</xdr:rowOff>
    </xdr:from>
    <xdr:to>
      <xdr:col>5</xdr:col>
      <xdr:colOff>1676399</xdr:colOff>
      <xdr:row>24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61</xdr:row>
      <xdr:rowOff>171450</xdr:rowOff>
    </xdr:from>
    <xdr:to>
      <xdr:col>5</xdr:col>
      <xdr:colOff>1685924</xdr:colOff>
      <xdr:row>63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38100</xdr:rowOff>
    </xdr:from>
    <xdr:to>
      <xdr:col>6</xdr:col>
      <xdr:colOff>0</xdr:colOff>
      <xdr:row>58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38100</xdr:colOff>
      <xdr:row>75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74</xdr:row>
      <xdr:rowOff>0</xdr:rowOff>
    </xdr:from>
    <xdr:to>
      <xdr:col>2</xdr:col>
      <xdr:colOff>1019175</xdr:colOff>
      <xdr:row>74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74</xdr:row>
      <xdr:rowOff>0</xdr:rowOff>
    </xdr:from>
    <xdr:to>
      <xdr:col>3</xdr:col>
      <xdr:colOff>352425</xdr:colOff>
      <xdr:row>75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74</xdr:row>
      <xdr:rowOff>0</xdr:rowOff>
    </xdr:from>
    <xdr:to>
      <xdr:col>4</xdr:col>
      <xdr:colOff>257175</xdr:colOff>
      <xdr:row>75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74</xdr:row>
      <xdr:rowOff>0</xdr:rowOff>
    </xdr:from>
    <xdr:to>
      <xdr:col>5</xdr:col>
      <xdr:colOff>447675</xdr:colOff>
      <xdr:row>74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74</xdr:row>
      <xdr:rowOff>0</xdr:rowOff>
    </xdr:from>
    <xdr:to>
      <xdr:col>6</xdr:col>
      <xdr:colOff>0</xdr:colOff>
      <xdr:row>74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74</xdr:row>
      <xdr:rowOff>190500</xdr:rowOff>
    </xdr:from>
    <xdr:to>
      <xdr:col>2</xdr:col>
      <xdr:colOff>304800</xdr:colOff>
      <xdr:row>76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74</xdr:row>
      <xdr:rowOff>190500</xdr:rowOff>
    </xdr:from>
    <xdr:to>
      <xdr:col>2</xdr:col>
      <xdr:colOff>1276350</xdr:colOff>
      <xdr:row>76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74</xdr:row>
      <xdr:rowOff>190500</xdr:rowOff>
    </xdr:from>
    <xdr:to>
      <xdr:col>3</xdr:col>
      <xdr:colOff>619125</xdr:colOff>
      <xdr:row>76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74</xdr:row>
      <xdr:rowOff>190500</xdr:rowOff>
    </xdr:from>
    <xdr:to>
      <xdr:col>4</xdr:col>
      <xdr:colOff>523875</xdr:colOff>
      <xdr:row>76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74</xdr:row>
      <xdr:rowOff>190500</xdr:rowOff>
    </xdr:from>
    <xdr:to>
      <xdr:col>5</xdr:col>
      <xdr:colOff>723900</xdr:colOff>
      <xdr:row>76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74</xdr:row>
      <xdr:rowOff>190500</xdr:rowOff>
    </xdr:from>
    <xdr:to>
      <xdr:col>6</xdr:col>
      <xdr:colOff>0</xdr:colOff>
      <xdr:row>76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48</xdr:row>
      <xdr:rowOff>15239</xdr:rowOff>
    </xdr:from>
    <xdr:to>
      <xdr:col>6</xdr:col>
      <xdr:colOff>68580</xdr:colOff>
      <xdr:row>52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TRANSPORTE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35</xdr:row>
      <xdr:rowOff>200025</xdr:rowOff>
    </xdr:from>
    <xdr:to>
      <xdr:col>6</xdr:col>
      <xdr:colOff>19049</xdr:colOff>
      <xdr:row>37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77</xdr:row>
      <xdr:rowOff>32385</xdr:rowOff>
    </xdr:from>
    <xdr:to>
      <xdr:col>6</xdr:col>
      <xdr:colOff>19050</xdr:colOff>
      <xdr:row>81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SON PARA TRANSPORTE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55</xdr:row>
      <xdr:rowOff>41910</xdr:rowOff>
    </xdr:from>
    <xdr:to>
      <xdr:col>1</xdr:col>
      <xdr:colOff>801763</xdr:colOff>
      <xdr:row>61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abSelected="1" topLeftCell="A2" workbookViewId="0">
      <selection activeCell="J17" sqref="J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7154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143</v>
      </c>
      <c r="D10" s="55"/>
      <c r="E10" s="55"/>
      <c r="F10" s="56" t="s">
        <v>28</v>
      </c>
      <c r="G10" s="57">
        <v>45673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 t="s">
        <v>144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132</v>
      </c>
      <c r="C12" s="108" t="s">
        <v>145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t="s">
        <v>138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9" t="s">
        <v>139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t="s">
        <v>146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137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140</v>
      </c>
      <c r="D21" s="105">
        <v>2500</v>
      </c>
      <c r="E21" s="105">
        <v>600</v>
      </c>
      <c r="F21" s="104" t="s">
        <v>141</v>
      </c>
      <c r="G21" s="110">
        <v>119429</v>
      </c>
      <c r="H21" s="110">
        <f>G21*B21</f>
        <v>119429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140</v>
      </c>
      <c r="D22" s="105">
        <v>2900</v>
      </c>
      <c r="E22" s="105">
        <v>600</v>
      </c>
      <c r="F22" s="104" t="s">
        <v>141</v>
      </c>
      <c r="G22" s="110">
        <v>137693</v>
      </c>
      <c r="H22" s="110">
        <f t="shared" ref="H22:H27" si="0">G22*B22</f>
        <v>137693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1</v>
      </c>
      <c r="C23" s="104" t="s">
        <v>140</v>
      </c>
      <c r="D23" s="105">
        <v>3000</v>
      </c>
      <c r="E23" s="105">
        <v>600</v>
      </c>
      <c r="F23" s="104" t="s">
        <v>141</v>
      </c>
      <c r="G23" s="110">
        <v>142259</v>
      </c>
      <c r="H23" s="110">
        <f t="shared" si="0"/>
        <v>142259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4">
        <v>1</v>
      </c>
      <c r="C24" s="104" t="s">
        <v>142</v>
      </c>
      <c r="D24" s="105">
        <v>2500</v>
      </c>
      <c r="E24" s="105">
        <v>70</v>
      </c>
      <c r="F24" s="104" t="s">
        <v>141</v>
      </c>
      <c r="G24" s="110">
        <v>16583</v>
      </c>
      <c r="H24" s="110">
        <f t="shared" si="0"/>
        <v>16583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4">
        <v>1</v>
      </c>
      <c r="C25" s="104" t="s">
        <v>142</v>
      </c>
      <c r="D25" s="105">
        <v>2900</v>
      </c>
      <c r="E25" s="105">
        <v>70</v>
      </c>
      <c r="F25" s="104" t="s">
        <v>141</v>
      </c>
      <c r="G25" s="110">
        <v>18714</v>
      </c>
      <c r="H25" s="110">
        <f t="shared" si="0"/>
        <v>18714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4">
        <v>1</v>
      </c>
      <c r="C26" s="104" t="s">
        <v>142</v>
      </c>
      <c r="D26" s="105">
        <v>3000</v>
      </c>
      <c r="E26" s="105">
        <v>70</v>
      </c>
      <c r="F26" s="104" t="s">
        <v>141</v>
      </c>
      <c r="G26" s="110">
        <v>19247</v>
      </c>
      <c r="H26" s="110">
        <f t="shared" si="0"/>
        <v>19247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4">
        <v>1</v>
      </c>
      <c r="C27" s="104" t="s">
        <v>142</v>
      </c>
      <c r="D27" s="105">
        <v>2400</v>
      </c>
      <c r="E27" s="105">
        <v>70</v>
      </c>
      <c r="F27" s="104" t="s">
        <v>141</v>
      </c>
      <c r="G27" s="110">
        <v>16051</v>
      </c>
      <c r="H27" s="110">
        <f t="shared" si="0"/>
        <v>16051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7"/>
      <c r="C28" s="97"/>
      <c r="D28" s="97"/>
      <c r="E28" s="97"/>
      <c r="F28" s="98"/>
      <c r="G28" s="99"/>
      <c r="H28" s="99"/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4"/>
      <c r="C29" s="74"/>
      <c r="D29" s="74"/>
      <c r="E29" s="74"/>
      <c r="F29" s="74"/>
      <c r="G29" s="75"/>
      <c r="H29" s="75"/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5</v>
      </c>
      <c r="H30" s="77">
        <f>SUM(H21:H29)</f>
        <v>469976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8" t="s">
        <v>6</v>
      </c>
      <c r="H31" s="79">
        <f>H30*19%</f>
        <v>89295.44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80" t="s">
        <v>4</v>
      </c>
      <c r="H32" s="81">
        <f>H30+H31</f>
        <v>559271.43999999994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2"/>
      <c r="H33" s="100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2" t="s">
        <v>123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82" t="s">
        <v>122</v>
      </c>
      <c r="C36" s="83"/>
      <c r="D36" s="84"/>
      <c r="E36" s="84"/>
      <c r="F36" s="74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5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5"/>
  <sheetViews>
    <sheetView topLeftCell="A45" zoomScaleNormal="100" workbookViewId="0">
      <selection activeCell="A54" sqref="A54:F8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7154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ART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v>1000</v>
      </c>
      <c r="E14" s="35">
        <f>K14+E13</f>
        <v>600</v>
      </c>
      <c r="F14" s="102" t="str">
        <f>C40</f>
        <v>CUB S/R R6</v>
      </c>
      <c r="G14" s="1"/>
      <c r="I14" s="3">
        <f>I28</f>
        <v>1</v>
      </c>
      <c r="J14" s="4">
        <f>D40</f>
        <v>2500</v>
      </c>
      <c r="K14" s="4">
        <f>E40</f>
        <v>600</v>
      </c>
    </row>
    <row r="15" spans="1:14" ht="15.6" x14ac:dyDescent="0.3">
      <c r="A15" s="96"/>
      <c r="B15" s="25">
        <f t="shared" ref="B15:B16" si="1">I15</f>
        <v>1</v>
      </c>
      <c r="C15" s="25"/>
      <c r="D15" s="25">
        <f t="shared" ref="D15:D16" si="2">J15+D$13</f>
        <v>2980</v>
      </c>
      <c r="E15" s="35">
        <f>K15</f>
        <v>600</v>
      </c>
      <c r="F15" s="102" t="str">
        <f t="shared" ref="F15:F16" si="3">C41</f>
        <v>CUB S/R R6</v>
      </c>
      <c r="G15" s="1"/>
      <c r="I15" s="3">
        <f t="shared" ref="I15:I20" si="4">I29</f>
        <v>1</v>
      </c>
      <c r="J15" s="4">
        <f t="shared" ref="J15:K15" si="5">D41</f>
        <v>2900</v>
      </c>
      <c r="K15" s="4">
        <f t="shared" si="5"/>
        <v>600</v>
      </c>
    </row>
    <row r="16" spans="1:14" ht="15.6" x14ac:dyDescent="0.3">
      <c r="A16" s="96"/>
      <c r="B16" s="25">
        <f t="shared" si="1"/>
        <v>1</v>
      </c>
      <c r="C16" s="25"/>
      <c r="D16" s="25">
        <f t="shared" si="2"/>
        <v>3080</v>
      </c>
      <c r="E16" s="35">
        <f>K16</f>
        <v>600</v>
      </c>
      <c r="F16" s="102" t="str">
        <f t="shared" si="3"/>
        <v>CUB S/R R6</v>
      </c>
      <c r="G16" s="1"/>
      <c r="I16" s="3">
        <f t="shared" si="4"/>
        <v>1</v>
      </c>
      <c r="J16" s="4">
        <f t="shared" ref="J16:K16" si="6">D42</f>
        <v>3000</v>
      </c>
      <c r="K16" s="4">
        <f t="shared" si="6"/>
        <v>600</v>
      </c>
    </row>
    <row r="17" spans="1:11" ht="15.6" x14ac:dyDescent="0.3">
      <c r="A17" s="96"/>
      <c r="B17" s="25">
        <f t="shared" ref="B17:B20" si="7">I17</f>
        <v>1</v>
      </c>
      <c r="C17" s="25"/>
      <c r="D17" s="25">
        <f t="shared" ref="D17:D20" si="8">J17+D$13</f>
        <v>2580</v>
      </c>
      <c r="E17" s="35">
        <v>100</v>
      </c>
      <c r="F17" s="102" t="str">
        <f t="shared" ref="F17:F20" si="9">C43</f>
        <v>RESPALDO</v>
      </c>
      <c r="G17" s="1"/>
      <c r="I17" s="3">
        <f t="shared" si="4"/>
        <v>1</v>
      </c>
      <c r="J17" s="4">
        <f t="shared" ref="J17:J20" si="10">D43</f>
        <v>2500</v>
      </c>
      <c r="K17" s="4">
        <f t="shared" ref="K17:K20" si="11">E43</f>
        <v>70</v>
      </c>
    </row>
    <row r="18" spans="1:11" ht="15.6" x14ac:dyDescent="0.3">
      <c r="A18" s="96"/>
      <c r="B18" s="25">
        <f t="shared" si="7"/>
        <v>1</v>
      </c>
      <c r="C18" s="25"/>
      <c r="D18" s="25">
        <f t="shared" si="8"/>
        <v>2980</v>
      </c>
      <c r="E18" s="35">
        <v>100</v>
      </c>
      <c r="F18" s="102" t="str">
        <f t="shared" si="9"/>
        <v>RESPALDO</v>
      </c>
      <c r="G18" s="1"/>
      <c r="I18" s="3">
        <f t="shared" si="4"/>
        <v>1</v>
      </c>
      <c r="J18" s="4">
        <f t="shared" si="10"/>
        <v>2900</v>
      </c>
      <c r="K18" s="4">
        <f t="shared" si="11"/>
        <v>70</v>
      </c>
    </row>
    <row r="19" spans="1:11" ht="15.6" x14ac:dyDescent="0.3">
      <c r="A19" s="96"/>
      <c r="B19" s="25">
        <f t="shared" si="7"/>
        <v>1</v>
      </c>
      <c r="C19" s="25"/>
      <c r="D19" s="25">
        <f t="shared" si="8"/>
        <v>3080</v>
      </c>
      <c r="E19" s="35">
        <v>100</v>
      </c>
      <c r="F19" s="102" t="str">
        <f t="shared" si="9"/>
        <v>RESPALDO</v>
      </c>
      <c r="G19" s="1"/>
      <c r="I19" s="3">
        <f t="shared" si="4"/>
        <v>1</v>
      </c>
      <c r="J19" s="4">
        <f t="shared" si="10"/>
        <v>3000</v>
      </c>
      <c r="K19" s="4">
        <f t="shared" si="11"/>
        <v>70</v>
      </c>
    </row>
    <row r="20" spans="1:11" ht="15.6" x14ac:dyDescent="0.3">
      <c r="A20" s="96"/>
      <c r="B20" s="25">
        <f t="shared" si="7"/>
        <v>1</v>
      </c>
      <c r="C20" s="25"/>
      <c r="D20" s="25">
        <f t="shared" si="8"/>
        <v>2480</v>
      </c>
      <c r="E20" s="35">
        <v>100</v>
      </c>
      <c r="F20" s="102" t="str">
        <f t="shared" si="9"/>
        <v>RESPALDO</v>
      </c>
      <c r="G20" s="1"/>
      <c r="I20" s="3">
        <f t="shared" si="4"/>
        <v>1</v>
      </c>
      <c r="J20" s="4">
        <f t="shared" si="10"/>
        <v>2400</v>
      </c>
      <c r="K20" s="4">
        <f t="shared" si="11"/>
        <v>70</v>
      </c>
    </row>
    <row r="21" spans="1:11" ht="15.6" x14ac:dyDescent="0.3">
      <c r="A21" s="96"/>
      <c r="B21" s="6"/>
      <c r="C21" s="6"/>
      <c r="D21" s="6"/>
      <c r="E21" s="89"/>
      <c r="F21" s="106"/>
      <c r="G21" s="1"/>
      <c r="I21" s="90"/>
      <c r="J21" s="2"/>
      <c r="K21" s="2"/>
    </row>
    <row r="22" spans="1:11" ht="15.6" x14ac:dyDescent="0.3">
      <c r="A22" s="52"/>
      <c r="B22" s="6"/>
      <c r="C22" s="6"/>
      <c r="D22" s="6"/>
      <c r="E22" s="89"/>
      <c r="F22" s="6"/>
      <c r="G22" s="1"/>
      <c r="I22" s="90"/>
      <c r="J22" s="2"/>
      <c r="K22" s="2"/>
    </row>
    <row r="23" spans="1:11" ht="6.75" customHeight="1" x14ac:dyDescent="0.3">
      <c r="A23" s="1"/>
      <c r="B23" s="1"/>
      <c r="C23" s="1"/>
      <c r="D23" s="1"/>
      <c r="E23" s="1"/>
      <c r="F23" s="1"/>
      <c r="G23" s="1"/>
    </row>
    <row r="24" spans="1:11" ht="15.6" x14ac:dyDescent="0.3">
      <c r="A24" s="119" t="s">
        <v>14</v>
      </c>
      <c r="B24" s="119"/>
      <c r="C24" s="119"/>
      <c r="D24" s="119"/>
      <c r="E24" s="119"/>
      <c r="F24" s="119"/>
      <c r="G24" s="1"/>
    </row>
    <row r="25" spans="1:11" ht="10.5" customHeight="1" x14ac:dyDescent="0.3">
      <c r="A25" s="1"/>
      <c r="B25" s="1"/>
      <c r="C25" s="12"/>
      <c r="D25" s="1"/>
      <c r="E25" s="1"/>
      <c r="F25" s="1"/>
      <c r="G25" s="1"/>
    </row>
    <row r="26" spans="1:11" ht="15.6" x14ac:dyDescent="0.3">
      <c r="A26" s="1"/>
      <c r="B26" s="1"/>
      <c r="C26" s="1"/>
      <c r="D26" s="52" t="s">
        <v>7</v>
      </c>
      <c r="E26" s="52" t="s">
        <v>8</v>
      </c>
      <c r="F26" s="1"/>
      <c r="G26" s="1"/>
    </row>
    <row r="27" spans="1:11" ht="15.6" x14ac:dyDescent="0.3">
      <c r="A27" s="52" t="s">
        <v>9</v>
      </c>
      <c r="B27" s="36" t="s">
        <v>10</v>
      </c>
      <c r="C27" s="36" t="s">
        <v>11</v>
      </c>
      <c r="D27" s="21">
        <v>40</v>
      </c>
      <c r="E27" s="21">
        <v>60</v>
      </c>
      <c r="F27" s="36" t="s">
        <v>110</v>
      </c>
      <c r="G27" s="1"/>
      <c r="J27" s="5" t="s">
        <v>7</v>
      </c>
      <c r="K27" s="5" t="s">
        <v>8</v>
      </c>
    </row>
    <row r="28" spans="1:11" ht="15.6" x14ac:dyDescent="0.3">
      <c r="A28" s="96" t="s">
        <v>130</v>
      </c>
      <c r="B28" s="16">
        <f t="shared" ref="B28" si="12">I28</f>
        <v>1</v>
      </c>
      <c r="C28" s="16"/>
      <c r="D28" s="16">
        <f>J28+D$27</f>
        <v>2540</v>
      </c>
      <c r="E28" s="16">
        <f>K28+E$27</f>
        <v>660</v>
      </c>
      <c r="F28" s="103" t="str">
        <f>C40</f>
        <v>CUB S/R R6</v>
      </c>
      <c r="G28" s="1"/>
      <c r="I28" s="3">
        <f>B40</f>
        <v>1</v>
      </c>
      <c r="J28" s="4">
        <f t="shared" ref="J28:K28" si="13">D40</f>
        <v>2500</v>
      </c>
      <c r="K28" s="4">
        <f t="shared" si="13"/>
        <v>600</v>
      </c>
    </row>
    <row r="29" spans="1:11" ht="15.6" x14ac:dyDescent="0.3">
      <c r="A29" s="96"/>
      <c r="B29" s="16">
        <f t="shared" ref="B29:B30" si="14">I29</f>
        <v>1</v>
      </c>
      <c r="C29" s="16"/>
      <c r="D29" s="16">
        <f t="shared" ref="D29:D30" si="15">J29+D$27</f>
        <v>2940</v>
      </c>
      <c r="E29" s="16">
        <f t="shared" ref="E29:E30" si="16">K29+E$27</f>
        <v>660</v>
      </c>
      <c r="F29" s="103" t="str">
        <f t="shared" ref="F29:F30" si="17">C41</f>
        <v>CUB S/R R6</v>
      </c>
      <c r="G29" s="1"/>
      <c r="I29" s="3">
        <f t="shared" ref="I29:I30" si="18">B41</f>
        <v>1</v>
      </c>
      <c r="J29" s="4">
        <f t="shared" ref="J29:J30" si="19">D41</f>
        <v>2900</v>
      </c>
      <c r="K29" s="4">
        <f t="shared" ref="K29:K30" si="20">E41</f>
        <v>600</v>
      </c>
    </row>
    <row r="30" spans="1:11" ht="15.6" x14ac:dyDescent="0.3">
      <c r="A30" s="96"/>
      <c r="B30" s="16">
        <f t="shared" si="14"/>
        <v>1</v>
      </c>
      <c r="C30" s="16"/>
      <c r="D30" s="16">
        <f t="shared" si="15"/>
        <v>3040</v>
      </c>
      <c r="E30" s="16">
        <f t="shared" si="16"/>
        <v>660</v>
      </c>
      <c r="F30" s="103" t="str">
        <f t="shared" si="17"/>
        <v>CUB S/R R6</v>
      </c>
      <c r="G30" s="1"/>
      <c r="I30" s="3">
        <f t="shared" si="18"/>
        <v>1</v>
      </c>
      <c r="J30" s="4">
        <f t="shared" si="19"/>
        <v>3000</v>
      </c>
      <c r="K30" s="4">
        <f t="shared" si="20"/>
        <v>600</v>
      </c>
    </row>
    <row r="31" spans="1:11" ht="15.6" x14ac:dyDescent="0.3">
      <c r="A31" s="96"/>
      <c r="B31" s="16">
        <f t="shared" ref="B31:B34" si="21">I31</f>
        <v>1</v>
      </c>
      <c r="C31" s="16"/>
      <c r="D31" s="16">
        <f t="shared" ref="D31:D34" si="22">J31+D$27</f>
        <v>2540</v>
      </c>
      <c r="E31" s="16">
        <v>140</v>
      </c>
      <c r="F31" s="103" t="str">
        <f t="shared" ref="F31:F34" si="23">C43</f>
        <v>RESPALDO</v>
      </c>
      <c r="G31" s="1"/>
      <c r="I31" s="3">
        <f t="shared" ref="I31:I34" si="24">B43</f>
        <v>1</v>
      </c>
      <c r="J31" s="4">
        <f t="shared" ref="J31:J34" si="25">D43</f>
        <v>2500</v>
      </c>
      <c r="K31" s="4">
        <f t="shared" ref="K31:K34" si="26">E43</f>
        <v>70</v>
      </c>
    </row>
    <row r="32" spans="1:11" ht="15.6" x14ac:dyDescent="0.3">
      <c r="A32" s="96"/>
      <c r="B32" s="16">
        <f t="shared" si="21"/>
        <v>1</v>
      </c>
      <c r="C32" s="16"/>
      <c r="D32" s="16">
        <f t="shared" si="22"/>
        <v>2940</v>
      </c>
      <c r="E32" s="16">
        <v>140</v>
      </c>
      <c r="F32" s="103" t="str">
        <f t="shared" si="23"/>
        <v>RESPALDO</v>
      </c>
      <c r="G32" s="1"/>
      <c r="I32" s="3">
        <f t="shared" si="24"/>
        <v>1</v>
      </c>
      <c r="J32" s="4">
        <f t="shared" si="25"/>
        <v>2900</v>
      </c>
      <c r="K32" s="4">
        <f t="shared" si="26"/>
        <v>70</v>
      </c>
    </row>
    <row r="33" spans="1:11" ht="15.6" x14ac:dyDescent="0.3">
      <c r="A33" s="96"/>
      <c r="B33" s="16">
        <f t="shared" si="21"/>
        <v>1</v>
      </c>
      <c r="C33" s="16"/>
      <c r="D33" s="16">
        <f t="shared" si="22"/>
        <v>3040</v>
      </c>
      <c r="E33" s="16">
        <v>140</v>
      </c>
      <c r="F33" s="103" t="str">
        <f t="shared" si="23"/>
        <v>RESPALDO</v>
      </c>
      <c r="G33" s="1"/>
      <c r="I33" s="3">
        <f t="shared" si="24"/>
        <v>1</v>
      </c>
      <c r="J33" s="4">
        <f t="shared" si="25"/>
        <v>3000</v>
      </c>
      <c r="K33" s="4">
        <f t="shared" si="26"/>
        <v>70</v>
      </c>
    </row>
    <row r="34" spans="1:11" ht="15.6" x14ac:dyDescent="0.3">
      <c r="A34" s="96"/>
      <c r="B34" s="16">
        <f t="shared" si="21"/>
        <v>1</v>
      </c>
      <c r="C34" s="16"/>
      <c r="D34" s="16">
        <f t="shared" si="22"/>
        <v>2440</v>
      </c>
      <c r="E34" s="16">
        <v>140</v>
      </c>
      <c r="F34" s="103" t="str">
        <f t="shared" si="23"/>
        <v>RESPALDO</v>
      </c>
      <c r="G34" s="1"/>
      <c r="I34" s="3">
        <f t="shared" si="24"/>
        <v>1</v>
      </c>
      <c r="J34" s="4">
        <f t="shared" si="25"/>
        <v>2400</v>
      </c>
      <c r="K34" s="4">
        <f t="shared" si="26"/>
        <v>70</v>
      </c>
    </row>
    <row r="35" spans="1:11" ht="15.6" x14ac:dyDescent="0.3">
      <c r="A35" s="96"/>
      <c r="B35" s="6"/>
      <c r="C35" s="6"/>
      <c r="D35" s="6"/>
      <c r="E35" s="6"/>
      <c r="F35" s="6"/>
      <c r="G35" s="1"/>
      <c r="I35" s="90"/>
      <c r="J35" s="2"/>
      <c r="K35" s="2"/>
    </row>
    <row r="36" spans="1:11" ht="16.2" thickBot="1" x14ac:dyDescent="0.35">
      <c r="A36" s="52"/>
      <c r="B36" s="6"/>
      <c r="C36" s="6"/>
      <c r="D36" s="6"/>
      <c r="E36" s="6"/>
      <c r="F36" s="6"/>
      <c r="G36" s="1"/>
      <c r="I36" s="2"/>
      <c r="J36" s="2"/>
      <c r="K36" s="2"/>
    </row>
    <row r="37" spans="1:11" ht="16.2" thickBot="1" x14ac:dyDescent="0.35">
      <c r="A37" s="52"/>
      <c r="B37" s="22" t="s">
        <v>107</v>
      </c>
      <c r="C37" s="23"/>
      <c r="D37" s="23"/>
      <c r="E37" s="23"/>
      <c r="F37" s="24"/>
      <c r="G37" s="1"/>
      <c r="I37" s="2"/>
      <c r="J37" s="2"/>
      <c r="K37" s="2"/>
    </row>
    <row r="38" spans="1:11" ht="10.5" customHeight="1" x14ac:dyDescent="0.3">
      <c r="A38" s="1"/>
      <c r="B38" s="1"/>
      <c r="C38" s="1"/>
      <c r="D38" s="1"/>
      <c r="E38" s="1"/>
      <c r="F38" s="1"/>
      <c r="G38" s="1"/>
    </row>
    <row r="39" spans="1:11" ht="15.6" x14ac:dyDescent="0.3">
      <c r="A39" s="52" t="s">
        <v>9</v>
      </c>
      <c r="B39" s="88" t="s">
        <v>10</v>
      </c>
      <c r="C39" s="88" t="s">
        <v>110</v>
      </c>
      <c r="D39" s="88" t="s">
        <v>7</v>
      </c>
      <c r="E39" s="88" t="s">
        <v>8</v>
      </c>
      <c r="F39" s="88" t="s">
        <v>23</v>
      </c>
      <c r="G39" s="1"/>
    </row>
    <row r="40" spans="1:11" ht="15.6" x14ac:dyDescent="0.3">
      <c r="A40" s="96" t="s">
        <v>134</v>
      </c>
      <c r="B40" s="25">
        <f>'4637'!B21</f>
        <v>1</v>
      </c>
      <c r="C40" s="102" t="str">
        <f>'4637'!C21</f>
        <v>CUB S/R R6</v>
      </c>
      <c r="D40" s="25">
        <f>'4637'!D21</f>
        <v>2500</v>
      </c>
      <c r="E40" s="25">
        <f>'4637'!E21</f>
        <v>600</v>
      </c>
      <c r="F40" s="25" t="str">
        <f>'4637'!F21</f>
        <v>GRANITO NEGRO 3014 MT</v>
      </c>
      <c r="G40" s="1"/>
    </row>
    <row r="41" spans="1:11" ht="15.6" x14ac:dyDescent="0.3">
      <c r="A41" s="96"/>
      <c r="B41" s="25">
        <f>'4637'!B22</f>
        <v>1</v>
      </c>
      <c r="C41" s="102" t="str">
        <f>'4637'!C22</f>
        <v>CUB S/R R6</v>
      </c>
      <c r="D41" s="25">
        <f>'4637'!D22</f>
        <v>2900</v>
      </c>
      <c r="E41" s="25">
        <f>'4637'!E22</f>
        <v>600</v>
      </c>
      <c r="F41" s="25" t="str">
        <f>'4637'!F22</f>
        <v>GRANITO NEGRO 3014 MT</v>
      </c>
      <c r="G41" s="1"/>
    </row>
    <row r="42" spans="1:11" ht="15.6" x14ac:dyDescent="0.3">
      <c r="A42" s="96"/>
      <c r="B42" s="25">
        <f>'4637'!B23</f>
        <v>1</v>
      </c>
      <c r="C42" s="102" t="str">
        <f>'4637'!C23</f>
        <v>CUB S/R R6</v>
      </c>
      <c r="D42" s="25">
        <f>'4637'!D23</f>
        <v>3000</v>
      </c>
      <c r="E42" s="25">
        <f>'4637'!E23</f>
        <v>600</v>
      </c>
      <c r="F42" s="25" t="str">
        <f>'4637'!F23</f>
        <v>GRANITO NEGRO 3014 MT</v>
      </c>
      <c r="G42" s="1"/>
    </row>
    <row r="43" spans="1:11" ht="15.6" x14ac:dyDescent="0.3">
      <c r="A43" s="96"/>
      <c r="B43" s="25">
        <f>'4637'!B24</f>
        <v>1</v>
      </c>
      <c r="C43" s="102" t="str">
        <f>'4637'!C24</f>
        <v>RESPALDO</v>
      </c>
      <c r="D43" s="25">
        <f>'4637'!D24</f>
        <v>2500</v>
      </c>
      <c r="E43" s="25">
        <f>'4637'!E24</f>
        <v>70</v>
      </c>
      <c r="F43" s="25" t="str">
        <f>'4637'!F24</f>
        <v>GRANITO NEGRO 3014 MT</v>
      </c>
      <c r="G43" s="1"/>
    </row>
    <row r="44" spans="1:11" ht="15.6" x14ac:dyDescent="0.3">
      <c r="A44" s="96"/>
      <c r="B44" s="25">
        <f>'4637'!B25</f>
        <v>1</v>
      </c>
      <c r="C44" s="102" t="str">
        <f>'4637'!C25</f>
        <v>RESPALDO</v>
      </c>
      <c r="D44" s="25">
        <f>'4637'!D25</f>
        <v>2900</v>
      </c>
      <c r="E44" s="25">
        <f>'4637'!E25</f>
        <v>70</v>
      </c>
      <c r="F44" s="25" t="str">
        <f>'4637'!F25</f>
        <v>GRANITO NEGRO 3014 MT</v>
      </c>
      <c r="G44" s="1"/>
    </row>
    <row r="45" spans="1:11" ht="15.6" x14ac:dyDescent="0.3">
      <c r="A45" s="96"/>
      <c r="B45" s="25">
        <f>'4637'!B26</f>
        <v>1</v>
      </c>
      <c r="C45" s="102" t="str">
        <f>'4637'!C26</f>
        <v>RESPALDO</v>
      </c>
      <c r="D45" s="25">
        <f>'4637'!D26</f>
        <v>3000</v>
      </c>
      <c r="E45" s="25">
        <f>'4637'!E26</f>
        <v>70</v>
      </c>
      <c r="F45" s="25" t="str">
        <f>'4637'!F26</f>
        <v>GRANITO NEGRO 3014 MT</v>
      </c>
      <c r="G45" s="1"/>
    </row>
    <row r="46" spans="1:11" ht="15.6" x14ac:dyDescent="0.3">
      <c r="A46" s="96"/>
      <c r="B46" s="25">
        <f>'4637'!B27</f>
        <v>1</v>
      </c>
      <c r="C46" s="102" t="str">
        <f>'4637'!C27</f>
        <v>RESPALDO</v>
      </c>
      <c r="D46" s="25">
        <f>'4637'!D27</f>
        <v>2400</v>
      </c>
      <c r="E46" s="25">
        <f>'4637'!E27</f>
        <v>70</v>
      </c>
      <c r="F46" s="25" t="str">
        <f>'4637'!F27</f>
        <v>GRANITO NEGRO 3014 MT</v>
      </c>
      <c r="G46" s="1"/>
    </row>
    <row r="47" spans="1:11" ht="15.6" x14ac:dyDescent="0.3">
      <c r="A47" s="52"/>
      <c r="B47" s="6"/>
      <c r="C47" s="106"/>
      <c r="D47" s="6"/>
      <c r="E47" s="6"/>
      <c r="F47" s="6"/>
      <c r="G47" s="1"/>
    </row>
    <row r="48" spans="1:11" ht="15.6" x14ac:dyDescent="0.3">
      <c r="A48" s="52"/>
      <c r="B48" s="6"/>
      <c r="C48" s="10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40" t="s">
        <v>27</v>
      </c>
      <c r="D57" s="14">
        <f>'4637'!G8</f>
        <v>7154</v>
      </c>
      <c r="E57" s="1"/>
      <c r="F57" s="1"/>
      <c r="G57" s="1"/>
    </row>
    <row r="58" spans="1:7" ht="17.25" customHeight="1" x14ac:dyDescent="0.3">
      <c r="A58" s="1"/>
      <c r="B58" s="1"/>
      <c r="C58" s="41" t="s">
        <v>67</v>
      </c>
      <c r="D58" s="42" t="str">
        <f>'4637'!C10</f>
        <v>ART MUEBLES SPA</v>
      </c>
      <c r="E58" s="43"/>
      <c r="F58" s="43"/>
      <c r="G58" s="1"/>
    </row>
    <row r="59" spans="1:7" ht="4.5" customHeight="1" x14ac:dyDescent="0.3">
      <c r="A59" s="1"/>
      <c r="B59" s="1"/>
      <c r="C59" s="44"/>
      <c r="D59" s="45"/>
      <c r="E59" s="1"/>
      <c r="F59" s="1"/>
      <c r="G59" s="1"/>
    </row>
    <row r="60" spans="1:7" ht="15.6" x14ac:dyDescent="0.3">
      <c r="A60" s="1"/>
      <c r="B60" s="1"/>
      <c r="C60" s="46" t="str">
        <f>'4637'!F11</f>
        <v>FECHA LIMITE :</v>
      </c>
      <c r="D60" s="13">
        <f>'4637'!G11</f>
        <v>0</v>
      </c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19" t="s">
        <v>68</v>
      </c>
      <c r="B63" s="119"/>
      <c r="C63" s="119"/>
      <c r="D63" s="119"/>
      <c r="E63" s="119"/>
      <c r="F63" s="119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75" customHeight="1" x14ac:dyDescent="0.3">
      <c r="A65" s="1"/>
      <c r="B65" s="120" t="s">
        <v>69</v>
      </c>
      <c r="C65" s="121"/>
      <c r="D65" s="122"/>
      <c r="E65" s="122"/>
      <c r="F65" s="123"/>
      <c r="G65" s="1"/>
    </row>
    <row r="66" spans="1:7" s="15" customFormat="1" ht="12.75" customHeight="1" x14ac:dyDescent="0.3">
      <c r="A66" s="1"/>
      <c r="B66" s="36" t="s">
        <v>10</v>
      </c>
      <c r="C66" s="47" t="s">
        <v>11</v>
      </c>
      <c r="D66" s="48" t="s">
        <v>7</v>
      </c>
      <c r="E66" s="48" t="s">
        <v>8</v>
      </c>
      <c r="F66" s="49" t="s">
        <v>12</v>
      </c>
      <c r="G66" s="1"/>
    </row>
    <row r="67" spans="1:7" s="15" customFormat="1" ht="15" customHeight="1" x14ac:dyDescent="0.3">
      <c r="A67" s="96"/>
      <c r="B67" s="38">
        <f>'4637'!B21</f>
        <v>1</v>
      </c>
      <c r="C67" s="101" t="str">
        <f>'4637'!C21</f>
        <v>CUB S/R R6</v>
      </c>
      <c r="D67" s="39">
        <f>'4637'!D21</f>
        <v>2500</v>
      </c>
      <c r="E67" s="39">
        <f>'4637'!E21</f>
        <v>600</v>
      </c>
      <c r="F67" s="38" t="str">
        <f>'4637'!F21</f>
        <v>GRANITO NEGRO 3014 MT</v>
      </c>
      <c r="G67" s="1"/>
    </row>
    <row r="68" spans="1:7" s="15" customFormat="1" ht="15" customHeight="1" x14ac:dyDescent="0.3">
      <c r="A68" s="96"/>
      <c r="B68" s="38">
        <f>'4637'!B22</f>
        <v>1</v>
      </c>
      <c r="C68" s="101" t="str">
        <f>'4637'!C22</f>
        <v>CUB S/R R6</v>
      </c>
      <c r="D68" s="39">
        <f>'4637'!D22</f>
        <v>2900</v>
      </c>
      <c r="E68" s="39">
        <f>'4637'!E22</f>
        <v>600</v>
      </c>
      <c r="F68" s="38" t="str">
        <f>'4637'!F22</f>
        <v>GRANITO NEGRO 3014 MT</v>
      </c>
      <c r="G68" s="1"/>
    </row>
    <row r="69" spans="1:7" s="15" customFormat="1" ht="15" customHeight="1" x14ac:dyDescent="0.3">
      <c r="A69" s="96"/>
      <c r="B69" s="38">
        <f>'4637'!B23</f>
        <v>1</v>
      </c>
      <c r="C69" s="101" t="str">
        <f>'4637'!C23</f>
        <v>CUB S/R R6</v>
      </c>
      <c r="D69" s="39">
        <f>'4637'!D23</f>
        <v>3000</v>
      </c>
      <c r="E69" s="39">
        <f>'4637'!E23</f>
        <v>600</v>
      </c>
      <c r="F69" s="38" t="str">
        <f>'4637'!F23</f>
        <v>GRANITO NEGRO 3014 MT</v>
      </c>
      <c r="G69" s="1"/>
    </row>
    <row r="70" spans="1:7" s="15" customFormat="1" ht="15" customHeight="1" x14ac:dyDescent="0.3">
      <c r="A70" s="96"/>
      <c r="B70" s="38">
        <f>'4637'!B24</f>
        <v>1</v>
      </c>
      <c r="C70" s="101" t="str">
        <f>'4637'!C24</f>
        <v>RESPALDO</v>
      </c>
      <c r="D70" s="39">
        <f>'4637'!D24</f>
        <v>2500</v>
      </c>
      <c r="E70" s="39">
        <f>'4637'!E24</f>
        <v>70</v>
      </c>
      <c r="F70" s="38" t="str">
        <f>'4637'!F24</f>
        <v>GRANITO NEGRO 3014 MT</v>
      </c>
      <c r="G70" s="1"/>
    </row>
    <row r="71" spans="1:7" s="15" customFormat="1" ht="15" customHeight="1" x14ac:dyDescent="0.3">
      <c r="A71" s="96"/>
      <c r="B71" s="38">
        <f>'4637'!B25</f>
        <v>1</v>
      </c>
      <c r="C71" s="101" t="str">
        <f>'4637'!C25</f>
        <v>RESPALDO</v>
      </c>
      <c r="D71" s="39">
        <f>'4637'!D25</f>
        <v>2900</v>
      </c>
      <c r="E71" s="39">
        <f>'4637'!E25</f>
        <v>70</v>
      </c>
      <c r="F71" s="38" t="str">
        <f>'4637'!F25</f>
        <v>GRANITO NEGRO 3014 MT</v>
      </c>
      <c r="G71" s="1"/>
    </row>
    <row r="72" spans="1:7" s="15" customFormat="1" ht="15" customHeight="1" x14ac:dyDescent="0.3">
      <c r="A72" s="96"/>
      <c r="B72" s="38">
        <f>'4637'!B26</f>
        <v>1</v>
      </c>
      <c r="C72" s="101" t="str">
        <f>'4637'!C26</f>
        <v>RESPALDO</v>
      </c>
      <c r="D72" s="39">
        <f>'4637'!D26</f>
        <v>3000</v>
      </c>
      <c r="E72" s="39">
        <f>'4637'!E26</f>
        <v>70</v>
      </c>
      <c r="F72" s="38" t="str">
        <f>'4637'!F26</f>
        <v>GRANITO NEGRO 3014 MT</v>
      </c>
      <c r="G72" s="1"/>
    </row>
    <row r="73" spans="1:7" s="15" customFormat="1" ht="15" customHeight="1" x14ac:dyDescent="0.3">
      <c r="A73" s="96"/>
      <c r="B73" s="38">
        <f>'4637'!B27</f>
        <v>1</v>
      </c>
      <c r="C73" s="101" t="str">
        <f>'4637'!C27</f>
        <v>RESPALDO</v>
      </c>
      <c r="D73" s="39">
        <f>'4637'!D27</f>
        <v>2400</v>
      </c>
      <c r="E73" s="39">
        <f>'4637'!E27</f>
        <v>70</v>
      </c>
      <c r="F73" s="38" t="str">
        <f>'4637'!F27</f>
        <v>GRANITO NEGRO 3014 MT</v>
      </c>
      <c r="G73" s="1"/>
    </row>
    <row r="74" spans="1:7" s="15" customFormat="1" ht="15" customHeight="1" x14ac:dyDescent="0.3">
      <c r="A74" s="50"/>
      <c r="B74" s="52"/>
      <c r="C74" s="52"/>
      <c r="D74" s="52"/>
      <c r="E74" s="52"/>
      <c r="F74" s="52"/>
      <c r="G74" s="1"/>
    </row>
    <row r="75" spans="1:7" ht="15.6" x14ac:dyDescent="0.3">
      <c r="A75" s="6"/>
      <c r="B75" s="6"/>
      <c r="C75" s="1"/>
      <c r="D75" s="6"/>
      <c r="E75" s="6"/>
      <c r="F75" s="44"/>
      <c r="G75" s="1"/>
    </row>
    <row r="76" spans="1:7" ht="15.6" x14ac:dyDescent="0.3">
      <c r="A76" s="6"/>
      <c r="B76" s="6"/>
      <c r="C76" s="1"/>
      <c r="D76" s="6"/>
      <c r="E76" s="6"/>
      <c r="F76" s="6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" customHeight="1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6"/>
      <c r="B82" s="5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x14ac:dyDescent="0.3">
      <c r="B84" s="20"/>
      <c r="C84" s="20"/>
      <c r="D84" s="20"/>
      <c r="E84" s="20"/>
      <c r="F84" s="20"/>
    </row>
    <row r="85" spans="1:7" x14ac:dyDescent="0.3">
      <c r="B85" s="20"/>
      <c r="C85" s="20"/>
      <c r="E85" s="20"/>
      <c r="F85" s="20"/>
    </row>
  </sheetData>
  <mergeCells count="6">
    <mergeCell ref="M3:N3"/>
    <mergeCell ref="A24:F24"/>
    <mergeCell ref="A10:F10"/>
    <mergeCell ref="A63:F63"/>
    <mergeCell ref="B65:F6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2025-01-20T21:32:34Z</cp:lastPrinted>
  <dcterms:created xsi:type="dcterms:W3CDTF">2013-03-19T12:54:14Z</dcterms:created>
  <dcterms:modified xsi:type="dcterms:W3CDTF">2025-01-24T12:08:15Z</dcterms:modified>
</cp:coreProperties>
</file>