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1622148B-C6EC-49F2-BB2C-85EE1697B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I23" i="3"/>
  <c r="B23" i="3" s="1"/>
  <c r="J23" i="3"/>
  <c r="K23" i="3"/>
  <c r="H21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<sst xmlns="http://schemas.openxmlformats.org/spreadsheetml/2006/main" count="252" uniqueCount="147">
  <si>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</si>
  <si>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</si>
  <si>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</si>
  <si>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</si>
  <si>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</si>
  <si>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</si>
  <si>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</si>
  <si>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</si>
  <si>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</si>
  <si>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</si>
  <si>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</si>
  <si>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</si>
  <si>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</si>
  <si>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</si>
  <si>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</si>
  <si>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</si>
  <si>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</si>
  <si>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</si>
  <si>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</si>
  <si>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</si>
  <si>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</si>
  <si>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</si>
  <si>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</si>
  <si>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</si>
  <si>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</si>
  <si>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</si>
  <si>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</si>
  <si>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</si>
  <si>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</si>
  <si>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</si>
  <si>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</si>
  <si>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</si>
  <si>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</si>
  <si>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</si>
  <si>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</si>
  <si>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</si>
  <si>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</si>
  <si>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</si>
  <si>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</si>
  <si>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</si>
  <si>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</si>
  <si>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</si>
  <si>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</si>
  <si>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</si>
  <si>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</si>
  <si>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</si>
  <si>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</si>
  <si>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</si>
  <si>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</si>
  <si>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</si>
  <si>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</si>
  <si>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</si>
  <si>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</si>
  <si>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</si>
  <si>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</si>
  <si>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</si>
  <si>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</si>
  <si>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</si>
  <si>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</si>
  <si>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</si>
  <si>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</si>
  <si>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</si>
  <si>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</si>
  <si>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</si>
  <si>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</si>
  <si>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</si>
  <si>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</si>
  <si>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</si>
  <si>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</si>
  <si>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</si>
  <si>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</si>
  <si>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</si>
  <si>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</si>
  <si>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</si>
  <si>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</si>
  <si>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</si>
  <si>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</si>
  <si>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</si>
  <si>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</si>
  <si>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</si>
  <si>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</si>
  <si>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</si>
  <si>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</si>
  <si>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</si>
  <si>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</si>
  <si>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</si>
  <si>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</si>
  <si>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</si>
  <si>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</si>
  <si>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</si>
  <si>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</si>
  <si>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</si>
  <si>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</si>
  <si>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</si>
  <si>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</si>
  <si>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</si>
  <si>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</si>
  <si>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</si>
  <si>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</si>
  <si>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</si>
  <si>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</si>
  <si>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</si>
  <si>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</si>
  <si>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</si>
  <si>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</si>
  <si>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</si>
  <si>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</si>
  <si>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</si>
  <si>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</si>
  <si>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</si>
  <si>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</si>
  <si>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</si>
  <si>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</si>
  <si>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</si>
  <si>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</si>
  <si>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</si>
  <si>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</si>
  <si>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</si>
  <si>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</si>
  <si>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</si>
  <si>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</si>
  <si>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</si>
  <si>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</si>
  <si>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</si>
  <si>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</si>
  <si>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</si>
  <si>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</si>
  <si>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</si>
  <si>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</si>
  <si>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</si>
  <si>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</si>
  <si>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</si>
  <si>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</si>
  <si>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</si>
  <si>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</si>
  <si>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</si>
  <si>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CONTADO</t>
  </si>
  <si>
    <t>CUB C/R R8</t>
  </si>
  <si>
    <t>N° 11243</t>
  </si>
  <si>
    <t>INVERSIONES MIXXO SPA</t>
  </si>
  <si>
    <t>76.625.032-7</t>
  </si>
  <si>
    <t>VETA Y ARRIENDO DE BIENES INMUEBLES</t>
  </si>
  <si>
    <t>ANDREA GOMEZ</t>
  </si>
  <si>
    <t>569 9220 8443</t>
  </si>
  <si>
    <t>BICENTENARIO 4063 OF 62D VITACURA</t>
  </si>
  <si>
    <t>GRIS NUBE 2189 MT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</si>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</sst>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$ 101.745.-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I22" sqref="I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7153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45666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140</v>
      </c>
      <c r="D11" s="60"/>
      <c r="E11" s="60"/>
      <c r="F11" s="60" t="s">
        <v>124</v>
      </c>
      <c r="G11" s="61">
        <v>45673</v>
      </c>
      <c r="H11" s="62"/>
      <c r="I11" s="1"/>
    </row>
    <row r="12" spans="1:17" ht="15.6" x14ac:dyDescent="0.3">
      <c r="A12" s="1"/>
      <c r="B12" s="63" t="s">
        <v>132</v>
      </c>
      <c r="C12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08" t="s">
        <v>142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1" t="s">
        <v>143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 t="s">
        <v>144</v>
      </c>
      <c r="D15" s="43"/>
      <c r="E15" s="43"/>
      <c r="F15" s="67" t="s">
        <v>75</v>
      </c>
      <c r="G15" s="67" t="s">
        <v>136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137</v>
      </c>
      <c r="D21" s="106">
        <v>3240</v>
      </c>
      <c r="E21" s="106">
        <v>600</v>
      </c>
      <c r="F21" s="105" t="s">
        <v>145</v>
      </c>
      <c r="G21" s="109">
        <v>171000</v>
      </c>
      <c r="H21" s="110">
        <f t="shared" ref="H21" si="0">G21*B21</f>
        <v>171000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171000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32490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203490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zoomScaleNormal="100" workbookViewId="0">
      <selection activeCell="E24" sqref="E2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7153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INVERSIONES MIXXO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45673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3320</v>
      </c>
      <c r="E14" s="35">
        <f>K14+E13</f>
        <v>570</v>
      </c>
      <c r="F14" s="103" t="str">
        <f>C29</f>
        <v>CUB C/R R8</v>
      </c>
      <c r="G14" s="1"/>
      <c r="I14" s="3">
        <f>I22</f>
        <v>1</v>
      </c>
      <c r="J14" s="4">
        <f>D29</f>
        <v>3240</v>
      </c>
      <c r="K14" s="4">
        <f>E29</f>
        <v>600</v>
      </c>
    </row>
    <row r="15" spans="1:14" ht="15.6" x14ac:dyDescent="0.3">
      <c r="A15" s="96"/>
      <c r="B15" s="6"/>
      <c r="C15" s="6"/>
      <c r="D15" s="6"/>
      <c r="E15" s="89"/>
      <c r="F15" s="107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3280</v>
      </c>
      <c r="E22" s="16">
        <f>K22+E21</f>
        <v>730</v>
      </c>
      <c r="F22" s="104" t="str">
        <f>C29</f>
        <v>CUB C/R R8</v>
      </c>
      <c r="G22" s="1"/>
      <c r="I22" s="3">
        <f>B29</f>
        <v>1</v>
      </c>
      <c r="J22" s="4">
        <f t="shared" ref="J22:K22" si="3">D29</f>
        <v>3240</v>
      </c>
      <c r="K22" s="4">
        <f t="shared" si="3"/>
        <v>600</v>
      </c>
    </row>
    <row r="23" spans="1:11" ht="15.6" x14ac:dyDescent="0.3">
      <c r="A23" s="96"/>
      <c r="B23" s="16">
        <f t="shared" ref="B23" si="4">I23</f>
        <v>1</v>
      </c>
      <c r="C23" s="16"/>
      <c r="D23" s="16">
        <v>3650</v>
      </c>
      <c r="E23" s="16">
        <v>150</v>
      </c>
      <c r="F23" s="104" t="str">
        <f>C30</f>
        <v>ZOCALO</v>
      </c>
      <c r="G23" s="1"/>
      <c r="I23" s="3">
        <f>B30</f>
        <v>1</v>
      </c>
      <c r="J23" s="4">
        <f t="shared" ref="J23" si="5">D30</f>
        <v>3650</v>
      </c>
      <c r="K23" s="4">
        <f t="shared" ref="K23" si="6">E30</f>
        <v>150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135</v>
      </c>
      <c r="B29" s="25">
        <f>'4637'!B21</f>
        <v>1</v>
      </c>
      <c r="C29" s="103" t="str">
        <f>'4637'!C21</f>
        <v>CUB C/R R8</v>
      </c>
      <c r="D29" s="25">
        <f>'4637'!D21</f>
        <v>3240</v>
      </c>
      <c r="E29" s="25">
        <f>'4637'!E21</f>
        <v>600</v>
      </c>
      <c r="F29" s="25" t="str">
        <f>'4637'!F21</f>
        <v>GRIS NUBE 2189 MT</v>
      </c>
      <c r="G29" s="1"/>
    </row>
    <row r="30" spans="1:11" ht="15.6" x14ac:dyDescent="0.3">
      <c r="A30" s="52"/>
      <c r="B30" s="25">
        <v>1</v>
      </c>
      <c r="C30" s="103" t="s">
        <v>146</v>
      </c>
      <c r="D30" s="25">
        <v>3650</v>
      </c>
      <c r="E30" s="25">
        <v>150</v>
      </c>
      <c r="F30" s="25" t="s">
        <v>145</v>
      </c>
      <c r="G30" s="1"/>
    </row>
    <row r="31" spans="1:11" ht="15.6" x14ac:dyDescent="0.3">
      <c r="A31" s="52"/>
      <c r="B31" s="125"/>
      <c r="C31" s="126"/>
      <c r="D31" s="125"/>
      <c r="E31" s="125"/>
      <c r="F31" s="125"/>
      <c r="G31" s="1"/>
    </row>
    <row r="32" spans="1:11" ht="15.6" x14ac:dyDescent="0.3">
      <c r="A32" s="52"/>
      <c r="B32" s="125"/>
      <c r="C32" s="126"/>
      <c r="D32" s="125"/>
      <c r="E32" s="125"/>
      <c r="F32" s="125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7153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INVERSIONES MIXXO SPA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45673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0" t="s">
        <v>68</v>
      </c>
      <c r="B47" s="120"/>
      <c r="C47" s="120"/>
      <c r="D47" s="120"/>
      <c r="E47" s="120"/>
      <c r="F47" s="120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1" t="s">
        <v>69</v>
      </c>
      <c r="C49" s="122"/>
      <c r="D49" s="123"/>
      <c r="E49" s="123"/>
      <c r="F49" s="124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R8</v>
      </c>
      <c r="D51" s="39">
        <f>'4637'!D21</f>
        <v>3240</v>
      </c>
      <c r="E51" s="39">
        <f>'4637'!E21</f>
        <v>600</v>
      </c>
      <c r="F51" s="38" t="str">
        <f>'4637'!F21</f>
        <v>GRIS NUBE 2189 MT</v>
      </c>
      <c r="G51" s="1"/>
    </row>
    <row r="52" spans="1:7" s="15" customFormat="1" ht="15" customHeight="1" x14ac:dyDescent="0.3">
      <c r="A52" s="96"/>
      <c r="B52" s="38">
        <v>1</v>
      </c>
      <c r="C52" s="102" t="s">
        <v>146</v>
      </c>
      <c r="D52" s="39">
        <v>3650</v>
      </c>
      <c r="E52" s="39">
        <v>150</v>
      </c>
      <c r="F52" s="38" t="s">
        <v>145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2025-01-03T18:30:14Z</cp:lastPrinted>
  <dcterms:created xsi:type="dcterms:W3CDTF">2013-03-19T12:54:14Z</dcterms:created>
  <dcterms:modified xsi:type="dcterms:W3CDTF">2025-01-14T20:56:11Z</dcterms:modified>
</cp:coreProperties>
</file>