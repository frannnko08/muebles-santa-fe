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 ENERO 2025\"/>
    </mc:Choice>
  </mc:AlternateContent>
  <xr:revisionPtr revIDLastSave="0" documentId="13_ncr:1_{3B54F305-0AAC-456B-8995-F852129B305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CUBIERTA!$A$37:$F$60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I22" i="3" s="1"/>
  <c r="C28" i="3"/>
  <c r="F14" i="3" s="1"/>
  <c r="D28" i="3"/>
  <c r="J14" i="3" s="1"/>
  <c r="D14" i="3" s="1"/>
  <c r="E28" i="3"/>
  <c r="K22" i="3" s="1"/>
  <c r="E22" i="3" s="1"/>
  <c r="F28" i="3"/>
  <c r="B49" i="3"/>
  <c r="C49" i="3"/>
  <c r="D49" i="3"/>
  <c r="E49" i="3"/>
  <c r="F49" i="3"/>
  <c r="H21" i="4"/>
  <c r="J22" i="3" l="1"/>
  <c r="D22" i="3" s="1"/>
  <c r="K14" i="3"/>
  <c r="E14" i="3" s="1"/>
  <c r="B22" i="3"/>
  <c r="I14" i="3"/>
  <c r="B14" i="3" s="1"/>
  <c r="F22" i="3"/>
  <c r="H25" i="4"/>
  <c r="H26" i="4" l="1"/>
  <c r="H27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<sst xmlns="http://schemas.openxmlformats.org/spreadsheetml/2006/main" count="245" uniqueCount="142">
  <si>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</si>
  <si>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</si>
  <si>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</si>
  <si>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</si>
  <si>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</si>
  <si>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</si>
  <si>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</si>
  <si>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</si>
  <si>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</si>
  <si>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</si>
  <si>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</si>
  <si>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</si>
  <si>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</si>
  <si>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</si>
  <si>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</si>
  <si>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</si>
  <si>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</si>
  <si>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</si>
  <si>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</si>
  <si>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</si>
  <si>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</si>
  <si>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</si>
  <si>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</si>
  <si>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</si>
  <si>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</si>
  <si>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</si>
  <si>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</si>
  <si>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</si>
  <si>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</si>
  <si>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</si>
  <si>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</si>
  <si>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</si>
  <si>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</si>
  <si>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</si>
  <si>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</si>
  <si>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</si>
  <si>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</si>
  <si>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</si>
  <si>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</si>
  <si>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</si>
  <si>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</si>
  <si>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</si>
  <si>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</si>
  <si>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</si>
  <si>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</si>
  <si>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</si>
  <si>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</si>
  <si>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</si>
  <si>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</si>
  <si>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</si>
  <si>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</si>
  <si>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</si>
  <si>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</si>
  <si>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</si>
  <si>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</si>
  <si>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</si>
  <si>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</si>
  <si>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</si>
  <si>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</si>
  <si>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</si>
  <si>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</si>
  <si>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</si>
  <si>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</si>
  <si>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</si>
  <si>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</si>
  <si>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</si>
  <si>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</si>
  <si>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</si>
  <si>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</si>
  <si>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</si>
  <si>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</si>
  <si>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</si>
  <si>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</si>
  <si>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</si>
  <si>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</si>
  <si>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</si>
  <si>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</si>
  <si>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</si>
  <si>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</si>
  <si>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</si>
  <si>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</si>
  <si>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</si>
  <si>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</si>
  <si>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</si>
  <si>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</si>
  <si>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</si>
  <si>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</si>
  <si>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</si>
  <si>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</si>
  <si>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</si>
  <si>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</si>
  <si>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</si>
  <si>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</si>
  <si>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</si>
  <si>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</si>
  <si>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</si>
  <si>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</si>
  <si>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</si>
  <si>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</si>
  <si>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</si>
  <si>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</si>
  <si>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</si>
  <si>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</si>
  <si>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</si>
  <si>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</si>
  <si>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</si>
  <si>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</si>
  <si>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</si>
  <si>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</si>
  <si>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</si>
  <si>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</si>
  <si>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</si>
  <si>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</si>
  <si>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</si>
  <si>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</si>
  <si>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</si>
  <si>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</si>
  <si>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</si>
  <si>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</si>
  <si>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</si>
  <si>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</si>
  <si>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</si>
  <si>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</si>
  <si>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</si>
  <si>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</si>
  <si>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</si>
  <si>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</si>
  <si>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</si>
  <si>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</si>
  <si>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</si>
  <si>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</si>
  <si>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</si>
  <si>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</si>
  <si>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</si>
  <si>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</si>
  <si>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</si>
  <si>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NO</t>
  </si>
  <si>
    <t>N° 11227</t>
  </si>
  <si>
    <t>JUAN CARLOS VASQUEZ</t>
  </si>
  <si>
    <t>CONTADO</t>
  </si>
  <si>
    <t>+569 9439 0288</t>
  </si>
  <si>
    <t>PALAZZO 3171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</si>
</sst>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9" fillId="0" borderId="0" xfId="0" quotePrefix="1" applyFont="1"/>
    <xf numFmtId="0" fontId="5" fillId="3" borderId="0" xfId="0" applyFont="1" applyFill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</a:t>
          </a:r>
          <a:r>
            <a:rPr lang="es-CL" sz="900" b="1" i="1" baseline="0"/>
            <a:t> $ 118.325.-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OBSERVACIONES:DESPUNTAR Y ENCHAPAR LAS ESQUINAS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OBSERVACIONES:DESPUNTAR Y ENCHAPAR LAS ESQUINAS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9" workbookViewId="0">
      <selection activeCell="K23" sqref="K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137</v>
      </c>
      <c r="E8" s="1"/>
      <c r="F8" s="94" t="s">
        <v>27</v>
      </c>
      <c r="G8" s="95">
        <v>7150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138</v>
      </c>
      <c r="D10" s="55"/>
      <c r="E10" s="55"/>
      <c r="F10" s="56" t="s">
        <v>28</v>
      </c>
      <c r="G10" s="57">
        <v>45663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/>
      <c r="H11" s="62"/>
      <c r="I11" s="1"/>
    </row>
    <row r="12" spans="1:17" ht="15.6" x14ac:dyDescent="0.3">
      <c r="A12" s="1"/>
      <c r="B12" s="63" t="s">
        <v>132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134</v>
      </c>
      <c r="C13" s="114"/>
      <c r="D13" s="43"/>
      <c r="E13" s="43"/>
      <c r="F13" s="43" t="s">
        <v>128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13" t="s">
        <v>140</v>
      </c>
      <c r="D14" s="66"/>
      <c r="E14" s="60"/>
      <c r="F14" s="60" t="s">
        <v>29</v>
      </c>
      <c r="G14" s="60" t="s">
        <v>136</v>
      </c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139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15" t="s">
        <v>18</v>
      </c>
      <c r="G16" s="115"/>
      <c r="H16" s="11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7" t="s">
        <v>19</v>
      </c>
      <c r="C19" s="118"/>
      <c r="D19" s="118"/>
      <c r="E19" s="118"/>
      <c r="F19" s="118"/>
      <c r="G19" s="118"/>
      <c r="H19" s="119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</v>
      </c>
      <c r="C21" s="105" t="s">
        <v>35</v>
      </c>
      <c r="D21" s="111">
        <v>1800</v>
      </c>
      <c r="E21" s="111">
        <v>1450</v>
      </c>
      <c r="F21" s="105" t="s">
        <v>141</v>
      </c>
      <c r="G21" s="108">
        <v>198866</v>
      </c>
      <c r="H21" s="106">
        <f t="shared" ref="H21" si="0">G21*B21</f>
        <v>198866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109"/>
      <c r="D22" s="110"/>
      <c r="E22" s="110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198866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37784.54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236650.54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25" zoomScaleNormal="100" workbookViewId="0">
      <selection activeCell="A37" sqref="A37:F60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61</v>
      </c>
      <c r="L3" s="122"/>
      <c r="M3" s="122" t="s">
        <v>14</v>
      </c>
      <c r="N3" s="122"/>
    </row>
    <row r="4" spans="1:14" ht="15.75" customHeight="1" x14ac:dyDescent="0.3">
      <c r="A4" s="1"/>
      <c r="B4" s="1"/>
      <c r="C4" s="40" t="s">
        <v>27</v>
      </c>
      <c r="D4" s="14">
        <f>'4637'!G8</f>
        <v>7150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JUAN CARLOS VASQUEZ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61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/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1800</v>
      </c>
      <c r="E14" s="35">
        <f>K14</f>
        <v>1450</v>
      </c>
      <c r="F14" s="103" t="str">
        <f>C28</f>
        <v>CUB MESA 4 LADOS</v>
      </c>
      <c r="G14" s="1"/>
      <c r="I14" s="3">
        <f>I22</f>
        <v>1</v>
      </c>
      <c r="J14" s="4">
        <f>D28</f>
        <v>1800</v>
      </c>
      <c r="K14" s="4">
        <f>E28</f>
        <v>1450</v>
      </c>
    </row>
    <row r="15" spans="1:14" ht="15.6" x14ac:dyDescent="0.3">
      <c r="A15" s="96"/>
      <c r="B15" s="6"/>
      <c r="C15" s="6"/>
      <c r="D15" s="6"/>
      <c r="E15" s="89"/>
      <c r="F15" s="112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3" t="s">
        <v>14</v>
      </c>
      <c r="B18" s="123"/>
      <c r="C18" s="123"/>
      <c r="D18" s="123"/>
      <c r="E18" s="123"/>
      <c r="F18" s="123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100</v>
      </c>
      <c r="E21" s="21">
        <v>100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2">I22</f>
        <v>1</v>
      </c>
      <c r="C22" s="16"/>
      <c r="D22" s="16">
        <f>J22+D$21</f>
        <v>1900</v>
      </c>
      <c r="E22" s="16">
        <f>K22+E21</f>
        <v>1550</v>
      </c>
      <c r="F22" s="104" t="str">
        <f>C28</f>
        <v>CUB MESA 4 LADOS</v>
      </c>
      <c r="G22" s="1"/>
      <c r="I22" s="3">
        <f>B28</f>
        <v>1</v>
      </c>
      <c r="J22" s="4">
        <f t="shared" ref="J22:K22" si="3">D28</f>
        <v>1800</v>
      </c>
      <c r="K22" s="4">
        <f t="shared" si="3"/>
        <v>1450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135</v>
      </c>
      <c r="B28" s="25">
        <f>'4637'!B21</f>
        <v>1</v>
      </c>
      <c r="C28" s="103" t="str">
        <f>'4637'!C21</f>
        <v>CUB MESA 4 LADOS</v>
      </c>
      <c r="D28" s="25">
        <f>'4637'!D21</f>
        <v>1800</v>
      </c>
      <c r="E28" s="25">
        <f>'4637'!E21</f>
        <v>1450</v>
      </c>
      <c r="F28" s="25" t="str">
        <f>'4637'!F21</f>
        <v>PALAZZO 3171 BR</v>
      </c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7150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JUAN CARLOS VASQUEZ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3" t="s">
        <v>68</v>
      </c>
      <c r="B45" s="123"/>
      <c r="C45" s="123"/>
      <c r="D45" s="123"/>
      <c r="E45" s="123"/>
      <c r="F45" s="123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4" t="s">
        <v>69</v>
      </c>
      <c r="C47" s="125"/>
      <c r="D47" s="126"/>
      <c r="E47" s="126"/>
      <c r="F47" s="127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1</v>
      </c>
      <c r="C49" s="102" t="str">
        <f>'4637'!C21</f>
        <v>CUB MESA 4 LADOS</v>
      </c>
      <c r="D49" s="39">
        <f>'4637'!D21</f>
        <v>1800</v>
      </c>
      <c r="E49" s="39">
        <f>'4637'!E21</f>
        <v>1450</v>
      </c>
      <c r="F49" s="38" t="str">
        <f>'4637'!F21</f>
        <v>PALAZZO 3171 BR</v>
      </c>
      <c r="G49" s="1"/>
    </row>
    <row r="50" spans="1:7" s="15" customFormat="1" ht="15" customHeight="1" x14ac:dyDescent="0.3">
      <c r="A50" s="96"/>
      <c r="B50" s="52"/>
      <c r="C50" s="107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2025-01-08T11:57:20Z</cp:lastPrinted>
  <dcterms:created xsi:type="dcterms:W3CDTF">2013-03-19T12:54:14Z</dcterms:created>
  <dcterms:modified xsi:type="dcterms:W3CDTF">2025-01-08T11:57:33Z</dcterms:modified>
</cp:coreProperties>
</file>