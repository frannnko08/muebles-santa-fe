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D683B962-D842-4FF2-BABA-1823BB02EF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'4637'!$A$1:$H$44</definedName>
    <definedName name="_xlnm.Print_Area" localSheetId="2">CUBIERTA!$A$1:$F$75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" l="1"/>
  <c r="I48" i="3"/>
  <c r="B48" i="3" s="1"/>
  <c r="J48" i="3"/>
  <c r="D48" i="3" s="1"/>
  <c r="K48" i="3"/>
  <c r="E48" i="3" s="1"/>
  <c r="J19" i="3"/>
  <c r="D19" i="3" s="1"/>
  <c r="B27" i="3"/>
  <c r="K27" i="3"/>
  <c r="E27" i="3" s="1"/>
  <c r="B56" i="3"/>
  <c r="I37" i="3" s="1"/>
  <c r="B37" i="3" s="1"/>
  <c r="C56" i="3"/>
  <c r="F37" i="3" s="1"/>
  <c r="D56" i="3"/>
  <c r="J37" i="3" s="1"/>
  <c r="D37" i="3" s="1"/>
  <c r="E56" i="3"/>
  <c r="K37" i="3" s="1"/>
  <c r="E37" i="3" s="1"/>
  <c r="F56" i="3"/>
  <c r="B57" i="3"/>
  <c r="I38" i="3" s="1"/>
  <c r="B38" i="3" s="1"/>
  <c r="C57" i="3"/>
  <c r="F38" i="3" s="1"/>
  <c r="D57" i="3"/>
  <c r="J38" i="3" s="1"/>
  <c r="D38" i="3" s="1"/>
  <c r="E57" i="3"/>
  <c r="K38" i="3" s="1"/>
  <c r="E38" i="3" s="1"/>
  <c r="F57" i="3"/>
  <c r="B58" i="3"/>
  <c r="I39" i="3" s="1"/>
  <c r="B39" i="3" s="1"/>
  <c r="C58" i="3"/>
  <c r="F39" i="3" s="1"/>
  <c r="D58" i="3"/>
  <c r="J39" i="3" s="1"/>
  <c r="D39" i="3" s="1"/>
  <c r="E58" i="3"/>
  <c r="K39" i="3" s="1"/>
  <c r="E39" i="3" s="1"/>
  <c r="F58" i="3"/>
  <c r="B59" i="3"/>
  <c r="I40" i="3" s="1"/>
  <c r="B40" i="3" s="1"/>
  <c r="C59" i="3"/>
  <c r="F40" i="3" s="1"/>
  <c r="D59" i="3"/>
  <c r="J40" i="3" s="1"/>
  <c r="D40" i="3" s="1"/>
  <c r="E59" i="3"/>
  <c r="K40" i="3" s="1"/>
  <c r="E40" i="3" s="1"/>
  <c r="F59" i="3"/>
  <c r="B60" i="3"/>
  <c r="I41" i="3" s="1"/>
  <c r="B41" i="3" s="1"/>
  <c r="C60" i="3"/>
  <c r="F41" i="3" s="1"/>
  <c r="D60" i="3"/>
  <c r="J41" i="3" s="1"/>
  <c r="D41" i="3" s="1"/>
  <c r="E60" i="3"/>
  <c r="K41" i="3" s="1"/>
  <c r="E41" i="3" s="1"/>
  <c r="F60" i="3"/>
  <c r="B61" i="3"/>
  <c r="I42" i="3" s="1"/>
  <c r="B42" i="3" s="1"/>
  <c r="C61" i="3"/>
  <c r="F42" i="3" s="1"/>
  <c r="D61" i="3"/>
  <c r="J42" i="3" s="1"/>
  <c r="D42" i="3" s="1"/>
  <c r="E61" i="3"/>
  <c r="K42" i="3" s="1"/>
  <c r="E42" i="3" s="1"/>
  <c r="F61" i="3"/>
  <c r="B62" i="3"/>
  <c r="I43" i="3" s="1"/>
  <c r="B43" i="3" s="1"/>
  <c r="C62" i="3"/>
  <c r="F43" i="3" s="1"/>
  <c r="D62" i="3"/>
  <c r="J43" i="3" s="1"/>
  <c r="D43" i="3" s="1"/>
  <c r="E62" i="3"/>
  <c r="K43" i="3" s="1"/>
  <c r="E43" i="3" s="1"/>
  <c r="F62" i="3"/>
  <c r="B63" i="3"/>
  <c r="I44" i="3" s="1"/>
  <c r="B44" i="3" s="1"/>
  <c r="C63" i="3"/>
  <c r="F44" i="3" s="1"/>
  <c r="D63" i="3"/>
  <c r="J44" i="3" s="1"/>
  <c r="D44" i="3" s="1"/>
  <c r="E63" i="3"/>
  <c r="K44" i="3" s="1"/>
  <c r="E44" i="3" s="1"/>
  <c r="F63" i="3"/>
  <c r="B64" i="3"/>
  <c r="I45" i="3" s="1"/>
  <c r="B45" i="3" s="1"/>
  <c r="C64" i="3"/>
  <c r="F45" i="3" s="1"/>
  <c r="D64" i="3"/>
  <c r="J45" i="3" s="1"/>
  <c r="D45" i="3" s="1"/>
  <c r="E64" i="3"/>
  <c r="K45" i="3" s="1"/>
  <c r="E45" i="3" s="1"/>
  <c r="F64" i="3"/>
  <c r="B65" i="3"/>
  <c r="I46" i="3" s="1"/>
  <c r="B46" i="3" s="1"/>
  <c r="C65" i="3"/>
  <c r="F46" i="3" s="1"/>
  <c r="D65" i="3"/>
  <c r="J46" i="3" s="1"/>
  <c r="D46" i="3" s="1"/>
  <c r="E65" i="3"/>
  <c r="K46" i="3" s="1"/>
  <c r="E46" i="3" s="1"/>
  <c r="F65" i="3"/>
  <c r="B66" i="3"/>
  <c r="I47" i="3" s="1"/>
  <c r="B47" i="3" s="1"/>
  <c r="C66" i="3"/>
  <c r="F47" i="3" s="1"/>
  <c r="D66" i="3"/>
  <c r="J47" i="3" s="1"/>
  <c r="D47" i="3" s="1"/>
  <c r="E66" i="3"/>
  <c r="K47" i="3" s="1"/>
  <c r="E47" i="3" s="1"/>
  <c r="F66" i="3"/>
  <c r="B67" i="3"/>
  <c r="C67" i="3"/>
  <c r="F27" i="3" s="1"/>
  <c r="D67" i="3"/>
  <c r="J27" i="3" s="1"/>
  <c r="D27" i="3" s="1"/>
  <c r="E67" i="3"/>
  <c r="F67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97" i="3"/>
  <c r="C97" i="3"/>
  <c r="D97" i="3"/>
  <c r="E97" i="3"/>
  <c r="F97" i="3"/>
  <c r="B98" i="3"/>
  <c r="C98" i="3"/>
  <c r="D98" i="3"/>
  <c r="E98" i="3"/>
  <c r="F98" i="3"/>
  <c r="B99" i="3"/>
  <c r="C99" i="3"/>
  <c r="D99" i="3"/>
  <c r="E99" i="3"/>
  <c r="F99" i="3"/>
  <c r="B100" i="3"/>
  <c r="C100" i="3"/>
  <c r="D100" i="3"/>
  <c r="E100" i="3"/>
  <c r="F100" i="3"/>
  <c r="B101" i="3"/>
  <c r="C101" i="3"/>
  <c r="D101" i="3"/>
  <c r="E101" i="3"/>
  <c r="F101" i="3"/>
  <c r="J26" i="3" l="1"/>
  <c r="D26" i="3" s="1"/>
  <c r="K22" i="3"/>
  <c r="E22" i="3" s="1"/>
  <c r="K25" i="3"/>
  <c r="E25" i="3" s="1"/>
  <c r="J22" i="3"/>
  <c r="D22" i="3" s="1"/>
  <c r="K18" i="3"/>
  <c r="E18" i="3" s="1"/>
  <c r="K23" i="3"/>
  <c r="E23" i="3" s="1"/>
  <c r="K21" i="3"/>
  <c r="E21" i="3" s="1"/>
  <c r="J18" i="3"/>
  <c r="D18" i="3" s="1"/>
  <c r="K26" i="3"/>
  <c r="E26" i="3" s="1"/>
  <c r="J23" i="3"/>
  <c r="D23" i="3" s="1"/>
  <c r="K19" i="3"/>
  <c r="E19" i="3" s="1"/>
  <c r="K17" i="3"/>
  <c r="E17" i="3" s="1"/>
  <c r="K24" i="3"/>
  <c r="E24" i="3" s="1"/>
  <c r="K20" i="3"/>
  <c r="E20" i="3" s="1"/>
  <c r="K16" i="3"/>
  <c r="E16" i="3" s="1"/>
  <c r="J24" i="3"/>
  <c r="D24" i="3" s="1"/>
  <c r="J20" i="3"/>
  <c r="D20" i="3" s="1"/>
  <c r="J16" i="3"/>
  <c r="D16" i="3" s="1"/>
  <c r="I26" i="3"/>
  <c r="B26" i="3" s="1"/>
  <c r="I25" i="3"/>
  <c r="B25" i="3" s="1"/>
  <c r="I24" i="3"/>
  <c r="B24" i="3" s="1"/>
  <c r="I23" i="3"/>
  <c r="B23" i="3" s="1"/>
  <c r="I22" i="3"/>
  <c r="B22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J25" i="3"/>
  <c r="D25" i="3" s="1"/>
  <c r="J21" i="3"/>
  <c r="D21" i="3" s="1"/>
  <c r="J17" i="3"/>
  <c r="D17" i="3" s="1"/>
  <c r="F26" i="3"/>
  <c r="F25" i="3"/>
  <c r="F24" i="3"/>
  <c r="F23" i="3"/>
  <c r="F22" i="3"/>
  <c r="F21" i="3"/>
  <c r="F20" i="3"/>
  <c r="F19" i="3"/>
  <c r="F18" i="3"/>
  <c r="F17" i="3"/>
  <c r="F16" i="3"/>
  <c r="H23" i="4"/>
  <c r="H24" i="4"/>
  <c r="H25" i="4"/>
  <c r="H26" i="4"/>
  <c r="H27" i="4"/>
  <c r="H28" i="4"/>
  <c r="H29" i="4"/>
  <c r="H30" i="4"/>
  <c r="H31" i="4"/>
  <c r="H32" i="4"/>
  <c r="H33" i="4"/>
  <c r="H34" i="4"/>
  <c r="B55" i="3"/>
  <c r="I36" i="3" s="1"/>
  <c r="C55" i="3"/>
  <c r="F15" i="3" s="1"/>
  <c r="D55" i="3"/>
  <c r="J15" i="3" s="1"/>
  <c r="D15" i="3" s="1"/>
  <c r="E55" i="3"/>
  <c r="K15" i="3" s="1"/>
  <c r="E15" i="3" s="1"/>
  <c r="F55" i="3"/>
  <c r="B89" i="3"/>
  <c r="C89" i="3"/>
  <c r="D89" i="3"/>
  <c r="E89" i="3"/>
  <c r="F89" i="3"/>
  <c r="H22" i="4"/>
  <c r="B54" i="3"/>
  <c r="I35" i="3" s="1"/>
  <c r="C54" i="3"/>
  <c r="F14" i="3" s="1"/>
  <c r="D54" i="3"/>
  <c r="J14" i="3" s="1"/>
  <c r="D14" i="3" s="1"/>
  <c r="E54" i="3"/>
  <c r="K35" i="3" s="1"/>
  <c r="E35" i="3" s="1"/>
  <c r="F54" i="3"/>
  <c r="B88" i="3"/>
  <c r="C88" i="3"/>
  <c r="D88" i="3"/>
  <c r="E88" i="3"/>
  <c r="F88" i="3"/>
  <c r="H21" i="4"/>
  <c r="F36" i="3" l="1"/>
  <c r="B36" i="3"/>
  <c r="I15" i="3"/>
  <c r="B15" i="3" s="1"/>
  <c r="K36" i="3"/>
  <c r="E36" i="3" s="1"/>
  <c r="J36" i="3"/>
  <c r="D36" i="3" s="1"/>
  <c r="J35" i="3"/>
  <c r="D35" i="3" s="1"/>
  <c r="K14" i="3"/>
  <c r="E14" i="3" s="1"/>
  <c r="B35" i="3"/>
  <c r="I14" i="3"/>
  <c r="B14" i="3" s="1"/>
  <c r="F35" i="3"/>
  <c r="H38" i="4"/>
  <c r="H39" i="4" l="1"/>
  <c r="H40" i="4" l="1"/>
  <c r="N5" i="3" l="1"/>
  <c r="M5" i="3" l="1"/>
  <c r="L5" i="3"/>
  <c r="K5" i="3"/>
  <c r="C81" i="3" l="1"/>
  <c r="C7" i="3"/>
  <c r="D79" i="3"/>
  <c r="D5" i="3"/>
  <c r="D81" i="3"/>
  <c r="D7" i="3"/>
  <c r="D78" i="3"/>
  <c r="D4" i="3"/>
</calcChain>
</file>

<file path=xl/sharedStrings.xml><?xml version="1.0" encoding="utf-8"?>
<sst xmlns="http://schemas.openxmlformats.org/spreadsheetml/2006/main" count="274" uniqueCount="148">
  <si>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</si>
  <si>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</si>
  <si>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</si>
  <si>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</si>
  <si>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</si>
  <si>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</si>
  <si>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</si>
  <si>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</si>
  <si>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</si>
  <si>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</si>
  <si>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</si>
  <si>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</si>
  <si>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</si>
  <si>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</si>
  <si>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</si>
  <si>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</si>
  <si>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</si>
  <si>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</si>
  <si>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</si>
  <si>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</si>
  <si>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</si>
  <si>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</si>
  <si>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</si>
  <si>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</si>
  <si>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</si>
  <si>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</si>
  <si>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</si>
  <si>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</si>
  <si>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</si>
  <si>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</si>
  <si>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</si>
  <si>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</si>
  <si>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</si>
  <si>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</si>
  <si>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</si>
  <si>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</si>
  <si>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</si>
  <si>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</si>
  <si>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</si>
  <si>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</si>
  <si>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</si>
  <si>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</si>
  <si>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</si>
  <si>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</si>
  <si>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</si>
  <si>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</si>
  <si>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</si>
  <si>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</si>
  <si>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</si>
  <si>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</si>
  <si>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</si>
  <si>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</si>
  <si>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</si>
  <si>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</si>
  <si>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</si>
  <si>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</si>
  <si>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</si>
  <si>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</si>
  <si>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</si>
  <si>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</si>
  <si>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</si>
  <si>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</si>
  <si>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</si>
  <si>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</si>
  <si>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</si>
  <si>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</si>
  <si>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</si>
  <si>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</si>
  <si>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</si>
  <si>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</si>
  <si>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</si>
  <si>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</si>
  <si>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</si>
  <si>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</si>
  <si>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</si>
  <si>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</si>
  <si>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</si>
  <si>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</si>
  <si>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</si>
  <si>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</si>
  <si>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</si>
  <si>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</si>
  <si>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</si>
  <si>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</si>
  <si>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</si>
  <si>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</si>
  <si>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</si>
  <si>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</si>
  <si>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</si>
  <si>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</si>
  <si>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</si>
  <si>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</si>
  <si>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</si>
  <si>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</si>
  <si>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</si>
  <si>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</si>
  <si>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</si>
  <si>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</si>
  <si>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</si>
  <si>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</si>
  <si>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</si>
  <si>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</si>
  <si>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</si>
  <si>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</si>
  <si>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</si>
  <si>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</si>
  <si>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</si>
  <si>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</si>
  <si>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</si>
  <si>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</si>
  <si>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</si>
  <si>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</si>
  <si>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</si>
  <si>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</si>
  <si>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</si>
  <si>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</si>
  <si>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</si>
  <si>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</si>
  <si>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</si>
  <si>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</si>
  <si>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</si>
  <si>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</si>
  <si>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</si>
  <si>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</si>
  <si>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</si>
  <si>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</si>
  <si>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</si>
  <si>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</si>
  <si>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</si>
  <si>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</si>
  <si>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</si>
  <si>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</si>
  <si>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</si>
  <si>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</si>
  <si>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</si>
  <si>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</si>
  <si>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</si>
  <si>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</si>
  <si>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</si>
  <si>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</si>
  <si>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</si>
  <si>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</si>
  <si>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</si>
  <si>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S/R 180°</t>
  </si>
  <si>
    <t>CUB C/R 180°</t>
  </si>
  <si>
    <t>CUB MESA 180° 2LADOS</t>
  </si>
  <si>
    <t>N° 11228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</si>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</sst>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5" borderId="1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37</xdr:row>
      <xdr:rowOff>9525</xdr:rowOff>
    </xdr:from>
    <xdr:to>
      <xdr:col>5</xdr:col>
      <xdr:colOff>1390650</xdr:colOff>
      <xdr:row>41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29</xdr:row>
      <xdr:rowOff>76200</xdr:rowOff>
    </xdr:from>
    <xdr:to>
      <xdr:col>5</xdr:col>
      <xdr:colOff>1676399</xdr:colOff>
      <xdr:row>31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82</xdr:row>
      <xdr:rowOff>171450</xdr:rowOff>
    </xdr:from>
    <xdr:to>
      <xdr:col>5</xdr:col>
      <xdr:colOff>1685924</xdr:colOff>
      <xdr:row>84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80</xdr:row>
      <xdr:rowOff>0</xdr:rowOff>
    </xdr:from>
    <xdr:to>
      <xdr:col>6</xdr:col>
      <xdr:colOff>0</xdr:colOff>
      <xdr:row>81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78</xdr:row>
      <xdr:rowOff>38100</xdr:rowOff>
    </xdr:from>
    <xdr:to>
      <xdr:col>6</xdr:col>
      <xdr:colOff>0</xdr:colOff>
      <xdr:row>79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77</xdr:row>
      <xdr:rowOff>0</xdr:rowOff>
    </xdr:from>
    <xdr:to>
      <xdr:col>6</xdr:col>
      <xdr:colOff>0</xdr:colOff>
      <xdr:row>78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38100</xdr:colOff>
      <xdr:row>104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103</xdr:row>
      <xdr:rowOff>0</xdr:rowOff>
    </xdr:from>
    <xdr:to>
      <xdr:col>2</xdr:col>
      <xdr:colOff>1019175</xdr:colOff>
      <xdr:row>103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103</xdr:row>
      <xdr:rowOff>0</xdr:rowOff>
    </xdr:from>
    <xdr:to>
      <xdr:col>3</xdr:col>
      <xdr:colOff>352425</xdr:colOff>
      <xdr:row>104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103</xdr:row>
      <xdr:rowOff>0</xdr:rowOff>
    </xdr:from>
    <xdr:to>
      <xdr:col>4</xdr:col>
      <xdr:colOff>257175</xdr:colOff>
      <xdr:row>104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103</xdr:row>
      <xdr:rowOff>0</xdr:rowOff>
    </xdr:from>
    <xdr:to>
      <xdr:col>5</xdr:col>
      <xdr:colOff>447675</xdr:colOff>
      <xdr:row>103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103</xdr:row>
      <xdr:rowOff>0</xdr:rowOff>
    </xdr:from>
    <xdr:to>
      <xdr:col>6</xdr:col>
      <xdr:colOff>0</xdr:colOff>
      <xdr:row>103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103</xdr:row>
      <xdr:rowOff>190500</xdr:rowOff>
    </xdr:from>
    <xdr:to>
      <xdr:col>2</xdr:col>
      <xdr:colOff>304800</xdr:colOff>
      <xdr:row>105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103</xdr:row>
      <xdr:rowOff>190500</xdr:rowOff>
    </xdr:from>
    <xdr:to>
      <xdr:col>2</xdr:col>
      <xdr:colOff>1276350</xdr:colOff>
      <xdr:row>105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103</xdr:row>
      <xdr:rowOff>190500</xdr:rowOff>
    </xdr:from>
    <xdr:to>
      <xdr:col>3</xdr:col>
      <xdr:colOff>619125</xdr:colOff>
      <xdr:row>105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103</xdr:row>
      <xdr:rowOff>190500</xdr:rowOff>
    </xdr:from>
    <xdr:to>
      <xdr:col>4</xdr:col>
      <xdr:colOff>523875</xdr:colOff>
      <xdr:row>105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103</xdr:row>
      <xdr:rowOff>190500</xdr:rowOff>
    </xdr:from>
    <xdr:to>
      <xdr:col>5</xdr:col>
      <xdr:colOff>723900</xdr:colOff>
      <xdr:row>105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103</xdr:row>
      <xdr:rowOff>190500</xdr:rowOff>
    </xdr:from>
    <xdr:to>
      <xdr:col>6</xdr:col>
      <xdr:colOff>0</xdr:colOff>
      <xdr:row>105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69</xdr:row>
      <xdr:rowOff>15239</xdr:rowOff>
    </xdr:from>
    <xdr:to>
      <xdr:col>6</xdr:col>
      <xdr:colOff>68580</xdr:colOff>
      <xdr:row>73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49</xdr:row>
      <xdr:rowOff>200025</xdr:rowOff>
    </xdr:from>
    <xdr:to>
      <xdr:col>6</xdr:col>
      <xdr:colOff>19049</xdr:colOff>
      <xdr:row>51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106</xdr:row>
      <xdr:rowOff>32385</xdr:rowOff>
    </xdr:from>
    <xdr:to>
      <xdr:col>6</xdr:col>
      <xdr:colOff>19050</xdr:colOff>
      <xdr:row>110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76</xdr:row>
      <xdr:rowOff>41910</xdr:rowOff>
    </xdr:from>
    <xdr:to>
      <xdr:col>1</xdr:col>
      <xdr:colOff>801763</xdr:colOff>
      <xdr:row>82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opLeftCell="A19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146</v>
      </c>
      <c r="E8" s="1"/>
      <c r="F8" s="94" t="s">
        <v>27</v>
      </c>
      <c r="G8" s="95">
        <v>7149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45660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45667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22674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142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141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4</v>
      </c>
      <c r="C21" s="106" t="s">
        <v>143</v>
      </c>
      <c r="D21" s="112">
        <v>1770</v>
      </c>
      <c r="E21" s="112">
        <v>700</v>
      </c>
      <c r="F21" s="106" t="s">
        <v>147</v>
      </c>
      <c r="G21" s="109">
        <v>64079</v>
      </c>
      <c r="H21" s="107">
        <f t="shared" ref="H21" si="0">G21*B21</f>
        <v>256316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3</v>
      </c>
      <c r="C22" s="106" t="s">
        <v>145</v>
      </c>
      <c r="D22" s="112">
        <v>3000</v>
      </c>
      <c r="E22" s="112">
        <v>1200</v>
      </c>
      <c r="F22" s="106" t="s">
        <v>147</v>
      </c>
      <c r="G22" s="109">
        <v>182885</v>
      </c>
      <c r="H22" s="107">
        <f t="shared" ref="H22:H34" si="1">G22*B22</f>
        <v>548655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144</v>
      </c>
      <c r="D23" s="112">
        <v>2890</v>
      </c>
      <c r="E23" s="112">
        <v>700</v>
      </c>
      <c r="F23" s="106" t="s">
        <v>147</v>
      </c>
      <c r="G23" s="109">
        <v>102873</v>
      </c>
      <c r="H23" s="107">
        <f t="shared" si="1"/>
        <v>102873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144</v>
      </c>
      <c r="D24" s="112">
        <v>3000</v>
      </c>
      <c r="E24" s="112">
        <v>700</v>
      </c>
      <c r="F24" s="106" t="s">
        <v>147</v>
      </c>
      <c r="G24" s="109">
        <v>106683</v>
      </c>
      <c r="H24" s="107">
        <f t="shared" si="1"/>
        <v>106683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</v>
      </c>
      <c r="C25" s="106" t="s">
        <v>144</v>
      </c>
      <c r="D25" s="112">
        <v>1400</v>
      </c>
      <c r="E25" s="112">
        <v>700</v>
      </c>
      <c r="F25" s="106" t="s">
        <v>147</v>
      </c>
      <c r="G25" s="109">
        <v>51263</v>
      </c>
      <c r="H25" s="107">
        <f t="shared" si="1"/>
        <v>51263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</v>
      </c>
      <c r="C26" s="106" t="s">
        <v>144</v>
      </c>
      <c r="D26" s="112">
        <v>2510</v>
      </c>
      <c r="E26" s="112">
        <v>700</v>
      </c>
      <c r="F26" s="106" t="s">
        <v>147</v>
      </c>
      <c r="G26" s="109">
        <v>89711</v>
      </c>
      <c r="H26" s="107">
        <f t="shared" si="1"/>
        <v>89711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1</v>
      </c>
      <c r="C27" s="106" t="s">
        <v>144</v>
      </c>
      <c r="D27" s="112">
        <v>2070</v>
      </c>
      <c r="E27" s="112">
        <v>700</v>
      </c>
      <c r="F27" s="106" t="s">
        <v>147</v>
      </c>
      <c r="G27" s="109">
        <v>74470</v>
      </c>
      <c r="H27" s="107">
        <f t="shared" si="1"/>
        <v>74470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</v>
      </c>
      <c r="C28" s="106" t="s">
        <v>144</v>
      </c>
      <c r="D28" s="112">
        <v>2120</v>
      </c>
      <c r="E28" s="112">
        <v>700</v>
      </c>
      <c r="F28" s="106" t="s">
        <v>147</v>
      </c>
      <c r="G28" s="109">
        <v>76202</v>
      </c>
      <c r="H28" s="107">
        <f t="shared" si="1"/>
        <v>76202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</v>
      </c>
      <c r="C29" s="106" t="s">
        <v>144</v>
      </c>
      <c r="D29" s="112">
        <v>2142</v>
      </c>
      <c r="E29" s="112">
        <v>700</v>
      </c>
      <c r="F29" s="106" t="s">
        <v>147</v>
      </c>
      <c r="G29" s="109">
        <v>76964</v>
      </c>
      <c r="H29" s="107">
        <f t="shared" si="1"/>
        <v>76964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6">
        <v>1</v>
      </c>
      <c r="C30" s="106" t="s">
        <v>144</v>
      </c>
      <c r="D30" s="112">
        <v>2100</v>
      </c>
      <c r="E30" s="112">
        <v>700</v>
      </c>
      <c r="F30" s="106" t="s">
        <v>147</v>
      </c>
      <c r="G30" s="109">
        <v>75509</v>
      </c>
      <c r="H30" s="107">
        <f t="shared" si="1"/>
        <v>75509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6">
        <v>1</v>
      </c>
      <c r="C31" s="106" t="s">
        <v>144</v>
      </c>
      <c r="D31" s="112">
        <v>2528</v>
      </c>
      <c r="E31" s="112">
        <v>700</v>
      </c>
      <c r="F31" s="106" t="s">
        <v>147</v>
      </c>
      <c r="G31" s="109">
        <v>90334</v>
      </c>
      <c r="H31" s="107">
        <f t="shared" si="1"/>
        <v>90334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106">
        <v>1</v>
      </c>
      <c r="C32" s="106" t="s">
        <v>144</v>
      </c>
      <c r="D32" s="112">
        <v>2635</v>
      </c>
      <c r="E32" s="112">
        <v>700</v>
      </c>
      <c r="F32" s="106" t="s">
        <v>147</v>
      </c>
      <c r="G32" s="109">
        <v>94040</v>
      </c>
      <c r="H32" s="107">
        <f t="shared" si="1"/>
        <v>94040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106">
        <v>1</v>
      </c>
      <c r="C33" s="106" t="s">
        <v>144</v>
      </c>
      <c r="D33" s="112">
        <v>2100</v>
      </c>
      <c r="E33" s="112">
        <v>700</v>
      </c>
      <c r="F33" s="106" t="s">
        <v>147</v>
      </c>
      <c r="G33" s="109">
        <v>75509</v>
      </c>
      <c r="H33" s="107">
        <f t="shared" si="1"/>
        <v>75509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106">
        <v>1</v>
      </c>
      <c r="C34" s="106" t="s">
        <v>144</v>
      </c>
      <c r="D34" s="112">
        <v>2135</v>
      </c>
      <c r="E34" s="112">
        <v>700</v>
      </c>
      <c r="F34" s="106" t="s">
        <v>147</v>
      </c>
      <c r="G34" s="109">
        <v>76722</v>
      </c>
      <c r="H34" s="107">
        <f t="shared" si="1"/>
        <v>76722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97"/>
      <c r="C35" s="110"/>
      <c r="D35" s="111"/>
      <c r="E35" s="111"/>
      <c r="F35" s="97"/>
      <c r="G35" s="75"/>
      <c r="H35" s="99"/>
      <c r="I35" s="1"/>
      <c r="K35" s="17"/>
      <c r="L35" s="26"/>
      <c r="M35" s="17"/>
      <c r="N35" s="17"/>
      <c r="O35" s="26"/>
      <c r="P35" s="33"/>
    </row>
    <row r="36" spans="1:16" ht="18" customHeight="1" x14ac:dyDescent="0.3">
      <c r="A36" s="1"/>
      <c r="B36" s="97"/>
      <c r="C36" s="97"/>
      <c r="D36" s="97"/>
      <c r="E36" s="97"/>
      <c r="F36" s="98"/>
      <c r="G36" s="99"/>
      <c r="H36" s="99"/>
      <c r="I36" s="1"/>
      <c r="K36" s="17"/>
      <c r="L36" s="26"/>
      <c r="M36" s="17"/>
      <c r="N36" s="17"/>
      <c r="O36" s="26"/>
      <c r="P36" s="33"/>
    </row>
    <row r="37" spans="1:16" ht="8.25" customHeight="1" thickBot="1" x14ac:dyDescent="0.35">
      <c r="A37" s="1"/>
      <c r="B37" s="74"/>
      <c r="C37" s="74"/>
      <c r="D37" s="74"/>
      <c r="E37" s="74"/>
      <c r="F37" s="74"/>
      <c r="G37" s="75"/>
      <c r="H37" s="75"/>
      <c r="I37" s="1"/>
    </row>
    <row r="38" spans="1:16" ht="15.6" x14ac:dyDescent="0.3">
      <c r="A38" s="1"/>
      <c r="B38" s="1"/>
      <c r="C38" s="1"/>
      <c r="D38" s="1"/>
      <c r="E38" s="1"/>
      <c r="F38" s="1"/>
      <c r="G38" s="76" t="s">
        <v>5</v>
      </c>
      <c r="H38" s="77">
        <f>SUM(H21:H37)</f>
        <v>1795251</v>
      </c>
      <c r="I38" s="1"/>
    </row>
    <row r="39" spans="1:16" ht="15.6" x14ac:dyDescent="0.3">
      <c r="A39" s="1"/>
      <c r="B39" s="1"/>
      <c r="C39" s="1"/>
      <c r="D39" s="1"/>
      <c r="E39" s="1"/>
      <c r="F39" s="1"/>
      <c r="G39" s="78" t="s">
        <v>6</v>
      </c>
      <c r="H39" s="79">
        <f>H38*19%</f>
        <v>341097.69</v>
      </c>
      <c r="I39" s="1"/>
    </row>
    <row r="40" spans="1:16" ht="16.2" thickBot="1" x14ac:dyDescent="0.35">
      <c r="A40" s="1"/>
      <c r="B40" s="1"/>
      <c r="C40" s="1"/>
      <c r="D40" s="1"/>
      <c r="E40" s="1"/>
      <c r="F40" s="1"/>
      <c r="G40" s="80" t="s">
        <v>4</v>
      </c>
      <c r="H40" s="81">
        <f>H38+H39</f>
        <v>2136348.69</v>
      </c>
      <c r="I40" s="1"/>
    </row>
    <row r="41" spans="1:16" ht="15.6" x14ac:dyDescent="0.3">
      <c r="A41" s="1"/>
      <c r="B41" s="1"/>
      <c r="C41" s="1"/>
      <c r="D41" s="1"/>
      <c r="E41" s="1"/>
      <c r="F41" s="1"/>
      <c r="G41" s="52"/>
      <c r="H41" s="100"/>
      <c r="I41" s="1"/>
    </row>
    <row r="42" spans="1:16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16" ht="15.6" x14ac:dyDescent="0.3">
      <c r="A43" s="1"/>
      <c r="B43" s="82" t="s">
        <v>123</v>
      </c>
      <c r="C43" s="83"/>
      <c r="D43" s="84"/>
      <c r="E43" s="84"/>
      <c r="F43" s="74"/>
      <c r="G43" s="1"/>
      <c r="H43" s="1"/>
      <c r="I43" s="1"/>
    </row>
    <row r="44" spans="1:16" ht="15.6" x14ac:dyDescent="0.3">
      <c r="A44" s="1"/>
      <c r="B44" s="82" t="s">
        <v>122</v>
      </c>
      <c r="C44" s="83"/>
      <c r="D44" s="84"/>
      <c r="E44" s="84"/>
      <c r="F44" s="74"/>
      <c r="G44" s="1"/>
      <c r="H44" s="1"/>
      <c r="I44" s="1"/>
    </row>
    <row r="45" spans="1:16" ht="15.6" x14ac:dyDescent="0.3">
      <c r="A45" s="1"/>
      <c r="B45" s="1" t="s">
        <v>25</v>
      </c>
      <c r="C45" s="1"/>
      <c r="D45" s="1"/>
      <c r="E45" s="85" t="s">
        <v>26</v>
      </c>
      <c r="F45" s="1"/>
      <c r="G45" s="1"/>
      <c r="H45" s="1"/>
      <c r="I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10" type="noConversion"/>
  <hyperlinks>
    <hyperlink ref="E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14"/>
  <sheetViews>
    <sheetView tabSelected="1" topLeftCell="A32" zoomScaleNormal="100" workbookViewId="0">
      <selection activeCell="C39" sqref="C3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45667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4</v>
      </c>
      <c r="C14" s="25"/>
      <c r="D14" s="25">
        <f t="shared" ref="D14" si="1">J14+D$13</f>
        <v>1850</v>
      </c>
      <c r="E14" s="35">
        <f>K14</f>
        <v>700</v>
      </c>
      <c r="F14" s="103" t="str">
        <f t="shared" ref="F14:F27" si="2">C54</f>
        <v>CUB S/R 180°</v>
      </c>
      <c r="G14" s="1"/>
      <c r="I14" s="3">
        <f t="shared" ref="I14:I26" si="3">I35</f>
        <v>4</v>
      </c>
      <c r="J14" s="4">
        <f>D54</f>
        <v>1770</v>
      </c>
      <c r="K14" s="4">
        <f>E54</f>
        <v>700</v>
      </c>
    </row>
    <row r="15" spans="1:14" ht="15.6" x14ac:dyDescent="0.3">
      <c r="A15" s="96"/>
      <c r="B15" s="25">
        <f t="shared" ref="B15" si="4">I15</f>
        <v>3</v>
      </c>
      <c r="C15" s="25"/>
      <c r="D15" s="25">
        <f t="shared" ref="D15" si="5">J15+D$13</f>
        <v>3080</v>
      </c>
      <c r="E15" s="35">
        <f>K15</f>
        <v>1200</v>
      </c>
      <c r="F15" s="103" t="str">
        <f t="shared" si="2"/>
        <v>CUB MESA 180° 2LADOS</v>
      </c>
      <c r="G15" s="1"/>
      <c r="I15" s="3">
        <f t="shared" si="3"/>
        <v>3</v>
      </c>
      <c r="J15" s="4">
        <f>D55</f>
        <v>3000</v>
      </c>
      <c r="K15" s="4">
        <f>E55</f>
        <v>1200</v>
      </c>
    </row>
    <row r="16" spans="1:14" ht="15.6" x14ac:dyDescent="0.3">
      <c r="A16" s="96"/>
      <c r="B16" s="25">
        <f t="shared" ref="B16:B27" si="6">I16</f>
        <v>1</v>
      </c>
      <c r="C16" s="25"/>
      <c r="D16" s="25">
        <f t="shared" ref="D16:D27" si="7">J16+D$13</f>
        <v>2970</v>
      </c>
      <c r="E16" s="35">
        <f t="shared" ref="E16:E27" si="8">K16+E$13</f>
        <v>670</v>
      </c>
      <c r="F16" s="103" t="str">
        <f t="shared" si="2"/>
        <v>CUB C/R 180°</v>
      </c>
      <c r="G16" s="1"/>
      <c r="I16" s="3">
        <f t="shared" si="3"/>
        <v>1</v>
      </c>
      <c r="J16" s="4">
        <f t="shared" ref="J16:K16" si="9">D56</f>
        <v>2890</v>
      </c>
      <c r="K16" s="4">
        <f t="shared" si="9"/>
        <v>700</v>
      </c>
    </row>
    <row r="17" spans="1:11" ht="15.6" x14ac:dyDescent="0.3">
      <c r="A17" s="96"/>
      <c r="B17" s="25">
        <f t="shared" si="6"/>
        <v>1</v>
      </c>
      <c r="C17" s="25"/>
      <c r="D17" s="25">
        <f t="shared" si="7"/>
        <v>3080</v>
      </c>
      <c r="E17" s="35">
        <f t="shared" si="8"/>
        <v>670</v>
      </c>
      <c r="F17" s="103" t="str">
        <f t="shared" si="2"/>
        <v>CUB C/R 180°</v>
      </c>
      <c r="G17" s="1"/>
      <c r="I17" s="3">
        <f t="shared" si="3"/>
        <v>1</v>
      </c>
      <c r="J17" s="4">
        <f t="shared" ref="J17:K17" si="10">D57</f>
        <v>3000</v>
      </c>
      <c r="K17" s="4">
        <f t="shared" si="10"/>
        <v>700</v>
      </c>
    </row>
    <row r="18" spans="1:11" ht="15.6" x14ac:dyDescent="0.3">
      <c r="A18" s="96"/>
      <c r="B18" s="25">
        <f t="shared" si="6"/>
        <v>1</v>
      </c>
      <c r="C18" s="25"/>
      <c r="D18" s="25">
        <f t="shared" si="7"/>
        <v>1480</v>
      </c>
      <c r="E18" s="35">
        <f t="shared" si="8"/>
        <v>670</v>
      </c>
      <c r="F18" s="103" t="str">
        <f t="shared" si="2"/>
        <v>CUB C/R 180°</v>
      </c>
      <c r="G18" s="1"/>
      <c r="I18" s="3">
        <f t="shared" si="3"/>
        <v>1</v>
      </c>
      <c r="J18" s="4">
        <f t="shared" ref="J18:K18" si="11">D58</f>
        <v>1400</v>
      </c>
      <c r="K18" s="4">
        <f t="shared" si="11"/>
        <v>700</v>
      </c>
    </row>
    <row r="19" spans="1:11" ht="15.6" x14ac:dyDescent="0.3">
      <c r="A19" s="96"/>
      <c r="B19" s="25">
        <f t="shared" si="6"/>
        <v>1</v>
      </c>
      <c r="C19" s="25"/>
      <c r="D19" s="25">
        <f t="shared" si="7"/>
        <v>2590</v>
      </c>
      <c r="E19" s="35">
        <f t="shared" si="8"/>
        <v>670</v>
      </c>
      <c r="F19" s="103" t="str">
        <f t="shared" si="2"/>
        <v>CUB C/R 180°</v>
      </c>
      <c r="G19" s="1"/>
      <c r="I19" s="3">
        <f t="shared" si="3"/>
        <v>1</v>
      </c>
      <c r="J19" s="4">
        <f t="shared" ref="J19:K19" si="12">D59</f>
        <v>2510</v>
      </c>
      <c r="K19" s="4">
        <f t="shared" si="12"/>
        <v>700</v>
      </c>
    </row>
    <row r="20" spans="1:11" ht="15.6" x14ac:dyDescent="0.3">
      <c r="A20" s="96"/>
      <c r="B20" s="25">
        <f t="shared" si="6"/>
        <v>1</v>
      </c>
      <c r="C20" s="25"/>
      <c r="D20" s="25">
        <f t="shared" si="7"/>
        <v>2150</v>
      </c>
      <c r="E20" s="35">
        <f t="shared" si="8"/>
        <v>670</v>
      </c>
      <c r="F20" s="103" t="str">
        <f t="shared" si="2"/>
        <v>CUB C/R 180°</v>
      </c>
      <c r="G20" s="1"/>
      <c r="I20" s="3">
        <f t="shared" si="3"/>
        <v>1</v>
      </c>
      <c r="J20" s="4">
        <f t="shared" ref="J20:K20" si="13">D60</f>
        <v>2070</v>
      </c>
      <c r="K20" s="4">
        <f t="shared" si="13"/>
        <v>700</v>
      </c>
    </row>
    <row r="21" spans="1:11" ht="15.6" x14ac:dyDescent="0.3">
      <c r="A21" s="96"/>
      <c r="B21" s="25">
        <f t="shared" si="6"/>
        <v>1</v>
      </c>
      <c r="C21" s="25"/>
      <c r="D21" s="25">
        <f t="shared" si="7"/>
        <v>2200</v>
      </c>
      <c r="E21" s="35">
        <f t="shared" si="8"/>
        <v>670</v>
      </c>
      <c r="F21" s="103" t="str">
        <f t="shared" si="2"/>
        <v>CUB C/R 180°</v>
      </c>
      <c r="G21" s="1"/>
      <c r="I21" s="3">
        <f t="shared" si="3"/>
        <v>1</v>
      </c>
      <c r="J21" s="4">
        <f t="shared" ref="J21:K21" si="14">D61</f>
        <v>2120</v>
      </c>
      <c r="K21" s="4">
        <f t="shared" si="14"/>
        <v>700</v>
      </c>
    </row>
    <row r="22" spans="1:11" ht="15.6" x14ac:dyDescent="0.3">
      <c r="A22" s="96"/>
      <c r="B22" s="25">
        <f t="shared" si="6"/>
        <v>1</v>
      </c>
      <c r="C22" s="25"/>
      <c r="D22" s="25">
        <f t="shared" si="7"/>
        <v>2222</v>
      </c>
      <c r="E22" s="35">
        <f t="shared" si="8"/>
        <v>670</v>
      </c>
      <c r="F22" s="103" t="str">
        <f t="shared" si="2"/>
        <v>CUB C/R 180°</v>
      </c>
      <c r="G22" s="1"/>
      <c r="I22" s="3">
        <f t="shared" si="3"/>
        <v>1</v>
      </c>
      <c r="J22" s="4">
        <f t="shared" ref="J22:K22" si="15">D62</f>
        <v>2142</v>
      </c>
      <c r="K22" s="4">
        <f t="shared" si="15"/>
        <v>700</v>
      </c>
    </row>
    <row r="23" spans="1:11" ht="15.6" x14ac:dyDescent="0.3">
      <c r="A23" s="96"/>
      <c r="B23" s="25">
        <f t="shared" si="6"/>
        <v>1</v>
      </c>
      <c r="C23" s="25"/>
      <c r="D23" s="25">
        <f t="shared" si="7"/>
        <v>2180</v>
      </c>
      <c r="E23" s="35">
        <f t="shared" si="8"/>
        <v>670</v>
      </c>
      <c r="F23" s="103" t="str">
        <f t="shared" si="2"/>
        <v>CUB C/R 180°</v>
      </c>
      <c r="G23" s="1"/>
      <c r="I23" s="3">
        <f t="shared" si="3"/>
        <v>1</v>
      </c>
      <c r="J23" s="4">
        <f t="shared" ref="J23:K23" si="16">D63</f>
        <v>2100</v>
      </c>
      <c r="K23" s="4">
        <f t="shared" si="16"/>
        <v>700</v>
      </c>
    </row>
    <row r="24" spans="1:11" ht="15.6" x14ac:dyDescent="0.3">
      <c r="A24" s="96"/>
      <c r="B24" s="25">
        <f t="shared" si="6"/>
        <v>1</v>
      </c>
      <c r="C24" s="25"/>
      <c r="D24" s="25">
        <f t="shared" si="7"/>
        <v>2608</v>
      </c>
      <c r="E24" s="35">
        <f t="shared" si="8"/>
        <v>670</v>
      </c>
      <c r="F24" s="103" t="str">
        <f t="shared" si="2"/>
        <v>CUB C/R 180°</v>
      </c>
      <c r="G24" s="1"/>
      <c r="I24" s="3">
        <f t="shared" si="3"/>
        <v>1</v>
      </c>
      <c r="J24" s="4">
        <f t="shared" ref="J24:K24" si="17">D64</f>
        <v>2528</v>
      </c>
      <c r="K24" s="4">
        <f t="shared" si="17"/>
        <v>700</v>
      </c>
    </row>
    <row r="25" spans="1:11" ht="15.6" x14ac:dyDescent="0.3">
      <c r="A25" s="96"/>
      <c r="B25" s="25">
        <f t="shared" si="6"/>
        <v>1</v>
      </c>
      <c r="C25" s="25"/>
      <c r="D25" s="25">
        <f t="shared" si="7"/>
        <v>2715</v>
      </c>
      <c r="E25" s="35">
        <f t="shared" si="8"/>
        <v>670</v>
      </c>
      <c r="F25" s="103" t="str">
        <f t="shared" si="2"/>
        <v>CUB C/R 180°</v>
      </c>
      <c r="G25" s="1"/>
      <c r="I25" s="3">
        <f t="shared" si="3"/>
        <v>1</v>
      </c>
      <c r="J25" s="4">
        <f t="shared" ref="J25:K25" si="18">D65</f>
        <v>2635</v>
      </c>
      <c r="K25" s="4">
        <f t="shared" si="18"/>
        <v>700</v>
      </c>
    </row>
    <row r="26" spans="1:11" ht="15.6" x14ac:dyDescent="0.3">
      <c r="A26" s="96"/>
      <c r="B26" s="25">
        <f t="shared" si="6"/>
        <v>1</v>
      </c>
      <c r="C26" s="25"/>
      <c r="D26" s="25">
        <f t="shared" si="7"/>
        <v>2180</v>
      </c>
      <c r="E26" s="35">
        <f t="shared" si="8"/>
        <v>670</v>
      </c>
      <c r="F26" s="103" t="str">
        <f t="shared" si="2"/>
        <v>CUB C/R 180°</v>
      </c>
      <c r="G26" s="1"/>
      <c r="I26" s="3">
        <f t="shared" si="3"/>
        <v>1</v>
      </c>
      <c r="J26" s="4">
        <f t="shared" ref="J26:K26" si="19">D66</f>
        <v>2100</v>
      </c>
      <c r="K26" s="4">
        <f t="shared" si="19"/>
        <v>700</v>
      </c>
    </row>
    <row r="27" spans="1:11" ht="15.6" x14ac:dyDescent="0.3">
      <c r="A27" s="96"/>
      <c r="B27" s="25">
        <f t="shared" si="6"/>
        <v>1</v>
      </c>
      <c r="C27" s="25"/>
      <c r="D27" s="25">
        <f t="shared" si="7"/>
        <v>2215</v>
      </c>
      <c r="E27" s="35">
        <f t="shared" si="8"/>
        <v>670</v>
      </c>
      <c r="F27" s="103" t="str">
        <f t="shared" si="2"/>
        <v>CUB C/R 180°</v>
      </c>
      <c r="G27" s="1"/>
      <c r="I27" s="3">
        <v>1</v>
      </c>
      <c r="J27" s="4">
        <f t="shared" ref="J27:K27" si="20">D67</f>
        <v>2135</v>
      </c>
      <c r="K27" s="4">
        <f t="shared" si="20"/>
        <v>700</v>
      </c>
    </row>
    <row r="28" spans="1:11" ht="15.6" x14ac:dyDescent="0.3">
      <c r="A28" s="96"/>
      <c r="B28" s="6"/>
      <c r="C28" s="6"/>
      <c r="D28" s="6"/>
      <c r="E28" s="89"/>
      <c r="F28" s="113"/>
      <c r="G28" s="1"/>
      <c r="I28" s="90"/>
      <c r="J28" s="2"/>
      <c r="K28" s="2"/>
    </row>
    <row r="29" spans="1:11" ht="15.6" x14ac:dyDescent="0.3">
      <c r="A29" s="52"/>
      <c r="B29" s="6"/>
      <c r="C29" s="6"/>
      <c r="D29" s="6"/>
      <c r="E29" s="89"/>
      <c r="F29" s="6"/>
      <c r="G29" s="1"/>
      <c r="I29" s="90"/>
      <c r="J29" s="2"/>
      <c r="K29" s="2"/>
    </row>
    <row r="30" spans="1:11" ht="6.7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122" t="s">
        <v>14</v>
      </c>
      <c r="B31" s="122"/>
      <c r="C31" s="122"/>
      <c r="D31" s="122"/>
      <c r="E31" s="122"/>
      <c r="F31" s="122"/>
      <c r="G31" s="1"/>
    </row>
    <row r="32" spans="1:11" ht="10.5" customHeight="1" x14ac:dyDescent="0.3">
      <c r="A32" s="1"/>
      <c r="B32" s="1"/>
      <c r="C32" s="12"/>
      <c r="D32" s="1"/>
      <c r="E32" s="1"/>
      <c r="F32" s="1"/>
      <c r="G32" s="1"/>
    </row>
    <row r="33" spans="1:11" ht="15.6" x14ac:dyDescent="0.3">
      <c r="A33" s="1"/>
      <c r="B33" s="1"/>
      <c r="C33" s="1"/>
      <c r="D33" s="52" t="s">
        <v>7</v>
      </c>
      <c r="E33" s="52" t="s">
        <v>8</v>
      </c>
      <c r="F33" s="1"/>
      <c r="G33" s="1"/>
    </row>
    <row r="34" spans="1:11" ht="15.6" x14ac:dyDescent="0.3">
      <c r="A34" s="52" t="s">
        <v>9</v>
      </c>
      <c r="B34" s="36" t="s">
        <v>10</v>
      </c>
      <c r="C34" s="36" t="s">
        <v>11</v>
      </c>
      <c r="D34" s="21">
        <v>40</v>
      </c>
      <c r="E34" s="21">
        <v>170</v>
      </c>
      <c r="F34" s="36" t="s">
        <v>110</v>
      </c>
      <c r="G34" s="1"/>
      <c r="J34" s="5" t="s">
        <v>7</v>
      </c>
      <c r="K34" s="5" t="s">
        <v>8</v>
      </c>
    </row>
    <row r="35" spans="1:11" ht="15.6" x14ac:dyDescent="0.3">
      <c r="A35" s="96" t="s">
        <v>130</v>
      </c>
      <c r="B35" s="128">
        <f t="shared" ref="B35" si="21">I35</f>
        <v>4</v>
      </c>
      <c r="C35" s="128"/>
      <c r="D35" s="128">
        <f>J35+D$34</f>
        <v>1810</v>
      </c>
      <c r="E35" s="128">
        <f>K35+60</f>
        <v>760</v>
      </c>
      <c r="F35" s="104" t="str">
        <f>C54</f>
        <v>CUB S/R 180°</v>
      </c>
      <c r="G35" s="1"/>
      <c r="I35" s="3">
        <f>B54</f>
        <v>4</v>
      </c>
      <c r="J35" s="4">
        <f t="shared" ref="J35:K35" si="22">D54</f>
        <v>1770</v>
      </c>
      <c r="K35" s="4">
        <f t="shared" si="22"/>
        <v>700</v>
      </c>
    </row>
    <row r="36" spans="1:11" ht="15.6" x14ac:dyDescent="0.3">
      <c r="A36" s="96"/>
      <c r="B36" s="128">
        <f t="shared" ref="B36" si="23">I36</f>
        <v>3</v>
      </c>
      <c r="C36" s="128"/>
      <c r="D36" s="128">
        <f>J36+D$34</f>
        <v>3040</v>
      </c>
      <c r="E36" s="128">
        <f>K36+E$34</f>
        <v>1370</v>
      </c>
      <c r="F36" s="104" t="str">
        <f>C55</f>
        <v>CUB MESA 180° 2LADOS</v>
      </c>
      <c r="G36" s="1"/>
      <c r="I36" s="3">
        <f>B55</f>
        <v>3</v>
      </c>
      <c r="J36" s="4">
        <f t="shared" ref="J36" si="24">D55</f>
        <v>3000</v>
      </c>
      <c r="K36" s="4">
        <f t="shared" ref="K36" si="25">E55</f>
        <v>1200</v>
      </c>
    </row>
    <row r="37" spans="1:11" ht="15.6" x14ac:dyDescent="0.3">
      <c r="A37" s="96"/>
      <c r="B37" s="127">
        <f t="shared" ref="B37:B47" si="26">I37</f>
        <v>1</v>
      </c>
      <c r="C37" s="16"/>
      <c r="D37" s="16">
        <f t="shared" ref="D37:D47" si="27">J37+D$34</f>
        <v>2930</v>
      </c>
      <c r="E37" s="16">
        <f t="shared" ref="E37:E47" si="28">K37+E$34</f>
        <v>870</v>
      </c>
      <c r="F37" s="104" t="str">
        <f t="shared" ref="F37:F47" si="29">C56</f>
        <v>CUB C/R 180°</v>
      </c>
      <c r="G37" s="1"/>
      <c r="I37" s="3">
        <f t="shared" ref="I37:I47" si="30">B56</f>
        <v>1</v>
      </c>
      <c r="J37" s="4">
        <f t="shared" ref="J37:J47" si="31">D56</f>
        <v>2890</v>
      </c>
      <c r="K37" s="4">
        <f t="shared" ref="K37:K47" si="32">E56</f>
        <v>700</v>
      </c>
    </row>
    <row r="38" spans="1:11" ht="15.6" x14ac:dyDescent="0.3">
      <c r="A38" s="96"/>
      <c r="B38" s="127">
        <f t="shared" si="26"/>
        <v>1</v>
      </c>
      <c r="C38" s="16"/>
      <c r="D38" s="16">
        <f t="shared" si="27"/>
        <v>3040</v>
      </c>
      <c r="E38" s="16">
        <f t="shared" si="28"/>
        <v>870</v>
      </c>
      <c r="F38" s="104" t="str">
        <f t="shared" si="29"/>
        <v>CUB C/R 180°</v>
      </c>
      <c r="G38" s="1"/>
      <c r="I38" s="3">
        <f t="shared" si="30"/>
        <v>1</v>
      </c>
      <c r="J38" s="4">
        <f t="shared" si="31"/>
        <v>3000</v>
      </c>
      <c r="K38" s="4">
        <f t="shared" si="32"/>
        <v>700</v>
      </c>
    </row>
    <row r="39" spans="1:11" ht="15.6" x14ac:dyDescent="0.3">
      <c r="A39" s="96"/>
      <c r="B39" s="16">
        <f t="shared" si="26"/>
        <v>1</v>
      </c>
      <c r="C39" s="16"/>
      <c r="D39" s="16">
        <f t="shared" si="27"/>
        <v>1440</v>
      </c>
      <c r="E39" s="16">
        <f t="shared" si="28"/>
        <v>870</v>
      </c>
      <c r="F39" s="104" t="str">
        <f t="shared" si="29"/>
        <v>CUB C/R 180°</v>
      </c>
      <c r="G39" s="1"/>
      <c r="I39" s="3">
        <f t="shared" si="30"/>
        <v>1</v>
      </c>
      <c r="J39" s="4">
        <f t="shared" si="31"/>
        <v>1400</v>
      </c>
      <c r="K39" s="4">
        <f t="shared" si="32"/>
        <v>700</v>
      </c>
    </row>
    <row r="40" spans="1:11" ht="15.6" x14ac:dyDescent="0.3">
      <c r="A40" s="96"/>
      <c r="B40" s="127">
        <f t="shared" si="26"/>
        <v>1</v>
      </c>
      <c r="C40" s="16"/>
      <c r="D40" s="16">
        <f t="shared" si="27"/>
        <v>2550</v>
      </c>
      <c r="E40" s="16">
        <f t="shared" si="28"/>
        <v>870</v>
      </c>
      <c r="F40" s="104" t="str">
        <f t="shared" si="29"/>
        <v>CUB C/R 180°</v>
      </c>
      <c r="G40" s="1"/>
      <c r="I40" s="3">
        <f t="shared" si="30"/>
        <v>1</v>
      </c>
      <c r="J40" s="4">
        <f t="shared" si="31"/>
        <v>2510</v>
      </c>
      <c r="K40" s="4">
        <f t="shared" si="32"/>
        <v>700</v>
      </c>
    </row>
    <row r="41" spans="1:11" ht="15.6" x14ac:dyDescent="0.3">
      <c r="A41" s="96"/>
      <c r="B41" s="127">
        <f t="shared" si="26"/>
        <v>1</v>
      </c>
      <c r="C41" s="16"/>
      <c r="D41" s="16">
        <f t="shared" si="27"/>
        <v>2110</v>
      </c>
      <c r="E41" s="16">
        <f t="shared" si="28"/>
        <v>870</v>
      </c>
      <c r="F41" s="104" t="str">
        <f t="shared" si="29"/>
        <v>CUB C/R 180°</v>
      </c>
      <c r="G41" s="1"/>
      <c r="I41" s="3">
        <f t="shared" si="30"/>
        <v>1</v>
      </c>
      <c r="J41" s="4">
        <f t="shared" si="31"/>
        <v>2070</v>
      </c>
      <c r="K41" s="4">
        <f t="shared" si="32"/>
        <v>700</v>
      </c>
    </row>
    <row r="42" spans="1:11" ht="15.6" x14ac:dyDescent="0.3">
      <c r="A42" s="96"/>
      <c r="B42" s="127">
        <f t="shared" si="26"/>
        <v>1</v>
      </c>
      <c r="C42" s="16"/>
      <c r="D42" s="16">
        <f t="shared" si="27"/>
        <v>2160</v>
      </c>
      <c r="E42" s="16">
        <f t="shared" si="28"/>
        <v>870</v>
      </c>
      <c r="F42" s="104" t="str">
        <f t="shared" si="29"/>
        <v>CUB C/R 180°</v>
      </c>
      <c r="G42" s="1"/>
      <c r="I42" s="3">
        <f t="shared" si="30"/>
        <v>1</v>
      </c>
      <c r="J42" s="4">
        <f t="shared" si="31"/>
        <v>2120</v>
      </c>
      <c r="K42" s="4">
        <f t="shared" si="32"/>
        <v>700</v>
      </c>
    </row>
    <row r="43" spans="1:11" ht="15.6" x14ac:dyDescent="0.3">
      <c r="A43" s="96"/>
      <c r="B43" s="127">
        <f t="shared" si="26"/>
        <v>1</v>
      </c>
      <c r="C43" s="16"/>
      <c r="D43" s="16">
        <f t="shared" si="27"/>
        <v>2182</v>
      </c>
      <c r="E43" s="16">
        <f t="shared" si="28"/>
        <v>870</v>
      </c>
      <c r="F43" s="104" t="str">
        <f t="shared" si="29"/>
        <v>CUB C/R 180°</v>
      </c>
      <c r="G43" s="1"/>
      <c r="I43" s="3">
        <f t="shared" si="30"/>
        <v>1</v>
      </c>
      <c r="J43" s="4">
        <f t="shared" si="31"/>
        <v>2142</v>
      </c>
      <c r="K43" s="4">
        <f t="shared" si="32"/>
        <v>700</v>
      </c>
    </row>
    <row r="44" spans="1:11" ht="15.6" x14ac:dyDescent="0.3">
      <c r="A44" s="96"/>
      <c r="B44" s="127">
        <f t="shared" si="26"/>
        <v>1</v>
      </c>
      <c r="C44" s="16"/>
      <c r="D44" s="16">
        <f t="shared" si="27"/>
        <v>2140</v>
      </c>
      <c r="E44" s="16">
        <f t="shared" si="28"/>
        <v>870</v>
      </c>
      <c r="F44" s="104" t="str">
        <f t="shared" si="29"/>
        <v>CUB C/R 180°</v>
      </c>
      <c r="G44" s="1"/>
      <c r="I44" s="3">
        <f t="shared" si="30"/>
        <v>1</v>
      </c>
      <c r="J44" s="4">
        <f t="shared" si="31"/>
        <v>2100</v>
      </c>
      <c r="K44" s="4">
        <f t="shared" si="32"/>
        <v>700</v>
      </c>
    </row>
    <row r="45" spans="1:11" ht="15.6" x14ac:dyDescent="0.3">
      <c r="A45" s="96"/>
      <c r="B45" s="127">
        <f t="shared" si="26"/>
        <v>1</v>
      </c>
      <c r="C45" s="16"/>
      <c r="D45" s="16">
        <f t="shared" si="27"/>
        <v>2568</v>
      </c>
      <c r="E45" s="16">
        <f t="shared" si="28"/>
        <v>870</v>
      </c>
      <c r="F45" s="104" t="str">
        <f t="shared" si="29"/>
        <v>CUB C/R 180°</v>
      </c>
      <c r="G45" s="1"/>
      <c r="I45" s="3">
        <f t="shared" si="30"/>
        <v>1</v>
      </c>
      <c r="J45" s="4">
        <f t="shared" si="31"/>
        <v>2528</v>
      </c>
      <c r="K45" s="4">
        <f t="shared" si="32"/>
        <v>700</v>
      </c>
    </row>
    <row r="46" spans="1:11" ht="15.6" x14ac:dyDescent="0.3">
      <c r="A46" s="96"/>
      <c r="B46" s="127">
        <f t="shared" si="26"/>
        <v>1</v>
      </c>
      <c r="C46" s="16"/>
      <c r="D46" s="16">
        <f t="shared" si="27"/>
        <v>2675</v>
      </c>
      <c r="E46" s="16">
        <f t="shared" si="28"/>
        <v>870</v>
      </c>
      <c r="F46" s="104" t="str">
        <f t="shared" si="29"/>
        <v>CUB C/R 180°</v>
      </c>
      <c r="G46" s="1"/>
      <c r="I46" s="3">
        <f t="shared" si="30"/>
        <v>1</v>
      </c>
      <c r="J46" s="4">
        <f t="shared" si="31"/>
        <v>2635</v>
      </c>
      <c r="K46" s="4">
        <f t="shared" si="32"/>
        <v>700</v>
      </c>
    </row>
    <row r="47" spans="1:11" ht="15.6" x14ac:dyDescent="0.3">
      <c r="A47" s="96"/>
      <c r="B47" s="127">
        <f t="shared" si="26"/>
        <v>1</v>
      </c>
      <c r="C47" s="16"/>
      <c r="D47" s="16">
        <f t="shared" si="27"/>
        <v>2140</v>
      </c>
      <c r="E47" s="16">
        <f t="shared" si="28"/>
        <v>870</v>
      </c>
      <c r="F47" s="104" t="str">
        <f t="shared" si="29"/>
        <v>CUB C/R 180°</v>
      </c>
      <c r="G47" s="1"/>
      <c r="I47" s="3">
        <f t="shared" si="30"/>
        <v>1</v>
      </c>
      <c r="J47" s="4">
        <f t="shared" si="31"/>
        <v>2100</v>
      </c>
      <c r="K47" s="4">
        <f t="shared" si="32"/>
        <v>700</v>
      </c>
    </row>
    <row r="48" spans="1:11" ht="15.6" x14ac:dyDescent="0.3">
      <c r="A48" s="96"/>
      <c r="B48" s="127">
        <f t="shared" ref="B48" si="33">I48</f>
        <v>1</v>
      </c>
      <c r="C48" s="16"/>
      <c r="D48" s="16">
        <f t="shared" ref="D48" si="34">J48+D$34</f>
        <v>2175</v>
      </c>
      <c r="E48" s="16">
        <f t="shared" ref="E48" si="35">K48+E$34</f>
        <v>870</v>
      </c>
      <c r="F48" s="104" t="str">
        <f t="shared" ref="F48" si="36">C67</f>
        <v>CUB C/R 180°</v>
      </c>
      <c r="G48" s="1"/>
      <c r="I48" s="3">
        <f t="shared" ref="I48" si="37">B67</f>
        <v>1</v>
      </c>
      <c r="J48" s="4">
        <f t="shared" ref="J48" si="38">D67</f>
        <v>2135</v>
      </c>
      <c r="K48" s="4">
        <f t="shared" ref="K48" si="39">E67</f>
        <v>700</v>
      </c>
    </row>
    <row r="49" spans="1:11" ht="15.6" x14ac:dyDescent="0.3">
      <c r="A49" s="96"/>
      <c r="B49" s="6"/>
      <c r="C49" s="6"/>
      <c r="D49" s="6"/>
      <c r="E49" s="6"/>
      <c r="F49" s="6"/>
      <c r="G49" s="1"/>
      <c r="I49" s="90"/>
      <c r="J49" s="2"/>
      <c r="K49" s="2"/>
    </row>
    <row r="50" spans="1:11" ht="16.2" thickBot="1" x14ac:dyDescent="0.35">
      <c r="A50" s="52"/>
      <c r="B50" s="6"/>
      <c r="C50" s="6"/>
      <c r="D50" s="6"/>
      <c r="E50" s="6"/>
      <c r="F50" s="6"/>
      <c r="G50" s="1"/>
      <c r="I50" s="2"/>
      <c r="J50" s="2"/>
      <c r="K50" s="2"/>
    </row>
    <row r="51" spans="1:11" ht="16.2" thickBot="1" x14ac:dyDescent="0.35">
      <c r="A51" s="52"/>
      <c r="B51" s="22" t="s">
        <v>107</v>
      </c>
      <c r="C51" s="23"/>
      <c r="D51" s="23"/>
      <c r="E51" s="23"/>
      <c r="F51" s="24"/>
      <c r="G51" s="1"/>
      <c r="I51" s="2"/>
      <c r="J51" s="2"/>
      <c r="K51" s="2"/>
    </row>
    <row r="52" spans="1:11" ht="10.5" customHeight="1" x14ac:dyDescent="0.3">
      <c r="A52" s="1"/>
      <c r="B52" s="1"/>
      <c r="C52" s="1"/>
      <c r="D52" s="1"/>
      <c r="E52" s="1"/>
      <c r="F52" s="1"/>
      <c r="G52" s="1"/>
    </row>
    <row r="53" spans="1:11" ht="15.6" x14ac:dyDescent="0.3">
      <c r="A53" s="52" t="s">
        <v>9</v>
      </c>
      <c r="B53" s="88" t="s">
        <v>10</v>
      </c>
      <c r="C53" s="88" t="s">
        <v>110</v>
      </c>
      <c r="D53" s="88" t="s">
        <v>7</v>
      </c>
      <c r="E53" s="88" t="s">
        <v>8</v>
      </c>
      <c r="F53" s="88" t="s">
        <v>23</v>
      </c>
      <c r="G53" s="1"/>
    </row>
    <row r="54" spans="1:11" ht="15.6" x14ac:dyDescent="0.3">
      <c r="A54" s="96" t="s">
        <v>135</v>
      </c>
      <c r="B54" s="25">
        <f>'4637'!B21</f>
        <v>4</v>
      </c>
      <c r="C54" s="103" t="str">
        <f>'4637'!C21</f>
        <v>CUB S/R 180°</v>
      </c>
      <c r="D54" s="25">
        <f>'4637'!D21</f>
        <v>1770</v>
      </c>
      <c r="E54" s="25">
        <f>'4637'!E21</f>
        <v>700</v>
      </c>
      <c r="F54" s="25" t="str">
        <f>'4637'!F21</f>
        <v>HUMO 2108 MT</v>
      </c>
      <c r="G54" s="1"/>
    </row>
    <row r="55" spans="1:11" ht="15.6" x14ac:dyDescent="0.3">
      <c r="A55" s="96"/>
      <c r="B55" s="25">
        <f>'4637'!B22</f>
        <v>3</v>
      </c>
      <c r="C55" s="103" t="str">
        <f>'4637'!C22</f>
        <v>CUB MESA 180° 2LADOS</v>
      </c>
      <c r="D55" s="25">
        <f>'4637'!D22</f>
        <v>3000</v>
      </c>
      <c r="E55" s="25">
        <f>'4637'!E22</f>
        <v>1200</v>
      </c>
      <c r="F55" s="25" t="str">
        <f>'4637'!F22</f>
        <v>HUMO 2108 MT</v>
      </c>
      <c r="G55" s="1"/>
    </row>
    <row r="56" spans="1:11" ht="15.6" x14ac:dyDescent="0.3">
      <c r="A56" s="96"/>
      <c r="B56" s="25">
        <f>'4637'!B23</f>
        <v>1</v>
      </c>
      <c r="C56" s="103" t="str">
        <f>'4637'!C23</f>
        <v>CUB C/R 180°</v>
      </c>
      <c r="D56" s="25">
        <f>'4637'!D23</f>
        <v>2890</v>
      </c>
      <c r="E56" s="25">
        <f>'4637'!E23</f>
        <v>700</v>
      </c>
      <c r="F56" s="25" t="str">
        <f>'4637'!F23</f>
        <v>HUMO 2108 MT</v>
      </c>
      <c r="G56" s="1"/>
    </row>
    <row r="57" spans="1:11" ht="15.6" x14ac:dyDescent="0.3">
      <c r="A57" s="96"/>
      <c r="B57" s="25">
        <f>'4637'!B24</f>
        <v>1</v>
      </c>
      <c r="C57" s="103" t="str">
        <f>'4637'!C24</f>
        <v>CUB C/R 180°</v>
      </c>
      <c r="D57" s="25">
        <f>'4637'!D24</f>
        <v>3000</v>
      </c>
      <c r="E57" s="25">
        <f>'4637'!E24</f>
        <v>700</v>
      </c>
      <c r="F57" s="25" t="str">
        <f>'4637'!F24</f>
        <v>HUMO 2108 MT</v>
      </c>
      <c r="G57" s="1"/>
    </row>
    <row r="58" spans="1:11" ht="15.6" x14ac:dyDescent="0.3">
      <c r="A58" s="96"/>
      <c r="B58" s="25">
        <f>'4637'!B25</f>
        <v>1</v>
      </c>
      <c r="C58" s="103" t="str">
        <f>'4637'!C25</f>
        <v>CUB C/R 180°</v>
      </c>
      <c r="D58" s="25">
        <f>'4637'!D25</f>
        <v>1400</v>
      </c>
      <c r="E58" s="25">
        <f>'4637'!E25</f>
        <v>700</v>
      </c>
      <c r="F58" s="25" t="str">
        <f>'4637'!F25</f>
        <v>HUMO 2108 MT</v>
      </c>
      <c r="G58" s="1"/>
    </row>
    <row r="59" spans="1:11" ht="15.6" x14ac:dyDescent="0.3">
      <c r="A59" s="96"/>
      <c r="B59" s="25">
        <f>'4637'!B26</f>
        <v>1</v>
      </c>
      <c r="C59" s="103" t="str">
        <f>'4637'!C26</f>
        <v>CUB C/R 180°</v>
      </c>
      <c r="D59" s="25">
        <f>'4637'!D26</f>
        <v>2510</v>
      </c>
      <c r="E59" s="25">
        <f>'4637'!E26</f>
        <v>700</v>
      </c>
      <c r="F59" s="25" t="str">
        <f>'4637'!F26</f>
        <v>HUMO 2108 MT</v>
      </c>
      <c r="G59" s="1"/>
    </row>
    <row r="60" spans="1:11" ht="15.6" x14ac:dyDescent="0.3">
      <c r="A60" s="96"/>
      <c r="B60" s="25">
        <f>'4637'!B27</f>
        <v>1</v>
      </c>
      <c r="C60" s="103" t="str">
        <f>'4637'!C27</f>
        <v>CUB C/R 180°</v>
      </c>
      <c r="D60" s="25">
        <f>'4637'!D27</f>
        <v>2070</v>
      </c>
      <c r="E60" s="25">
        <f>'4637'!E27</f>
        <v>700</v>
      </c>
      <c r="F60" s="25" t="str">
        <f>'4637'!F27</f>
        <v>HUMO 2108 MT</v>
      </c>
      <c r="G60" s="1"/>
    </row>
    <row r="61" spans="1:11" ht="15.6" x14ac:dyDescent="0.3">
      <c r="A61" s="96"/>
      <c r="B61" s="25">
        <f>'4637'!B28</f>
        <v>1</v>
      </c>
      <c r="C61" s="103" t="str">
        <f>'4637'!C28</f>
        <v>CUB C/R 180°</v>
      </c>
      <c r="D61" s="25">
        <f>'4637'!D28</f>
        <v>2120</v>
      </c>
      <c r="E61" s="25">
        <f>'4637'!E28</f>
        <v>700</v>
      </c>
      <c r="F61" s="25" t="str">
        <f>'4637'!F28</f>
        <v>HUMO 2108 MT</v>
      </c>
      <c r="G61" s="1"/>
    </row>
    <row r="62" spans="1:11" ht="15.6" x14ac:dyDescent="0.3">
      <c r="A62" s="96"/>
      <c r="B62" s="25">
        <f>'4637'!B29</f>
        <v>1</v>
      </c>
      <c r="C62" s="103" t="str">
        <f>'4637'!C29</f>
        <v>CUB C/R 180°</v>
      </c>
      <c r="D62" s="25">
        <f>'4637'!D29</f>
        <v>2142</v>
      </c>
      <c r="E62" s="25">
        <f>'4637'!E29</f>
        <v>700</v>
      </c>
      <c r="F62" s="25" t="str">
        <f>'4637'!F29</f>
        <v>HUMO 2108 MT</v>
      </c>
      <c r="G62" s="1"/>
    </row>
    <row r="63" spans="1:11" ht="15.6" x14ac:dyDescent="0.3">
      <c r="A63" s="96"/>
      <c r="B63" s="25">
        <f>'4637'!B30</f>
        <v>1</v>
      </c>
      <c r="C63" s="103" t="str">
        <f>'4637'!C30</f>
        <v>CUB C/R 180°</v>
      </c>
      <c r="D63" s="25">
        <f>'4637'!D30</f>
        <v>2100</v>
      </c>
      <c r="E63" s="25">
        <f>'4637'!E30</f>
        <v>700</v>
      </c>
      <c r="F63" s="25" t="str">
        <f>'4637'!F30</f>
        <v>HUMO 2108 MT</v>
      </c>
      <c r="G63" s="1"/>
    </row>
    <row r="64" spans="1:11" ht="15.6" x14ac:dyDescent="0.3">
      <c r="A64" s="96"/>
      <c r="B64" s="25">
        <f>'4637'!B31</f>
        <v>1</v>
      </c>
      <c r="C64" s="103" t="str">
        <f>'4637'!C31</f>
        <v>CUB C/R 180°</v>
      </c>
      <c r="D64" s="25">
        <f>'4637'!D31</f>
        <v>2528</v>
      </c>
      <c r="E64" s="25">
        <f>'4637'!E31</f>
        <v>700</v>
      </c>
      <c r="F64" s="25" t="str">
        <f>'4637'!F31</f>
        <v>HUMO 2108 MT</v>
      </c>
      <c r="G64" s="1"/>
    </row>
    <row r="65" spans="1:7" ht="15.6" x14ac:dyDescent="0.3">
      <c r="A65" s="96"/>
      <c r="B65" s="25">
        <f>'4637'!B32</f>
        <v>1</v>
      </c>
      <c r="C65" s="103" t="str">
        <f>'4637'!C32</f>
        <v>CUB C/R 180°</v>
      </c>
      <c r="D65" s="25">
        <f>'4637'!D32</f>
        <v>2635</v>
      </c>
      <c r="E65" s="25">
        <f>'4637'!E32</f>
        <v>700</v>
      </c>
      <c r="F65" s="25" t="str">
        <f>'4637'!F32</f>
        <v>HUMO 2108 MT</v>
      </c>
      <c r="G65" s="1"/>
    </row>
    <row r="66" spans="1:7" ht="15.6" x14ac:dyDescent="0.3">
      <c r="A66" s="96"/>
      <c r="B66" s="25">
        <f>'4637'!B33</f>
        <v>1</v>
      </c>
      <c r="C66" s="103" t="str">
        <f>'4637'!C33</f>
        <v>CUB C/R 180°</v>
      </c>
      <c r="D66" s="25">
        <f>'4637'!D33</f>
        <v>2100</v>
      </c>
      <c r="E66" s="25">
        <f>'4637'!E33</f>
        <v>700</v>
      </c>
      <c r="F66" s="25" t="str">
        <f>'4637'!F33</f>
        <v>HUMO 2108 MT</v>
      </c>
      <c r="G66" s="1"/>
    </row>
    <row r="67" spans="1:7" ht="15.6" x14ac:dyDescent="0.3">
      <c r="A67" s="96"/>
      <c r="B67" s="25">
        <f>'4637'!B34</f>
        <v>1</v>
      </c>
      <c r="C67" s="103" t="str">
        <f>'4637'!C34</f>
        <v>CUB C/R 180°</v>
      </c>
      <c r="D67" s="25">
        <f>'4637'!D34</f>
        <v>2135</v>
      </c>
      <c r="E67" s="25">
        <f>'4637'!E34</f>
        <v>700</v>
      </c>
      <c r="F67" s="25" t="str">
        <f>'4637'!F34</f>
        <v>HUMO 2108 MT</v>
      </c>
      <c r="G67" s="1"/>
    </row>
    <row r="68" spans="1:7" ht="15.6" x14ac:dyDescent="0.3">
      <c r="A68" s="52"/>
      <c r="B68" s="6"/>
      <c r="C68" s="6"/>
      <c r="D68" s="6"/>
      <c r="E68" s="6"/>
      <c r="F68" s="6"/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6"/>
      <c r="C70" s="6"/>
      <c r="D70" s="6"/>
      <c r="E70" s="6"/>
      <c r="F70" s="6"/>
      <c r="G70" s="1"/>
    </row>
    <row r="71" spans="1:7" ht="15.6" x14ac:dyDescent="0.3">
      <c r="A71" s="1"/>
      <c r="B71" s="6"/>
      <c r="C71" s="6"/>
      <c r="D71" s="6"/>
      <c r="E71" s="6"/>
      <c r="F71" s="6"/>
      <c r="G71" s="1"/>
    </row>
    <row r="72" spans="1:7" ht="15.6" x14ac:dyDescent="0.3">
      <c r="A72" s="1"/>
      <c r="B72" s="6"/>
      <c r="C72" s="6"/>
      <c r="D72" s="6"/>
      <c r="E72" s="6"/>
      <c r="F72" s="6"/>
      <c r="G72" s="1"/>
    </row>
    <row r="73" spans="1:7" ht="15.6" x14ac:dyDescent="0.3">
      <c r="A73" s="1"/>
      <c r="B73" s="6"/>
      <c r="C73" s="6"/>
      <c r="D73" s="6"/>
      <c r="E73" s="6"/>
      <c r="F73" s="6"/>
      <c r="G73" s="1"/>
    </row>
    <row r="74" spans="1:7" ht="15.6" x14ac:dyDescent="0.3">
      <c r="A74" s="1"/>
      <c r="B74" s="6"/>
      <c r="C74" s="6"/>
      <c r="D74" s="6"/>
      <c r="E74" s="6"/>
      <c r="F74" s="6"/>
      <c r="G74" s="1"/>
    </row>
    <row r="75" spans="1:7" ht="15.6" x14ac:dyDescent="0.3">
      <c r="A75" s="1"/>
      <c r="B75" s="6"/>
      <c r="C75" s="6"/>
      <c r="D75" s="6"/>
      <c r="E75" s="6"/>
      <c r="F75" s="6"/>
      <c r="G75" s="1"/>
    </row>
    <row r="76" spans="1:7" ht="15.6" x14ac:dyDescent="0.3">
      <c r="A76" s="1"/>
      <c r="B76" s="6"/>
      <c r="C76" s="6"/>
      <c r="D76" s="6"/>
      <c r="E76" s="6"/>
      <c r="F76" s="6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40" t="s">
        <v>27</v>
      </c>
      <c r="D78" s="14">
        <f>'4637'!G8</f>
        <v>7149</v>
      </c>
      <c r="E78" s="1"/>
      <c r="F78" s="1"/>
      <c r="G78" s="1"/>
    </row>
    <row r="79" spans="1:7" ht="17.25" customHeight="1" x14ac:dyDescent="0.3">
      <c r="A79" s="1"/>
      <c r="B79" s="1"/>
      <c r="C79" s="41" t="s">
        <v>67</v>
      </c>
      <c r="D79" s="42" t="str">
        <f>'4637'!C10</f>
        <v>MUEBLES ASENJO LTDA.</v>
      </c>
      <c r="E79" s="43"/>
      <c r="F79" s="43"/>
      <c r="G79" s="1"/>
    </row>
    <row r="80" spans="1:7" ht="4.5" customHeight="1" x14ac:dyDescent="0.3">
      <c r="A80" s="1"/>
      <c r="B80" s="1"/>
      <c r="C80" s="44"/>
      <c r="D80" s="45"/>
      <c r="E80" s="1"/>
      <c r="F80" s="1"/>
      <c r="G80" s="1"/>
    </row>
    <row r="81" spans="1:7" ht="15.6" x14ac:dyDescent="0.3">
      <c r="A81" s="1"/>
      <c r="B81" s="1"/>
      <c r="C81" s="46" t="str">
        <f>'4637'!F11</f>
        <v>FECHA LIMITE :</v>
      </c>
      <c r="D81" s="13">
        <f>'4637'!G11</f>
        <v>45667</v>
      </c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22" t="s">
        <v>68</v>
      </c>
      <c r="B84" s="122"/>
      <c r="C84" s="122"/>
      <c r="D84" s="122"/>
      <c r="E84" s="122"/>
      <c r="F84" s="122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75" customHeight="1" x14ac:dyDescent="0.3">
      <c r="A86" s="1"/>
      <c r="B86" s="123" t="s">
        <v>69</v>
      </c>
      <c r="C86" s="124"/>
      <c r="D86" s="125"/>
      <c r="E86" s="125"/>
      <c r="F86" s="126"/>
      <c r="G86" s="1"/>
    </row>
    <row r="87" spans="1:7" s="15" customFormat="1" ht="12.75" customHeight="1" x14ac:dyDescent="0.3">
      <c r="A87" s="1"/>
      <c r="B87" s="36" t="s">
        <v>10</v>
      </c>
      <c r="C87" s="47" t="s">
        <v>11</v>
      </c>
      <c r="D87" s="48" t="s">
        <v>7</v>
      </c>
      <c r="E87" s="48" t="s">
        <v>8</v>
      </c>
      <c r="F87" s="49" t="s">
        <v>12</v>
      </c>
      <c r="G87" s="1"/>
    </row>
    <row r="88" spans="1:7" s="15" customFormat="1" ht="15" customHeight="1" x14ac:dyDescent="0.3">
      <c r="A88" s="96"/>
      <c r="B88" s="38">
        <f>'4637'!B21</f>
        <v>4</v>
      </c>
      <c r="C88" s="102" t="str">
        <f>'4637'!C21</f>
        <v>CUB S/R 180°</v>
      </c>
      <c r="D88" s="39">
        <f>'4637'!D21</f>
        <v>1770</v>
      </c>
      <c r="E88" s="39">
        <f>'4637'!E21</f>
        <v>700</v>
      </c>
      <c r="F88" s="38" t="str">
        <f>'4637'!F21</f>
        <v>HUMO 2108 MT</v>
      </c>
      <c r="G88" s="1"/>
    </row>
    <row r="89" spans="1:7" s="15" customFormat="1" ht="15" customHeight="1" x14ac:dyDescent="0.3">
      <c r="A89" s="96"/>
      <c r="B89" s="38">
        <f>'4637'!B22</f>
        <v>3</v>
      </c>
      <c r="C89" s="102" t="str">
        <f>'4637'!C22</f>
        <v>CUB MESA 180° 2LADOS</v>
      </c>
      <c r="D89" s="39">
        <f>'4637'!D22</f>
        <v>3000</v>
      </c>
      <c r="E89" s="39">
        <f>'4637'!E22</f>
        <v>1200</v>
      </c>
      <c r="F89" s="38" t="str">
        <f>'4637'!F22</f>
        <v>HUMO 2108 MT</v>
      </c>
      <c r="G89" s="1"/>
    </row>
    <row r="90" spans="1:7" s="15" customFormat="1" ht="15" customHeight="1" x14ac:dyDescent="0.3">
      <c r="A90" s="96"/>
      <c r="B90" s="38">
        <f>'4637'!B23</f>
        <v>1</v>
      </c>
      <c r="C90" s="102" t="str">
        <f>'4637'!C23</f>
        <v>CUB C/R 180°</v>
      </c>
      <c r="D90" s="39">
        <f>'4637'!D23</f>
        <v>2890</v>
      </c>
      <c r="E90" s="39">
        <f>'4637'!E23</f>
        <v>700</v>
      </c>
      <c r="F90" s="38" t="str">
        <f>'4637'!F23</f>
        <v>HUMO 2108 MT</v>
      </c>
      <c r="G90" s="1"/>
    </row>
    <row r="91" spans="1:7" s="15" customFormat="1" ht="15" customHeight="1" x14ac:dyDescent="0.3">
      <c r="A91" s="96"/>
      <c r="B91" s="38">
        <f>'4637'!B24</f>
        <v>1</v>
      </c>
      <c r="C91" s="102" t="str">
        <f>'4637'!C24</f>
        <v>CUB C/R 180°</v>
      </c>
      <c r="D91" s="39">
        <f>'4637'!D24</f>
        <v>3000</v>
      </c>
      <c r="E91" s="39">
        <f>'4637'!E24</f>
        <v>700</v>
      </c>
      <c r="F91" s="38" t="str">
        <f>'4637'!F24</f>
        <v>HUMO 2108 MT</v>
      </c>
      <c r="G91" s="1"/>
    </row>
    <row r="92" spans="1:7" s="15" customFormat="1" ht="15" customHeight="1" x14ac:dyDescent="0.3">
      <c r="A92" s="96"/>
      <c r="B92" s="38">
        <f>'4637'!B25</f>
        <v>1</v>
      </c>
      <c r="C92" s="102" t="str">
        <f>'4637'!C25</f>
        <v>CUB C/R 180°</v>
      </c>
      <c r="D92" s="39">
        <f>'4637'!D25</f>
        <v>1400</v>
      </c>
      <c r="E92" s="39">
        <f>'4637'!E25</f>
        <v>700</v>
      </c>
      <c r="F92" s="38" t="str">
        <f>'4637'!F25</f>
        <v>HUMO 2108 MT</v>
      </c>
      <c r="G92" s="1"/>
    </row>
    <row r="93" spans="1:7" s="15" customFormat="1" ht="15" customHeight="1" x14ac:dyDescent="0.3">
      <c r="A93" s="96"/>
      <c r="B93" s="38">
        <f>'4637'!B26</f>
        <v>1</v>
      </c>
      <c r="C93" s="102" t="str">
        <f>'4637'!C26</f>
        <v>CUB C/R 180°</v>
      </c>
      <c r="D93" s="39">
        <f>'4637'!D26</f>
        <v>2510</v>
      </c>
      <c r="E93" s="39">
        <f>'4637'!E26</f>
        <v>700</v>
      </c>
      <c r="F93" s="38" t="str">
        <f>'4637'!F26</f>
        <v>HUMO 2108 MT</v>
      </c>
      <c r="G93" s="1"/>
    </row>
    <row r="94" spans="1:7" s="15" customFormat="1" ht="15" customHeight="1" x14ac:dyDescent="0.3">
      <c r="A94" s="96"/>
      <c r="B94" s="38">
        <f>'4637'!B27</f>
        <v>1</v>
      </c>
      <c r="C94" s="102" t="str">
        <f>'4637'!C27</f>
        <v>CUB C/R 180°</v>
      </c>
      <c r="D94" s="39">
        <f>'4637'!D27</f>
        <v>2070</v>
      </c>
      <c r="E94" s="39">
        <f>'4637'!E27</f>
        <v>700</v>
      </c>
      <c r="F94" s="38" t="str">
        <f>'4637'!F27</f>
        <v>HUMO 2108 MT</v>
      </c>
      <c r="G94" s="1"/>
    </row>
    <row r="95" spans="1:7" s="15" customFormat="1" ht="15" customHeight="1" x14ac:dyDescent="0.3">
      <c r="A95" s="96"/>
      <c r="B95" s="38">
        <f>'4637'!B28</f>
        <v>1</v>
      </c>
      <c r="C95" s="102" t="str">
        <f>'4637'!C28</f>
        <v>CUB C/R 180°</v>
      </c>
      <c r="D95" s="39">
        <f>'4637'!D28</f>
        <v>2120</v>
      </c>
      <c r="E95" s="39">
        <f>'4637'!E28</f>
        <v>700</v>
      </c>
      <c r="F95" s="38" t="str">
        <f>'4637'!F28</f>
        <v>HUMO 2108 MT</v>
      </c>
      <c r="G95" s="1"/>
    </row>
    <row r="96" spans="1:7" s="15" customFormat="1" ht="15" customHeight="1" x14ac:dyDescent="0.3">
      <c r="A96" s="96"/>
      <c r="B96" s="38">
        <f>'4637'!B29</f>
        <v>1</v>
      </c>
      <c r="C96" s="102" t="str">
        <f>'4637'!C29</f>
        <v>CUB C/R 180°</v>
      </c>
      <c r="D96" s="39">
        <f>'4637'!D29</f>
        <v>2142</v>
      </c>
      <c r="E96" s="39">
        <f>'4637'!E29</f>
        <v>700</v>
      </c>
      <c r="F96" s="38" t="str">
        <f>'4637'!F29</f>
        <v>HUMO 2108 MT</v>
      </c>
      <c r="G96" s="1"/>
    </row>
    <row r="97" spans="1:7" s="15" customFormat="1" ht="15" customHeight="1" x14ac:dyDescent="0.3">
      <c r="A97" s="96"/>
      <c r="B97" s="38">
        <f>'4637'!B30</f>
        <v>1</v>
      </c>
      <c r="C97" s="102" t="str">
        <f>'4637'!C30</f>
        <v>CUB C/R 180°</v>
      </c>
      <c r="D97" s="39">
        <f>'4637'!D30</f>
        <v>2100</v>
      </c>
      <c r="E97" s="39">
        <f>'4637'!E30</f>
        <v>700</v>
      </c>
      <c r="F97" s="38" t="str">
        <f>'4637'!F30</f>
        <v>HUMO 2108 MT</v>
      </c>
      <c r="G97" s="1"/>
    </row>
    <row r="98" spans="1:7" s="15" customFormat="1" ht="15" customHeight="1" x14ac:dyDescent="0.3">
      <c r="A98" s="96"/>
      <c r="B98" s="38">
        <f>'4637'!B31</f>
        <v>1</v>
      </c>
      <c r="C98" s="102" t="str">
        <f>'4637'!C31</f>
        <v>CUB C/R 180°</v>
      </c>
      <c r="D98" s="39">
        <f>'4637'!D31</f>
        <v>2528</v>
      </c>
      <c r="E98" s="39">
        <f>'4637'!E31</f>
        <v>700</v>
      </c>
      <c r="F98" s="38" t="str">
        <f>'4637'!F31</f>
        <v>HUMO 2108 MT</v>
      </c>
      <c r="G98" s="1"/>
    </row>
    <row r="99" spans="1:7" s="15" customFormat="1" ht="15" customHeight="1" x14ac:dyDescent="0.3">
      <c r="A99" s="96"/>
      <c r="B99" s="38">
        <f>'4637'!B32</f>
        <v>1</v>
      </c>
      <c r="C99" s="102" t="str">
        <f>'4637'!C32</f>
        <v>CUB C/R 180°</v>
      </c>
      <c r="D99" s="39">
        <f>'4637'!D32</f>
        <v>2635</v>
      </c>
      <c r="E99" s="39">
        <f>'4637'!E32</f>
        <v>700</v>
      </c>
      <c r="F99" s="38" t="str">
        <f>'4637'!F32</f>
        <v>HUMO 2108 MT</v>
      </c>
      <c r="G99" s="1"/>
    </row>
    <row r="100" spans="1:7" s="15" customFormat="1" ht="15" customHeight="1" x14ac:dyDescent="0.3">
      <c r="A100" s="96"/>
      <c r="B100" s="38">
        <f>'4637'!B33</f>
        <v>1</v>
      </c>
      <c r="C100" s="102" t="str">
        <f>'4637'!C33</f>
        <v>CUB C/R 180°</v>
      </c>
      <c r="D100" s="39">
        <f>'4637'!D33</f>
        <v>2100</v>
      </c>
      <c r="E100" s="39">
        <f>'4637'!E33</f>
        <v>700</v>
      </c>
      <c r="F100" s="38" t="str">
        <f>'4637'!F33</f>
        <v>HUMO 2108 MT</v>
      </c>
      <c r="G100" s="1"/>
    </row>
    <row r="101" spans="1:7" s="15" customFormat="1" ht="15" customHeight="1" x14ac:dyDescent="0.3">
      <c r="A101" s="96"/>
      <c r="B101" s="38">
        <f>'4637'!B34</f>
        <v>1</v>
      </c>
      <c r="C101" s="102" t="str">
        <f>'4637'!C34</f>
        <v>CUB C/R 180°</v>
      </c>
      <c r="D101" s="39">
        <f>'4637'!D34</f>
        <v>2135</v>
      </c>
      <c r="E101" s="39">
        <f>'4637'!E34</f>
        <v>700</v>
      </c>
      <c r="F101" s="38" t="str">
        <f>'4637'!F34</f>
        <v>HUMO 2108 MT</v>
      </c>
      <c r="G101" s="1"/>
    </row>
    <row r="102" spans="1:7" s="15" customFormat="1" ht="15" customHeight="1" x14ac:dyDescent="0.3">
      <c r="A102" s="96"/>
      <c r="B102" s="52"/>
      <c r="C102" s="108"/>
      <c r="D102" s="52"/>
      <c r="E102" s="52"/>
      <c r="F102" s="52"/>
      <c r="G102" s="1"/>
    </row>
    <row r="103" spans="1:7" s="15" customFormat="1" ht="15" customHeight="1" x14ac:dyDescent="0.3">
      <c r="A103" s="50"/>
      <c r="B103" s="52"/>
      <c r="C103" s="52"/>
      <c r="D103" s="52"/>
      <c r="E103" s="52"/>
      <c r="F103" s="52"/>
      <c r="G103" s="1"/>
    </row>
    <row r="104" spans="1:7" ht="15.6" x14ac:dyDescent="0.3">
      <c r="A104" s="6"/>
      <c r="B104" s="6"/>
      <c r="C104" s="1"/>
      <c r="D104" s="6"/>
      <c r="E104" s="6"/>
      <c r="F104" s="44"/>
      <c r="G104" s="1"/>
    </row>
    <row r="105" spans="1:7" ht="15.6" x14ac:dyDescent="0.3">
      <c r="A105" s="6"/>
      <c r="B105" s="6"/>
      <c r="C105" s="1"/>
      <c r="D105" s="6"/>
      <c r="E105" s="6"/>
      <c r="F105" s="6"/>
      <c r="G105" s="1"/>
    </row>
    <row r="106" spans="1:7" ht="15.6" x14ac:dyDescent="0.3">
      <c r="A106" s="1"/>
      <c r="B106" s="1"/>
      <c r="C106" s="1"/>
      <c r="D106" s="1"/>
      <c r="E106" s="1"/>
      <c r="F106" s="1"/>
      <c r="G106" s="1"/>
    </row>
    <row r="107" spans="1:7" ht="15.6" x14ac:dyDescent="0.3">
      <c r="A107" s="1"/>
      <c r="B107" s="1"/>
      <c r="C107" s="1"/>
      <c r="D107" s="1"/>
      <c r="E107" s="1"/>
      <c r="F107" s="1"/>
      <c r="G107" s="1"/>
    </row>
    <row r="108" spans="1:7" ht="15.6" x14ac:dyDescent="0.3">
      <c r="A108" s="1"/>
      <c r="B108" s="1"/>
      <c r="C108" s="1"/>
      <c r="D108" s="1"/>
      <c r="E108" s="1"/>
      <c r="F108" s="1"/>
      <c r="G108" s="1"/>
    </row>
    <row r="109" spans="1:7" ht="15" customHeight="1" x14ac:dyDescent="0.3">
      <c r="A109" s="1"/>
      <c r="B109" s="1"/>
      <c r="C109" s="1"/>
      <c r="D109" s="1"/>
      <c r="E109" s="1"/>
      <c r="F109" s="1"/>
      <c r="G109" s="1"/>
    </row>
    <row r="110" spans="1:7" ht="15.6" x14ac:dyDescent="0.3">
      <c r="A110" s="1"/>
      <c r="B110" s="1"/>
      <c r="C110" s="1"/>
      <c r="D110" s="1"/>
      <c r="E110" s="1"/>
      <c r="F110" s="1"/>
      <c r="G110" s="1"/>
    </row>
    <row r="111" spans="1:7" ht="15.6" x14ac:dyDescent="0.3">
      <c r="A111" s="6"/>
      <c r="B111" s="51"/>
      <c r="C111" s="1"/>
      <c r="D111" s="1"/>
      <c r="E111" s="1"/>
      <c r="F111" s="1"/>
      <c r="G111" s="1"/>
    </row>
    <row r="112" spans="1:7" ht="15.6" x14ac:dyDescent="0.3">
      <c r="A112" s="1"/>
      <c r="B112" s="1"/>
      <c r="C112" s="1"/>
      <c r="D112" s="1"/>
      <c r="E112" s="1"/>
      <c r="F112" s="1"/>
      <c r="G112" s="1"/>
    </row>
    <row r="113" spans="2:6" x14ac:dyDescent="0.3">
      <c r="B113" s="20"/>
      <c r="C113" s="20"/>
      <c r="D113" s="20"/>
      <c r="E113" s="20"/>
      <c r="F113" s="20"/>
    </row>
    <row r="114" spans="2:6" x14ac:dyDescent="0.3">
      <c r="B114" s="20"/>
      <c r="C114" s="20"/>
      <c r="E114" s="20"/>
      <c r="F114" s="20"/>
    </row>
  </sheetData>
  <mergeCells count="6">
    <mergeCell ref="M3:N3"/>
    <mergeCell ref="A31:F31"/>
    <mergeCell ref="A10:F10"/>
    <mergeCell ref="A84:F84"/>
    <mergeCell ref="B86:F8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2025-01-03T18:30:14Z</cp:lastPrinted>
  <dcterms:created xsi:type="dcterms:W3CDTF">2013-03-19T12:54:14Z</dcterms:created>
  <dcterms:modified xsi:type="dcterms:W3CDTF">2025-03-03T12:58:08Z</dcterms:modified>
</cp:coreProperties>
</file>