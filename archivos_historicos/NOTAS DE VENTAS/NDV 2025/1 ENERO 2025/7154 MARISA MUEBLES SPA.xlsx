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 ENERO 2025\"/>
    </mc:Choice>
  </mc:AlternateContent>
  <xr:revisionPtr revIDLastSave="0" documentId="13_ncr:1_{F35ED488-C6F3-441E-9298-A7DEE919D2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CUBIERTA!$A$38:$F$60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B15" i="3"/>
  <c r="D15" i="3"/>
  <c r="H21" i="4"/>
  <c r="B29" i="3"/>
  <c r="I23" i="3" s="1"/>
  <c r="C29" i="3"/>
  <c r="F14" i="3" s="1"/>
  <c r="D29" i="3"/>
  <c r="J14" i="3" s="1"/>
  <c r="D14" i="3" s="1"/>
  <c r="E29" i="3"/>
  <c r="K23" i="3" s="1"/>
  <c r="E23" i="3" s="1"/>
  <c r="F29" i="3"/>
  <c r="B50" i="3"/>
  <c r="C50" i="3"/>
  <c r="D50" i="3"/>
  <c r="E50" i="3"/>
  <c r="F50" i="3"/>
  <c r="J23" i="3" l="1"/>
  <c r="D23" i="3" s="1"/>
  <c r="K14" i="3"/>
  <c r="E14" i="3" s="1"/>
  <c r="B23" i="3"/>
  <c r="I14" i="3"/>
  <c r="B14" i="3" s="1"/>
  <c r="F23" i="3"/>
  <c r="H24" i="4"/>
  <c r="H25" i="4" l="1"/>
  <c r="H26" i="4" l="1"/>
  <c r="N5" i="3" l="1"/>
  <c r="M5" i="3" l="1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<sst xmlns="http://schemas.openxmlformats.org/spreadsheetml/2006/main" count="247" uniqueCount="145">
  <si>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</si>
  <si>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</si>
  <si>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</si>
  <si>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</si>
  <si>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</si>
  <si>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</si>
  <si>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</si>
  <si>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</si>
  <si>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</si>
  <si>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</si>
  <si>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</si>
  <si>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</si>
  <si>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</si>
  <si>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</si>
  <si>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</si>
  <si>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</si>
  <si>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</si>
  <si>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</si>
  <si>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</si>
  <si>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</si>
  <si>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</si>
  <si>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</si>
  <si>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</si>
  <si>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</si>
  <si>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</si>
  <si>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</si>
  <si>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</si>
  <si>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</si>
  <si>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</si>
  <si>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</si>
  <si>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</si>
  <si>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</si>
  <si>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</si>
  <si>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</si>
  <si>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</si>
  <si>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</si>
  <si>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</si>
  <si>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</si>
  <si>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</si>
  <si>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</si>
  <si>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</si>
  <si>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</si>
  <si>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</si>
  <si>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</si>
  <si>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</si>
  <si>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</si>
  <si>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</si>
  <si>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</si>
  <si>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</si>
  <si>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</si>
  <si>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</si>
  <si>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</si>
  <si>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</si>
  <si>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</si>
  <si>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</si>
  <si>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</si>
  <si>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</si>
  <si>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</si>
  <si>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</si>
  <si>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</si>
  <si>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</si>
  <si>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</si>
  <si>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</si>
  <si>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</si>
  <si>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</si>
  <si>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</si>
  <si>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</si>
  <si>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</si>
  <si>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</si>
  <si>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</si>
  <si>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</si>
  <si>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</si>
  <si>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</si>
  <si>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</si>
  <si>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</si>
  <si>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</si>
  <si>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</si>
  <si>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</si>
  <si>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</si>
  <si>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</si>
  <si>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</si>
  <si>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</si>
  <si>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</si>
  <si>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</si>
  <si>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</si>
  <si>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</si>
  <si>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</si>
  <si>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</si>
  <si>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</si>
  <si>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</si>
  <si>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</si>
  <si>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</si>
  <si>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</si>
  <si>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</si>
  <si>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</si>
  <si>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</si>
  <si>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</si>
  <si>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</si>
  <si>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</si>
  <si>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</si>
  <si>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</si>
  <si>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</si>
  <si>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</si>
  <si>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</si>
  <si>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</si>
  <si>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</si>
  <si>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</si>
  <si>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</si>
  <si>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</si>
  <si>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</si>
  <si>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</si>
  <si>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</si>
  <si>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</si>
  <si>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</si>
  <si>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</si>
  <si>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</si>
  <si>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</si>
  <si>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</si>
  <si>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</si>
  <si>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</si>
  <si>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</si>
  <si>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</si>
  <si>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</si>
  <si>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</si>
  <si>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</si>
  <si>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</si>
  <si>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</si>
  <si>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</si>
  <si>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</si>
  <si>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</si>
  <si>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</si>
  <si>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</si>
  <si>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</si>
  <si>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CONTACTO:</t>
  </si>
  <si>
    <t>MDF18MM</t>
  </si>
  <si>
    <t>CONTADO</t>
  </si>
  <si>
    <t>PUERTO MONTT</t>
  </si>
  <si>
    <t>MARISA MUEBLES SPA</t>
  </si>
  <si>
    <t>77.873.294-7</t>
  </si>
  <si>
    <t>EDUARDO CABRERA</t>
  </si>
  <si>
    <t>569 7664 0746</t>
  </si>
  <si>
    <t>CUB MESA 2 LADOS F/5CMS</t>
  </si>
  <si>
    <t>BLANCO 2114 F6 MT</t>
  </si>
  <si>
    <t>N° 11260</t>
  </si>
  <si>
    <t>FALDON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</si>
</sst>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3" borderId="0" xfId="0" applyFont="1" applyFill="1"/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8" fillId="3" borderId="0" xfId="0" quotePrefix="1" applyFont="1" applyFill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$ 1.436.092.-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15239</xdr:rowOff>
    </xdr:from>
    <xdr:to>
      <xdr:col>6</xdr:col>
      <xdr:colOff>68580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41910</xdr:rowOff>
    </xdr:from>
    <xdr:to>
      <xdr:col>1</xdr:col>
      <xdr:colOff>801763</xdr:colOff>
      <xdr:row>44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8" workbookViewId="0">
      <selection activeCell="I28" sqref="I2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143</v>
      </c>
      <c r="E8" s="1"/>
      <c r="F8" s="94" t="s">
        <v>27</v>
      </c>
      <c r="G8" s="95">
        <v>7154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137</v>
      </c>
      <c r="D10" s="55"/>
      <c r="E10" s="55"/>
      <c r="F10" s="56" t="s">
        <v>28</v>
      </c>
      <c r="G10" s="57">
        <v>45673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138</v>
      </c>
      <c r="D11" s="60"/>
      <c r="E11" s="60"/>
      <c r="F11" s="60" t="s">
        <v>124</v>
      </c>
      <c r="G11" s="61">
        <v>45688</v>
      </c>
      <c r="H11" s="62"/>
      <c r="I11" s="1"/>
    </row>
    <row r="12" spans="1:17" ht="15.6" x14ac:dyDescent="0.3">
      <c r="A12" s="1"/>
      <c r="B12" s="63" t="s">
        <v>132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133</v>
      </c>
      <c r="C13" s="108" t="s">
        <v>139</v>
      </c>
      <c r="D13" s="43"/>
      <c r="E13" s="43"/>
      <c r="F13" s="43" t="s">
        <v>128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11" t="s">
        <v>140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C15" s="101"/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136</v>
      </c>
      <c r="D16" s="69"/>
      <c r="E16" s="70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5">
        <v>100</v>
      </c>
      <c r="C21" s="105" t="s">
        <v>141</v>
      </c>
      <c r="D21" s="106">
        <v>1350</v>
      </c>
      <c r="E21" s="106">
        <v>350</v>
      </c>
      <c r="F21" s="105" t="s">
        <v>142</v>
      </c>
      <c r="G21" s="109">
        <v>24136</v>
      </c>
      <c r="H21" s="110">
        <f t="shared" ref="H21" si="0">G21*B21</f>
        <v>2413600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97"/>
      <c r="E22" s="97"/>
      <c r="F22" s="98"/>
      <c r="G22" s="99"/>
      <c r="H22" s="99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2413600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458584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2872184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100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opLeftCell="A38" zoomScaleNormal="100" workbookViewId="0">
      <selection activeCell="A38" sqref="A38:F60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7154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MARISA MUEBLES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45688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100</v>
      </c>
      <c r="C14" s="25"/>
      <c r="D14" s="25">
        <f t="shared" ref="D14" si="1">J14+D$13</f>
        <v>1430</v>
      </c>
      <c r="E14" s="35">
        <f>K14+E13</f>
        <v>350</v>
      </c>
      <c r="F14" s="103" t="str">
        <f>C29</f>
        <v>CUB MESA 2 LADOS F/5CMS</v>
      </c>
      <c r="G14" s="1"/>
      <c r="I14" s="3">
        <f>I23</f>
        <v>100</v>
      </c>
      <c r="J14" s="4">
        <f>D29</f>
        <v>1350</v>
      </c>
      <c r="K14" s="4">
        <f>E29</f>
        <v>350</v>
      </c>
    </row>
    <row r="15" spans="1:14" ht="15.6" x14ac:dyDescent="0.3">
      <c r="A15" s="96"/>
      <c r="B15" s="25">
        <f t="shared" ref="B15" si="2">I15</f>
        <v>200</v>
      </c>
      <c r="C15" s="25"/>
      <c r="D15" s="25">
        <f t="shared" ref="D15" si="3">J15+D$13</f>
        <v>1430</v>
      </c>
      <c r="E15" s="35">
        <f>K15</f>
        <v>32</v>
      </c>
      <c r="F15" s="103" t="s">
        <v>144</v>
      </c>
      <c r="G15" s="1"/>
      <c r="I15" s="3">
        <v>200</v>
      </c>
      <c r="J15" s="4">
        <v>1350</v>
      </c>
      <c r="K15" s="4">
        <v>32</v>
      </c>
    </row>
    <row r="16" spans="1:14" ht="15.6" x14ac:dyDescent="0.3">
      <c r="A16" s="96"/>
      <c r="B16" s="6"/>
      <c r="C16" s="6"/>
      <c r="D16" s="6"/>
      <c r="E16" s="89"/>
      <c r="F16" s="107"/>
      <c r="G16" s="1"/>
      <c r="I16" s="90"/>
      <c r="J16" s="2"/>
      <c r="K16" s="2"/>
    </row>
    <row r="17" spans="1:11" ht="15.6" x14ac:dyDescent="0.3">
      <c r="A17" s="52"/>
      <c r="B17" s="6"/>
      <c r="C17" s="6"/>
      <c r="D17" s="6"/>
      <c r="E17" s="89"/>
      <c r="F17" s="6"/>
      <c r="G17" s="1"/>
      <c r="I17" s="90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20" t="s">
        <v>14</v>
      </c>
      <c r="B19" s="120"/>
      <c r="C19" s="120"/>
      <c r="D19" s="120"/>
      <c r="E19" s="120"/>
      <c r="F19" s="120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150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6" t="s">
        <v>130</v>
      </c>
      <c r="B23" s="16">
        <f t="shared" ref="B23" si="4">I23</f>
        <v>100</v>
      </c>
      <c r="C23" s="16"/>
      <c r="D23" s="16">
        <f>J23+D$22</f>
        <v>1390</v>
      </c>
      <c r="E23" s="16">
        <f>K23+E22</f>
        <v>500</v>
      </c>
      <c r="F23" s="104" t="str">
        <f>C29</f>
        <v>CUB MESA 2 LADOS F/5CMS</v>
      </c>
      <c r="G23" s="1"/>
      <c r="I23" s="3">
        <f>B29</f>
        <v>100</v>
      </c>
      <c r="J23" s="4">
        <f t="shared" ref="J23:K23" si="5">D29</f>
        <v>1350</v>
      </c>
      <c r="K23" s="4">
        <f t="shared" si="5"/>
        <v>350</v>
      </c>
    </row>
    <row r="24" spans="1:11" ht="15.6" x14ac:dyDescent="0.3">
      <c r="A24" s="96"/>
      <c r="B24" s="6"/>
      <c r="C24" s="6"/>
      <c r="D24" s="6"/>
      <c r="E24" s="6"/>
      <c r="F24" s="6"/>
      <c r="G24" s="1"/>
      <c r="I24" s="90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6" t="s">
        <v>134</v>
      </c>
      <c r="B29" s="25">
        <f>'4637'!B21</f>
        <v>100</v>
      </c>
      <c r="C29" s="103" t="str">
        <f>'4637'!C21</f>
        <v>CUB MESA 2 LADOS F/5CMS</v>
      </c>
      <c r="D29" s="25">
        <f>'4637'!D21</f>
        <v>1350</v>
      </c>
      <c r="E29" s="25">
        <f>'4637'!E21</f>
        <v>350</v>
      </c>
      <c r="F29" s="25" t="str">
        <f>'4637'!F21</f>
        <v>BLANCO 2114 F6 MT</v>
      </c>
      <c r="G29" s="1"/>
    </row>
    <row r="30" spans="1:11" ht="15.6" x14ac:dyDescent="0.3">
      <c r="A30" s="52"/>
      <c r="B30" s="6"/>
      <c r="C30" s="107"/>
      <c r="D30" s="6"/>
      <c r="E30" s="6"/>
      <c r="F30" s="6"/>
      <c r="G30" s="1"/>
    </row>
    <row r="31" spans="1:11" ht="15.6" x14ac:dyDescent="0.3">
      <c r="A31" s="52"/>
      <c r="B31" s="6"/>
      <c r="C31" s="107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40" t="s">
        <v>27</v>
      </c>
      <c r="D40" s="14">
        <f>'4637'!G8</f>
        <v>7154</v>
      </c>
      <c r="E40" s="1"/>
      <c r="F40" s="1"/>
      <c r="G40" s="1"/>
    </row>
    <row r="41" spans="1:7" ht="17.25" customHeight="1" x14ac:dyDescent="0.3">
      <c r="A41" s="1"/>
      <c r="B41" s="1"/>
      <c r="C41" s="41" t="s">
        <v>67</v>
      </c>
      <c r="D41" s="42" t="str">
        <f>'4637'!C10</f>
        <v>MARISA MUEBLES SPA</v>
      </c>
      <c r="E41" s="43"/>
      <c r="F41" s="43"/>
      <c r="G41" s="1"/>
    </row>
    <row r="42" spans="1:7" ht="4.5" customHeight="1" x14ac:dyDescent="0.3">
      <c r="A42" s="1"/>
      <c r="B42" s="1"/>
      <c r="C42" s="44"/>
      <c r="D42" s="45"/>
      <c r="E42" s="1"/>
      <c r="F42" s="1"/>
      <c r="G42" s="1"/>
    </row>
    <row r="43" spans="1:7" ht="15.6" x14ac:dyDescent="0.3">
      <c r="A43" s="1"/>
      <c r="B43" s="1"/>
      <c r="C43" s="46" t="str">
        <f>'4637'!F11</f>
        <v>FECHA LIMITE :</v>
      </c>
      <c r="D43" s="13">
        <f>'4637'!G11</f>
        <v>45688</v>
      </c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20" t="s">
        <v>68</v>
      </c>
      <c r="B46" s="120"/>
      <c r="C46" s="120"/>
      <c r="D46" s="120"/>
      <c r="E46" s="120"/>
      <c r="F46" s="120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21" t="s">
        <v>69</v>
      </c>
      <c r="C48" s="122"/>
      <c r="D48" s="123"/>
      <c r="E48" s="123"/>
      <c r="F48" s="124"/>
      <c r="G48" s="1"/>
    </row>
    <row r="49" spans="1:7" s="15" customFormat="1" ht="12.75" customHeight="1" x14ac:dyDescent="0.3">
      <c r="A49" s="1"/>
      <c r="B49" s="36" t="s">
        <v>10</v>
      </c>
      <c r="C49" s="47" t="s">
        <v>11</v>
      </c>
      <c r="D49" s="48" t="s">
        <v>7</v>
      </c>
      <c r="E49" s="48" t="s">
        <v>8</v>
      </c>
      <c r="F49" s="49" t="s">
        <v>12</v>
      </c>
      <c r="G49" s="1"/>
    </row>
    <row r="50" spans="1:7" s="15" customFormat="1" ht="15" customHeight="1" x14ac:dyDescent="0.3">
      <c r="A50" s="96"/>
      <c r="B50" s="38">
        <f>'4637'!B21</f>
        <v>100</v>
      </c>
      <c r="C50" s="102" t="str">
        <f>'4637'!C21</f>
        <v>CUB MESA 2 LADOS F/5CMS</v>
      </c>
      <c r="D50" s="39">
        <f>'4637'!D21</f>
        <v>1350</v>
      </c>
      <c r="E50" s="39">
        <f>'4637'!E21</f>
        <v>350</v>
      </c>
      <c r="F50" s="38" t="str">
        <f>'4637'!F21</f>
        <v>BLANCO 2114 F6 MT</v>
      </c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9:F19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2025-01-20T20:25:52Z</cp:lastPrinted>
  <dcterms:created xsi:type="dcterms:W3CDTF">2013-03-19T12:54:14Z</dcterms:created>
  <dcterms:modified xsi:type="dcterms:W3CDTF">2025-01-20T20:26:28Z</dcterms:modified>
</cp:coreProperties>
</file>