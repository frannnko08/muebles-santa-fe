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622C4FFD-9206-4136-BC7E-49E78FAB4E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'4637'!$A$1:$H$44</definedName>
    <definedName name="_xlnm.Print_Area" localSheetId="2">CUBIERTA!$A$1:$F$56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14" i="3"/>
  <c r="F15" i="3"/>
  <c r="F20" i="3"/>
  <c r="F17" i="3"/>
  <c r="J17" i="3"/>
  <c r="B50" i="3"/>
  <c r="C50" i="3"/>
  <c r="D50" i="3"/>
  <c r="E50" i="3"/>
  <c r="B44" i="3"/>
  <c r="I31" i="3" s="1"/>
  <c r="B31" i="3" s="1"/>
  <c r="C44" i="3"/>
  <c r="F31" i="3" s="1"/>
  <c r="D44" i="3"/>
  <c r="J31" i="3" s="1"/>
  <c r="D31" i="3" s="1"/>
  <c r="E44" i="3"/>
  <c r="K31" i="3" s="1"/>
  <c r="E31" i="3" s="1"/>
  <c r="B45" i="3"/>
  <c r="I32" i="3" s="1"/>
  <c r="B32" i="3" s="1"/>
  <c r="C45" i="3"/>
  <c r="F32" i="3" s="1"/>
  <c r="D45" i="3"/>
  <c r="J32" i="3" s="1"/>
  <c r="D32" i="3" s="1"/>
  <c r="E45" i="3"/>
  <c r="K32" i="3" s="1"/>
  <c r="B46" i="3"/>
  <c r="I33" i="3" s="1"/>
  <c r="B33" i="3" s="1"/>
  <c r="C46" i="3"/>
  <c r="F33" i="3" s="1"/>
  <c r="D46" i="3"/>
  <c r="J33" i="3" s="1"/>
  <c r="D33" i="3" s="1"/>
  <c r="E46" i="3"/>
  <c r="K33" i="3" s="1"/>
  <c r="B47" i="3"/>
  <c r="I34" i="3" s="1"/>
  <c r="B34" i="3" s="1"/>
  <c r="C47" i="3"/>
  <c r="F34" i="3" s="1"/>
  <c r="D47" i="3"/>
  <c r="J34" i="3" s="1"/>
  <c r="E47" i="3"/>
  <c r="K34" i="3" s="1"/>
  <c r="B48" i="3"/>
  <c r="I35" i="3" s="1"/>
  <c r="B35" i="3" s="1"/>
  <c r="C48" i="3"/>
  <c r="F35" i="3" s="1"/>
  <c r="D48" i="3"/>
  <c r="J35" i="3" s="1"/>
  <c r="E48" i="3"/>
  <c r="K35" i="3" s="1"/>
  <c r="E35" i="3" s="1"/>
  <c r="B49" i="3"/>
  <c r="I36" i="3" s="1"/>
  <c r="B36" i="3" s="1"/>
  <c r="C49" i="3"/>
  <c r="F36" i="3" s="1"/>
  <c r="D49" i="3"/>
  <c r="J36" i="3" s="1"/>
  <c r="D36" i="3" s="1"/>
  <c r="E49" i="3"/>
  <c r="K36" i="3" s="1"/>
  <c r="E36" i="3" s="1"/>
  <c r="B74" i="3"/>
  <c r="C74" i="3"/>
  <c r="D74" i="3"/>
  <c r="E74" i="3"/>
  <c r="B75" i="3"/>
  <c r="C75" i="3"/>
  <c r="D75" i="3"/>
  <c r="E75" i="3"/>
  <c r="B76" i="3"/>
  <c r="C76" i="3"/>
  <c r="D76" i="3"/>
  <c r="E76" i="3"/>
  <c r="B77" i="3"/>
  <c r="C77" i="3"/>
  <c r="D77" i="3"/>
  <c r="E77" i="3"/>
  <c r="B78" i="3"/>
  <c r="C78" i="3"/>
  <c r="D78" i="3"/>
  <c r="E78" i="3"/>
  <c r="B79" i="3"/>
  <c r="C79" i="3"/>
  <c r="D79" i="3"/>
  <c r="E79" i="3"/>
  <c r="B80" i="3"/>
  <c r="C80" i="3"/>
  <c r="D80" i="3"/>
  <c r="E80" i="3"/>
  <c r="B81" i="3"/>
  <c r="C81" i="3"/>
  <c r="D81" i="3"/>
  <c r="E81" i="3"/>
  <c r="F73" i="3"/>
  <c r="F74" i="3"/>
  <c r="F44" i="3" s="1"/>
  <c r="F75" i="3"/>
  <c r="F45" i="3" s="1"/>
  <c r="F76" i="3"/>
  <c r="F46" i="3" s="1"/>
  <c r="F77" i="3"/>
  <c r="F47" i="3" s="1"/>
  <c r="F78" i="3"/>
  <c r="F48" i="3" s="1"/>
  <c r="F79" i="3"/>
  <c r="F49" i="3" s="1"/>
  <c r="F80" i="3"/>
  <c r="F81" i="3"/>
  <c r="F50" i="3" s="1"/>
  <c r="F72" i="3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B43" i="3"/>
  <c r="I30" i="3" s="1"/>
  <c r="C43" i="3"/>
  <c r="F30" i="3" s="1"/>
  <c r="D43" i="3"/>
  <c r="J15" i="3" s="1"/>
  <c r="D15" i="3" s="1"/>
  <c r="E43" i="3"/>
  <c r="K15" i="3" s="1"/>
  <c r="E15" i="3" s="1"/>
  <c r="F43" i="3"/>
  <c r="F42" i="3"/>
  <c r="B73" i="3"/>
  <c r="C73" i="3"/>
  <c r="D73" i="3"/>
  <c r="E73" i="3"/>
  <c r="I17" i="3" l="1"/>
  <c r="B17" i="3" s="1"/>
  <c r="I20" i="3"/>
  <c r="B20" i="3" s="1"/>
  <c r="K19" i="3"/>
  <c r="J16" i="3"/>
  <c r="D16" i="3" s="1"/>
  <c r="I18" i="3"/>
  <c r="B18" i="3" s="1"/>
  <c r="K20" i="3"/>
  <c r="J19" i="3"/>
  <c r="I16" i="3"/>
  <c r="B16" i="3" s="1"/>
  <c r="F19" i="3"/>
  <c r="K18" i="3"/>
  <c r="E18" i="3" s="1"/>
  <c r="K16" i="3"/>
  <c r="J18" i="3"/>
  <c r="D18" i="3" s="1"/>
  <c r="K17" i="3"/>
  <c r="J20" i="3"/>
  <c r="I19" i="3"/>
  <c r="B19" i="3" s="1"/>
  <c r="F18" i="3"/>
  <c r="F16" i="3"/>
  <c r="J30" i="3"/>
  <c r="D30" i="3" s="1"/>
  <c r="B30" i="3"/>
  <c r="I15" i="3"/>
  <c r="B15" i="3" s="1"/>
  <c r="K30" i="3"/>
  <c r="E30" i="3" s="1"/>
  <c r="B42" i="3" l="1"/>
  <c r="I29" i="3" s="1"/>
  <c r="C42" i="3"/>
  <c r="F14" i="3" s="1"/>
  <c r="D42" i="3"/>
  <c r="J14" i="3" s="1"/>
  <c r="E42" i="3"/>
  <c r="K29" i="3" s="1"/>
  <c r="E29" i="3" s="1"/>
  <c r="B72" i="3"/>
  <c r="C72" i="3"/>
  <c r="D72" i="3"/>
  <c r="E72" i="3"/>
  <c r="H38" i="4" l="1"/>
  <c r="J29" i="3"/>
  <c r="D29" i="3" s="1"/>
  <c r="K14" i="3"/>
  <c r="B29" i="3"/>
  <c r="I14" i="3"/>
  <c r="B14" i="3" s="1"/>
  <c r="F29" i="3"/>
  <c r="H39" i="4" l="1"/>
  <c r="H40" i="4" s="1"/>
  <c r="N5" i="3" l="1"/>
  <c r="M5" i="3" l="1"/>
  <c r="L5" i="3"/>
  <c r="K5" i="3"/>
  <c r="C65" i="3" l="1"/>
  <c r="C7" i="3"/>
  <c r="D63" i="3"/>
  <c r="D5" i="3"/>
  <c r="D65" i="3"/>
  <c r="D7" i="3"/>
  <c r="D61" i="3"/>
  <c r="D4" i="3"/>
</calcChain>
</file>

<file path=xl/sharedStrings.xml><?xml version="1.0" encoding="utf-8"?>
<sst xmlns="http://schemas.openxmlformats.org/spreadsheetml/2006/main" count="270" uniqueCount="156">
  <si>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</si>
  <si>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</si>
  <si>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</si>
  <si>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</si>
  <si>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</si>
  <si>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</si>
  <si>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</si>
  <si>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</si>
  <si>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</si>
  <si>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</si>
  <si>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</si>
  <si>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</si>
  <si>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</si>
  <si>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</si>
  <si>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</si>
  <si>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</si>
  <si>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</si>
  <si>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</si>
  <si>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</si>
  <si>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</si>
  <si>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</si>
  <si>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</si>
  <si>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</si>
  <si>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</si>
  <si>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</si>
  <si>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</si>
  <si>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</si>
  <si>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</si>
  <si>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</si>
  <si>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</si>
  <si>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</si>
  <si>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</si>
  <si>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</si>
  <si>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</si>
  <si>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</si>
  <si>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</si>
  <si>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</si>
  <si>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</si>
  <si>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</si>
  <si>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</si>
  <si>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</si>
  <si>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</si>
  <si>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</si>
  <si>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</si>
  <si>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</si>
  <si>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</si>
  <si>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</si>
  <si>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</si>
  <si>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</si>
  <si>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</si>
  <si>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</si>
  <si>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</si>
  <si>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</si>
  <si>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</si>
  <si>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</si>
  <si>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</si>
  <si>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</si>
  <si>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</si>
  <si>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</si>
  <si>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</si>
  <si>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</si>
  <si>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</si>
  <si>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</si>
  <si>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</si>
  <si>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</si>
  <si>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</si>
  <si>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</si>
  <si>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</si>
  <si>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</si>
  <si>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</si>
  <si>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</si>
  <si>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</si>
  <si>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</si>
  <si>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</si>
  <si>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</si>
  <si>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</si>
  <si>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</si>
  <si>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</si>
  <si>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</si>
  <si>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</si>
  <si>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</si>
  <si>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</si>
  <si>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</si>
  <si>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</si>
  <si>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</si>
  <si>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</si>
  <si>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</si>
  <si>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</si>
  <si>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</si>
  <si>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</si>
  <si>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</si>
  <si>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</si>
  <si>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</si>
  <si>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</si>
  <si>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</si>
  <si>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</si>
  <si>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</si>
  <si>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</si>
  <si>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</si>
  <si>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</si>
  <si>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</si>
  <si>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</si>
  <si>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</si>
  <si>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</si>
  <si>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</si>
  <si>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</si>
  <si>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</si>
  <si>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</si>
  <si>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</si>
  <si>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</si>
  <si>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</si>
  <si>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</si>
  <si>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</si>
  <si>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</si>
  <si>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</si>
  <si>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</si>
  <si>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</si>
  <si>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</si>
  <si>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</si>
  <si>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</si>
  <si>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</si>
  <si>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</si>
  <si>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</si>
  <si>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</si>
  <si>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</si>
  <si>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</si>
  <si>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</si>
  <si>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</si>
  <si>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</si>
  <si>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</si>
  <si>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</si>
  <si>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</si>
  <si>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</si>
  <si>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</si>
  <si>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</si>
  <si>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N° 11538</t>
  </si>
  <si>
    <t>VALERIA LLORENTE</t>
  </si>
  <si>
    <t>SANTIAGO</t>
  </si>
  <si>
    <t>+569 9817 0227</t>
  </si>
  <si>
    <t>CUB SIN RESPALDO Y FRENTE 90° R6</t>
  </si>
  <si>
    <t>CLOUD TERRAZO 4001  GLT</t>
  </si>
  <si>
    <t>CUB CON RESPALDO Y FRENTE 90° R6</t>
  </si>
  <si>
    <t>ENCHAPE RECTO 1 CARA MDF 6MM</t>
  </si>
  <si>
    <t>RESPALDO</t>
  </si>
  <si>
    <t>ENCHAPE BAJO CUBIERTA</t>
  </si>
  <si>
    <t>ZOCALO MAS REPISA</t>
  </si>
  <si>
    <t>MELAMINA BLANCA 18MM</t>
  </si>
  <si>
    <t>ENCHAPE TAPACANTO PVC  PUERTAS</t>
  </si>
  <si>
    <t>BLANCO</t>
  </si>
  <si>
    <t>TAPA MUEBLE LAVAPLATOS</t>
  </si>
  <si>
    <t>ZOCALO (LAMINA)</t>
  </si>
  <si>
    <t>GRAFITO MT</t>
  </si>
  <si>
    <t>ZOCALO MAS REPISAS BAJO ENCIMERA</t>
  </si>
  <si>
    <t>SERVICIO DESPACHO MAS INSTALACION</t>
  </si>
  <si>
    <t>CUB MESA 2 L R6</t>
  </si>
  <si>
    <t>MDF6MM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</si>
</sst>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20" fillId="0" borderId="0" xfId="2" quotePrefix="1" applyFont="1" applyFill="1" applyBorder="1"/>
    <xf numFmtId="165" fontId="15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37</xdr:row>
      <xdr:rowOff>9525</xdr:rowOff>
    </xdr:from>
    <xdr:to>
      <xdr:col>5</xdr:col>
      <xdr:colOff>1390650</xdr:colOff>
      <xdr:row>41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$ 350.000.- 1/08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23</xdr:row>
      <xdr:rowOff>76200</xdr:rowOff>
    </xdr:from>
    <xdr:to>
      <xdr:col>5</xdr:col>
      <xdr:colOff>1676399</xdr:colOff>
      <xdr:row>25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66</xdr:row>
      <xdr:rowOff>171450</xdr:rowOff>
    </xdr:from>
    <xdr:to>
      <xdr:col>5</xdr:col>
      <xdr:colOff>1685924</xdr:colOff>
      <xdr:row>68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64</xdr:row>
      <xdr:rowOff>0</xdr:rowOff>
    </xdr:from>
    <xdr:to>
      <xdr:col>6</xdr:col>
      <xdr:colOff>0</xdr:colOff>
      <xdr:row>65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62</xdr:row>
      <xdr:rowOff>38100</xdr:rowOff>
    </xdr:from>
    <xdr:to>
      <xdr:col>6</xdr:col>
      <xdr:colOff>0</xdr:colOff>
      <xdr:row>63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60</xdr:row>
      <xdr:rowOff>0</xdr:rowOff>
    </xdr:from>
    <xdr:to>
      <xdr:col>6</xdr:col>
      <xdr:colOff>0</xdr:colOff>
      <xdr:row>61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2</xdr:col>
      <xdr:colOff>38100</xdr:colOff>
      <xdr:row>85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84</xdr:row>
      <xdr:rowOff>0</xdr:rowOff>
    </xdr:from>
    <xdr:to>
      <xdr:col>2</xdr:col>
      <xdr:colOff>1019175</xdr:colOff>
      <xdr:row>84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84</xdr:row>
      <xdr:rowOff>0</xdr:rowOff>
    </xdr:from>
    <xdr:to>
      <xdr:col>3</xdr:col>
      <xdr:colOff>352425</xdr:colOff>
      <xdr:row>85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84</xdr:row>
      <xdr:rowOff>0</xdr:rowOff>
    </xdr:from>
    <xdr:to>
      <xdr:col>4</xdr:col>
      <xdr:colOff>257175</xdr:colOff>
      <xdr:row>85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84</xdr:row>
      <xdr:rowOff>0</xdr:rowOff>
    </xdr:from>
    <xdr:to>
      <xdr:col>5</xdr:col>
      <xdr:colOff>447675</xdr:colOff>
      <xdr:row>84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84</xdr:row>
      <xdr:rowOff>0</xdr:rowOff>
    </xdr:from>
    <xdr:to>
      <xdr:col>6</xdr:col>
      <xdr:colOff>0</xdr:colOff>
      <xdr:row>84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84</xdr:row>
      <xdr:rowOff>190500</xdr:rowOff>
    </xdr:from>
    <xdr:to>
      <xdr:col>2</xdr:col>
      <xdr:colOff>304800</xdr:colOff>
      <xdr:row>86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84</xdr:row>
      <xdr:rowOff>190500</xdr:rowOff>
    </xdr:from>
    <xdr:to>
      <xdr:col>2</xdr:col>
      <xdr:colOff>1276350</xdr:colOff>
      <xdr:row>86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84</xdr:row>
      <xdr:rowOff>190500</xdr:rowOff>
    </xdr:from>
    <xdr:to>
      <xdr:col>3</xdr:col>
      <xdr:colOff>619125</xdr:colOff>
      <xdr:row>86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84</xdr:row>
      <xdr:rowOff>190500</xdr:rowOff>
    </xdr:from>
    <xdr:to>
      <xdr:col>4</xdr:col>
      <xdr:colOff>523875</xdr:colOff>
      <xdr:row>86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84</xdr:row>
      <xdr:rowOff>190500</xdr:rowOff>
    </xdr:from>
    <xdr:to>
      <xdr:col>5</xdr:col>
      <xdr:colOff>723900</xdr:colOff>
      <xdr:row>86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84</xdr:row>
      <xdr:rowOff>190500</xdr:rowOff>
    </xdr:from>
    <xdr:to>
      <xdr:col>6</xdr:col>
      <xdr:colOff>0</xdr:colOff>
      <xdr:row>86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51</xdr:row>
      <xdr:rowOff>15239</xdr:rowOff>
    </xdr:from>
    <xdr:to>
      <xdr:col>6</xdr:col>
      <xdr:colOff>68580</xdr:colOff>
      <xdr:row>55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5608319"/>
          <a:ext cx="83477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 SON PARA INSTALACION, RESPALDO CON LISTON DE AJUSTE PARA LA CUBIERTA DE 2700 X 600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37</xdr:row>
      <xdr:rowOff>200025</xdr:rowOff>
    </xdr:from>
    <xdr:to>
      <xdr:col>6</xdr:col>
      <xdr:colOff>19049</xdr:colOff>
      <xdr:row>39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87</xdr:row>
      <xdr:rowOff>32385</xdr:rowOff>
    </xdr:from>
    <xdr:to>
      <xdr:col>6</xdr:col>
      <xdr:colOff>19050</xdr:colOff>
      <xdr:row>91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INSTALACION, RESPALDO CON LISTON AJUSTE PARA LA CUBIERTA DE 2700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X 600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57</xdr:row>
      <xdr:rowOff>41910</xdr:rowOff>
    </xdr:from>
    <xdr:to>
      <xdr:col>1</xdr:col>
      <xdr:colOff>801763</xdr:colOff>
      <xdr:row>62</xdr:row>
      <xdr:rowOff>205740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7"/>
  <sheetViews>
    <sheetView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6.4414062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135</v>
      </c>
      <c r="E8" s="1"/>
      <c r="F8" s="94" t="s">
        <v>27</v>
      </c>
      <c r="G8" s="95">
        <v>7251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45874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11"/>
      <c r="D11" s="60"/>
      <c r="E11" s="60"/>
      <c r="F11" s="60" t="s">
        <v>124</v>
      </c>
      <c r="G11" s="61">
        <v>45882</v>
      </c>
      <c r="H11" s="62"/>
      <c r="I11" s="1"/>
    </row>
    <row r="12" spans="1:17" ht="16.8" x14ac:dyDescent="0.4">
      <c r="A12" s="1"/>
      <c r="B12" s="63" t="s">
        <v>130</v>
      </c>
      <c r="C12" s="108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131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2" t="s">
        <v>138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6.8" x14ac:dyDescent="0.4">
      <c r="A15" s="1"/>
      <c r="B15" s="63" t="s">
        <v>1</v>
      </c>
      <c r="C15" s="109"/>
      <c r="D15" s="43"/>
      <c r="E15" s="43"/>
      <c r="F15" s="67" t="s">
        <v>75</v>
      </c>
      <c r="G15" s="67" t="s">
        <v>134</v>
      </c>
      <c r="H15" s="65"/>
      <c r="I15" s="1"/>
    </row>
    <row r="16" spans="1:17" ht="16.2" thickBot="1" x14ac:dyDescent="0.35">
      <c r="A16" s="1"/>
      <c r="B16" s="68" t="s">
        <v>3</v>
      </c>
      <c r="C16" s="110" t="s">
        <v>137</v>
      </c>
      <c r="D16" s="69"/>
      <c r="E16" s="70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139</v>
      </c>
      <c r="D21" s="106">
        <v>3055</v>
      </c>
      <c r="E21" s="106">
        <v>600</v>
      </c>
      <c r="F21" s="104" t="s">
        <v>140</v>
      </c>
      <c r="G21" s="105">
        <v>120715</v>
      </c>
      <c r="H21" s="105">
        <f>G21*B21</f>
        <v>120715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>
        <v>1</v>
      </c>
      <c r="C22" s="104" t="s">
        <v>141</v>
      </c>
      <c r="D22" s="106">
        <v>2700</v>
      </c>
      <c r="E22" s="106">
        <v>600</v>
      </c>
      <c r="F22" s="104" t="s">
        <v>140</v>
      </c>
      <c r="G22" s="105">
        <v>107046</v>
      </c>
      <c r="H22" s="105">
        <f t="shared" ref="H22:H26" si="0">G22*B22</f>
        <v>107046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4">
        <v>1</v>
      </c>
      <c r="C23" s="104" t="s">
        <v>139</v>
      </c>
      <c r="D23" s="106">
        <v>2240</v>
      </c>
      <c r="E23" s="106">
        <v>640</v>
      </c>
      <c r="F23" s="104" t="s">
        <v>140</v>
      </c>
      <c r="G23" s="105">
        <v>95289</v>
      </c>
      <c r="H23" s="105">
        <f t="shared" si="0"/>
        <v>95289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4">
        <v>1</v>
      </c>
      <c r="C24" s="104" t="s">
        <v>142</v>
      </c>
      <c r="D24" s="106">
        <v>800</v>
      </c>
      <c r="E24" s="106">
        <v>567</v>
      </c>
      <c r="F24" s="104" t="s">
        <v>140</v>
      </c>
      <c r="G24" s="105">
        <v>28449</v>
      </c>
      <c r="H24" s="105">
        <f t="shared" si="0"/>
        <v>28449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4">
        <v>1</v>
      </c>
      <c r="C25" s="104" t="s">
        <v>142</v>
      </c>
      <c r="D25" s="106">
        <v>1600</v>
      </c>
      <c r="E25" s="106">
        <v>567</v>
      </c>
      <c r="F25" s="104" t="s">
        <v>140</v>
      </c>
      <c r="G25" s="105">
        <v>56897</v>
      </c>
      <c r="H25" s="105">
        <f t="shared" si="0"/>
        <v>56897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4">
        <v>2</v>
      </c>
      <c r="C26" s="104" t="s">
        <v>143</v>
      </c>
      <c r="D26" s="106">
        <v>3000</v>
      </c>
      <c r="E26" s="106">
        <v>60</v>
      </c>
      <c r="F26" s="104" t="s">
        <v>140</v>
      </c>
      <c r="G26" s="105">
        <v>7500</v>
      </c>
      <c r="H26" s="105">
        <f t="shared" si="0"/>
        <v>15000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4">
        <v>3</v>
      </c>
      <c r="C27" s="104" t="s">
        <v>144</v>
      </c>
      <c r="D27" s="106">
        <v>3000</v>
      </c>
      <c r="E27" s="106">
        <v>80</v>
      </c>
      <c r="F27" s="104" t="s">
        <v>140</v>
      </c>
      <c r="G27" s="105">
        <v>3500</v>
      </c>
      <c r="H27" s="105">
        <f>G27*B27</f>
        <v>10500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4">
        <v>1</v>
      </c>
      <c r="C28" s="104" t="s">
        <v>154</v>
      </c>
      <c r="D28" s="106">
        <v>700</v>
      </c>
      <c r="E28" s="106">
        <v>900</v>
      </c>
      <c r="F28" s="104" t="s">
        <v>140</v>
      </c>
      <c r="G28" s="105">
        <v>50000</v>
      </c>
      <c r="H28" s="105">
        <f>G28*B28</f>
        <v>50000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4">
        <v>1</v>
      </c>
      <c r="C29" s="104" t="s">
        <v>145</v>
      </c>
      <c r="D29" s="106">
        <v>720</v>
      </c>
      <c r="E29" s="106">
        <v>560</v>
      </c>
      <c r="F29" s="104" t="s">
        <v>146</v>
      </c>
      <c r="G29" s="105">
        <v>29500</v>
      </c>
      <c r="H29" s="105">
        <f>G29*B29</f>
        <v>29500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4">
        <v>6</v>
      </c>
      <c r="C30" s="104" t="s">
        <v>147</v>
      </c>
      <c r="D30" s="106"/>
      <c r="E30" s="106"/>
      <c r="F30" s="104" t="s">
        <v>148</v>
      </c>
      <c r="G30" s="105">
        <v>1000</v>
      </c>
      <c r="H30" s="105">
        <f>G30*B30</f>
        <v>6000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4">
        <v>1</v>
      </c>
      <c r="C31" s="104" t="s">
        <v>149</v>
      </c>
      <c r="D31" s="106">
        <v>765</v>
      </c>
      <c r="E31" s="106">
        <v>545</v>
      </c>
      <c r="F31" s="104" t="s">
        <v>146</v>
      </c>
      <c r="G31" s="105">
        <v>6500</v>
      </c>
      <c r="H31" s="105">
        <f>G31*B31</f>
        <v>6500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04">
        <v>4</v>
      </c>
      <c r="C32" s="104" t="s">
        <v>150</v>
      </c>
      <c r="D32" s="106">
        <v>3000</v>
      </c>
      <c r="E32" s="106">
        <v>160</v>
      </c>
      <c r="F32" s="104" t="s">
        <v>151</v>
      </c>
      <c r="G32" s="105">
        <v>5500</v>
      </c>
      <c r="H32" s="105">
        <f>G32*B32</f>
        <v>22000</v>
      </c>
      <c r="I32" s="1"/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104">
        <v>1</v>
      </c>
      <c r="C33" s="104" t="s">
        <v>152</v>
      </c>
      <c r="D33" s="106">
        <v>600</v>
      </c>
      <c r="E33" s="106">
        <v>545</v>
      </c>
      <c r="F33" s="104" t="s">
        <v>146</v>
      </c>
      <c r="G33" s="105">
        <v>19500</v>
      </c>
      <c r="H33" s="105">
        <f>G33*B33</f>
        <v>19500</v>
      </c>
      <c r="I33" s="1"/>
      <c r="K33" s="17"/>
      <c r="L33" s="26"/>
      <c r="M33" s="17"/>
      <c r="N33" s="17"/>
      <c r="O33" s="26"/>
      <c r="P33" s="33"/>
    </row>
    <row r="34" spans="1:16" ht="18" customHeight="1" x14ac:dyDescent="0.3">
      <c r="A34" s="1"/>
      <c r="B34" s="104">
        <v>1</v>
      </c>
      <c r="C34" s="104" t="s">
        <v>153</v>
      </c>
      <c r="D34" s="113"/>
      <c r="E34" s="113"/>
      <c r="F34" s="104"/>
      <c r="G34" s="105">
        <v>180000</v>
      </c>
      <c r="H34" s="105">
        <f>G34</f>
        <v>180000</v>
      </c>
      <c r="I34" s="1"/>
      <c r="K34" s="17"/>
      <c r="L34" s="26"/>
      <c r="M34" s="17"/>
      <c r="N34" s="17"/>
      <c r="O34" s="26"/>
      <c r="P34" s="33"/>
    </row>
    <row r="35" spans="1:16" ht="18" customHeight="1" x14ac:dyDescent="0.3">
      <c r="A35" s="1"/>
      <c r="B35" s="128"/>
      <c r="C35" s="128"/>
      <c r="D35" s="129"/>
      <c r="E35" s="129"/>
      <c r="F35" s="75"/>
      <c r="G35" s="75"/>
      <c r="H35" s="99"/>
      <c r="I35" s="1"/>
      <c r="K35" s="17"/>
      <c r="L35" s="26"/>
      <c r="M35" s="17"/>
      <c r="N35" s="17"/>
      <c r="O35" s="26"/>
      <c r="P35" s="33"/>
    </row>
    <row r="36" spans="1:16" ht="18" customHeight="1" x14ac:dyDescent="0.3">
      <c r="A36" s="1"/>
      <c r="B36" s="97"/>
      <c r="C36" s="97"/>
      <c r="D36" s="97"/>
      <c r="E36" s="97"/>
      <c r="F36" s="98"/>
      <c r="G36" s="99"/>
      <c r="H36" s="99"/>
      <c r="I36" s="1"/>
      <c r="K36" s="17"/>
      <c r="L36" s="26"/>
      <c r="M36" s="17"/>
      <c r="N36" s="17"/>
      <c r="O36" s="26"/>
      <c r="P36" s="33"/>
    </row>
    <row r="37" spans="1:16" ht="8.25" customHeight="1" thickBot="1" x14ac:dyDescent="0.35">
      <c r="A37" s="1"/>
      <c r="B37" s="74"/>
      <c r="C37" s="74"/>
      <c r="D37" s="74"/>
      <c r="E37" s="74"/>
      <c r="F37" s="74"/>
      <c r="G37" s="75"/>
      <c r="H37" s="75"/>
      <c r="I37" s="1"/>
    </row>
    <row r="38" spans="1:16" ht="15.6" x14ac:dyDescent="0.3">
      <c r="A38" s="1"/>
      <c r="B38" s="1"/>
      <c r="C38" s="1"/>
      <c r="D38" s="1"/>
      <c r="E38" s="1"/>
      <c r="F38" s="1"/>
      <c r="G38" s="76" t="s">
        <v>5</v>
      </c>
      <c r="H38" s="77">
        <f>SUM(H21:H37)</f>
        <v>747396</v>
      </c>
      <c r="I38" s="1"/>
    </row>
    <row r="39" spans="1:16" ht="15.6" x14ac:dyDescent="0.3">
      <c r="A39" s="1"/>
      <c r="B39" s="1"/>
      <c r="C39" s="1"/>
      <c r="D39" s="1"/>
      <c r="E39" s="1"/>
      <c r="F39" s="1"/>
      <c r="G39" s="78" t="s">
        <v>6</v>
      </c>
      <c r="H39" s="79">
        <f>H38*19%</f>
        <v>142005.24</v>
      </c>
      <c r="I39" s="1"/>
    </row>
    <row r="40" spans="1:16" ht="16.2" thickBot="1" x14ac:dyDescent="0.35">
      <c r="A40" s="1"/>
      <c r="B40" s="1"/>
      <c r="C40" s="1"/>
      <c r="D40" s="1"/>
      <c r="E40" s="1"/>
      <c r="F40" s="1"/>
      <c r="G40" s="80" t="s">
        <v>4</v>
      </c>
      <c r="H40" s="81">
        <f>H38+H39</f>
        <v>889401.24</v>
      </c>
      <c r="I40" s="1"/>
    </row>
    <row r="41" spans="1:16" ht="15.6" x14ac:dyDescent="0.3">
      <c r="A41" s="1"/>
      <c r="B41" s="1"/>
      <c r="C41" s="1"/>
      <c r="D41" s="1"/>
      <c r="E41" s="1"/>
      <c r="F41" s="1"/>
      <c r="G41" s="52"/>
      <c r="H41" s="100"/>
      <c r="I41" s="1"/>
    </row>
    <row r="42" spans="1:16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16" ht="15.6" x14ac:dyDescent="0.3">
      <c r="A43" s="1"/>
      <c r="B43" s="82" t="s">
        <v>123</v>
      </c>
      <c r="C43" s="83"/>
      <c r="D43" s="84"/>
      <c r="E43" s="84"/>
      <c r="F43" s="74"/>
      <c r="G43" s="1"/>
      <c r="H43" s="1"/>
      <c r="I43" s="1"/>
    </row>
    <row r="44" spans="1:16" ht="15.6" x14ac:dyDescent="0.3">
      <c r="A44" s="1"/>
      <c r="B44" s="82" t="s">
        <v>122</v>
      </c>
      <c r="C44" s="83"/>
      <c r="D44" s="84"/>
      <c r="E44" s="84"/>
      <c r="F44" s="74"/>
      <c r="G44" s="1"/>
      <c r="H44" s="1"/>
      <c r="I44" s="1"/>
    </row>
    <row r="45" spans="1:16" ht="15.6" x14ac:dyDescent="0.3">
      <c r="A45" s="1"/>
      <c r="B45" s="1" t="s">
        <v>25</v>
      </c>
      <c r="C45" s="1"/>
      <c r="D45" s="1"/>
      <c r="E45" s="85" t="s">
        <v>26</v>
      </c>
      <c r="F45" s="1"/>
      <c r="G45" s="1"/>
      <c r="H45" s="1"/>
      <c r="I45" s="1"/>
    </row>
    <row r="46" spans="1:16" ht="15.6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16" ht="15.6" x14ac:dyDescent="0.3">
      <c r="A47" s="1"/>
      <c r="B47" s="1"/>
      <c r="C47" s="1"/>
      <c r="D47" s="1"/>
      <c r="E47" s="1"/>
      <c r="F47" s="1"/>
      <c r="G47" s="1"/>
      <c r="H47" s="1"/>
      <c r="I47" s="1"/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10" type="noConversion"/>
  <hyperlinks>
    <hyperlink ref="E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5"/>
  <sheetViews>
    <sheetView tabSelected="1" topLeftCell="A69" zoomScaleNormal="100" workbookViewId="0">
      <selection activeCell="A57" sqref="A57:F9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7251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VALERIA LLORENTE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45882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132</v>
      </c>
      <c r="B14" s="25">
        <f>I14</f>
        <v>1</v>
      </c>
      <c r="C14" s="16"/>
      <c r="D14" s="25">
        <v>3100</v>
      </c>
      <c r="E14" s="35">
        <f>K14</f>
        <v>600</v>
      </c>
      <c r="F14" s="102" t="str">
        <f>C42</f>
        <v>CUB SIN RESPALDO Y FRENTE 90° R6</v>
      </c>
      <c r="G14" s="1"/>
      <c r="I14" s="3">
        <f>I29</f>
        <v>1</v>
      </c>
      <c r="J14" s="4">
        <f>D42</f>
        <v>3055</v>
      </c>
      <c r="K14" s="4">
        <f>E42</f>
        <v>600</v>
      </c>
    </row>
    <row r="15" spans="1:14" ht="15.6" x14ac:dyDescent="0.3">
      <c r="A15" s="96"/>
      <c r="B15" s="25">
        <f>I15</f>
        <v>1</v>
      </c>
      <c r="C15" s="16"/>
      <c r="D15" s="25">
        <f>J15+80</f>
        <v>2780</v>
      </c>
      <c r="E15" s="35">
        <f>K15+E$13</f>
        <v>570</v>
      </c>
      <c r="F15" s="102" t="str">
        <f>C43</f>
        <v>CUB CON RESPALDO Y FRENTE 90° R6</v>
      </c>
      <c r="G15" s="1"/>
      <c r="I15" s="3">
        <f>I30</f>
        <v>1</v>
      </c>
      <c r="J15" s="4">
        <f>D43</f>
        <v>2700</v>
      </c>
      <c r="K15" s="4">
        <f>E43</f>
        <v>600</v>
      </c>
    </row>
    <row r="16" spans="1:14" ht="15.6" x14ac:dyDescent="0.3">
      <c r="A16" s="96"/>
      <c r="B16" s="25">
        <f t="shared" ref="B16:B20" si="0">I16</f>
        <v>1</v>
      </c>
      <c r="C16" s="16"/>
      <c r="D16" s="25">
        <f>J16+80</f>
        <v>2320</v>
      </c>
      <c r="E16" s="35">
        <f>K16</f>
        <v>640</v>
      </c>
      <c r="F16" s="102" t="str">
        <f>C44</f>
        <v>CUB SIN RESPALDO Y FRENTE 90° R6</v>
      </c>
      <c r="G16" s="1"/>
      <c r="I16" s="3">
        <f>I31</f>
        <v>1</v>
      </c>
      <c r="J16" s="4">
        <f t="shared" ref="J16:K16" si="1">D44</f>
        <v>2240</v>
      </c>
      <c r="K16" s="4">
        <f t="shared" si="1"/>
        <v>640</v>
      </c>
    </row>
    <row r="17" spans="1:11" ht="15.6" x14ac:dyDescent="0.3">
      <c r="A17" s="96"/>
      <c r="B17" s="25">
        <f>I17</f>
        <v>2</v>
      </c>
      <c r="C17" s="16"/>
      <c r="D17" s="25">
        <v>3100</v>
      </c>
      <c r="E17" s="35">
        <v>100</v>
      </c>
      <c r="F17" s="102" t="str">
        <f>C47</f>
        <v>RESPALDO</v>
      </c>
      <c r="G17" s="1"/>
      <c r="I17" s="3">
        <f>I34</f>
        <v>2</v>
      </c>
      <c r="J17" s="4">
        <f>D47</f>
        <v>3000</v>
      </c>
      <c r="K17" s="4">
        <f>E47</f>
        <v>60</v>
      </c>
    </row>
    <row r="18" spans="1:11" ht="15.6" x14ac:dyDescent="0.3">
      <c r="A18" s="96"/>
      <c r="B18" s="25">
        <f>I18</f>
        <v>1</v>
      </c>
      <c r="C18" s="16"/>
      <c r="D18" s="25">
        <f>J18+D$13</f>
        <v>750</v>
      </c>
      <c r="E18" s="35">
        <f>K18</f>
        <v>900</v>
      </c>
      <c r="F18" s="102" t="str">
        <f>C49</f>
        <v>CUB MESA 2 L R6</v>
      </c>
      <c r="G18" s="1"/>
      <c r="I18" s="3">
        <f>I36</f>
        <v>1</v>
      </c>
      <c r="J18" s="4">
        <f>D49</f>
        <v>700</v>
      </c>
      <c r="K18" s="4">
        <f>E49</f>
        <v>900</v>
      </c>
    </row>
    <row r="19" spans="1:11" ht="15.6" x14ac:dyDescent="0.3">
      <c r="A19" s="96" t="s">
        <v>155</v>
      </c>
      <c r="B19" s="25">
        <f>I19</f>
        <v>1</v>
      </c>
      <c r="C19" s="16"/>
      <c r="D19" s="25">
        <v>820</v>
      </c>
      <c r="E19" s="35">
        <v>580</v>
      </c>
      <c r="F19" s="102" t="str">
        <f>C45</f>
        <v>ENCHAPE RECTO 1 CARA MDF 6MM</v>
      </c>
      <c r="G19" s="1"/>
      <c r="I19" s="3">
        <f>I32</f>
        <v>1</v>
      </c>
      <c r="J19" s="4">
        <f>D45</f>
        <v>800</v>
      </c>
      <c r="K19" s="4">
        <f>E45</f>
        <v>567</v>
      </c>
    </row>
    <row r="20" spans="1:11" ht="15.6" x14ac:dyDescent="0.3">
      <c r="A20" s="96"/>
      <c r="B20" s="25">
        <f>I20</f>
        <v>1</v>
      </c>
      <c r="C20" s="16"/>
      <c r="D20" s="25">
        <v>1620</v>
      </c>
      <c r="E20" s="35">
        <v>580</v>
      </c>
      <c r="F20" s="102" t="str">
        <f>C46</f>
        <v>ENCHAPE RECTO 1 CARA MDF 6MM</v>
      </c>
      <c r="G20" s="1"/>
      <c r="I20" s="3">
        <f>I33</f>
        <v>1</v>
      </c>
      <c r="J20" s="4">
        <f>D46</f>
        <v>1600</v>
      </c>
      <c r="K20" s="4">
        <f>E46</f>
        <v>567</v>
      </c>
    </row>
    <row r="21" spans="1:11" x14ac:dyDescent="0.3">
      <c r="A21" s="96"/>
    </row>
    <row r="22" spans="1:11" x14ac:dyDescent="0.3">
      <c r="A22" s="96"/>
    </row>
    <row r="23" spans="1:11" ht="15.6" x14ac:dyDescent="0.3">
      <c r="A23" s="52"/>
      <c r="B23" s="6"/>
      <c r="C23" s="6"/>
      <c r="D23" s="6"/>
      <c r="E23" s="89"/>
      <c r="F23" s="6"/>
      <c r="G23" s="1"/>
      <c r="I23" s="90"/>
      <c r="J23" s="2"/>
      <c r="K23" s="2"/>
    </row>
    <row r="24" spans="1:11" ht="6.7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123" t="s">
        <v>14</v>
      </c>
      <c r="B25" s="123"/>
      <c r="C25" s="123"/>
      <c r="D25" s="123"/>
      <c r="E25" s="123"/>
      <c r="F25" s="123"/>
      <c r="G25" s="1"/>
    </row>
    <row r="26" spans="1:11" ht="10.5" customHeight="1" x14ac:dyDescent="0.3">
      <c r="A26" s="1"/>
      <c r="B26" s="1"/>
      <c r="C26" s="12"/>
      <c r="D26" s="1"/>
      <c r="E26" s="1"/>
      <c r="F26" s="1"/>
      <c r="G26" s="1"/>
    </row>
    <row r="27" spans="1:11" ht="15.6" x14ac:dyDescent="0.3">
      <c r="A27" s="1"/>
      <c r="B27" s="1"/>
      <c r="C27" s="1"/>
      <c r="D27" s="52" t="s">
        <v>7</v>
      </c>
      <c r="E27" s="52" t="s">
        <v>8</v>
      </c>
      <c r="F27" s="1"/>
      <c r="G27" s="1"/>
    </row>
    <row r="28" spans="1:11" ht="15.6" x14ac:dyDescent="0.3">
      <c r="A28" s="52" t="s">
        <v>9</v>
      </c>
      <c r="B28" s="36" t="s">
        <v>10</v>
      </c>
      <c r="C28" s="36" t="s">
        <v>11</v>
      </c>
      <c r="D28" s="21">
        <v>40</v>
      </c>
      <c r="E28" s="21">
        <v>110</v>
      </c>
      <c r="F28" s="36" t="s">
        <v>110</v>
      </c>
      <c r="G28" s="1"/>
      <c r="J28" s="5" t="s">
        <v>7</v>
      </c>
      <c r="K28" s="5" t="s">
        <v>8</v>
      </c>
    </row>
    <row r="29" spans="1:11" ht="15.6" x14ac:dyDescent="0.3">
      <c r="A29" s="96"/>
      <c r="B29" s="16">
        <f t="shared" ref="B29" si="2">I29</f>
        <v>1</v>
      </c>
      <c r="C29" s="16"/>
      <c r="D29" s="16">
        <f>J29+D$28</f>
        <v>3095</v>
      </c>
      <c r="E29" s="16">
        <f>K29+50</f>
        <v>650</v>
      </c>
      <c r="F29" s="103" t="str">
        <f>C42</f>
        <v>CUB SIN RESPALDO Y FRENTE 90° R6</v>
      </c>
      <c r="G29" s="1"/>
      <c r="I29" s="3">
        <f>B42</f>
        <v>1</v>
      </c>
      <c r="J29" s="4">
        <f t="shared" ref="J29:K29" si="3">D42</f>
        <v>3055</v>
      </c>
      <c r="K29" s="4">
        <f t="shared" si="3"/>
        <v>600</v>
      </c>
    </row>
    <row r="30" spans="1:11" ht="15.6" x14ac:dyDescent="0.3">
      <c r="A30" s="96"/>
      <c r="B30" s="16">
        <f t="shared" ref="B30" si="4">I30</f>
        <v>1</v>
      </c>
      <c r="C30" s="16"/>
      <c r="D30" s="16">
        <f>J30+D$28</f>
        <v>2740</v>
      </c>
      <c r="E30" s="16">
        <f>K30+130</f>
        <v>730</v>
      </c>
      <c r="F30" s="103" t="str">
        <f>C43</f>
        <v>CUB CON RESPALDO Y FRENTE 90° R6</v>
      </c>
      <c r="G30" s="1"/>
      <c r="I30" s="3">
        <f>B43</f>
        <v>1</v>
      </c>
      <c r="J30" s="4">
        <f t="shared" ref="J30" si="5">D43</f>
        <v>2700</v>
      </c>
      <c r="K30" s="4">
        <f t="shared" ref="K30" si="6">E43</f>
        <v>600</v>
      </c>
    </row>
    <row r="31" spans="1:11" ht="15.6" x14ac:dyDescent="0.3">
      <c r="A31" s="96"/>
      <c r="B31" s="16">
        <f t="shared" ref="B31:B36" si="7">I31</f>
        <v>1</v>
      </c>
      <c r="C31" s="16"/>
      <c r="D31" s="16">
        <f>J31+D$28</f>
        <v>2280</v>
      </c>
      <c r="E31" s="16">
        <f>K31+60</f>
        <v>700</v>
      </c>
      <c r="F31" s="103" t="str">
        <f>C44</f>
        <v>CUB SIN RESPALDO Y FRENTE 90° R6</v>
      </c>
      <c r="G31" s="1"/>
      <c r="I31" s="3">
        <f>B44</f>
        <v>1</v>
      </c>
      <c r="J31" s="4">
        <f>D44</f>
        <v>2240</v>
      </c>
      <c r="K31" s="4">
        <f>E44</f>
        <v>640</v>
      </c>
    </row>
    <row r="32" spans="1:11" ht="15.6" x14ac:dyDescent="0.3">
      <c r="A32" s="96"/>
      <c r="B32" s="16">
        <f t="shared" si="7"/>
        <v>1</v>
      </c>
      <c r="C32" s="16"/>
      <c r="D32" s="16">
        <f>J32+20</f>
        <v>820</v>
      </c>
      <c r="E32" s="16">
        <v>580</v>
      </c>
      <c r="F32" s="103" t="str">
        <f>C45</f>
        <v>ENCHAPE RECTO 1 CARA MDF 6MM</v>
      </c>
      <c r="G32" s="1"/>
      <c r="I32" s="3">
        <f>B45</f>
        <v>1</v>
      </c>
      <c r="J32" s="4">
        <f>D45</f>
        <v>800</v>
      </c>
      <c r="K32" s="4">
        <f>E45</f>
        <v>567</v>
      </c>
    </row>
    <row r="33" spans="1:11" ht="15.6" x14ac:dyDescent="0.3">
      <c r="A33" s="96"/>
      <c r="B33" s="16">
        <f t="shared" si="7"/>
        <v>1</v>
      </c>
      <c r="C33" s="16"/>
      <c r="D33" s="16">
        <f>J33+20</f>
        <v>1620</v>
      </c>
      <c r="E33" s="16">
        <v>580</v>
      </c>
      <c r="F33" s="103" t="str">
        <f>C46</f>
        <v>ENCHAPE RECTO 1 CARA MDF 6MM</v>
      </c>
      <c r="G33" s="1"/>
      <c r="I33" s="3">
        <f>B46</f>
        <v>1</v>
      </c>
      <c r="J33" s="4">
        <f>D46</f>
        <v>1600</v>
      </c>
      <c r="K33" s="4">
        <f>E46</f>
        <v>567</v>
      </c>
    </row>
    <row r="34" spans="1:11" ht="15.6" x14ac:dyDescent="0.3">
      <c r="A34" s="96"/>
      <c r="B34" s="16">
        <f t="shared" si="7"/>
        <v>2</v>
      </c>
      <c r="C34" s="16"/>
      <c r="D34" s="16">
        <v>3060</v>
      </c>
      <c r="E34" s="16">
        <v>120</v>
      </c>
      <c r="F34" s="103" t="str">
        <f>C47</f>
        <v>RESPALDO</v>
      </c>
      <c r="G34" s="1"/>
      <c r="I34" s="3">
        <f>B47</f>
        <v>2</v>
      </c>
      <c r="J34" s="4">
        <f>D47</f>
        <v>3000</v>
      </c>
      <c r="K34" s="4">
        <f>E47</f>
        <v>60</v>
      </c>
    </row>
    <row r="35" spans="1:11" ht="15.6" x14ac:dyDescent="0.3">
      <c r="A35" s="96"/>
      <c r="B35" s="16">
        <f t="shared" si="7"/>
        <v>3</v>
      </c>
      <c r="C35" s="16"/>
      <c r="D35" s="16">
        <v>3060</v>
      </c>
      <c r="E35" s="16">
        <f>K35</f>
        <v>80</v>
      </c>
      <c r="F35" s="103" t="str">
        <f>C48</f>
        <v>ENCHAPE BAJO CUBIERTA</v>
      </c>
      <c r="G35" s="1"/>
      <c r="I35" s="3">
        <f>B48</f>
        <v>3</v>
      </c>
      <c r="J35" s="4">
        <f>D48</f>
        <v>3000</v>
      </c>
      <c r="K35" s="4">
        <f>E48</f>
        <v>80</v>
      </c>
    </row>
    <row r="36" spans="1:11" ht="15.6" x14ac:dyDescent="0.3">
      <c r="A36" s="96"/>
      <c r="B36" s="16">
        <f t="shared" si="7"/>
        <v>1</v>
      </c>
      <c r="C36" s="16"/>
      <c r="D36" s="16">
        <f>J36+D$28</f>
        <v>740</v>
      </c>
      <c r="E36" s="16">
        <f>K36+110</f>
        <v>1010</v>
      </c>
      <c r="F36" s="103" t="str">
        <f>C49</f>
        <v>CUB MESA 2 L R6</v>
      </c>
      <c r="G36" s="1"/>
      <c r="I36" s="3">
        <f>B49</f>
        <v>1</v>
      </c>
      <c r="J36" s="4">
        <f>D49</f>
        <v>700</v>
      </c>
      <c r="K36" s="4">
        <f>E49</f>
        <v>900</v>
      </c>
    </row>
    <row r="37" spans="1:11" ht="15.6" x14ac:dyDescent="0.3">
      <c r="A37" s="96"/>
      <c r="B37" s="6"/>
      <c r="C37" s="6"/>
      <c r="D37" s="6"/>
      <c r="E37" s="6"/>
      <c r="F37" s="107"/>
      <c r="G37" s="1"/>
      <c r="I37" s="90"/>
      <c r="J37" s="2"/>
      <c r="K37" s="2"/>
    </row>
    <row r="38" spans="1:11" ht="16.2" thickBot="1" x14ac:dyDescent="0.35">
      <c r="A38" s="52"/>
      <c r="B38" s="6"/>
      <c r="C38" s="6"/>
      <c r="D38" s="6"/>
      <c r="E38" s="6"/>
      <c r="F38" s="6"/>
      <c r="G38" s="1"/>
      <c r="I38" s="2"/>
      <c r="J38" s="2"/>
      <c r="K38" s="2"/>
    </row>
    <row r="39" spans="1:11" ht="16.2" thickBot="1" x14ac:dyDescent="0.35">
      <c r="A39" s="52"/>
      <c r="B39" s="22" t="s">
        <v>107</v>
      </c>
      <c r="C39" s="23"/>
      <c r="D39" s="23"/>
      <c r="E39" s="23"/>
      <c r="F39" s="24"/>
      <c r="G39" s="1"/>
      <c r="I39" s="2"/>
      <c r="J39" s="2"/>
      <c r="K39" s="2"/>
    </row>
    <row r="40" spans="1:11" ht="10.5" customHeight="1" x14ac:dyDescent="0.3">
      <c r="A40" s="1"/>
      <c r="B40" s="1"/>
      <c r="C40" s="1"/>
      <c r="D40" s="1"/>
      <c r="E40" s="1"/>
      <c r="F40" s="1"/>
      <c r="G40" s="1"/>
    </row>
    <row r="41" spans="1:11" ht="15.6" x14ac:dyDescent="0.3">
      <c r="A41" s="52" t="s">
        <v>9</v>
      </c>
      <c r="B41" s="88" t="s">
        <v>10</v>
      </c>
      <c r="C41" s="88" t="s">
        <v>110</v>
      </c>
      <c r="D41" s="88" t="s">
        <v>7</v>
      </c>
      <c r="E41" s="88" t="s">
        <v>8</v>
      </c>
      <c r="F41" s="88" t="s">
        <v>23</v>
      </c>
      <c r="G41" s="1"/>
    </row>
    <row r="42" spans="1:11" ht="15.6" x14ac:dyDescent="0.3">
      <c r="A42" s="96" t="s">
        <v>132</v>
      </c>
      <c r="B42" s="25">
        <f>'4637'!B21</f>
        <v>1</v>
      </c>
      <c r="C42" s="102" t="str">
        <f>'4637'!C21</f>
        <v>CUB SIN RESPALDO Y FRENTE 90° R6</v>
      </c>
      <c r="D42" s="25">
        <f>'4637'!D21</f>
        <v>3055</v>
      </c>
      <c r="E42" s="25">
        <f>'4637'!E21</f>
        <v>600</v>
      </c>
      <c r="F42" s="25" t="str">
        <f>F72</f>
        <v>CLOUD TERRAZO 4001  GLT</v>
      </c>
      <c r="G42" s="1"/>
    </row>
    <row r="43" spans="1:11" ht="15.6" x14ac:dyDescent="0.3">
      <c r="A43" s="96"/>
      <c r="B43" s="25">
        <f>'4637'!B22</f>
        <v>1</v>
      </c>
      <c r="C43" s="102" t="str">
        <f>'4637'!C22</f>
        <v>CUB CON RESPALDO Y FRENTE 90° R6</v>
      </c>
      <c r="D43" s="25">
        <f>'4637'!D22</f>
        <v>2700</v>
      </c>
      <c r="E43" s="25">
        <f>'4637'!E22</f>
        <v>600</v>
      </c>
      <c r="F43" s="25" t="str">
        <f>F73</f>
        <v>CLOUD TERRAZO 4001  GLT</v>
      </c>
      <c r="G43" s="1"/>
    </row>
    <row r="44" spans="1:11" ht="15.6" x14ac:dyDescent="0.3">
      <c r="A44" s="96"/>
      <c r="B44" s="25">
        <f>'4637'!B23</f>
        <v>1</v>
      </c>
      <c r="C44" s="102" t="str">
        <f>'4637'!C23</f>
        <v>CUB SIN RESPALDO Y FRENTE 90° R6</v>
      </c>
      <c r="D44" s="25">
        <f>'4637'!D23</f>
        <v>2240</v>
      </c>
      <c r="E44" s="25">
        <f>'4637'!E23</f>
        <v>640</v>
      </c>
      <c r="F44" s="25" t="str">
        <f>F74</f>
        <v>CLOUD TERRAZO 4001  GLT</v>
      </c>
      <c r="G44" s="1"/>
    </row>
    <row r="45" spans="1:11" ht="15.6" x14ac:dyDescent="0.3">
      <c r="A45" s="96"/>
      <c r="B45" s="25">
        <f>'4637'!B24</f>
        <v>1</v>
      </c>
      <c r="C45" s="102" t="str">
        <f>'4637'!C24</f>
        <v>ENCHAPE RECTO 1 CARA MDF 6MM</v>
      </c>
      <c r="D45" s="25">
        <f>'4637'!D24</f>
        <v>800</v>
      </c>
      <c r="E45" s="25">
        <f>'4637'!E24</f>
        <v>567</v>
      </c>
      <c r="F45" s="25" t="str">
        <f>F75</f>
        <v>CLOUD TERRAZO 4001  GLT</v>
      </c>
      <c r="G45" s="1"/>
    </row>
    <row r="46" spans="1:11" ht="15.6" x14ac:dyDescent="0.3">
      <c r="A46" s="96"/>
      <c r="B46" s="25">
        <f>'4637'!B25</f>
        <v>1</v>
      </c>
      <c r="C46" s="102" t="str">
        <f>'4637'!C25</f>
        <v>ENCHAPE RECTO 1 CARA MDF 6MM</v>
      </c>
      <c r="D46" s="25">
        <f>'4637'!D25</f>
        <v>1600</v>
      </c>
      <c r="E46" s="25">
        <f>'4637'!E25</f>
        <v>567</v>
      </c>
      <c r="F46" s="25" t="str">
        <f>F76</f>
        <v>CLOUD TERRAZO 4001  GLT</v>
      </c>
      <c r="G46" s="1"/>
    </row>
    <row r="47" spans="1:11" ht="15.6" x14ac:dyDescent="0.3">
      <c r="A47" s="96"/>
      <c r="B47" s="25">
        <f>'4637'!B26</f>
        <v>2</v>
      </c>
      <c r="C47" s="102" t="str">
        <f>'4637'!C26</f>
        <v>RESPALDO</v>
      </c>
      <c r="D47" s="25">
        <f>'4637'!D26</f>
        <v>3000</v>
      </c>
      <c r="E47" s="25">
        <f>'4637'!E26</f>
        <v>60</v>
      </c>
      <c r="F47" s="25" t="str">
        <f>F77</f>
        <v>CLOUD TERRAZO 4001  GLT</v>
      </c>
      <c r="G47" s="1"/>
    </row>
    <row r="48" spans="1:11" ht="15.6" x14ac:dyDescent="0.3">
      <c r="A48" s="96"/>
      <c r="B48" s="25">
        <f>'4637'!B27</f>
        <v>3</v>
      </c>
      <c r="C48" s="102" t="str">
        <f>'4637'!C27</f>
        <v>ENCHAPE BAJO CUBIERTA</v>
      </c>
      <c r="D48" s="25">
        <f>'4637'!D27</f>
        <v>3000</v>
      </c>
      <c r="E48" s="25">
        <f>'4637'!E27</f>
        <v>80</v>
      </c>
      <c r="F48" s="25" t="str">
        <f>F78</f>
        <v>CLOUD TERRAZO 4001  GLT</v>
      </c>
      <c r="G48" s="1"/>
    </row>
    <row r="49" spans="1:7" ht="15.6" x14ac:dyDescent="0.3">
      <c r="A49" s="96"/>
      <c r="B49" s="25">
        <f>'4637'!B28</f>
        <v>1</v>
      </c>
      <c r="C49" s="102" t="str">
        <f>'4637'!C28</f>
        <v>CUB MESA 2 L R6</v>
      </c>
      <c r="D49" s="25">
        <f>'4637'!D28</f>
        <v>700</v>
      </c>
      <c r="E49" s="25">
        <f>'4637'!E28</f>
        <v>900</v>
      </c>
      <c r="F49" s="25" t="str">
        <f>F79</f>
        <v>CLOUD TERRAZO 4001  GLT</v>
      </c>
      <c r="G49" s="1"/>
    </row>
    <row r="50" spans="1:7" ht="15.6" x14ac:dyDescent="0.3">
      <c r="A50" s="96"/>
      <c r="B50" s="25">
        <f>'4637'!B32</f>
        <v>4</v>
      </c>
      <c r="C50" s="102" t="str">
        <f>'4637'!C32</f>
        <v>ZOCALO (LAMINA)</v>
      </c>
      <c r="D50" s="25">
        <f>'4637'!D32</f>
        <v>3000</v>
      </c>
      <c r="E50" s="25">
        <f>'4637'!E32</f>
        <v>160</v>
      </c>
      <c r="F50" s="25" t="str">
        <f>F81</f>
        <v>GRAFITO MT</v>
      </c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40" t="s">
        <v>27</v>
      </c>
      <c r="D61" s="14">
        <f>'4637'!G8</f>
        <v>7251</v>
      </c>
      <c r="E61" s="1"/>
      <c r="F61" s="1"/>
      <c r="G61" s="1"/>
    </row>
    <row r="62" spans="1:7" ht="15.6" x14ac:dyDescent="0.3">
      <c r="A62" s="1"/>
      <c r="B62" s="1"/>
      <c r="C62" s="40"/>
      <c r="D62" s="14"/>
      <c r="E62" s="1"/>
      <c r="F62" s="1"/>
      <c r="G62" s="1"/>
    </row>
    <row r="63" spans="1:7" ht="17.25" customHeight="1" x14ac:dyDescent="0.3">
      <c r="A63" s="1"/>
      <c r="B63" s="1"/>
      <c r="C63" s="41" t="s">
        <v>67</v>
      </c>
      <c r="D63" s="42" t="str">
        <f>'4637'!C10</f>
        <v>VALERIA LLORENTE</v>
      </c>
      <c r="E63" s="43"/>
      <c r="F63" s="43"/>
      <c r="G63" s="1"/>
    </row>
    <row r="64" spans="1:7" ht="4.5" customHeight="1" x14ac:dyDescent="0.3">
      <c r="A64" s="1"/>
      <c r="B64" s="1"/>
      <c r="C64" s="44"/>
      <c r="D64" s="45"/>
      <c r="E64" s="1"/>
      <c r="F64" s="1"/>
      <c r="G64" s="1"/>
    </row>
    <row r="65" spans="1:7" ht="15.6" x14ac:dyDescent="0.3">
      <c r="A65" s="1"/>
      <c r="B65" s="1"/>
      <c r="C65" s="46" t="str">
        <f>'4637'!F11</f>
        <v>FECHA LIMITE :</v>
      </c>
      <c r="D65" s="13">
        <f>'4637'!G11</f>
        <v>45882</v>
      </c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23" t="s">
        <v>68</v>
      </c>
      <c r="B68" s="123"/>
      <c r="C68" s="123"/>
      <c r="D68" s="123"/>
      <c r="E68" s="123"/>
      <c r="F68" s="123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75" customHeight="1" x14ac:dyDescent="0.3">
      <c r="A70" s="1"/>
      <c r="B70" s="124" t="s">
        <v>69</v>
      </c>
      <c r="C70" s="125"/>
      <c r="D70" s="126"/>
      <c r="E70" s="126"/>
      <c r="F70" s="127"/>
      <c r="G70" s="1"/>
    </row>
    <row r="71" spans="1:7" s="15" customFormat="1" ht="12.75" customHeight="1" x14ac:dyDescent="0.3">
      <c r="A71" s="1"/>
      <c r="B71" s="36" t="s">
        <v>10</v>
      </c>
      <c r="C71" s="47" t="s">
        <v>11</v>
      </c>
      <c r="D71" s="48" t="s">
        <v>7</v>
      </c>
      <c r="E71" s="48" t="s">
        <v>8</v>
      </c>
      <c r="F71" s="49" t="s">
        <v>12</v>
      </c>
      <c r="G71" s="1"/>
    </row>
    <row r="72" spans="1:7" s="15" customFormat="1" ht="15" customHeight="1" x14ac:dyDescent="0.3">
      <c r="A72" s="96" t="s">
        <v>132</v>
      </c>
      <c r="B72" s="38">
        <f>'4637'!B21</f>
        <v>1</v>
      </c>
      <c r="C72" s="101" t="str">
        <f>'4637'!C21</f>
        <v>CUB SIN RESPALDO Y FRENTE 90° R6</v>
      </c>
      <c r="D72" s="39">
        <f>'4637'!D21</f>
        <v>3055</v>
      </c>
      <c r="E72" s="39">
        <f>'4637'!E21</f>
        <v>600</v>
      </c>
      <c r="F72" s="104" t="str">
        <f>'4637'!F21</f>
        <v>CLOUD TERRAZO 4001  GLT</v>
      </c>
      <c r="G72" s="1"/>
    </row>
    <row r="73" spans="1:7" s="15" customFormat="1" ht="15" customHeight="1" x14ac:dyDescent="0.3">
      <c r="A73" s="96"/>
      <c r="B73" s="38">
        <f>'4637'!B22</f>
        <v>1</v>
      </c>
      <c r="C73" s="101" t="str">
        <f>'4637'!C22</f>
        <v>CUB CON RESPALDO Y FRENTE 90° R6</v>
      </c>
      <c r="D73" s="39">
        <f>'4637'!D22</f>
        <v>2700</v>
      </c>
      <c r="E73" s="39">
        <f>'4637'!E22</f>
        <v>600</v>
      </c>
      <c r="F73" s="104" t="str">
        <f>'4637'!F22</f>
        <v>CLOUD TERRAZO 4001  GLT</v>
      </c>
      <c r="G73" s="1"/>
    </row>
    <row r="74" spans="1:7" s="15" customFormat="1" ht="15" customHeight="1" x14ac:dyDescent="0.3">
      <c r="A74" s="96"/>
      <c r="B74" s="38">
        <f>'4637'!B23</f>
        <v>1</v>
      </c>
      <c r="C74" s="101" t="str">
        <f>'4637'!C23</f>
        <v>CUB SIN RESPALDO Y FRENTE 90° R6</v>
      </c>
      <c r="D74" s="39">
        <f>'4637'!D23</f>
        <v>2240</v>
      </c>
      <c r="E74" s="39">
        <f>'4637'!E23</f>
        <v>640</v>
      </c>
      <c r="F74" s="104" t="str">
        <f>'4637'!F23</f>
        <v>CLOUD TERRAZO 4001  GLT</v>
      </c>
      <c r="G74" s="1"/>
    </row>
    <row r="75" spans="1:7" s="15" customFormat="1" ht="15" customHeight="1" x14ac:dyDescent="0.3">
      <c r="A75" s="96"/>
      <c r="B75" s="38">
        <f>'4637'!B24</f>
        <v>1</v>
      </c>
      <c r="C75" s="101" t="str">
        <f>'4637'!C24</f>
        <v>ENCHAPE RECTO 1 CARA MDF 6MM</v>
      </c>
      <c r="D75" s="39">
        <f>'4637'!D24</f>
        <v>800</v>
      </c>
      <c r="E75" s="39">
        <f>'4637'!E24</f>
        <v>567</v>
      </c>
      <c r="F75" s="104" t="str">
        <f>'4637'!F24</f>
        <v>CLOUD TERRAZO 4001  GLT</v>
      </c>
      <c r="G75" s="1"/>
    </row>
    <row r="76" spans="1:7" s="15" customFormat="1" ht="15" customHeight="1" x14ac:dyDescent="0.3">
      <c r="A76" s="96"/>
      <c r="B76" s="38">
        <f>'4637'!B25</f>
        <v>1</v>
      </c>
      <c r="C76" s="101" t="str">
        <f>'4637'!C25</f>
        <v>ENCHAPE RECTO 1 CARA MDF 6MM</v>
      </c>
      <c r="D76" s="39">
        <f>'4637'!D25</f>
        <v>1600</v>
      </c>
      <c r="E76" s="39">
        <f>'4637'!E25</f>
        <v>567</v>
      </c>
      <c r="F76" s="104" t="str">
        <f>'4637'!F25</f>
        <v>CLOUD TERRAZO 4001  GLT</v>
      </c>
      <c r="G76" s="1"/>
    </row>
    <row r="77" spans="1:7" s="15" customFormat="1" ht="15" customHeight="1" x14ac:dyDescent="0.3">
      <c r="A77" s="96"/>
      <c r="B77" s="38">
        <f>'4637'!B26</f>
        <v>2</v>
      </c>
      <c r="C77" s="101" t="str">
        <f>'4637'!C26</f>
        <v>RESPALDO</v>
      </c>
      <c r="D77" s="39">
        <f>'4637'!D26</f>
        <v>3000</v>
      </c>
      <c r="E77" s="39">
        <f>'4637'!E26</f>
        <v>60</v>
      </c>
      <c r="F77" s="104" t="str">
        <f>'4637'!F26</f>
        <v>CLOUD TERRAZO 4001  GLT</v>
      </c>
      <c r="G77" s="1"/>
    </row>
    <row r="78" spans="1:7" s="15" customFormat="1" ht="15" customHeight="1" x14ac:dyDescent="0.3">
      <c r="A78" s="96"/>
      <c r="B78" s="38">
        <f>'4637'!B27</f>
        <v>3</v>
      </c>
      <c r="C78" s="101" t="str">
        <f>'4637'!C27</f>
        <v>ENCHAPE BAJO CUBIERTA</v>
      </c>
      <c r="D78" s="39">
        <f>'4637'!D27</f>
        <v>3000</v>
      </c>
      <c r="E78" s="39">
        <f>'4637'!E27</f>
        <v>80</v>
      </c>
      <c r="F78" s="104" t="str">
        <f>'4637'!F27</f>
        <v>CLOUD TERRAZO 4001  GLT</v>
      </c>
      <c r="G78" s="1"/>
    </row>
    <row r="79" spans="1:7" s="15" customFormat="1" ht="15" customHeight="1" x14ac:dyDescent="0.3">
      <c r="A79" s="96"/>
      <c r="B79" s="38">
        <f>'4637'!B28</f>
        <v>1</v>
      </c>
      <c r="C79" s="101" t="str">
        <f>'4637'!C28</f>
        <v>CUB MESA 2 L R6</v>
      </c>
      <c r="D79" s="39">
        <f>'4637'!D28</f>
        <v>700</v>
      </c>
      <c r="E79" s="39">
        <f>'4637'!E28</f>
        <v>900</v>
      </c>
      <c r="F79" s="104" t="str">
        <f>'4637'!F28</f>
        <v>CLOUD TERRAZO 4001  GLT</v>
      </c>
      <c r="G79" s="1"/>
    </row>
    <row r="80" spans="1:7" s="15" customFormat="1" ht="15" customHeight="1" x14ac:dyDescent="0.3">
      <c r="A80" s="96"/>
      <c r="B80" s="38">
        <f>'4637'!B31</f>
        <v>1</v>
      </c>
      <c r="C80" s="101" t="str">
        <f>'4637'!C31</f>
        <v>TAPA MUEBLE LAVAPLATOS</v>
      </c>
      <c r="D80" s="39">
        <f>'4637'!D31</f>
        <v>765</v>
      </c>
      <c r="E80" s="39">
        <f>'4637'!E31</f>
        <v>545</v>
      </c>
      <c r="F80" s="104" t="str">
        <f>'4637'!F31</f>
        <v>MELAMINA BLANCA 18MM</v>
      </c>
      <c r="G80" s="1"/>
    </row>
    <row r="81" spans="1:7" s="15" customFormat="1" ht="15" customHeight="1" x14ac:dyDescent="0.3">
      <c r="A81" s="96"/>
      <c r="B81" s="38">
        <f>'4637'!B32</f>
        <v>4</v>
      </c>
      <c r="C81" s="101" t="str">
        <f>'4637'!C32</f>
        <v>ZOCALO (LAMINA)</v>
      </c>
      <c r="D81" s="39">
        <f>'4637'!D32</f>
        <v>3000</v>
      </c>
      <c r="E81" s="39">
        <f>'4637'!E32</f>
        <v>160</v>
      </c>
      <c r="F81" s="104" t="str">
        <f>'4637'!F32</f>
        <v>GRAFITO MT</v>
      </c>
      <c r="G81" s="1"/>
    </row>
    <row r="82" spans="1:7" s="15" customFormat="1" ht="15" customHeight="1" x14ac:dyDescent="0.3">
      <c r="A82" s="96"/>
      <c r="B82" s="130"/>
      <c r="C82" s="131"/>
      <c r="D82" s="130"/>
      <c r="E82" s="130"/>
      <c r="F82" s="128"/>
      <c r="G82" s="1"/>
    </row>
    <row r="83" spans="1:7" s="15" customFormat="1" ht="15" customHeight="1" x14ac:dyDescent="0.3">
      <c r="A83" s="96"/>
      <c r="B83" s="52"/>
      <c r="C83" s="114"/>
      <c r="D83" s="52"/>
      <c r="E83" s="52"/>
      <c r="F83" s="52"/>
      <c r="G83" s="1"/>
    </row>
    <row r="84" spans="1:7" s="15" customFormat="1" ht="15" customHeight="1" x14ac:dyDescent="0.3">
      <c r="A84" s="50"/>
      <c r="B84" s="52"/>
      <c r="C84" s="52"/>
      <c r="D84" s="52"/>
      <c r="E84" s="52"/>
      <c r="F84" s="52"/>
      <c r="G84" s="1"/>
    </row>
    <row r="85" spans="1:7" ht="15.6" x14ac:dyDescent="0.3">
      <c r="A85" s="6"/>
      <c r="B85" s="6"/>
      <c r="C85" s="1"/>
      <c r="D85" s="6"/>
      <c r="E85" s="6"/>
      <c r="F85" s="44"/>
      <c r="G85" s="1"/>
    </row>
    <row r="86" spans="1:7" ht="15.6" x14ac:dyDescent="0.3">
      <c r="A86" s="6"/>
      <c r="B86" s="6"/>
      <c r="C86" s="1"/>
      <c r="D86" s="6"/>
      <c r="E86" s="6"/>
      <c r="F86" s="6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  <row r="88" spans="1:7" ht="15.6" x14ac:dyDescent="0.3">
      <c r="A88" s="1"/>
      <c r="B88" s="1"/>
      <c r="C88" s="1"/>
      <c r="D88" s="1"/>
      <c r="E88" s="1"/>
      <c r="F88" s="1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ht="15" customHeight="1" x14ac:dyDescent="0.3">
      <c r="A90" s="1"/>
      <c r="B90" s="1"/>
      <c r="C90" s="1"/>
      <c r="D90" s="1"/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ht="15.6" x14ac:dyDescent="0.3">
      <c r="A92" s="6"/>
      <c r="B92" s="51"/>
      <c r="C92" s="1"/>
      <c r="D92" s="1"/>
      <c r="E92" s="1"/>
      <c r="F92" s="1"/>
      <c r="G92" s="1"/>
    </row>
    <row r="93" spans="1:7" ht="15.6" x14ac:dyDescent="0.3">
      <c r="A93" s="1"/>
      <c r="B93" s="1"/>
      <c r="C93" s="1"/>
      <c r="D93" s="1"/>
      <c r="E93" s="1"/>
      <c r="F93" s="1"/>
      <c r="G93" s="1"/>
    </row>
    <row r="94" spans="1:7" x14ac:dyDescent="0.3">
      <c r="B94" s="20"/>
      <c r="C94" s="20"/>
      <c r="D94" s="20"/>
      <c r="E94" s="20"/>
      <c r="F94" s="20"/>
    </row>
    <row r="95" spans="1:7" x14ac:dyDescent="0.3">
      <c r="B95" s="20"/>
      <c r="C95" s="20"/>
      <c r="E95" s="20"/>
      <c r="F95" s="20"/>
    </row>
  </sheetData>
  <mergeCells count="6">
    <mergeCell ref="M3:N3"/>
    <mergeCell ref="A25:F25"/>
    <mergeCell ref="A10:F10"/>
    <mergeCell ref="A68:F68"/>
    <mergeCell ref="B70:F7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2025-08-05T22:31:24Z</cp:lastPrinted>
  <dcterms:created xsi:type="dcterms:W3CDTF">2013-03-19T12:54:14Z</dcterms:created>
  <dcterms:modified xsi:type="dcterms:W3CDTF">2025-08-05T22:32:07Z</dcterms:modified>
</cp:coreProperties>
</file>