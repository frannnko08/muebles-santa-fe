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8 AGOSTO 2025\"/>
    </mc:Choice>
  </mc:AlternateContent>
  <xr:revisionPtr revIDLastSave="0" documentId="13_ncr:1_{88C5E796-BBF7-41EE-939E-05510D1ED4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'4637'!$A$1:$I$30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I21" i="4"/>
  <c r="I24" i="4" l="1"/>
  <c r="J22" i="3"/>
  <c r="D22" i="3" s="1"/>
  <c r="K14" i="3"/>
  <c r="E14" i="3" s="1"/>
  <c r="B22" i="3"/>
  <c r="I14" i="3"/>
  <c r="F22" i="3"/>
  <c r="I25" i="4" l="1"/>
  <c r="I26" i="4" s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<sst xmlns="http://schemas.openxmlformats.org/spreadsheetml/2006/main" count="246" uniqueCount="143">
  <si>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</si>
  <si>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</si>
  <si>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</si>
  <si>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</si>
  <si>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</si>
  <si>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</si>
  <si>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</si>
  <si>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</si>
  <si>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</si>
  <si>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</si>
  <si>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</si>
  <si>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</si>
  <si>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</si>
  <si>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</si>
  <si>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</si>
  <si>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</si>
  <si>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</si>
  <si>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</si>
  <si>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</si>
  <si>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</si>
  <si>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</si>
  <si>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</si>
  <si>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</si>
  <si>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</si>
  <si>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</si>
  <si>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</si>
  <si>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</si>
  <si>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</si>
  <si>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</si>
  <si>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</si>
  <si>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</si>
  <si>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</si>
  <si>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</si>
  <si>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</si>
  <si>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</si>
  <si>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</si>
  <si>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</si>
  <si>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</si>
  <si>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</si>
  <si>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</si>
  <si>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</si>
  <si>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</si>
  <si>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</si>
  <si>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</si>
  <si>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</si>
  <si>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</si>
  <si>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</si>
  <si>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</si>
  <si>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</si>
  <si>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</si>
  <si>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</si>
  <si>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</si>
  <si>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</si>
  <si>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</si>
  <si>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</si>
  <si>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</si>
  <si>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</si>
  <si>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</si>
  <si>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</si>
  <si>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</si>
  <si>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</si>
  <si>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</si>
  <si>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</si>
  <si>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</si>
  <si>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</si>
  <si>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</si>
  <si>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</si>
  <si>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</si>
  <si>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</si>
  <si>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</si>
  <si>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</si>
  <si>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</si>
  <si>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</si>
  <si>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</si>
  <si>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</si>
  <si>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</si>
  <si>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</si>
  <si>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</si>
  <si>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</si>
  <si>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</si>
  <si>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</si>
  <si>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</si>
  <si>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</si>
  <si>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</si>
  <si>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</si>
  <si>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</si>
  <si>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</si>
  <si>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</si>
  <si>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</si>
  <si>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</si>
  <si>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</si>
  <si>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</si>
  <si>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</si>
  <si>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</si>
  <si>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</si>
  <si>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</si>
  <si>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</si>
  <si>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</si>
  <si>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</si>
  <si>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</si>
  <si>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</si>
  <si>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</si>
  <si>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</si>
  <si>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</si>
  <si>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</si>
  <si>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</si>
  <si>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</si>
  <si>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</si>
  <si>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</si>
  <si>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</si>
  <si>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</si>
  <si>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</si>
  <si>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</si>
  <si>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</si>
  <si>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</si>
  <si>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</si>
  <si>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</si>
  <si>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</si>
  <si>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</si>
  <si>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</si>
  <si>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</si>
  <si>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</si>
  <si>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</si>
  <si>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</si>
  <si>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</si>
  <si>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</si>
  <si>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</si>
  <si>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</si>
  <si>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</si>
  <si>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</si>
  <si>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</si>
  <si>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</si>
  <si>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</si>
  <si>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</si>
  <si>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NO</t>
  </si>
  <si>
    <t>CONTADO</t>
  </si>
  <si>
    <t>MDF36MM</t>
  </si>
  <si>
    <t>VER DESARROLLO</t>
  </si>
  <si>
    <t>CUB C/R 90°</t>
  </si>
  <si>
    <t>BLANCO BR</t>
  </si>
  <si>
    <t>N° 11528</t>
  </si>
  <si>
    <t>FERNANDO ANDRADE</t>
  </si>
  <si>
    <t>+569 9742 2926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</si>
</sst>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20" fillId="0" borderId="0" xfId="2" quotePrefix="1" applyFont="1" applyFill="1" applyBorder="1"/>
    <xf numFmtId="0" fontId="1" fillId="8" borderId="32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6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5608319"/>
          <a:ext cx="83477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3"/>
  <sheetViews>
    <sheetView tabSelected="1" workbookViewId="0">
      <selection activeCell="C15" sqref="C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6" width="9.109375" customWidth="1"/>
    <col min="7" max="7" width="27.44140625" customWidth="1"/>
    <col min="8" max="9" width="13" customWidth="1"/>
  </cols>
  <sheetData>
    <row r="1" spans="1:18" ht="15.6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8" ht="15.6" x14ac:dyDescent="0.3">
      <c r="A2" s="1"/>
      <c r="B2" s="1"/>
      <c r="C2" s="1"/>
      <c r="D2" s="1"/>
      <c r="E2" s="1"/>
      <c r="F2" s="1"/>
      <c r="G2" s="7" t="s">
        <v>119</v>
      </c>
      <c r="H2" s="1"/>
      <c r="I2" s="1"/>
      <c r="J2" s="1"/>
    </row>
    <row r="3" spans="1:18" ht="15.6" x14ac:dyDescent="0.3">
      <c r="A3" s="1"/>
      <c r="B3" s="1"/>
      <c r="C3" s="1"/>
      <c r="D3" s="1"/>
      <c r="E3" s="1"/>
      <c r="F3" s="1"/>
      <c r="G3" s="1" t="s">
        <v>120</v>
      </c>
      <c r="H3" s="1"/>
      <c r="I3" s="1"/>
      <c r="J3" s="1"/>
    </row>
    <row r="4" spans="1:18" ht="15.6" x14ac:dyDescent="0.3">
      <c r="A4" s="1"/>
      <c r="B4" s="1"/>
      <c r="C4" s="1"/>
      <c r="D4" s="1"/>
      <c r="E4" s="1"/>
      <c r="F4" s="1"/>
      <c r="G4" s="1" t="s">
        <v>121</v>
      </c>
      <c r="H4" s="1"/>
      <c r="I4" s="1"/>
      <c r="J4" s="1"/>
    </row>
    <row r="5" spans="1:18" ht="15.6" x14ac:dyDescent="0.3">
      <c r="A5" s="1"/>
      <c r="B5" s="1"/>
      <c r="C5" s="1"/>
      <c r="D5" s="1"/>
      <c r="E5" s="1"/>
      <c r="F5" s="1"/>
      <c r="G5" s="1" t="s">
        <v>0</v>
      </c>
      <c r="H5" s="1"/>
      <c r="I5" s="1"/>
      <c r="J5" s="1"/>
    </row>
    <row r="6" spans="1:18" ht="15.6" x14ac:dyDescent="0.3">
      <c r="A6" s="1"/>
      <c r="B6" s="1"/>
      <c r="C6" s="1"/>
      <c r="D6" s="1"/>
      <c r="E6" s="1"/>
      <c r="F6" s="1"/>
      <c r="G6" s="1" t="s">
        <v>15</v>
      </c>
      <c r="H6" s="1"/>
      <c r="I6" s="1"/>
      <c r="J6" s="1"/>
    </row>
    <row r="7" spans="1:18" ht="16.2" thickBot="1" x14ac:dyDescent="0.35">
      <c r="A7" s="1"/>
      <c r="B7" s="1"/>
      <c r="C7" s="1"/>
      <c r="D7" s="1"/>
      <c r="E7" s="1"/>
      <c r="F7" s="1"/>
      <c r="G7" s="1" t="s">
        <v>13</v>
      </c>
      <c r="H7" s="1"/>
      <c r="I7" s="1"/>
      <c r="J7" s="1"/>
    </row>
    <row r="8" spans="1:18" ht="16.2" thickBot="1" x14ac:dyDescent="0.35">
      <c r="A8" s="1"/>
      <c r="B8" s="91" t="s">
        <v>16</v>
      </c>
      <c r="C8" s="92"/>
      <c r="D8" s="93" t="s">
        <v>140</v>
      </c>
      <c r="E8" s="1"/>
      <c r="F8" s="1"/>
      <c r="G8" s="94" t="s">
        <v>27</v>
      </c>
      <c r="H8" s="95">
        <v>7249</v>
      </c>
      <c r="I8" s="1"/>
      <c r="J8" s="1"/>
    </row>
    <row r="9" spans="1:18" ht="16.2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8" ht="16.2" thickBot="1" x14ac:dyDescent="0.35">
      <c r="A10" s="1"/>
      <c r="B10" s="54" t="s">
        <v>129</v>
      </c>
      <c r="C10" s="86" t="s">
        <v>141</v>
      </c>
      <c r="D10" s="55"/>
      <c r="E10" s="55"/>
      <c r="F10" s="55"/>
      <c r="G10" s="56" t="s">
        <v>28</v>
      </c>
      <c r="H10" s="57">
        <v>45870</v>
      </c>
      <c r="I10" s="58"/>
      <c r="J10" s="1"/>
      <c r="K10" s="1"/>
      <c r="L10" s="1"/>
      <c r="M10" s="1"/>
      <c r="N10" s="1"/>
      <c r="O10" s="1"/>
      <c r="P10" s="1"/>
      <c r="Q10" s="1"/>
      <c r="R10" s="1"/>
    </row>
    <row r="11" spans="1:18" ht="16.2" thickBot="1" x14ac:dyDescent="0.35">
      <c r="A11" s="1"/>
      <c r="B11" s="59" t="s">
        <v>2</v>
      </c>
      <c r="C11" s="112"/>
      <c r="D11" s="60"/>
      <c r="E11" s="60"/>
      <c r="F11" s="60"/>
      <c r="G11" s="60" t="s">
        <v>124</v>
      </c>
      <c r="H11" s="61">
        <v>45874</v>
      </c>
      <c r="I11" s="62"/>
      <c r="J11" s="1"/>
    </row>
    <row r="12" spans="1:18" ht="16.8" x14ac:dyDescent="0.4">
      <c r="A12" s="1"/>
      <c r="B12" s="63" t="s">
        <v>130</v>
      </c>
      <c r="C12" s="109"/>
      <c r="D12" s="43"/>
      <c r="E12" s="43"/>
      <c r="F12" s="43"/>
      <c r="G12" s="43" t="s">
        <v>30</v>
      </c>
      <c r="H12" s="64"/>
      <c r="I12" s="65"/>
      <c r="J12" s="1"/>
    </row>
    <row r="13" spans="1:18" ht="15.6" x14ac:dyDescent="0.3">
      <c r="A13" s="1"/>
      <c r="B13" s="63" t="s">
        <v>132</v>
      </c>
      <c r="D13" s="43"/>
      <c r="E13" s="43"/>
      <c r="F13" s="43"/>
      <c r="G13" s="43" t="s">
        <v>128</v>
      </c>
      <c r="H13" s="64"/>
      <c r="I13" s="65"/>
      <c r="J13" s="1"/>
    </row>
    <row r="14" spans="1:18" ht="15.6" x14ac:dyDescent="0.3">
      <c r="A14" s="1"/>
      <c r="B14" s="59" t="s">
        <v>17</v>
      </c>
      <c r="C14" s="113" t="s">
        <v>142</v>
      </c>
      <c r="D14" s="66"/>
      <c r="E14" s="60"/>
      <c r="F14" s="60"/>
      <c r="G14" s="60" t="s">
        <v>29</v>
      </c>
      <c r="H14" s="60" t="s">
        <v>134</v>
      </c>
      <c r="I14" s="62"/>
      <c r="J14" s="1"/>
    </row>
    <row r="15" spans="1:18" ht="16.8" x14ac:dyDescent="0.4">
      <c r="A15" s="1"/>
      <c r="B15" s="63" t="s">
        <v>1</v>
      </c>
      <c r="C15" s="110"/>
      <c r="D15" s="43"/>
      <c r="E15" s="43"/>
      <c r="F15" s="43"/>
      <c r="G15" s="67" t="s">
        <v>75</v>
      </c>
      <c r="H15" s="67" t="s">
        <v>135</v>
      </c>
      <c r="I15" s="65"/>
      <c r="J15" s="1"/>
    </row>
    <row r="16" spans="1:18" ht="16.2" thickBot="1" x14ac:dyDescent="0.35">
      <c r="A16" s="1"/>
      <c r="B16" s="68" t="s">
        <v>3</v>
      </c>
      <c r="C16" s="111" t="s">
        <v>131</v>
      </c>
      <c r="D16" s="69"/>
      <c r="E16" s="70"/>
      <c r="F16" s="70"/>
      <c r="G16" s="115" t="s">
        <v>18</v>
      </c>
      <c r="H16" s="115"/>
      <c r="I16" s="116"/>
      <c r="J16" s="1"/>
    </row>
    <row r="17" spans="1:17" ht="15.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7" ht="16.2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7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8"/>
      <c r="I19" s="119"/>
      <c r="J19" s="1"/>
    </row>
    <row r="20" spans="1:17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114" t="s">
        <v>7</v>
      </c>
      <c r="G20" s="73" t="s">
        <v>23</v>
      </c>
      <c r="H20" s="71" t="s">
        <v>24</v>
      </c>
      <c r="I20" s="73" t="s">
        <v>4</v>
      </c>
      <c r="J20" s="1"/>
    </row>
    <row r="21" spans="1:17" ht="18" customHeight="1" x14ac:dyDescent="0.3">
      <c r="A21" s="1"/>
      <c r="B21" s="104">
        <v>1</v>
      </c>
      <c r="C21" s="104" t="s">
        <v>138</v>
      </c>
      <c r="D21" s="107">
        <v>1400</v>
      </c>
      <c r="E21" s="107">
        <v>600</v>
      </c>
      <c r="F21" s="107"/>
      <c r="G21" s="104" t="s">
        <v>139</v>
      </c>
      <c r="H21" s="106">
        <f>49642/1.19</f>
        <v>41715.966386554624</v>
      </c>
      <c r="I21" s="105">
        <f t="shared" ref="I21" si="0">H21*B21</f>
        <v>41715.966386554624</v>
      </c>
      <c r="J21" s="1"/>
      <c r="L21" s="17"/>
      <c r="M21" s="26"/>
      <c r="N21" s="17"/>
      <c r="O21" s="17"/>
      <c r="P21" s="26"/>
      <c r="Q21" s="33"/>
    </row>
    <row r="22" spans="1:17" ht="18" customHeight="1" x14ac:dyDescent="0.3">
      <c r="A22" s="1"/>
      <c r="B22" s="97"/>
      <c r="C22" s="97"/>
      <c r="D22" s="97"/>
      <c r="E22" s="97"/>
      <c r="F22" s="97"/>
      <c r="G22" s="98"/>
      <c r="H22" s="99"/>
      <c r="I22" s="99"/>
      <c r="J22" s="1"/>
      <c r="L22" s="17"/>
      <c r="M22" s="26"/>
      <c r="N22" s="17"/>
      <c r="O22" s="17"/>
      <c r="P22" s="26"/>
      <c r="Q22" s="33"/>
    </row>
    <row r="23" spans="1:17" ht="8.25" customHeight="1" thickBot="1" x14ac:dyDescent="0.35">
      <c r="A23" s="1"/>
      <c r="B23" s="74"/>
      <c r="C23" s="74"/>
      <c r="D23" s="74"/>
      <c r="E23" s="74"/>
      <c r="F23" s="74"/>
      <c r="G23" s="74"/>
      <c r="H23" s="75"/>
      <c r="I23" s="75"/>
      <c r="J23" s="1"/>
    </row>
    <row r="24" spans="1:17" ht="15.6" x14ac:dyDescent="0.3">
      <c r="A24" s="1"/>
      <c r="B24" s="1"/>
      <c r="C24" s="1"/>
      <c r="D24" s="1"/>
      <c r="E24" s="1"/>
      <c r="F24" s="1"/>
      <c r="G24" s="1"/>
      <c r="H24" s="76" t="s">
        <v>5</v>
      </c>
      <c r="I24" s="77">
        <f>SUM(I21:I23)</f>
        <v>41715.966386554624</v>
      </c>
      <c r="J24" s="1"/>
    </row>
    <row r="25" spans="1:17" ht="15.6" x14ac:dyDescent="0.3">
      <c r="A25" s="1"/>
      <c r="B25" s="1"/>
      <c r="C25" s="1"/>
      <c r="D25" s="1"/>
      <c r="E25" s="1"/>
      <c r="F25" s="1"/>
      <c r="G25" s="1"/>
      <c r="H25" s="78" t="s">
        <v>6</v>
      </c>
      <c r="I25" s="79">
        <f>I24*19%</f>
        <v>7926.0336134453792</v>
      </c>
      <c r="J25" s="1"/>
    </row>
    <row r="26" spans="1:17" ht="16.2" thickBot="1" x14ac:dyDescent="0.35">
      <c r="A26" s="1"/>
      <c r="B26" s="1"/>
      <c r="C26" s="1"/>
      <c r="D26" s="1"/>
      <c r="E26" s="1"/>
      <c r="F26" s="1"/>
      <c r="G26" s="1"/>
      <c r="H26" s="80" t="s">
        <v>4</v>
      </c>
      <c r="I26" s="81">
        <f>I24+I25</f>
        <v>49642</v>
      </c>
      <c r="J26" s="1"/>
    </row>
    <row r="27" spans="1:17" ht="15.6" x14ac:dyDescent="0.3">
      <c r="A27" s="1"/>
      <c r="B27" s="1"/>
      <c r="C27" s="1"/>
      <c r="D27" s="1"/>
      <c r="E27" s="1"/>
      <c r="F27" s="1"/>
      <c r="G27" s="1"/>
      <c r="H27" s="52"/>
      <c r="I27" s="100"/>
      <c r="J27" s="1"/>
    </row>
    <row r="28" spans="1:17" ht="15.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7" ht="15.6" x14ac:dyDescent="0.3">
      <c r="A29" s="1"/>
      <c r="B29" s="82" t="s">
        <v>123</v>
      </c>
      <c r="C29" s="83"/>
      <c r="D29" s="84"/>
      <c r="E29" s="84"/>
      <c r="F29" s="84"/>
      <c r="G29" s="74"/>
      <c r="H29" s="1"/>
      <c r="I29" s="1"/>
      <c r="J29" s="1"/>
    </row>
    <row r="30" spans="1:17" ht="15.6" x14ac:dyDescent="0.3">
      <c r="A30" s="1"/>
      <c r="B30" s="82" t="s">
        <v>122</v>
      </c>
      <c r="C30" s="83"/>
      <c r="D30" s="84"/>
      <c r="E30" s="84"/>
      <c r="F30" s="84"/>
      <c r="G30" s="74"/>
      <c r="H30" s="1"/>
      <c r="I30" s="1"/>
      <c r="J30" s="1"/>
    </row>
    <row r="31" spans="1:17" ht="15.6" x14ac:dyDescent="0.3">
      <c r="A31" s="1"/>
      <c r="B31" s="1" t="s">
        <v>25</v>
      </c>
      <c r="C31" s="1"/>
      <c r="D31" s="1"/>
      <c r="E31" s="85" t="s">
        <v>26</v>
      </c>
      <c r="F31" s="85"/>
      <c r="G31" s="1"/>
      <c r="H31" s="1"/>
      <c r="I31" s="1"/>
      <c r="J31" s="1"/>
    </row>
    <row r="32" spans="1:17" ht="15.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sortState xmlns:xlrd2="http://schemas.microsoft.com/office/spreadsheetml/2017/richdata2" ref="B35">
    <sortCondition sortBy="fontColor" ref="B35" dxfId="0"/>
  </sortState>
  <mergeCells count="2">
    <mergeCell ref="G16:I16"/>
    <mergeCell ref="B19:I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opLeftCell="A2" zoomScaleNormal="100" workbookViewId="0">
      <selection activeCell="G65" sqref="G6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'4637'!H8</f>
        <v>7249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FERNANDO ANDRADE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'4637'!G11</f>
        <v>FECHA LIMITE :</v>
      </c>
      <c r="D7" s="13">
        <f>'4637'!H11</f>
        <v>45874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133</v>
      </c>
      <c r="B14" s="25">
        <v>4</v>
      </c>
      <c r="C14" s="25"/>
      <c r="D14" s="25">
        <f>J14+D$13</f>
        <v>1450</v>
      </c>
      <c r="E14" s="35">
        <f>K14+E$13</f>
        <v>570</v>
      </c>
      <c r="F14" s="102" t="str">
        <f>C28</f>
        <v>CUB C/R 90°</v>
      </c>
      <c r="G14" s="1"/>
      <c r="I14" s="3">
        <f>I22</f>
        <v>1</v>
      </c>
      <c r="J14" s="4">
        <f>D28</f>
        <v>1400</v>
      </c>
      <c r="K14" s="4">
        <f>E28</f>
        <v>600</v>
      </c>
    </row>
    <row r="15" spans="1:14" ht="15.6" x14ac:dyDescent="0.3">
      <c r="A15" s="96"/>
      <c r="B15" s="6"/>
      <c r="C15" s="6"/>
      <c r="D15" s="6"/>
      <c r="E15" s="89"/>
      <c r="F15" s="108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3" t="s">
        <v>14</v>
      </c>
      <c r="B18" s="123"/>
      <c r="C18" s="123"/>
      <c r="D18" s="123"/>
      <c r="E18" s="123"/>
      <c r="F18" s="123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0">I22</f>
        <v>1</v>
      </c>
      <c r="C22" s="16" t="s">
        <v>137</v>
      </c>
      <c r="D22" s="16">
        <f>J22+D$21</f>
        <v>1440</v>
      </c>
      <c r="E22" s="16">
        <f>K22+E$21</f>
        <v>730</v>
      </c>
      <c r="F22" s="103" t="str">
        <f>C28</f>
        <v>CUB C/R 90°</v>
      </c>
      <c r="G22" s="1"/>
      <c r="I22" s="3">
        <f>B28</f>
        <v>1</v>
      </c>
      <c r="J22" s="4">
        <f t="shared" ref="J22:K22" si="1">D28</f>
        <v>1400</v>
      </c>
      <c r="K22" s="4">
        <f t="shared" si="1"/>
        <v>600</v>
      </c>
    </row>
    <row r="23" spans="1:11" ht="15.6" x14ac:dyDescent="0.3">
      <c r="A23" s="96"/>
      <c r="B23" s="6"/>
      <c r="C23" s="6"/>
      <c r="D23" s="6"/>
      <c r="E23" s="6"/>
      <c r="F23" s="108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136</v>
      </c>
      <c r="B28" s="25">
        <f>'4637'!B21</f>
        <v>1</v>
      </c>
      <c r="C28" s="102" t="str">
        <f>'4637'!C21</f>
        <v>CUB C/R 90°</v>
      </c>
      <c r="D28" s="25">
        <f>'4637'!D21</f>
        <v>1400</v>
      </c>
      <c r="E28" s="25">
        <f>'4637'!E21</f>
        <v>600</v>
      </c>
      <c r="F28" s="25" t="str">
        <f>'4637'!G21</f>
        <v>BLANCO BR</v>
      </c>
      <c r="G28" s="1"/>
    </row>
    <row r="29" spans="1:11" ht="15.6" x14ac:dyDescent="0.3">
      <c r="A29" s="96"/>
      <c r="B29" s="6"/>
      <c r="C29" s="108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'4637'!H8</f>
        <v>7249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FERNANDO ANDRADE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'4637'!G11</f>
        <v>FECHA LIMITE :</v>
      </c>
      <c r="D42" s="13">
        <f>'4637'!H11</f>
        <v>45874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3" t="s">
        <v>68</v>
      </c>
      <c r="B45" s="123"/>
      <c r="C45" s="123"/>
      <c r="D45" s="123"/>
      <c r="E45" s="123"/>
      <c r="F45" s="123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4" t="s">
        <v>69</v>
      </c>
      <c r="C47" s="125"/>
      <c r="D47" s="126"/>
      <c r="E47" s="126"/>
      <c r="F47" s="127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 t="s">
        <v>136</v>
      </c>
      <c r="B49" s="38">
        <f>'4637'!B21</f>
        <v>1</v>
      </c>
      <c r="C49" s="101" t="str">
        <f>'4637'!C21</f>
        <v>CUB C/R 90°</v>
      </c>
      <c r="D49" s="39">
        <f>'4637'!D21</f>
        <v>1400</v>
      </c>
      <c r="E49" s="39">
        <f>'4637'!E21</f>
        <v>600</v>
      </c>
      <c r="F49" s="38" t="str">
        <f>'4637'!G21</f>
        <v>BLANCO BR</v>
      </c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2025-08-04T16:31:25Z</cp:lastPrinted>
  <dcterms:created xsi:type="dcterms:W3CDTF">2013-03-19T12:54:14Z</dcterms:created>
  <dcterms:modified xsi:type="dcterms:W3CDTF">2025-08-04T16:33:21Z</dcterms:modified>
</cp:coreProperties>
</file>