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F4476F4C-CE6D-4D24-A0FA-E731F2FD1EA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3" l="1"/>
  <c r="B32" i="3" s="1"/>
  <c r="I24" i="3" s="1"/>
  <c r="B24" i="3" s="1"/>
  <c r="C59" i="3"/>
  <c r="C32" i="3" s="1"/>
  <c r="D59" i="3"/>
  <c r="D32" i="3" s="1"/>
  <c r="J24" i="3" s="1"/>
  <c r="D24" i="3" s="1"/>
  <c r="E59" i="3"/>
  <c r="E32" i="3" s="1"/>
  <c r="K24" i="3" s="1"/>
  <c r="E24" i="3" s="1"/>
  <c r="F59" i="3"/>
  <c r="F32" i="3" s="1"/>
  <c r="F24" i="3" s="1"/>
  <c r="B60" i="3"/>
  <c r="B33" i="3" s="1"/>
  <c r="C60" i="3"/>
  <c r="C33" i="3" s="1"/>
  <c r="D60" i="3"/>
  <c r="D33" i="3" s="1"/>
  <c r="E60" i="3"/>
  <c r="E33" i="3" s="1"/>
  <c r="F60" i="3"/>
  <c r="F33" i="3" s="1"/>
  <c r="H24" i="4" l="1"/>
  <c r="B58" i="3"/>
  <c r="B31" i="3" s="1"/>
  <c r="C58" i="3"/>
  <c r="C31" i="3" s="1"/>
  <c r="D58" i="3"/>
  <c r="D31" i="3" s="1"/>
  <c r="E58" i="3"/>
  <c r="E31" i="3" s="1"/>
  <c r="F58" i="3"/>
  <c r="F31" i="3" s="1"/>
  <c r="F57" i="3"/>
  <c r="F30" i="3" s="1"/>
  <c r="E57" i="3"/>
  <c r="E30" i="3" s="1"/>
  <c r="D57" i="3"/>
  <c r="D30" i="3" s="1"/>
  <c r="C57" i="3"/>
  <c r="C30" i="3" s="1"/>
  <c r="B57" i="3"/>
  <c r="B30" i="3" s="1"/>
  <c r="H22" i="4"/>
  <c r="H21" i="4"/>
  <c r="H27" i="4" l="1"/>
  <c r="H28" i="4" s="1"/>
  <c r="H29" i="4" s="1"/>
  <c r="K23" i="3"/>
  <c r="E23" i="3" s="1"/>
  <c r="F23" i="3"/>
  <c r="J23" i="3"/>
  <c r="D23" i="3" s="1"/>
  <c r="I23" i="3"/>
  <c r="B23" i="3" s="1"/>
  <c r="I22" i="3" l="1"/>
  <c r="J22" i="3"/>
  <c r="K22" i="3"/>
  <c r="E22" i="3" s="1"/>
  <c r="F22" i="3"/>
  <c r="D5" i="3"/>
  <c r="K14" i="3" l="1"/>
  <c r="E14" i="3" s="1"/>
  <c r="I14" i="3"/>
  <c r="F14" i="3"/>
  <c r="J14" i="3"/>
  <c r="D14" i="3" s="1"/>
  <c r="D22" i="3" l="1"/>
  <c r="B22" i="3"/>
  <c r="B14" i="3"/>
  <c r="N5" i="3" l="1"/>
  <c r="M5" i="3" l="1"/>
  <c r="L5" i="3"/>
  <c r="K5" i="3"/>
  <c r="C46" i="3" l="1"/>
  <c r="C7" i="3"/>
  <c r="D45" i="3"/>
  <c r="D46" i="3"/>
  <c r="D7" i="3"/>
  <c r="D44" i="3"/>
  <c r="D4" i="3"/>
</calcChain>
</file>

<file path=xl/sharedStrings.xml><?xml version="1.0" encoding="utf-8"?>
<sst xmlns="http://schemas.openxmlformats.org/spreadsheetml/2006/main" count="247" uniqueCount="141">
  <si>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</si>
  <si>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</si>
  <si>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</si>
  <si>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</si>
  <si>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</si>
  <si>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</si>
  <si>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</si>
  <si>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</si>
  <si>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</si>
  <si>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</si>
  <si>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</si>
  <si>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</si>
  <si>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</si>
  <si>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</si>
  <si>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</si>
  <si>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</si>
  <si>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</si>
  <si>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</si>
  <si>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</si>
  <si>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</si>
  <si>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</si>
  <si>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</si>
  <si>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</si>
  <si>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</si>
  <si>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</si>
  <si>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</si>
  <si>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</si>
  <si>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</si>
  <si>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</si>
  <si>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</si>
  <si>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</si>
  <si>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</si>
  <si>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</si>
  <si>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</si>
  <si>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</si>
  <si>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</si>
  <si>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</si>
  <si>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</si>
  <si>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</si>
  <si>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</si>
  <si>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</si>
  <si>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</si>
  <si>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</si>
  <si>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</si>
  <si>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</si>
  <si>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</si>
  <si>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</si>
  <si>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</si>
  <si>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</si>
  <si>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</si>
  <si>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</si>
  <si>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</si>
  <si>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</si>
  <si>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</si>
  <si>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</si>
  <si>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</si>
  <si>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</si>
  <si>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</si>
  <si>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</si>
  <si>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</si>
  <si>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</si>
  <si>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</si>
  <si>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</si>
  <si>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</si>
  <si>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</si>
  <si>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</si>
  <si>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</si>
  <si>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</si>
  <si>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</si>
  <si>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</si>
  <si>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</si>
  <si>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</si>
  <si>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</si>
  <si>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</si>
  <si>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</si>
  <si>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</si>
  <si>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</si>
  <si>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</si>
  <si>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</si>
  <si>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</si>
  <si>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</si>
  <si>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</si>
  <si>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</si>
  <si>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</si>
  <si>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</si>
  <si>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</si>
  <si>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</si>
  <si>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</si>
  <si>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</si>
  <si>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</si>
  <si>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</si>
  <si>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</si>
  <si>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</si>
  <si>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</si>
  <si>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</si>
  <si>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</si>
  <si>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</si>
  <si>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</si>
  <si>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</si>
  <si>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</si>
  <si>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</si>
  <si>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</si>
  <si>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</si>
  <si>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</si>
  <si>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</si>
  <si>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</si>
  <si>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</si>
  <si>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</si>
  <si>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</si>
  <si>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</si>
  <si>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</si>
  <si>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</si>
  <si>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</si>
  <si>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</si>
  <si>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</si>
  <si>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</si>
  <si>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</si>
  <si>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</si>
  <si>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</si>
  <si>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</si>
  <si>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</si>
  <si>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</si>
  <si>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</si>
  <si>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</si>
  <si>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</si>
  <si>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</si>
  <si>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</si>
  <si>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</si>
  <si>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</si>
  <si>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</si>
  <si>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</si>
  <si>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</si>
  <si>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</si>
  <si>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</si>
  <si>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SANTIAGO</t>
  </si>
  <si>
    <t>N° 11545</t>
  </si>
  <si>
    <t>CUB CON RESPALDO FRENTE 90°</t>
  </si>
  <si>
    <t>LAMINA PARA ZOCALO</t>
  </si>
  <si>
    <t>SERVICIO DE CORTE Y ENCHAPE</t>
  </si>
  <si>
    <t>CLAUDIO SALFATE</t>
  </si>
  <si>
    <t>BLANCO OPACO DESPUNTE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</si>
</sst>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42" fontId="3" fillId="0" borderId="12" xfId="3" applyFont="1" applyFill="1" applyBorder="1" applyAlignment="1">
      <alignment horizontal="center" vertical="center"/>
    </xf>
    <xf numFmtId="42" fontId="3" fillId="0" borderId="2" xfId="3" applyFont="1" applyFill="1" applyBorder="1" applyAlignment="1">
      <alignment horizontal="center" vertical="center"/>
    </xf>
    <xf numFmtId="42" fontId="3" fillId="0" borderId="31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65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166" fontId="3" fillId="0" borderId="24" xfId="1" applyNumberFormat="1" applyFont="1" applyFill="1" applyBorder="1" applyAlignment="1">
      <alignment horizontal="center" vertical="center"/>
    </xf>
    <xf numFmtId="1" fontId="15" fillId="0" borderId="24" xfId="0" applyNumberFormat="1" applyFont="1" applyBorder="1" applyAlignment="1">
      <alignment horizontal="center" vertical="center"/>
    </xf>
    <xf numFmtId="42" fontId="3" fillId="0" borderId="1" xfId="3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3" borderId="0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29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CANCELADO $ 62.475.-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6</xdr:col>
      <xdr:colOff>15240</xdr:colOff>
      <xdr:row>18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51</xdr:row>
      <xdr:rowOff>171450</xdr:rowOff>
    </xdr:from>
    <xdr:to>
      <xdr:col>5</xdr:col>
      <xdr:colOff>2392680</xdr:colOff>
      <xdr:row>53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62</xdr:row>
      <xdr:rowOff>0</xdr:rowOff>
    </xdr:from>
    <xdr:to>
      <xdr:col>2</xdr:col>
      <xdr:colOff>1019175</xdr:colOff>
      <xdr:row>62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0</xdr:rowOff>
    </xdr:from>
    <xdr:to>
      <xdr:col>3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0</xdr:rowOff>
    </xdr:from>
    <xdr:to>
      <xdr:col>4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0</xdr:rowOff>
    </xdr:from>
    <xdr:to>
      <xdr:col>5</xdr:col>
      <xdr:colOff>447675</xdr:colOff>
      <xdr:row>62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0</xdr:rowOff>
    </xdr:from>
    <xdr:to>
      <xdr:col>6</xdr:col>
      <xdr:colOff>0</xdr:colOff>
      <xdr:row>62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62</xdr:row>
      <xdr:rowOff>190500</xdr:rowOff>
    </xdr:from>
    <xdr:to>
      <xdr:col>2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62</xdr:row>
      <xdr:rowOff>190500</xdr:rowOff>
    </xdr:from>
    <xdr:to>
      <xdr:col>2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190500</xdr:rowOff>
    </xdr:from>
    <xdr:to>
      <xdr:col>3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190500</xdr:rowOff>
    </xdr:from>
    <xdr:to>
      <xdr:col>4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190500</xdr:rowOff>
    </xdr:from>
    <xdr:to>
      <xdr:col>5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190500</xdr:rowOff>
    </xdr:from>
    <xdr:to>
      <xdr:col>6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5</xdr:col>
      <xdr:colOff>2392680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LA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VA CORTADA A LA MEDIDA Y ENCHAPADA AMBOS LADOS SIN REGRUESO, LOS TROZO DE LAMINA VAN APARTE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65</xdr:row>
      <xdr:rowOff>32385</xdr:rowOff>
    </xdr:from>
    <xdr:to>
      <xdr:col>5</xdr:col>
      <xdr:colOff>2392680</xdr:colOff>
      <xdr:row>69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LA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VA CORTADA A LA MEDIDA ENCHAPADA EN AMBAS CARAS SIN REGRUESO, LOS TROZOS DE LAMINA VAN APARTE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42</xdr:row>
      <xdr:rowOff>41910</xdr:rowOff>
    </xdr:from>
    <xdr:to>
      <xdr:col>1</xdr:col>
      <xdr:colOff>801763</xdr:colOff>
      <xdr:row>47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9" workbookViewId="0">
      <selection activeCell="F22" sqref="F22:F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6.44140625" customWidth="1"/>
    <col min="4" max="5" width="9.109375" customWidth="1"/>
    <col min="6" max="6" width="36.21875" bestFit="1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135</v>
      </c>
      <c r="E8" s="1"/>
      <c r="F8" s="91" t="s">
        <v>27</v>
      </c>
      <c r="G8" s="92">
        <v>7255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139</v>
      </c>
      <c r="D10" s="54"/>
      <c r="E10" s="54"/>
      <c r="F10" s="55" t="s">
        <v>28</v>
      </c>
      <c r="G10" s="56">
        <v>45880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05"/>
      <c r="D11" s="59"/>
      <c r="E11" s="59"/>
      <c r="F11" s="59" t="s">
        <v>124</v>
      </c>
      <c r="G11" s="60">
        <v>45882</v>
      </c>
      <c r="H11" s="61"/>
      <c r="I11" s="1"/>
    </row>
    <row r="12" spans="1:17" ht="16.8" x14ac:dyDescent="0.4">
      <c r="A12" s="1"/>
      <c r="B12" s="62" t="s">
        <v>129</v>
      </c>
      <c r="C12" s="102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130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52">
        <v>56968482596</v>
      </c>
      <c r="D14" s="65"/>
      <c r="E14" s="59"/>
      <c r="F14" s="59" t="s">
        <v>29</v>
      </c>
      <c r="G14" s="59" t="s">
        <v>132</v>
      </c>
      <c r="H14" s="61"/>
      <c r="I14" s="1"/>
    </row>
    <row r="15" spans="1:17" ht="16.8" x14ac:dyDescent="0.4">
      <c r="A15" s="1"/>
      <c r="B15" s="62" t="s">
        <v>1</v>
      </c>
      <c r="C15" s="103"/>
      <c r="D15" s="43"/>
      <c r="E15" s="43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104" t="s">
        <v>134</v>
      </c>
      <c r="D16" s="68"/>
      <c r="E16" s="69"/>
      <c r="F16" s="122" t="s">
        <v>18</v>
      </c>
      <c r="G16" s="122"/>
      <c r="H16" s="12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4" t="s">
        <v>19</v>
      </c>
      <c r="C19" s="125"/>
      <c r="D19" s="125"/>
      <c r="E19" s="125"/>
      <c r="F19" s="125"/>
      <c r="G19" s="125"/>
      <c r="H19" s="126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6.2" thickBot="1" x14ac:dyDescent="0.35">
      <c r="A21" s="1"/>
      <c r="B21" s="135">
        <v>1</v>
      </c>
      <c r="C21" s="136" t="s">
        <v>136</v>
      </c>
      <c r="D21" s="138">
        <v>1000</v>
      </c>
      <c r="E21" s="138">
        <v>600</v>
      </c>
      <c r="F21" s="136" t="s">
        <v>140</v>
      </c>
      <c r="G21" s="137">
        <v>40000</v>
      </c>
      <c r="H21" s="115">
        <f>G21*B21</f>
        <v>40000</v>
      </c>
      <c r="I21" s="1"/>
    </row>
    <row r="22" spans="1:16" ht="16.2" thickBot="1" x14ac:dyDescent="0.35">
      <c r="A22" s="1"/>
      <c r="B22" s="101">
        <v>1</v>
      </c>
      <c r="C22" s="101" t="s">
        <v>137</v>
      </c>
      <c r="D22" s="140">
        <v>1000</v>
      </c>
      <c r="E22" s="140">
        <v>53</v>
      </c>
      <c r="F22" s="136" t="s">
        <v>140</v>
      </c>
      <c r="G22" s="121">
        <v>5000</v>
      </c>
      <c r="H22" s="117">
        <f>G22*B22</f>
        <v>5000</v>
      </c>
      <c r="I22" s="1"/>
    </row>
    <row r="23" spans="1:16" ht="15.6" x14ac:dyDescent="0.3">
      <c r="A23" s="1"/>
      <c r="B23" s="101">
        <v>2</v>
      </c>
      <c r="C23" s="101" t="s">
        <v>137</v>
      </c>
      <c r="D23" s="140">
        <v>600</v>
      </c>
      <c r="E23" s="140">
        <v>53</v>
      </c>
      <c r="F23" s="136" t="s">
        <v>140</v>
      </c>
      <c r="G23" s="121"/>
      <c r="H23" s="139"/>
      <c r="I23" s="1"/>
    </row>
    <row r="24" spans="1:16" ht="18" customHeight="1" x14ac:dyDescent="0.3">
      <c r="A24" s="1"/>
      <c r="B24" s="101">
        <v>1</v>
      </c>
      <c r="C24" s="101" t="s">
        <v>138</v>
      </c>
      <c r="D24" s="120"/>
      <c r="E24" s="120"/>
      <c r="F24" s="101"/>
      <c r="G24" s="121">
        <v>7500</v>
      </c>
      <c r="H24" s="116">
        <f>G24*B24</f>
        <v>7500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4"/>
      <c r="C25" s="94"/>
      <c r="D25" s="94"/>
      <c r="E25" s="94"/>
      <c r="F25" s="95"/>
      <c r="G25" s="96"/>
      <c r="H25" s="96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3"/>
      <c r="C26" s="73"/>
      <c r="D26" s="73"/>
      <c r="E26" s="73"/>
      <c r="F26" s="73"/>
      <c r="G26" s="74"/>
      <c r="H26" s="74"/>
      <c r="I26" s="1"/>
    </row>
    <row r="27" spans="1:16" ht="15.6" x14ac:dyDescent="0.3">
      <c r="A27" s="1"/>
      <c r="B27" s="1"/>
      <c r="C27" s="1"/>
      <c r="D27" s="1"/>
      <c r="E27" s="1"/>
      <c r="F27" s="1"/>
      <c r="G27" s="75" t="s">
        <v>5</v>
      </c>
      <c r="H27" s="76">
        <f>SUM(H21:H24)</f>
        <v>52500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7" t="s">
        <v>6</v>
      </c>
      <c r="H28" s="78">
        <f>H27*0.19</f>
        <v>9975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79" t="s">
        <v>4</v>
      </c>
      <c r="H29" s="80">
        <f>H27+H28</f>
        <v>62475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1"/>
      <c r="H30" s="97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1" t="s">
        <v>123</v>
      </c>
      <c r="C32" s="82"/>
      <c r="D32" s="83"/>
      <c r="E32" s="83"/>
      <c r="F32" s="73"/>
      <c r="G32" s="1"/>
      <c r="H32" s="1"/>
      <c r="I32" s="1"/>
    </row>
    <row r="33" spans="1:9" ht="15.6" x14ac:dyDescent="0.3">
      <c r="A33" s="1"/>
      <c r="B33" s="81" t="s">
        <v>122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4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31</v>
      </c>
      <c r="C2" s="127"/>
      <c r="D2" s="127"/>
      <c r="E2" s="18"/>
      <c r="G2" s="127" t="s">
        <v>70</v>
      </c>
      <c r="H2" s="127"/>
      <c r="I2" s="127"/>
      <c r="P2" s="128" t="s">
        <v>58</v>
      </c>
      <c r="Q2" s="128"/>
      <c r="R2" s="12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8" t="s">
        <v>58</v>
      </c>
      <c r="M8" s="128"/>
      <c r="N8" s="12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3"/>
  <sheetViews>
    <sheetView tabSelected="1" topLeftCell="A7" zoomScaleNormal="100" workbookViewId="0">
      <selection activeCell="G12" sqref="G1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9" t="s">
        <v>61</v>
      </c>
      <c r="L3" s="129"/>
      <c r="M3" s="129" t="s">
        <v>14</v>
      </c>
      <c r="N3" s="129"/>
    </row>
    <row r="4" spans="1:14" ht="15.75" customHeight="1" x14ac:dyDescent="0.3">
      <c r="A4" s="1"/>
      <c r="B4" s="1"/>
      <c r="C4" s="40" t="s">
        <v>27</v>
      </c>
      <c r="D4" s="14">
        <f>'4637'!G8</f>
        <v>7255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CLAUDIO SALFATE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45882</v>
      </c>
      <c r="E7" s="1"/>
      <c r="F7" s="1"/>
      <c r="G7" s="1"/>
    </row>
    <row r="8" spans="1:14" ht="15.6" x14ac:dyDescent="0.3">
      <c r="A8" s="1"/>
      <c r="B8" s="1"/>
      <c r="C8" s="52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0" t="s">
        <v>61</v>
      </c>
      <c r="B10" s="130"/>
      <c r="C10" s="130"/>
      <c r="D10" s="130"/>
      <c r="E10" s="130"/>
      <c r="F10" s="13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131</v>
      </c>
      <c r="B14" s="25">
        <f>I14</f>
        <v>1</v>
      </c>
      <c r="C14" s="16"/>
      <c r="D14" s="25">
        <f>J14+D$13</f>
        <v>1080</v>
      </c>
      <c r="E14" s="35">
        <f>K14+$E$13</f>
        <v>570</v>
      </c>
      <c r="F14" s="99" t="str">
        <f>F30</f>
        <v>BLANCO OPACO DESPUNTE</v>
      </c>
      <c r="G14" s="1"/>
      <c r="I14" s="3">
        <f>B30</f>
        <v>1</v>
      </c>
      <c r="J14" s="4">
        <f>D30</f>
        <v>1000</v>
      </c>
      <c r="K14" s="4">
        <f>E30</f>
        <v>600</v>
      </c>
    </row>
    <row r="15" spans="1:14" ht="15.6" x14ac:dyDescent="0.3">
      <c r="A15" s="93"/>
      <c r="B15" s="141"/>
      <c r="C15" s="141"/>
      <c r="D15" s="141"/>
      <c r="E15" s="145"/>
      <c r="F15" s="142"/>
      <c r="G15" s="1"/>
      <c r="I15" s="143"/>
      <c r="J15" s="144"/>
      <c r="K15" s="144"/>
    </row>
    <row r="16" spans="1:14" x14ac:dyDescent="0.3">
      <c r="A16" s="93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30" t="s">
        <v>14</v>
      </c>
      <c r="B18" s="130"/>
      <c r="C18" s="130"/>
      <c r="D18" s="130"/>
      <c r="E18" s="130"/>
      <c r="F18" s="13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3"/>
      <c r="B22" s="16">
        <f t="shared" ref="B22" si="0">I22</f>
        <v>1</v>
      </c>
      <c r="C22" s="16"/>
      <c r="D22" s="16">
        <f>J22+D$21</f>
        <v>1040</v>
      </c>
      <c r="E22" s="16">
        <f>K22+$E$21</f>
        <v>730</v>
      </c>
      <c r="F22" s="100" t="str">
        <f>F30</f>
        <v>BLANCO OPACO DESPUNTE</v>
      </c>
      <c r="G22" s="1"/>
      <c r="I22" s="3">
        <f>B30</f>
        <v>1</v>
      </c>
      <c r="J22" s="4">
        <f>D30</f>
        <v>1000</v>
      </c>
      <c r="K22" s="4">
        <f>E30</f>
        <v>600</v>
      </c>
    </row>
    <row r="23" spans="1:11" ht="15.6" x14ac:dyDescent="0.3">
      <c r="A23" s="93"/>
      <c r="B23" s="16">
        <f t="shared" ref="B23" si="1">I23</f>
        <v>1</v>
      </c>
      <c r="C23" s="16"/>
      <c r="D23" s="16">
        <f>J23</f>
        <v>1000</v>
      </c>
      <c r="E23" s="16">
        <f>K23</f>
        <v>53</v>
      </c>
      <c r="F23" s="100" t="str">
        <f>F31</f>
        <v>BLANCO OPACO DESPUNTE</v>
      </c>
      <c r="G23" s="1"/>
      <c r="I23" s="3">
        <f t="shared" ref="I23" si="2">B31</f>
        <v>1</v>
      </c>
      <c r="J23" s="4">
        <f t="shared" ref="J23:K23" si="3">D31</f>
        <v>1000</v>
      </c>
      <c r="K23" s="4">
        <f t="shared" si="3"/>
        <v>53</v>
      </c>
    </row>
    <row r="24" spans="1:11" ht="15.6" x14ac:dyDescent="0.3">
      <c r="A24" s="93"/>
      <c r="B24" s="16">
        <f t="shared" ref="B24" si="4">I24</f>
        <v>2</v>
      </c>
      <c r="C24" s="16"/>
      <c r="D24" s="16">
        <f>J24</f>
        <v>600</v>
      </c>
      <c r="E24" s="16">
        <f>K24</f>
        <v>53</v>
      </c>
      <c r="F24" s="100" t="str">
        <f>F32</f>
        <v>BLANCO OPACO DESPUNTE</v>
      </c>
      <c r="G24" s="1"/>
      <c r="I24" s="3">
        <f t="shared" ref="I24" si="5">B32</f>
        <v>2</v>
      </c>
      <c r="J24" s="4">
        <f t="shared" ref="J24" si="6">D32</f>
        <v>600</v>
      </c>
      <c r="K24" s="4">
        <f t="shared" ref="K24" si="7">E32</f>
        <v>53</v>
      </c>
    </row>
    <row r="25" spans="1:11" ht="15.6" x14ac:dyDescent="0.3">
      <c r="A25" s="93"/>
      <c r="B25" s="141"/>
      <c r="C25" s="141"/>
      <c r="D25" s="141"/>
      <c r="E25" s="141"/>
      <c r="F25" s="142"/>
      <c r="G25" s="1"/>
      <c r="I25" s="143"/>
      <c r="J25" s="144"/>
      <c r="K25" s="144"/>
    </row>
    <row r="26" spans="1:11" ht="16.2" thickBot="1" x14ac:dyDescent="0.35">
      <c r="A26" s="51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1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1" t="s">
        <v>9</v>
      </c>
      <c r="B29" s="87" t="s">
        <v>10</v>
      </c>
      <c r="C29" s="87" t="s">
        <v>110</v>
      </c>
      <c r="D29" s="87" t="s">
        <v>7</v>
      </c>
      <c r="E29" s="87" t="s">
        <v>8</v>
      </c>
      <c r="F29" s="87" t="s">
        <v>23</v>
      </c>
      <c r="G29" s="1"/>
    </row>
    <row r="30" spans="1:11" ht="15.6" x14ac:dyDescent="0.3">
      <c r="A30" s="93" t="s">
        <v>131</v>
      </c>
      <c r="B30" s="25">
        <f>B57</f>
        <v>1</v>
      </c>
      <c r="C30" s="25" t="str">
        <f t="shared" ref="C30:F30" si="8">C57</f>
        <v>CUB CON RESPALDO FRENTE 90°</v>
      </c>
      <c r="D30" s="25">
        <f t="shared" si="8"/>
        <v>1000</v>
      </c>
      <c r="E30" s="25">
        <f t="shared" si="8"/>
        <v>600</v>
      </c>
      <c r="F30" s="25" t="str">
        <f t="shared" si="8"/>
        <v>BLANCO OPACO DESPUNTE</v>
      </c>
      <c r="G30" s="1"/>
    </row>
    <row r="31" spans="1:11" ht="15.6" x14ac:dyDescent="0.3">
      <c r="A31" s="93"/>
      <c r="B31" s="25">
        <f t="shared" ref="B31:F32" si="9">B58</f>
        <v>1</v>
      </c>
      <c r="C31" s="25" t="str">
        <f t="shared" si="9"/>
        <v>LAMINA PARA ZOCALO</v>
      </c>
      <c r="D31" s="25">
        <f t="shared" si="9"/>
        <v>1000</v>
      </c>
      <c r="E31" s="25">
        <f t="shared" si="9"/>
        <v>53</v>
      </c>
      <c r="F31" s="25" t="str">
        <f t="shared" si="9"/>
        <v>BLANCO OPACO DESPUNTE</v>
      </c>
      <c r="G31" s="1"/>
    </row>
    <row r="32" spans="1:11" ht="15.6" x14ac:dyDescent="0.3">
      <c r="A32" s="93"/>
      <c r="B32" s="25">
        <f t="shared" si="9"/>
        <v>2</v>
      </c>
      <c r="C32" s="25" t="str">
        <f t="shared" si="9"/>
        <v>LAMINA PARA ZOCALO</v>
      </c>
      <c r="D32" s="25">
        <f t="shared" si="9"/>
        <v>600</v>
      </c>
      <c r="E32" s="25">
        <f t="shared" si="9"/>
        <v>53</v>
      </c>
      <c r="F32" s="25" t="str">
        <f t="shared" si="9"/>
        <v>BLANCO OPACO DESPUNTE</v>
      </c>
      <c r="G32" s="1"/>
    </row>
    <row r="33" spans="1:7" ht="15.6" x14ac:dyDescent="0.3">
      <c r="A33" s="93"/>
      <c r="B33" s="25">
        <f>B60</f>
        <v>1</v>
      </c>
      <c r="C33" s="25" t="str">
        <f>C60</f>
        <v>SERVICIO DE CORTE Y ENCHAPE</v>
      </c>
      <c r="D33" s="25">
        <f>D60</f>
        <v>0</v>
      </c>
      <c r="E33" s="25">
        <f>E60</f>
        <v>0</v>
      </c>
      <c r="F33" s="25">
        <f>F60</f>
        <v>0</v>
      </c>
      <c r="G33" s="1"/>
    </row>
    <row r="34" spans="1:7" ht="15.6" x14ac:dyDescent="0.3">
      <c r="A34" s="93"/>
      <c r="B34" s="6"/>
      <c r="C34" s="118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6.2" thickBot="1" x14ac:dyDescent="0.35">
      <c r="A43" s="1"/>
      <c r="B43" s="1"/>
      <c r="G43" s="1"/>
    </row>
    <row r="44" spans="1:7" ht="15.6" x14ac:dyDescent="0.3">
      <c r="A44" s="1"/>
      <c r="B44" s="1"/>
      <c r="C44" s="106" t="s">
        <v>27</v>
      </c>
      <c r="D44" s="107">
        <f>'4637'!G8</f>
        <v>7255</v>
      </c>
      <c r="E44" s="108"/>
      <c r="F44" s="109"/>
      <c r="G44" s="1"/>
    </row>
    <row r="45" spans="1:7" ht="15.6" x14ac:dyDescent="0.3">
      <c r="A45" s="1"/>
      <c r="B45" s="1"/>
      <c r="C45" s="110" t="s">
        <v>67</v>
      </c>
      <c r="D45" s="42" t="str">
        <f>'4637'!C10</f>
        <v>CLAUDIO SALFATE</v>
      </c>
      <c r="E45" s="43"/>
      <c r="F45" s="64"/>
      <c r="G45" s="1"/>
    </row>
    <row r="46" spans="1:7" ht="16.2" thickBot="1" x14ac:dyDescent="0.35">
      <c r="A46" s="1"/>
      <c r="B46" s="1"/>
      <c r="C46" s="111" t="str">
        <f>'4637'!F11</f>
        <v>FECHA LIMITE :</v>
      </c>
      <c r="D46" s="112">
        <f>'4637'!G11</f>
        <v>45882</v>
      </c>
      <c r="E46" s="113"/>
      <c r="F46" s="114"/>
      <c r="G46" s="1"/>
    </row>
    <row r="47" spans="1:7" ht="15.6" x14ac:dyDescent="0.3">
      <c r="A47" s="1"/>
      <c r="B47" s="1"/>
      <c r="G47" s="1"/>
    </row>
    <row r="48" spans="1:7" ht="17.25" customHeight="1" x14ac:dyDescent="0.3">
      <c r="A48" s="1"/>
      <c r="B48" s="1"/>
      <c r="G48" s="1"/>
    </row>
    <row r="49" spans="1:7" ht="4.5" customHeight="1" x14ac:dyDescent="0.3">
      <c r="A49" s="1"/>
      <c r="B49" s="1"/>
      <c r="C49" s="44"/>
      <c r="D49" s="45"/>
      <c r="E49" s="1"/>
      <c r="F49" s="1"/>
      <c r="G49" s="1"/>
    </row>
    <row r="50" spans="1:7" ht="15.6" x14ac:dyDescent="0.3">
      <c r="A50" s="1"/>
      <c r="B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30" t="s">
        <v>68</v>
      </c>
      <c r="B53" s="130"/>
      <c r="C53" s="130"/>
      <c r="D53" s="130"/>
      <c r="E53" s="130"/>
      <c r="F53" s="130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75" customHeight="1" x14ac:dyDescent="0.3">
      <c r="A55" s="1"/>
      <c r="B55" s="131" t="s">
        <v>69</v>
      </c>
      <c r="C55" s="132"/>
      <c r="D55" s="133"/>
      <c r="E55" s="133"/>
      <c r="F55" s="134"/>
      <c r="G55" s="1"/>
    </row>
    <row r="56" spans="1:7" s="15" customFormat="1" ht="12.75" customHeight="1" x14ac:dyDescent="0.3">
      <c r="A56" s="1"/>
      <c r="B56" s="36" t="s">
        <v>10</v>
      </c>
      <c r="C56" s="46" t="s">
        <v>11</v>
      </c>
      <c r="D56" s="47" t="s">
        <v>7</v>
      </c>
      <c r="E56" s="47" t="s">
        <v>8</v>
      </c>
      <c r="F56" s="48" t="s">
        <v>12</v>
      </c>
      <c r="G56" s="1"/>
    </row>
    <row r="57" spans="1:7" s="15" customFormat="1" ht="15" customHeight="1" x14ac:dyDescent="0.3">
      <c r="A57" s="93" t="s">
        <v>131</v>
      </c>
      <c r="B57" s="38">
        <f>'4637'!B21</f>
        <v>1</v>
      </c>
      <c r="C57" s="98" t="str">
        <f>'4637'!C21</f>
        <v>CUB CON RESPALDO FRENTE 90°</v>
      </c>
      <c r="D57" s="39">
        <f>'4637'!D21</f>
        <v>1000</v>
      </c>
      <c r="E57" s="39">
        <f>'4637'!E21</f>
        <v>600</v>
      </c>
      <c r="F57" s="101" t="str">
        <f>'4637'!F21</f>
        <v>BLANCO OPACO DESPUNTE</v>
      </c>
      <c r="G57" s="1"/>
    </row>
    <row r="58" spans="1:7" s="15" customFormat="1" ht="15" customHeight="1" x14ac:dyDescent="0.3">
      <c r="A58" s="93"/>
      <c r="B58" s="38">
        <f>'4637'!B22</f>
        <v>1</v>
      </c>
      <c r="C58" s="98" t="str">
        <f>'4637'!C22</f>
        <v>LAMINA PARA ZOCALO</v>
      </c>
      <c r="D58" s="39">
        <f>'4637'!D22</f>
        <v>1000</v>
      </c>
      <c r="E58" s="39">
        <f>'4637'!E22</f>
        <v>53</v>
      </c>
      <c r="F58" s="101" t="str">
        <f>'4637'!F22</f>
        <v>BLANCO OPACO DESPUNTE</v>
      </c>
      <c r="G58" s="1"/>
    </row>
    <row r="59" spans="1:7" s="15" customFormat="1" ht="15" customHeight="1" x14ac:dyDescent="0.3">
      <c r="A59" s="93"/>
      <c r="B59" s="38">
        <f>'4637'!B23</f>
        <v>2</v>
      </c>
      <c r="C59" s="98" t="str">
        <f>'4637'!C23</f>
        <v>LAMINA PARA ZOCALO</v>
      </c>
      <c r="D59" s="39">
        <f>'4637'!D23</f>
        <v>600</v>
      </c>
      <c r="E59" s="39">
        <f>'4637'!E23</f>
        <v>53</v>
      </c>
      <c r="F59" s="101" t="str">
        <f>'4637'!F23</f>
        <v>BLANCO OPACO DESPUNTE</v>
      </c>
      <c r="G59" s="1"/>
    </row>
    <row r="60" spans="1:7" s="15" customFormat="1" ht="15" customHeight="1" x14ac:dyDescent="0.3">
      <c r="A60" s="93"/>
      <c r="B60" s="38">
        <f>'4637'!B24</f>
        <v>1</v>
      </c>
      <c r="C60" s="98" t="str">
        <f>'4637'!C24</f>
        <v>SERVICIO DE CORTE Y ENCHAPE</v>
      </c>
      <c r="D60" s="39">
        <f>'4637'!D24</f>
        <v>0</v>
      </c>
      <c r="E60" s="39">
        <f>'4637'!E24</f>
        <v>0</v>
      </c>
      <c r="F60" s="101">
        <f>'4637'!F24</f>
        <v>0</v>
      </c>
      <c r="G60" s="1"/>
    </row>
    <row r="61" spans="1:7" s="15" customFormat="1" ht="15" customHeight="1" x14ac:dyDescent="0.3">
      <c r="A61" s="93"/>
      <c r="B61" s="51"/>
      <c r="C61" s="119"/>
      <c r="D61" s="51"/>
      <c r="E61" s="51"/>
      <c r="F61" s="94"/>
      <c r="G61" s="1"/>
    </row>
    <row r="62" spans="1:7" s="15" customFormat="1" ht="15" customHeight="1" x14ac:dyDescent="0.3">
      <c r="A62" s="49"/>
      <c r="B62" s="51"/>
      <c r="C62" s="51"/>
      <c r="D62" s="51"/>
      <c r="E62" s="51"/>
      <c r="F62" s="51"/>
      <c r="G62" s="1"/>
    </row>
    <row r="63" spans="1:7" ht="15.6" x14ac:dyDescent="0.3">
      <c r="A63" s="6"/>
      <c r="B63" s="6"/>
      <c r="C63" s="1"/>
      <c r="D63" s="6"/>
      <c r="E63" s="6"/>
      <c r="F63" s="44"/>
      <c r="G63" s="1"/>
    </row>
    <row r="64" spans="1:7" ht="15.6" x14ac:dyDescent="0.3">
      <c r="A64" s="6"/>
      <c r="B64" s="6"/>
      <c r="C64" s="1"/>
      <c r="D64" s="6"/>
      <c r="E64" s="6"/>
      <c r="F64" s="6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" customHeight="1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6"/>
      <c r="B70" s="50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x14ac:dyDescent="0.3">
      <c r="B72" s="20"/>
      <c r="C72" s="20"/>
      <c r="D72" s="20"/>
      <c r="E72" s="20"/>
      <c r="F72" s="20"/>
    </row>
    <row r="73" spans="1:7" x14ac:dyDescent="0.3">
      <c r="B73" s="20"/>
      <c r="C73" s="20"/>
      <c r="E73" s="20"/>
      <c r="F73" s="20"/>
    </row>
  </sheetData>
  <mergeCells count="6">
    <mergeCell ref="M3:N3"/>
    <mergeCell ref="A18:F18"/>
    <mergeCell ref="A10:F10"/>
    <mergeCell ref="A53:F53"/>
    <mergeCell ref="B55:F5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2025-08-06T16:48:20Z</cp:lastPrinted>
  <dcterms:created xsi:type="dcterms:W3CDTF">2013-03-19T12:54:14Z</dcterms:created>
  <dcterms:modified xsi:type="dcterms:W3CDTF">2025-08-12T00:01:01Z</dcterms:modified>
</cp:coreProperties>
</file>