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C4B063BB-6A1A-4CCD-890D-6660EB3D6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'4637'!$A$1:$I$35</definedName>
    <definedName name="_xlnm.Print_Area" localSheetId="2">CUBIERTA!$A$1:$G$51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D20" i="3"/>
  <c r="B20" i="3"/>
  <c r="E18" i="3"/>
  <c r="B18" i="3"/>
  <c r="D18" i="3"/>
  <c r="K19" i="3"/>
  <c r="E19" i="3" s="1"/>
  <c r="B39" i="3"/>
  <c r="I29" i="3" s="1"/>
  <c r="B29" i="3" s="1"/>
  <c r="C39" i="3"/>
  <c r="F29" i="3" s="1"/>
  <c r="D39" i="3"/>
  <c r="J29" i="3" s="1"/>
  <c r="D29" i="3" s="1"/>
  <c r="E39" i="3"/>
  <c r="K29" i="3" s="1"/>
  <c r="F39" i="3"/>
  <c r="B40" i="3"/>
  <c r="I30" i="3" s="1"/>
  <c r="B30" i="3" s="1"/>
  <c r="C40" i="3"/>
  <c r="F30" i="3" s="1"/>
  <c r="D40" i="3"/>
  <c r="J30" i="3" s="1"/>
  <c r="D30" i="3" s="1"/>
  <c r="E40" i="3"/>
  <c r="K30" i="3" s="1"/>
  <c r="F40" i="3"/>
  <c r="B41" i="3"/>
  <c r="I31" i="3" s="1"/>
  <c r="B31" i="3" s="1"/>
  <c r="C41" i="3"/>
  <c r="F31" i="3" s="1"/>
  <c r="D41" i="3"/>
  <c r="J31" i="3" s="1"/>
  <c r="D31" i="3" s="1"/>
  <c r="E41" i="3"/>
  <c r="K31" i="3" s="1"/>
  <c r="F41" i="3"/>
  <c r="B42" i="3"/>
  <c r="I32" i="3" s="1"/>
  <c r="B32" i="3" s="1"/>
  <c r="C42" i="3"/>
  <c r="F32" i="3" s="1"/>
  <c r="D42" i="3"/>
  <c r="J32" i="3" s="1"/>
  <c r="D32" i="3" s="1"/>
  <c r="E42" i="3"/>
  <c r="K32" i="3" s="1"/>
  <c r="F42" i="3"/>
  <c r="B43" i="3"/>
  <c r="C43" i="3"/>
  <c r="D43" i="3"/>
  <c r="E43" i="3"/>
  <c r="F43" i="3"/>
  <c r="B65" i="3"/>
  <c r="C65" i="3"/>
  <c r="D65" i="3"/>
  <c r="E65" i="3"/>
  <c r="F65" i="3"/>
  <c r="B66" i="3"/>
  <c r="C66" i="3"/>
  <c r="D66" i="3"/>
  <c r="E66" i="3"/>
  <c r="F66" i="3"/>
  <c r="B67" i="3"/>
  <c r="C67" i="3"/>
  <c r="D67" i="3"/>
  <c r="E67" i="3"/>
  <c r="F67" i="3"/>
  <c r="B68" i="3"/>
  <c r="C68" i="3"/>
  <c r="D68" i="3"/>
  <c r="E68" i="3"/>
  <c r="F68" i="3"/>
  <c r="B69" i="3"/>
  <c r="C69" i="3"/>
  <c r="D69" i="3"/>
  <c r="E69" i="3"/>
  <c r="F69" i="3"/>
  <c r="I26" i="4"/>
  <c r="I25" i="4"/>
  <c r="I24" i="4"/>
  <c r="I22" i="4"/>
  <c r="I23" i="4"/>
  <c r="B38" i="3"/>
  <c r="I28" i="3" s="1"/>
  <c r="C38" i="3"/>
  <c r="F14" i="3" s="1"/>
  <c r="D38" i="3"/>
  <c r="J14" i="3" s="1"/>
  <c r="D14" i="3" s="1"/>
  <c r="E38" i="3"/>
  <c r="K28" i="3" s="1"/>
  <c r="F38" i="3"/>
  <c r="B64" i="3"/>
  <c r="C64" i="3"/>
  <c r="D64" i="3"/>
  <c r="E64" i="3"/>
  <c r="F64" i="3"/>
  <c r="I21" i="4"/>
  <c r="K16" i="3" l="1"/>
  <c r="E16" i="3" s="1"/>
  <c r="J19" i="3"/>
  <c r="D19" i="3" s="1"/>
  <c r="K17" i="3"/>
  <c r="E17" i="3" s="1"/>
  <c r="J17" i="3"/>
  <c r="D17" i="3" s="1"/>
  <c r="K15" i="3"/>
  <c r="E15" i="3" s="1"/>
  <c r="J16" i="3"/>
  <c r="D16" i="3" s="1"/>
  <c r="I19" i="3"/>
  <c r="B19" i="3" s="1"/>
  <c r="I17" i="3"/>
  <c r="B17" i="3" s="1"/>
  <c r="I16" i="3"/>
  <c r="I15" i="3"/>
  <c r="J15" i="3"/>
  <c r="D15" i="3" s="1"/>
  <c r="F19" i="3"/>
  <c r="F17" i="3"/>
  <c r="F16" i="3"/>
  <c r="F15" i="3"/>
  <c r="I29" i="4"/>
  <c r="J28" i="3"/>
  <c r="D28" i="3" s="1"/>
  <c r="K14" i="3"/>
  <c r="E14" i="3" s="1"/>
  <c r="B28" i="3"/>
  <c r="I14" i="3"/>
  <c r="F28" i="3"/>
  <c r="I30" i="4" l="1"/>
  <c r="I31" i="4" l="1"/>
  <c r="N5" i="3" l="1"/>
  <c r="M5" i="3" l="1"/>
  <c r="L5" i="3"/>
  <c r="K5" i="3"/>
  <c r="C57" i="3" l="1"/>
  <c r="C7" i="3"/>
  <c r="D55" i="3"/>
  <c r="D5" i="3"/>
  <c r="D57" i="3"/>
  <c r="D7" i="3"/>
  <c r="D54" i="3"/>
  <c r="D4" i="3"/>
</calcChain>
</file>

<file path=xl/sharedStrings.xml><?xml version="1.0" encoding="utf-8"?>
<sst xmlns="http://schemas.openxmlformats.org/spreadsheetml/2006/main" count="262" uniqueCount="150">
  <si>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</si>
  <si>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</si>
  <si>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</si>
  <si>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</si>
  <si>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</si>
  <si>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</si>
  <si>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</si>
  <si>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</si>
  <si>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</si>
  <si>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</si>
  <si>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</si>
  <si>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</si>
  <si>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</si>
  <si>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</si>
  <si>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</si>
  <si>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</si>
  <si>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</si>
  <si>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</si>
  <si>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</si>
  <si>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</si>
  <si>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</si>
  <si>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</si>
  <si>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</si>
  <si>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</si>
  <si>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</si>
  <si>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</si>
  <si>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</si>
  <si>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</si>
  <si>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</si>
  <si>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</si>
  <si>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</si>
  <si>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</si>
  <si>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</si>
  <si>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</si>
  <si>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</si>
  <si>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</si>
  <si>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</si>
  <si>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</si>
  <si>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</si>
  <si>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</si>
  <si>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</si>
  <si>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</si>
  <si>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</si>
  <si>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</si>
  <si>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</si>
  <si>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</si>
  <si>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</si>
  <si>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</si>
  <si>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</si>
  <si>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</si>
  <si>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</si>
  <si>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</si>
  <si>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</si>
  <si>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</si>
  <si>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</si>
  <si>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</si>
  <si>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</si>
  <si>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</si>
  <si>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</si>
  <si>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</si>
  <si>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</si>
  <si>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</si>
  <si>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</si>
  <si>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</si>
  <si>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</si>
  <si>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</si>
  <si>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</si>
  <si>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</si>
  <si>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</si>
  <si>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</si>
  <si>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</si>
  <si>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</si>
  <si>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</si>
  <si>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</si>
  <si>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</si>
  <si>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</si>
  <si>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</si>
  <si>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</si>
  <si>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</si>
  <si>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</si>
  <si>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</si>
  <si>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</si>
  <si>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</si>
  <si>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</si>
  <si>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</si>
  <si>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</si>
  <si>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</si>
  <si>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</si>
  <si>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</si>
  <si>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</si>
  <si>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</si>
  <si>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</si>
  <si>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</si>
  <si>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</si>
  <si>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</si>
  <si>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</si>
  <si>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</si>
  <si>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</si>
  <si>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</si>
  <si>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</si>
  <si>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</si>
  <si>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</si>
  <si>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</si>
  <si>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</si>
  <si>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</si>
  <si>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</si>
  <si>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</si>
  <si>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</si>
  <si>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</si>
  <si>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</si>
  <si>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</si>
  <si>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</si>
  <si>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</si>
  <si>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</si>
  <si>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</si>
  <si>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</si>
  <si>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</si>
  <si>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</si>
  <si>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</si>
  <si>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</si>
  <si>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</si>
  <si>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</si>
  <si>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</si>
  <si>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</si>
  <si>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</si>
  <si>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</si>
  <si>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</si>
  <si>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</si>
  <si>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</si>
  <si>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</si>
  <si>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</si>
  <si>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</si>
  <si>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</si>
  <si>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</si>
  <si>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NO</t>
  </si>
  <si>
    <t>CONTADO</t>
  </si>
  <si>
    <t>CONSTRUCTORA FALIS SPA</t>
  </si>
  <si>
    <t>77.268.001-5</t>
  </si>
  <si>
    <t>TERMINACION Y ACABADOS DE EDIFICIOS</t>
  </si>
  <si>
    <t>+56971387383</t>
  </si>
  <si>
    <t>N° 11552</t>
  </si>
  <si>
    <t>EDGARD LILLO</t>
  </si>
  <si>
    <t>BLANCO MERINO OPACO</t>
  </si>
  <si>
    <t xml:space="preserve">BANQUETA </t>
  </si>
  <si>
    <t>CORTE 45</t>
  </si>
  <si>
    <t>MDF36MM</t>
  </si>
  <si>
    <t>MELAMIL 18MM</t>
  </si>
  <si>
    <t>VER DESARROLLO</t>
  </si>
  <si>
    <t>COSTADOS</t>
  </si>
  <si>
    <t>LATERAL 180°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</si>
</sst>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" fillId="8" borderId="3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6</xdr:col>
      <xdr:colOff>1390650</xdr:colOff>
      <xdr:row>32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22</xdr:row>
      <xdr:rowOff>76200</xdr:rowOff>
    </xdr:from>
    <xdr:to>
      <xdr:col>5</xdr:col>
      <xdr:colOff>1676399</xdr:colOff>
      <xdr:row>24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58</xdr:row>
      <xdr:rowOff>171450</xdr:rowOff>
    </xdr:from>
    <xdr:to>
      <xdr:col>5</xdr:col>
      <xdr:colOff>1685924</xdr:colOff>
      <xdr:row>60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54</xdr:row>
      <xdr:rowOff>38100</xdr:rowOff>
    </xdr:from>
    <xdr:to>
      <xdr:col>6</xdr:col>
      <xdr:colOff>0</xdr:colOff>
      <xdr:row>55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70</xdr:row>
      <xdr:rowOff>0</xdr:rowOff>
    </xdr:from>
    <xdr:to>
      <xdr:col>2</xdr:col>
      <xdr:colOff>38100</xdr:colOff>
      <xdr:row>71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70</xdr:row>
      <xdr:rowOff>0</xdr:rowOff>
    </xdr:from>
    <xdr:to>
      <xdr:col>2</xdr:col>
      <xdr:colOff>1019175</xdr:colOff>
      <xdr:row>70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0</xdr:rowOff>
    </xdr:from>
    <xdr:to>
      <xdr:col>3</xdr:col>
      <xdr:colOff>352425</xdr:colOff>
      <xdr:row>71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0</xdr:rowOff>
    </xdr:from>
    <xdr:to>
      <xdr:col>4</xdr:col>
      <xdr:colOff>257175</xdr:colOff>
      <xdr:row>71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0</xdr:rowOff>
    </xdr:from>
    <xdr:to>
      <xdr:col>5</xdr:col>
      <xdr:colOff>447675</xdr:colOff>
      <xdr:row>70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0</xdr:rowOff>
    </xdr:from>
    <xdr:to>
      <xdr:col>6</xdr:col>
      <xdr:colOff>0</xdr:colOff>
      <xdr:row>70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70</xdr:row>
      <xdr:rowOff>190500</xdr:rowOff>
    </xdr:from>
    <xdr:to>
      <xdr:col>2</xdr:col>
      <xdr:colOff>304800</xdr:colOff>
      <xdr:row>72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70</xdr:row>
      <xdr:rowOff>190500</xdr:rowOff>
    </xdr:from>
    <xdr:to>
      <xdr:col>2</xdr:col>
      <xdr:colOff>1276350</xdr:colOff>
      <xdr:row>72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190500</xdr:rowOff>
    </xdr:from>
    <xdr:to>
      <xdr:col>3</xdr:col>
      <xdr:colOff>619125</xdr:colOff>
      <xdr:row>72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190500</xdr:rowOff>
    </xdr:from>
    <xdr:to>
      <xdr:col>4</xdr:col>
      <xdr:colOff>523875</xdr:colOff>
      <xdr:row>72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190500</xdr:rowOff>
    </xdr:from>
    <xdr:to>
      <xdr:col>5</xdr:col>
      <xdr:colOff>723900</xdr:colOff>
      <xdr:row>72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190500</xdr:rowOff>
    </xdr:from>
    <xdr:to>
      <xdr:col>6</xdr:col>
      <xdr:colOff>0</xdr:colOff>
      <xdr:row>72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45</xdr:row>
      <xdr:rowOff>15239</xdr:rowOff>
    </xdr:from>
    <xdr:to>
      <xdr:col>6</xdr:col>
      <xdr:colOff>68580</xdr:colOff>
      <xdr:row>49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ENCHAPAR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33</xdr:row>
      <xdr:rowOff>200025</xdr:rowOff>
    </xdr:from>
    <xdr:to>
      <xdr:col>6</xdr:col>
      <xdr:colOff>19049</xdr:colOff>
      <xdr:row>35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73</xdr:row>
      <xdr:rowOff>32385</xdr:rowOff>
    </xdr:from>
    <xdr:to>
      <xdr:col>6</xdr:col>
      <xdr:colOff>19050</xdr:colOff>
      <xdr:row>77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52</xdr:row>
      <xdr:rowOff>41910</xdr:rowOff>
    </xdr:from>
    <xdr:to>
      <xdr:col>1</xdr:col>
      <xdr:colOff>801763</xdr:colOff>
      <xdr:row>58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8"/>
  <sheetViews>
    <sheetView tabSelected="1" workbookViewId="0">
      <selection activeCell="C24" sqref="C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6" width="9.109375" customWidth="1"/>
    <col min="7" max="7" width="27.44140625" customWidth="1"/>
    <col min="8" max="9" width="13" customWidth="1"/>
  </cols>
  <sheetData>
    <row r="1" spans="1:18" ht="15.6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8" ht="15.6" x14ac:dyDescent="0.3">
      <c r="A2" s="1"/>
      <c r="B2" s="1"/>
      <c r="C2" s="1"/>
      <c r="D2" s="1"/>
      <c r="E2" s="1"/>
      <c r="F2" s="1"/>
      <c r="G2" s="7" t="s">
        <v>119</v>
      </c>
      <c r="H2" s="1"/>
      <c r="I2" s="1"/>
      <c r="J2" s="1"/>
    </row>
    <row r="3" spans="1:18" ht="15.6" x14ac:dyDescent="0.3">
      <c r="A3" s="1"/>
      <c r="B3" s="1"/>
      <c r="C3" s="1"/>
      <c r="D3" s="1"/>
      <c r="E3" s="1"/>
      <c r="F3" s="1"/>
      <c r="G3" s="1" t="s">
        <v>120</v>
      </c>
      <c r="H3" s="1"/>
      <c r="I3" s="1"/>
      <c r="J3" s="1"/>
    </row>
    <row r="4" spans="1:18" ht="15.6" x14ac:dyDescent="0.3">
      <c r="A4" s="1"/>
      <c r="B4" s="1"/>
      <c r="C4" s="1"/>
      <c r="D4" s="1"/>
      <c r="E4" s="1"/>
      <c r="F4" s="1"/>
      <c r="G4" s="1" t="s">
        <v>121</v>
      </c>
      <c r="H4" s="1"/>
      <c r="I4" s="1"/>
      <c r="J4" s="1"/>
    </row>
    <row r="5" spans="1:18" ht="15.6" x14ac:dyDescent="0.3">
      <c r="A5" s="1"/>
      <c r="B5" s="1"/>
      <c r="C5" s="1"/>
      <c r="D5" s="1"/>
      <c r="E5" s="1"/>
      <c r="F5" s="1"/>
      <c r="G5" s="1" t="s">
        <v>0</v>
      </c>
      <c r="H5" s="1"/>
      <c r="I5" s="1"/>
      <c r="J5" s="1"/>
    </row>
    <row r="6" spans="1:18" ht="15.6" x14ac:dyDescent="0.3">
      <c r="A6" s="1"/>
      <c r="B6" s="1"/>
      <c r="C6" s="1"/>
      <c r="D6" s="1"/>
      <c r="E6" s="1"/>
      <c r="F6" s="1"/>
      <c r="G6" s="1" t="s">
        <v>15</v>
      </c>
      <c r="H6" s="1"/>
      <c r="I6" s="1"/>
      <c r="J6" s="1"/>
    </row>
    <row r="7" spans="1:18" ht="16.2" thickBot="1" x14ac:dyDescent="0.35">
      <c r="A7" s="1"/>
      <c r="B7" s="1"/>
      <c r="C7" s="1"/>
      <c r="D7" s="1"/>
      <c r="E7" s="1"/>
      <c r="F7" s="1"/>
      <c r="G7" s="1" t="s">
        <v>13</v>
      </c>
      <c r="H7" s="1"/>
      <c r="I7" s="1"/>
      <c r="J7" s="1"/>
    </row>
    <row r="8" spans="1:18" ht="16.2" thickBot="1" x14ac:dyDescent="0.35">
      <c r="A8" s="1"/>
      <c r="B8" s="91" t="s">
        <v>16</v>
      </c>
      <c r="C8" s="92"/>
      <c r="D8" s="93" t="s">
        <v>140</v>
      </c>
      <c r="E8" s="1"/>
      <c r="F8" s="1"/>
      <c r="G8" s="94" t="s">
        <v>27</v>
      </c>
      <c r="H8" s="95">
        <v>7248</v>
      </c>
      <c r="I8" s="1"/>
      <c r="J8" s="1"/>
    </row>
    <row r="9" spans="1:18" ht="16.2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8" ht="16.2" thickBot="1" x14ac:dyDescent="0.35">
      <c r="A10" s="1"/>
      <c r="B10" s="54" t="s">
        <v>129</v>
      </c>
      <c r="C10" s="86" t="s">
        <v>136</v>
      </c>
      <c r="D10" s="55"/>
      <c r="E10" s="55"/>
      <c r="F10" s="55"/>
      <c r="G10" s="56" t="s">
        <v>28</v>
      </c>
      <c r="H10" s="57">
        <v>45870</v>
      </c>
      <c r="I10" s="58"/>
      <c r="J10" s="1"/>
      <c r="K10" s="1"/>
      <c r="L10" s="1"/>
      <c r="M10" s="1"/>
      <c r="N10" s="1"/>
      <c r="O10" s="1"/>
      <c r="P10" s="1"/>
      <c r="Q10" s="1"/>
      <c r="R10" s="1"/>
    </row>
    <row r="11" spans="1:18" ht="16.2" thickBot="1" x14ac:dyDescent="0.35">
      <c r="A11" s="1"/>
      <c r="B11" s="59" t="s">
        <v>2</v>
      </c>
      <c r="C11" s="112" t="s">
        <v>137</v>
      </c>
      <c r="D11" s="60"/>
      <c r="E11" s="60"/>
      <c r="F11" s="60"/>
      <c r="G11" s="60" t="s">
        <v>124</v>
      </c>
      <c r="H11" s="61"/>
      <c r="I11" s="62"/>
      <c r="J11" s="1"/>
    </row>
    <row r="12" spans="1:18" ht="16.8" x14ac:dyDescent="0.4">
      <c r="A12" s="1"/>
      <c r="B12" s="63" t="s">
        <v>130</v>
      </c>
      <c r="C12" s="109" t="s">
        <v>138</v>
      </c>
      <c r="D12" s="43"/>
      <c r="E12" s="43"/>
      <c r="F12" s="43"/>
      <c r="G12" s="43" t="s">
        <v>30</v>
      </c>
      <c r="H12" s="64"/>
      <c r="I12" s="65"/>
      <c r="J12" s="1"/>
    </row>
    <row r="13" spans="1:18" ht="15.6" x14ac:dyDescent="0.3">
      <c r="A13" s="1"/>
      <c r="B13" s="63" t="s">
        <v>132</v>
      </c>
      <c r="C13" t="s">
        <v>141</v>
      </c>
      <c r="D13" s="43"/>
      <c r="E13" s="43"/>
      <c r="F13" s="43"/>
      <c r="G13" s="43" t="s">
        <v>128</v>
      </c>
      <c r="H13" s="64"/>
      <c r="I13" s="65"/>
      <c r="J13" s="1"/>
    </row>
    <row r="14" spans="1:18" ht="15.6" x14ac:dyDescent="0.3">
      <c r="A14" s="1"/>
      <c r="B14" s="59" t="s">
        <v>17</v>
      </c>
      <c r="C14" s="113" t="s">
        <v>139</v>
      </c>
      <c r="D14" s="66"/>
      <c r="E14" s="60"/>
      <c r="F14" s="60"/>
      <c r="G14" s="60" t="s">
        <v>29</v>
      </c>
      <c r="H14" s="60" t="s">
        <v>134</v>
      </c>
      <c r="I14" s="62"/>
      <c r="J14" s="1"/>
    </row>
    <row r="15" spans="1:18" ht="16.8" x14ac:dyDescent="0.4">
      <c r="A15" s="1"/>
      <c r="B15" s="63" t="s">
        <v>1</v>
      </c>
      <c r="C15" s="110"/>
      <c r="D15" s="43"/>
      <c r="E15" s="43"/>
      <c r="F15" s="43"/>
      <c r="G15" s="67" t="s">
        <v>75</v>
      </c>
      <c r="H15" s="67" t="s">
        <v>135</v>
      </c>
      <c r="I15" s="65"/>
      <c r="J15" s="1"/>
    </row>
    <row r="16" spans="1:18" ht="16.2" thickBot="1" x14ac:dyDescent="0.35">
      <c r="A16" s="1"/>
      <c r="B16" s="68" t="s">
        <v>3</v>
      </c>
      <c r="C16" s="111" t="s">
        <v>131</v>
      </c>
      <c r="D16" s="69"/>
      <c r="E16" s="70"/>
      <c r="F16" s="70"/>
      <c r="G16" s="114" t="s">
        <v>18</v>
      </c>
      <c r="H16" s="114"/>
      <c r="I16" s="115"/>
      <c r="J16" s="1"/>
    </row>
    <row r="17" spans="1:17" ht="15.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7" ht="16.2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7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7"/>
      <c r="I19" s="118"/>
      <c r="J19" s="1"/>
    </row>
    <row r="20" spans="1:17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127" t="s">
        <v>7</v>
      </c>
      <c r="G20" s="73" t="s">
        <v>23</v>
      </c>
      <c r="H20" s="71" t="s">
        <v>24</v>
      </c>
      <c r="I20" s="73" t="s">
        <v>4</v>
      </c>
      <c r="J20" s="1"/>
    </row>
    <row r="21" spans="1:17" ht="18" customHeight="1" x14ac:dyDescent="0.3">
      <c r="A21" s="1"/>
      <c r="B21" s="104">
        <v>2</v>
      </c>
      <c r="C21" s="104" t="s">
        <v>149</v>
      </c>
      <c r="D21" s="107">
        <v>1700</v>
      </c>
      <c r="E21" s="107">
        <v>400</v>
      </c>
      <c r="F21" s="107"/>
      <c r="G21" s="104" t="s">
        <v>142</v>
      </c>
      <c r="H21" s="106">
        <v>121835</v>
      </c>
      <c r="I21" s="105">
        <f t="shared" ref="I21" si="0">H21*B21</f>
        <v>243670</v>
      </c>
      <c r="J21" s="1"/>
      <c r="L21" s="17"/>
      <c r="M21" s="26"/>
      <c r="N21" s="17"/>
      <c r="O21" s="17"/>
      <c r="P21" s="26"/>
      <c r="Q21" s="33"/>
    </row>
    <row r="22" spans="1:17" ht="18" customHeight="1" x14ac:dyDescent="0.3">
      <c r="A22" s="1"/>
      <c r="B22" s="104">
        <v>1</v>
      </c>
      <c r="C22" s="104" t="s">
        <v>149</v>
      </c>
      <c r="D22" s="107">
        <v>1500</v>
      </c>
      <c r="E22" s="107">
        <v>400</v>
      </c>
      <c r="F22" s="107"/>
      <c r="G22" s="104" t="s">
        <v>142</v>
      </c>
      <c r="H22" s="106">
        <v>110854</v>
      </c>
      <c r="I22" s="105">
        <f t="shared" ref="I22:I26" si="1">H22*B22</f>
        <v>110854</v>
      </c>
      <c r="J22" s="1"/>
      <c r="L22" s="17"/>
      <c r="M22" s="26"/>
      <c r="N22" s="17"/>
      <c r="O22" s="17"/>
      <c r="P22" s="26"/>
      <c r="Q22" s="33"/>
    </row>
    <row r="23" spans="1:17" ht="18" customHeight="1" x14ac:dyDescent="0.3">
      <c r="A23" s="1"/>
      <c r="B23" s="104">
        <v>1</v>
      </c>
      <c r="C23" s="104" t="s">
        <v>149</v>
      </c>
      <c r="D23" s="107">
        <v>1220</v>
      </c>
      <c r="E23" s="107">
        <v>400</v>
      </c>
      <c r="F23" s="107"/>
      <c r="G23" s="104" t="s">
        <v>142</v>
      </c>
      <c r="H23" s="106">
        <v>95722</v>
      </c>
      <c r="I23" s="105">
        <f t="shared" si="1"/>
        <v>95722</v>
      </c>
      <c r="J23" s="1"/>
      <c r="L23" s="17"/>
      <c r="M23" s="26"/>
      <c r="N23" s="17"/>
      <c r="O23" s="17"/>
      <c r="P23" s="26"/>
      <c r="Q23" s="33"/>
    </row>
    <row r="24" spans="1:17" ht="18" customHeight="1" x14ac:dyDescent="0.3">
      <c r="A24" s="1"/>
      <c r="B24" s="104">
        <v>1</v>
      </c>
      <c r="C24" s="104" t="s">
        <v>143</v>
      </c>
      <c r="D24" s="107">
        <v>1005</v>
      </c>
      <c r="E24" s="107">
        <v>250</v>
      </c>
      <c r="F24" s="107">
        <v>450</v>
      </c>
      <c r="G24" s="104" t="s">
        <v>142</v>
      </c>
      <c r="H24" s="106">
        <v>134551</v>
      </c>
      <c r="I24" s="106">
        <f t="shared" si="1"/>
        <v>134551</v>
      </c>
      <c r="J24" s="1"/>
      <c r="L24" s="17"/>
      <c r="M24" s="26"/>
      <c r="N24" s="17"/>
      <c r="O24" s="17"/>
      <c r="P24" s="26"/>
      <c r="Q24" s="33"/>
    </row>
    <row r="25" spans="1:17" ht="18" customHeight="1" x14ac:dyDescent="0.3">
      <c r="A25" s="1"/>
      <c r="B25" s="104">
        <v>1</v>
      </c>
      <c r="C25" s="104" t="s">
        <v>143</v>
      </c>
      <c r="D25" s="107">
        <v>1040</v>
      </c>
      <c r="E25" s="107">
        <v>250</v>
      </c>
      <c r="F25" s="107">
        <v>450</v>
      </c>
      <c r="G25" s="104" t="s">
        <v>142</v>
      </c>
      <c r="H25" s="106">
        <v>133537</v>
      </c>
      <c r="I25" s="106">
        <f t="shared" si="1"/>
        <v>133537</v>
      </c>
      <c r="J25" s="1"/>
      <c r="L25" s="17"/>
      <c r="M25" s="26"/>
      <c r="N25" s="17"/>
      <c r="O25" s="17"/>
      <c r="P25" s="26"/>
      <c r="Q25" s="33"/>
    </row>
    <row r="26" spans="1:17" ht="18" customHeight="1" x14ac:dyDescent="0.3">
      <c r="A26" s="1"/>
      <c r="B26" s="104">
        <v>2</v>
      </c>
      <c r="C26" s="104" t="s">
        <v>144</v>
      </c>
      <c r="D26" s="107"/>
      <c r="E26" s="107"/>
      <c r="F26" s="107"/>
      <c r="G26" s="104"/>
      <c r="H26" s="106">
        <v>15000</v>
      </c>
      <c r="I26" s="105">
        <f t="shared" si="1"/>
        <v>30000</v>
      </c>
      <c r="J26" s="1"/>
      <c r="L26" s="17"/>
      <c r="M26" s="26"/>
      <c r="N26" s="17"/>
      <c r="O26" s="17"/>
      <c r="P26" s="26"/>
      <c r="Q26" s="33"/>
    </row>
    <row r="27" spans="1:17" ht="18" customHeight="1" x14ac:dyDescent="0.3">
      <c r="A27" s="1"/>
      <c r="B27" s="97"/>
      <c r="C27" s="97"/>
      <c r="D27" s="97"/>
      <c r="E27" s="97"/>
      <c r="F27" s="97"/>
      <c r="G27" s="98"/>
      <c r="H27" s="99"/>
      <c r="I27" s="99"/>
      <c r="J27" s="1"/>
      <c r="L27" s="17"/>
      <c r="M27" s="26"/>
      <c r="N27" s="17"/>
      <c r="O27" s="17"/>
      <c r="P27" s="26"/>
      <c r="Q27" s="33"/>
    </row>
    <row r="28" spans="1:17" ht="8.25" customHeight="1" thickBot="1" x14ac:dyDescent="0.35">
      <c r="A28" s="1"/>
      <c r="B28" s="74"/>
      <c r="C28" s="74"/>
      <c r="D28" s="74"/>
      <c r="E28" s="74"/>
      <c r="F28" s="74"/>
      <c r="G28" s="74"/>
      <c r="H28" s="75"/>
      <c r="I28" s="75"/>
      <c r="J28" s="1"/>
    </row>
    <row r="29" spans="1:17" ht="15.6" x14ac:dyDescent="0.3">
      <c r="A29" s="1"/>
      <c r="B29" s="1"/>
      <c r="C29" s="1"/>
      <c r="D29" s="1"/>
      <c r="E29" s="1"/>
      <c r="F29" s="1"/>
      <c r="G29" s="1"/>
      <c r="H29" s="76" t="s">
        <v>5</v>
      </c>
      <c r="I29" s="77">
        <f>SUM(I21:I28)</f>
        <v>748334</v>
      </c>
      <c r="J29" s="1"/>
    </row>
    <row r="30" spans="1:17" ht="15.6" x14ac:dyDescent="0.3">
      <c r="A30" s="1"/>
      <c r="B30" s="1"/>
      <c r="C30" s="1"/>
      <c r="D30" s="1"/>
      <c r="E30" s="1"/>
      <c r="F30" s="1"/>
      <c r="G30" s="1"/>
      <c r="H30" s="78" t="s">
        <v>6</v>
      </c>
      <c r="I30" s="79">
        <f>I29*19%</f>
        <v>142183.46</v>
      </c>
      <c r="J30" s="1"/>
    </row>
    <row r="31" spans="1:17" ht="16.2" thickBot="1" x14ac:dyDescent="0.35">
      <c r="A31" s="1"/>
      <c r="B31" s="1"/>
      <c r="C31" s="1"/>
      <c r="D31" s="1"/>
      <c r="E31" s="1"/>
      <c r="F31" s="1"/>
      <c r="G31" s="1"/>
      <c r="H31" s="80" t="s">
        <v>4</v>
      </c>
      <c r="I31" s="81">
        <f>I29+I30</f>
        <v>890517.46</v>
      </c>
      <c r="J31" s="1"/>
    </row>
    <row r="32" spans="1:17" ht="15.6" x14ac:dyDescent="0.3">
      <c r="A32" s="1"/>
      <c r="B32" s="1"/>
      <c r="C32" s="1"/>
      <c r="D32" s="1"/>
      <c r="E32" s="1"/>
      <c r="F32" s="1"/>
      <c r="G32" s="1"/>
      <c r="H32" s="52"/>
      <c r="I32" s="100"/>
      <c r="J32" s="1"/>
    </row>
    <row r="33" spans="1:10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6" x14ac:dyDescent="0.3">
      <c r="A34" s="1"/>
      <c r="B34" s="82" t="s">
        <v>123</v>
      </c>
      <c r="C34" s="83"/>
      <c r="D34" s="84"/>
      <c r="E34" s="84"/>
      <c r="F34" s="84"/>
      <c r="G34" s="74"/>
      <c r="H34" s="1"/>
      <c r="I34" s="1"/>
      <c r="J34" s="1"/>
    </row>
    <row r="35" spans="1:10" ht="15.6" x14ac:dyDescent="0.3">
      <c r="A35" s="1"/>
      <c r="B35" s="82" t="s">
        <v>122</v>
      </c>
      <c r="C35" s="83"/>
      <c r="D35" s="84"/>
      <c r="E35" s="84"/>
      <c r="F35" s="84"/>
      <c r="G35" s="74"/>
      <c r="H35" s="1"/>
      <c r="I35" s="1"/>
      <c r="J35" s="1"/>
    </row>
    <row r="36" spans="1:10" ht="15.6" x14ac:dyDescent="0.3">
      <c r="A36" s="1"/>
      <c r="B36" s="1" t="s">
        <v>25</v>
      </c>
      <c r="C36" s="1"/>
      <c r="D36" s="1"/>
      <c r="E36" s="85" t="s">
        <v>26</v>
      </c>
      <c r="F36" s="85"/>
      <c r="G36" s="1"/>
      <c r="H36" s="1"/>
      <c r="I36" s="1"/>
      <c r="J36" s="1"/>
    </row>
    <row r="37" spans="1:10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sortState xmlns:xlrd2="http://schemas.microsoft.com/office/spreadsheetml/2017/richdata2" ref="B40">
    <sortCondition sortBy="fontColor" ref="B40" dxfId="0"/>
  </sortState>
  <mergeCells count="2">
    <mergeCell ref="G16:I16"/>
    <mergeCell ref="B19:I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1"/>
  <sheetViews>
    <sheetView zoomScaleNormal="100" workbookViewId="0">
      <selection sqref="A1:G5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'4637'!H8</f>
        <v>7248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FALIS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'4637'!G11</f>
        <v>FECHA LIMITE :</v>
      </c>
      <c r="D7" s="13">
        <f>'4637'!H11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133</v>
      </c>
      <c r="B14" s="25">
        <v>4</v>
      </c>
      <c r="C14" s="25"/>
      <c r="D14" s="25">
        <f>J14+D$13</f>
        <v>1780</v>
      </c>
      <c r="E14" s="35">
        <f>K14+E$13</f>
        <v>400</v>
      </c>
      <c r="F14" s="102" t="str">
        <f>C38</f>
        <v>LATERAL 180° 2 LADOS</v>
      </c>
      <c r="G14" s="1"/>
      <c r="I14" s="3">
        <f>I28</f>
        <v>2</v>
      </c>
      <c r="J14" s="4">
        <f>D38</f>
        <v>1700</v>
      </c>
      <c r="K14" s="4">
        <f>E38</f>
        <v>400</v>
      </c>
    </row>
    <row r="15" spans="1:14" ht="15.6" x14ac:dyDescent="0.3">
      <c r="A15" s="96"/>
      <c r="B15" s="25">
        <v>2</v>
      </c>
      <c r="C15" s="25"/>
      <c r="D15" s="25">
        <f t="shared" ref="D15:D16" si="0">J15+D$13</f>
        <v>1580</v>
      </c>
      <c r="E15" s="35">
        <f t="shared" ref="E15:E19" si="1">K15+E$13</f>
        <v>400</v>
      </c>
      <c r="F15" s="102" t="str">
        <f>C39</f>
        <v>LATERAL 180° 2 LADOS</v>
      </c>
      <c r="G15" s="1"/>
      <c r="I15" s="3">
        <f>I29</f>
        <v>1</v>
      </c>
      <c r="J15" s="4">
        <f t="shared" ref="J15:K15" si="2">D39</f>
        <v>1500</v>
      </c>
      <c r="K15" s="4">
        <f t="shared" si="2"/>
        <v>400</v>
      </c>
    </row>
    <row r="16" spans="1:14" ht="15.6" x14ac:dyDescent="0.3">
      <c r="A16" s="96"/>
      <c r="B16" s="25">
        <v>2</v>
      </c>
      <c r="C16" s="25"/>
      <c r="D16" s="25">
        <f t="shared" si="0"/>
        <v>1300</v>
      </c>
      <c r="E16" s="35">
        <f t="shared" si="1"/>
        <v>400</v>
      </c>
      <c r="F16" s="102" t="str">
        <f>C40</f>
        <v>LATERAL 180° 2 LADOS</v>
      </c>
      <c r="G16" s="1"/>
      <c r="I16" s="3">
        <f>I30</f>
        <v>1</v>
      </c>
      <c r="J16" s="4">
        <f t="shared" ref="J16:K16" si="3">D40</f>
        <v>1220</v>
      </c>
      <c r="K16" s="4">
        <f t="shared" si="3"/>
        <v>400</v>
      </c>
    </row>
    <row r="17" spans="1:11" ht="15.6" x14ac:dyDescent="0.3">
      <c r="A17" s="96"/>
      <c r="B17" s="25">
        <f t="shared" ref="B17:B19" si="4">I17</f>
        <v>1</v>
      </c>
      <c r="C17" s="25"/>
      <c r="D17" s="25">
        <f>J17+50</f>
        <v>1055</v>
      </c>
      <c r="E17" s="35">
        <f t="shared" si="1"/>
        <v>250</v>
      </c>
      <c r="F17" s="102" t="str">
        <f>C41</f>
        <v xml:space="preserve">BANQUETA </v>
      </c>
      <c r="G17" s="1"/>
      <c r="I17" s="3">
        <f>I31</f>
        <v>1</v>
      </c>
      <c r="J17" s="4">
        <f>D41</f>
        <v>1005</v>
      </c>
      <c r="K17" s="4">
        <f>E41</f>
        <v>250</v>
      </c>
    </row>
    <row r="18" spans="1:11" ht="15.6" x14ac:dyDescent="0.3">
      <c r="A18" s="96"/>
      <c r="B18" s="25">
        <f>I18</f>
        <v>2</v>
      </c>
      <c r="C18" s="25"/>
      <c r="D18" s="25">
        <f>J18+50</f>
        <v>1055</v>
      </c>
      <c r="E18" s="35">
        <f>K18</f>
        <v>432</v>
      </c>
      <c r="F18" s="102" t="s">
        <v>148</v>
      </c>
      <c r="G18" s="1"/>
      <c r="I18" s="3">
        <v>2</v>
      </c>
      <c r="J18" s="4">
        <v>1005</v>
      </c>
      <c r="K18" s="4">
        <v>432</v>
      </c>
    </row>
    <row r="19" spans="1:11" ht="15.6" x14ac:dyDescent="0.3">
      <c r="A19" s="96"/>
      <c r="B19" s="25">
        <f t="shared" si="4"/>
        <v>1</v>
      </c>
      <c r="C19" s="25"/>
      <c r="D19" s="25">
        <f>J19+50</f>
        <v>1090</v>
      </c>
      <c r="E19" s="35">
        <f t="shared" si="1"/>
        <v>250</v>
      </c>
      <c r="F19" s="102" t="str">
        <f t="shared" ref="F19" si="5">C42</f>
        <v xml:space="preserve">BANQUETA </v>
      </c>
      <c r="G19" s="1"/>
      <c r="I19" s="3">
        <f t="shared" ref="I19" si="6">I32</f>
        <v>1</v>
      </c>
      <c r="J19" s="4">
        <f t="shared" ref="J19:K19" si="7">D42</f>
        <v>1040</v>
      </c>
      <c r="K19" s="4">
        <f t="shared" si="7"/>
        <v>250</v>
      </c>
    </row>
    <row r="20" spans="1:11" ht="15.6" x14ac:dyDescent="0.3">
      <c r="A20" s="96"/>
      <c r="B20" s="25">
        <f>I20</f>
        <v>2</v>
      </c>
      <c r="C20" s="25"/>
      <c r="D20" s="25">
        <f>J20+50</f>
        <v>1090</v>
      </c>
      <c r="E20" s="35">
        <f>K20</f>
        <v>432</v>
      </c>
      <c r="F20" s="102" t="s">
        <v>148</v>
      </c>
      <c r="G20" s="1"/>
      <c r="I20" s="3">
        <v>2</v>
      </c>
      <c r="J20" s="4">
        <v>1040</v>
      </c>
      <c r="K20" s="4">
        <v>432</v>
      </c>
    </row>
    <row r="21" spans="1:11" ht="15.6" x14ac:dyDescent="0.3">
      <c r="A21" s="96"/>
      <c r="B21" s="128"/>
      <c r="C21" s="128"/>
      <c r="D21" s="128"/>
      <c r="E21" s="132"/>
      <c r="F21" s="129"/>
      <c r="G21" s="1"/>
      <c r="I21" s="130"/>
      <c r="J21" s="131"/>
      <c r="K21" s="131"/>
    </row>
    <row r="22" spans="1:11" ht="15.6" x14ac:dyDescent="0.3">
      <c r="A22" s="52"/>
      <c r="B22" s="6"/>
      <c r="C22" s="6"/>
      <c r="D22" s="6"/>
      <c r="E22" s="89"/>
      <c r="F22" s="6"/>
      <c r="G22" s="1"/>
      <c r="I22" s="90"/>
      <c r="J22" s="2"/>
      <c r="K22" s="2"/>
    </row>
    <row r="23" spans="1:11" ht="6.75" customHeight="1" x14ac:dyDescent="0.3">
      <c r="A23" s="1"/>
      <c r="B23" s="1"/>
      <c r="C23" s="1"/>
      <c r="D23" s="1"/>
      <c r="E23" s="1"/>
      <c r="F23" s="1"/>
      <c r="G23" s="1"/>
    </row>
    <row r="24" spans="1:11" ht="15.6" x14ac:dyDescent="0.3">
      <c r="A24" s="122" t="s">
        <v>14</v>
      </c>
      <c r="B24" s="122"/>
      <c r="C24" s="122"/>
      <c r="D24" s="122"/>
      <c r="E24" s="122"/>
      <c r="F24" s="122"/>
      <c r="G24" s="1"/>
    </row>
    <row r="25" spans="1:11" ht="10.5" customHeight="1" x14ac:dyDescent="0.3">
      <c r="A25" s="1"/>
      <c r="B25" s="1"/>
      <c r="C25" s="12"/>
      <c r="D25" s="1"/>
      <c r="E25" s="1"/>
      <c r="F25" s="1"/>
      <c r="G25" s="1"/>
    </row>
    <row r="26" spans="1:11" ht="15.6" x14ac:dyDescent="0.3">
      <c r="A26" s="1"/>
      <c r="B26" s="1"/>
      <c r="C26" s="1"/>
      <c r="D26" s="52" t="s">
        <v>7</v>
      </c>
      <c r="E26" s="52" t="s">
        <v>8</v>
      </c>
      <c r="F26" s="1"/>
      <c r="G26" s="1"/>
    </row>
    <row r="27" spans="1:11" ht="15.6" x14ac:dyDescent="0.3">
      <c r="A27" s="52" t="s">
        <v>9</v>
      </c>
      <c r="B27" s="36" t="s">
        <v>10</v>
      </c>
      <c r="C27" s="36" t="s">
        <v>11</v>
      </c>
      <c r="D27" s="21">
        <v>40</v>
      </c>
      <c r="E27" s="21">
        <v>600</v>
      </c>
      <c r="F27" s="36" t="s">
        <v>110</v>
      </c>
      <c r="G27" s="1"/>
      <c r="J27" s="5" t="s">
        <v>7</v>
      </c>
      <c r="K27" s="5" t="s">
        <v>8</v>
      </c>
    </row>
    <row r="28" spans="1:11" ht="15.6" x14ac:dyDescent="0.3">
      <c r="A28" s="96"/>
      <c r="B28" s="16">
        <f t="shared" ref="B28" si="8">I28</f>
        <v>2</v>
      </c>
      <c r="C28" s="16" t="s">
        <v>147</v>
      </c>
      <c r="D28" s="16">
        <f t="shared" ref="D28" si="9">J28+D$27</f>
        <v>1740</v>
      </c>
      <c r="E28" s="16">
        <v>900</v>
      </c>
      <c r="F28" s="103" t="str">
        <f>C38</f>
        <v>LATERAL 180° 2 LADOS</v>
      </c>
      <c r="G28" s="1"/>
      <c r="I28" s="3">
        <f>B38</f>
        <v>2</v>
      </c>
      <c r="J28" s="4">
        <f t="shared" ref="J28:K28" si="10">D38</f>
        <v>1700</v>
      </c>
      <c r="K28" s="4">
        <f t="shared" si="10"/>
        <v>400</v>
      </c>
    </row>
    <row r="29" spans="1:11" ht="15.6" x14ac:dyDescent="0.3">
      <c r="A29" s="96"/>
      <c r="B29" s="16">
        <f t="shared" ref="B29:B32" si="11">I29</f>
        <v>1</v>
      </c>
      <c r="D29" s="16">
        <f t="shared" ref="D29:D32" si="12">J29+D$27</f>
        <v>1540</v>
      </c>
      <c r="E29" s="16">
        <v>900</v>
      </c>
      <c r="F29" s="103" t="str">
        <f t="shared" ref="F29:F32" si="13">C39</f>
        <v>LATERAL 180° 2 LADOS</v>
      </c>
      <c r="G29" s="1"/>
      <c r="I29" s="3">
        <f t="shared" ref="I29:I32" si="14">B39</f>
        <v>1</v>
      </c>
      <c r="J29" s="4">
        <f t="shared" ref="J29:J32" si="15">D39</f>
        <v>1500</v>
      </c>
      <c r="K29" s="4">
        <f t="shared" ref="K29:K32" si="16">E39</f>
        <v>400</v>
      </c>
    </row>
    <row r="30" spans="1:11" ht="15.6" x14ac:dyDescent="0.3">
      <c r="A30" s="96"/>
      <c r="B30" s="16">
        <f t="shared" si="11"/>
        <v>1</v>
      </c>
      <c r="C30" s="16"/>
      <c r="D30" s="16">
        <f t="shared" si="12"/>
        <v>1260</v>
      </c>
      <c r="E30" s="16">
        <v>900</v>
      </c>
      <c r="F30" s="103" t="str">
        <f t="shared" si="13"/>
        <v>LATERAL 180° 2 LADOS</v>
      </c>
      <c r="G30" s="1"/>
      <c r="I30" s="3">
        <f t="shared" si="14"/>
        <v>1</v>
      </c>
      <c r="J30" s="4">
        <f t="shared" si="15"/>
        <v>1220</v>
      </c>
      <c r="K30" s="4">
        <f t="shared" si="16"/>
        <v>400</v>
      </c>
    </row>
    <row r="31" spans="1:11" ht="15.6" x14ac:dyDescent="0.3">
      <c r="A31" s="96"/>
      <c r="B31" s="16">
        <f t="shared" si="11"/>
        <v>1</v>
      </c>
      <c r="C31" s="16"/>
      <c r="D31" s="16">
        <f t="shared" si="12"/>
        <v>1045</v>
      </c>
      <c r="E31" s="16">
        <v>1230</v>
      </c>
      <c r="F31" s="103" t="str">
        <f t="shared" si="13"/>
        <v xml:space="preserve">BANQUETA </v>
      </c>
      <c r="G31" s="1"/>
      <c r="I31" s="3">
        <f t="shared" si="14"/>
        <v>1</v>
      </c>
      <c r="J31" s="4">
        <f t="shared" si="15"/>
        <v>1005</v>
      </c>
      <c r="K31" s="4">
        <f t="shared" si="16"/>
        <v>250</v>
      </c>
    </row>
    <row r="32" spans="1:11" ht="15.6" x14ac:dyDescent="0.3">
      <c r="A32" s="96"/>
      <c r="B32" s="16">
        <f t="shared" si="11"/>
        <v>1</v>
      </c>
      <c r="C32" s="16"/>
      <c r="D32" s="16">
        <f t="shared" si="12"/>
        <v>1080</v>
      </c>
      <c r="E32" s="16">
        <v>1230</v>
      </c>
      <c r="F32" s="103" t="str">
        <f t="shared" si="13"/>
        <v xml:space="preserve">BANQUETA </v>
      </c>
      <c r="G32" s="1"/>
      <c r="I32" s="3">
        <f t="shared" si="14"/>
        <v>1</v>
      </c>
      <c r="J32" s="4">
        <f t="shared" si="15"/>
        <v>1040</v>
      </c>
      <c r="K32" s="4">
        <f t="shared" si="16"/>
        <v>250</v>
      </c>
    </row>
    <row r="33" spans="1:11" ht="15.6" x14ac:dyDescent="0.3">
      <c r="A33" s="96"/>
      <c r="B33" s="128"/>
      <c r="C33" s="128"/>
      <c r="D33" s="128"/>
      <c r="E33" s="128"/>
      <c r="F33" s="129"/>
      <c r="G33" s="1"/>
      <c r="I33" s="130"/>
      <c r="J33" s="131"/>
      <c r="K33" s="131"/>
    </row>
    <row r="34" spans="1:11" ht="16.2" thickBot="1" x14ac:dyDescent="0.35">
      <c r="A34" s="52"/>
      <c r="B34" s="6"/>
      <c r="C34" s="6"/>
      <c r="D34" s="6"/>
      <c r="E34" s="6"/>
      <c r="F34" s="6"/>
      <c r="G34" s="1"/>
      <c r="I34" s="2"/>
      <c r="J34" s="2"/>
      <c r="K34" s="2"/>
    </row>
    <row r="35" spans="1:11" ht="16.2" thickBot="1" x14ac:dyDescent="0.35">
      <c r="A35" s="52"/>
      <c r="B35" s="22" t="s">
        <v>107</v>
      </c>
      <c r="C35" s="23"/>
      <c r="D35" s="23"/>
      <c r="E35" s="23"/>
      <c r="F35" s="24"/>
      <c r="G35" s="1"/>
      <c r="I35" s="2"/>
      <c r="J35" s="2"/>
      <c r="K35" s="2"/>
    </row>
    <row r="36" spans="1:11" ht="10.5" customHeight="1" x14ac:dyDescent="0.3">
      <c r="A36" s="1"/>
      <c r="B36" s="1"/>
      <c r="C36" s="1"/>
      <c r="D36" s="1"/>
      <c r="E36" s="1"/>
      <c r="F36" s="1"/>
      <c r="G36" s="1"/>
    </row>
    <row r="37" spans="1:11" ht="15.6" x14ac:dyDescent="0.3">
      <c r="A37" s="52" t="s">
        <v>9</v>
      </c>
      <c r="B37" s="88" t="s">
        <v>10</v>
      </c>
      <c r="C37" s="88" t="s">
        <v>110</v>
      </c>
      <c r="D37" s="88" t="s">
        <v>7</v>
      </c>
      <c r="E37" s="88" t="s">
        <v>8</v>
      </c>
      <c r="F37" s="88" t="s">
        <v>23</v>
      </c>
      <c r="G37" s="1"/>
    </row>
    <row r="38" spans="1:11" ht="15.6" x14ac:dyDescent="0.3">
      <c r="A38" s="96" t="s">
        <v>145</v>
      </c>
      <c r="B38" s="25">
        <f>'4637'!B21</f>
        <v>2</v>
      </c>
      <c r="C38" s="102" t="str">
        <f>'4637'!C21</f>
        <v>LATERAL 180° 2 LADOS</v>
      </c>
      <c r="D38" s="25">
        <f>'4637'!D21</f>
        <v>1700</v>
      </c>
      <c r="E38" s="25">
        <f>'4637'!E21</f>
        <v>400</v>
      </c>
      <c r="F38" s="25" t="str">
        <f>'4637'!G21</f>
        <v>BLANCO MERINO OPACO</v>
      </c>
      <c r="G38" s="1"/>
    </row>
    <row r="39" spans="1:11" ht="15.6" x14ac:dyDescent="0.3">
      <c r="A39" s="96"/>
      <c r="B39" s="25">
        <f>'4637'!B22</f>
        <v>1</v>
      </c>
      <c r="C39" s="102" t="str">
        <f>'4637'!C22</f>
        <v>LATERAL 180° 2 LADOS</v>
      </c>
      <c r="D39" s="25">
        <f>'4637'!D22</f>
        <v>1500</v>
      </c>
      <c r="E39" s="25">
        <f>'4637'!E22</f>
        <v>400</v>
      </c>
      <c r="F39" s="25" t="str">
        <f>'4637'!G22</f>
        <v>BLANCO MERINO OPACO</v>
      </c>
      <c r="G39" s="1"/>
    </row>
    <row r="40" spans="1:11" ht="15.6" x14ac:dyDescent="0.3">
      <c r="A40" s="96"/>
      <c r="B40" s="25">
        <f>'4637'!B23</f>
        <v>1</v>
      </c>
      <c r="C40" s="102" t="str">
        <f>'4637'!C23</f>
        <v>LATERAL 180° 2 LADOS</v>
      </c>
      <c r="D40" s="25">
        <f>'4637'!D23</f>
        <v>1220</v>
      </c>
      <c r="E40" s="25">
        <f>'4637'!E23</f>
        <v>400</v>
      </c>
      <c r="F40" s="25" t="str">
        <f>'4637'!G23</f>
        <v>BLANCO MERINO OPACO</v>
      </c>
      <c r="G40" s="1"/>
    </row>
    <row r="41" spans="1:11" ht="15.6" x14ac:dyDescent="0.3">
      <c r="A41" s="96" t="s">
        <v>146</v>
      </c>
      <c r="B41" s="25">
        <f>'4637'!B24</f>
        <v>1</v>
      </c>
      <c r="C41" s="102" t="str">
        <f>'4637'!C24</f>
        <v xml:space="preserve">BANQUETA </v>
      </c>
      <c r="D41" s="25">
        <f>'4637'!D24</f>
        <v>1005</v>
      </c>
      <c r="E41" s="25">
        <f>'4637'!E24</f>
        <v>250</v>
      </c>
      <c r="F41" s="25" t="str">
        <f>'4637'!G24</f>
        <v>BLANCO MERINO OPACO</v>
      </c>
      <c r="G41" s="1"/>
    </row>
    <row r="42" spans="1:11" ht="15.6" x14ac:dyDescent="0.3">
      <c r="A42" s="96"/>
      <c r="B42" s="25">
        <f>'4637'!B25</f>
        <v>1</v>
      </c>
      <c r="C42" s="102" t="str">
        <f>'4637'!C25</f>
        <v xml:space="preserve">BANQUETA </v>
      </c>
      <c r="D42" s="25">
        <f>'4637'!D25</f>
        <v>1040</v>
      </c>
      <c r="E42" s="25">
        <f>'4637'!E25</f>
        <v>250</v>
      </c>
      <c r="F42" s="25" t="str">
        <f>'4637'!G25</f>
        <v>BLANCO MERINO OPACO</v>
      </c>
      <c r="G42" s="1"/>
    </row>
    <row r="43" spans="1:11" ht="15.6" x14ac:dyDescent="0.3">
      <c r="A43" s="96"/>
      <c r="B43" s="25">
        <f>'4637'!B26</f>
        <v>2</v>
      </c>
      <c r="C43" s="102" t="str">
        <f>'4637'!C26</f>
        <v>CORTE 45</v>
      </c>
      <c r="D43" s="25">
        <f>'4637'!D26</f>
        <v>0</v>
      </c>
      <c r="E43" s="25">
        <f>'4637'!E26</f>
        <v>0</v>
      </c>
      <c r="F43" s="25">
        <f>'4637'!G26</f>
        <v>0</v>
      </c>
      <c r="G43" s="1"/>
    </row>
    <row r="44" spans="1:11" ht="15.6" x14ac:dyDescent="0.3">
      <c r="A44" s="96"/>
      <c r="B44" s="6"/>
      <c r="C44" s="108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40" t="s">
        <v>27</v>
      </c>
      <c r="D54" s="14">
        <f>'4637'!H8</f>
        <v>7248</v>
      </c>
      <c r="E54" s="1"/>
      <c r="F54" s="1"/>
      <c r="G54" s="1"/>
    </row>
    <row r="55" spans="1:7" ht="17.25" customHeight="1" x14ac:dyDescent="0.3">
      <c r="A55" s="1"/>
      <c r="B55" s="1"/>
      <c r="C55" s="41" t="s">
        <v>67</v>
      </c>
      <c r="D55" s="42" t="str">
        <f>'4637'!C10</f>
        <v>CONSTRUCTORA FALIS SPA</v>
      </c>
      <c r="E55" s="43"/>
      <c r="F55" s="43"/>
      <c r="G55" s="1"/>
    </row>
    <row r="56" spans="1:7" ht="4.5" customHeight="1" x14ac:dyDescent="0.3">
      <c r="A56" s="1"/>
      <c r="B56" s="1"/>
      <c r="C56" s="44"/>
      <c r="D56" s="45"/>
      <c r="E56" s="1"/>
      <c r="F56" s="1"/>
      <c r="G56" s="1"/>
    </row>
    <row r="57" spans="1:7" ht="15.6" x14ac:dyDescent="0.3">
      <c r="A57" s="1"/>
      <c r="B57" s="1"/>
      <c r="C57" s="46" t="str">
        <f>'4637'!G11</f>
        <v>FECHA LIMITE :</v>
      </c>
      <c r="D57" s="13">
        <f>'4637'!H11</f>
        <v>0</v>
      </c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22" t="s">
        <v>68</v>
      </c>
      <c r="B60" s="122"/>
      <c r="C60" s="122"/>
      <c r="D60" s="122"/>
      <c r="E60" s="122"/>
      <c r="F60" s="122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75" customHeight="1" x14ac:dyDescent="0.3">
      <c r="A62" s="1"/>
      <c r="B62" s="123" t="s">
        <v>69</v>
      </c>
      <c r="C62" s="124"/>
      <c r="D62" s="125"/>
      <c r="E62" s="125"/>
      <c r="F62" s="126"/>
      <c r="G62" s="1"/>
    </row>
    <row r="63" spans="1:7" s="15" customFormat="1" ht="12.75" customHeight="1" x14ac:dyDescent="0.3">
      <c r="A63" s="1"/>
      <c r="B63" s="36" t="s">
        <v>10</v>
      </c>
      <c r="C63" s="47" t="s">
        <v>11</v>
      </c>
      <c r="D63" s="48" t="s">
        <v>7</v>
      </c>
      <c r="E63" s="48" t="s">
        <v>8</v>
      </c>
      <c r="F63" s="49" t="s">
        <v>12</v>
      </c>
      <c r="G63" s="1"/>
    </row>
    <row r="64" spans="1:7" s="15" customFormat="1" ht="15" customHeight="1" x14ac:dyDescent="0.3">
      <c r="A64" s="96" t="s">
        <v>145</v>
      </c>
      <c r="B64" s="38">
        <f>'4637'!B21</f>
        <v>2</v>
      </c>
      <c r="C64" s="101" t="str">
        <f>'4637'!C21</f>
        <v>LATERAL 180° 2 LADOS</v>
      </c>
      <c r="D64" s="39">
        <f>'4637'!D21</f>
        <v>1700</v>
      </c>
      <c r="E64" s="39">
        <f>'4637'!E21</f>
        <v>400</v>
      </c>
      <c r="F64" s="38" t="str">
        <f>'4637'!G21</f>
        <v>BLANCO MERINO OPACO</v>
      </c>
      <c r="G64" s="1"/>
    </row>
    <row r="65" spans="1:7" s="15" customFormat="1" ht="15" customHeight="1" x14ac:dyDescent="0.3">
      <c r="A65" s="96"/>
      <c r="B65" s="38">
        <f>'4637'!B22</f>
        <v>1</v>
      </c>
      <c r="C65" s="101" t="str">
        <f>'4637'!C22</f>
        <v>LATERAL 180° 2 LADOS</v>
      </c>
      <c r="D65" s="39">
        <f>'4637'!D22</f>
        <v>1500</v>
      </c>
      <c r="E65" s="39">
        <f>'4637'!E22</f>
        <v>400</v>
      </c>
      <c r="F65" s="38" t="str">
        <f>'4637'!G22</f>
        <v>BLANCO MERINO OPACO</v>
      </c>
      <c r="G65" s="1"/>
    </row>
    <row r="66" spans="1:7" s="15" customFormat="1" ht="15" customHeight="1" x14ac:dyDescent="0.3">
      <c r="A66" s="96"/>
      <c r="B66" s="38">
        <f>'4637'!B23</f>
        <v>1</v>
      </c>
      <c r="C66" s="101" t="str">
        <f>'4637'!C23</f>
        <v>LATERAL 180° 2 LADOS</v>
      </c>
      <c r="D66" s="39">
        <f>'4637'!D23</f>
        <v>1220</v>
      </c>
      <c r="E66" s="39">
        <f>'4637'!E23</f>
        <v>400</v>
      </c>
      <c r="F66" s="38" t="str">
        <f>'4637'!G23</f>
        <v>BLANCO MERINO OPACO</v>
      </c>
      <c r="G66" s="1"/>
    </row>
    <row r="67" spans="1:7" s="15" customFormat="1" ht="15" customHeight="1" x14ac:dyDescent="0.3">
      <c r="A67" s="96" t="s">
        <v>146</v>
      </c>
      <c r="B67" s="38">
        <f>'4637'!B24</f>
        <v>1</v>
      </c>
      <c r="C67" s="101" t="str">
        <f>'4637'!C24</f>
        <v xml:space="preserve">BANQUETA </v>
      </c>
      <c r="D67" s="39">
        <f>'4637'!D24</f>
        <v>1005</v>
      </c>
      <c r="E67" s="39">
        <f>'4637'!E24</f>
        <v>250</v>
      </c>
      <c r="F67" s="38" t="str">
        <f>'4637'!G24</f>
        <v>BLANCO MERINO OPACO</v>
      </c>
      <c r="G67" s="1"/>
    </row>
    <row r="68" spans="1:7" s="15" customFormat="1" ht="15" customHeight="1" x14ac:dyDescent="0.3">
      <c r="A68" s="96"/>
      <c r="B68" s="38">
        <f>'4637'!B25</f>
        <v>1</v>
      </c>
      <c r="C68" s="101" t="str">
        <f>'4637'!C25</f>
        <v xml:space="preserve">BANQUETA </v>
      </c>
      <c r="D68" s="39">
        <f>'4637'!D25</f>
        <v>1040</v>
      </c>
      <c r="E68" s="39">
        <f>'4637'!E25</f>
        <v>250</v>
      </c>
      <c r="F68" s="38" t="str">
        <f>'4637'!G25</f>
        <v>BLANCO MERINO OPACO</v>
      </c>
      <c r="G68" s="1"/>
    </row>
    <row r="69" spans="1:7" s="15" customFormat="1" ht="15" customHeight="1" x14ac:dyDescent="0.3">
      <c r="A69" s="96"/>
      <c r="B69" s="38">
        <f>'4637'!B26</f>
        <v>2</v>
      </c>
      <c r="C69" s="101" t="str">
        <f>'4637'!C26</f>
        <v>CORTE 45</v>
      </c>
      <c r="D69" s="39">
        <f>'4637'!D26</f>
        <v>0</v>
      </c>
      <c r="E69" s="39">
        <f>'4637'!E26</f>
        <v>0</v>
      </c>
      <c r="F69" s="38">
        <f>'4637'!G26</f>
        <v>0</v>
      </c>
      <c r="G69" s="1"/>
    </row>
    <row r="70" spans="1:7" s="15" customFormat="1" ht="15" customHeight="1" x14ac:dyDescent="0.3">
      <c r="A70" s="50"/>
      <c r="B70" s="52"/>
      <c r="C70" s="52"/>
      <c r="D70" s="52"/>
      <c r="E70" s="52"/>
      <c r="F70" s="52"/>
      <c r="G70" s="1"/>
    </row>
    <row r="71" spans="1:7" ht="15.6" x14ac:dyDescent="0.3">
      <c r="A71" s="6"/>
      <c r="B71" s="6"/>
      <c r="C71" s="1"/>
      <c r="D71" s="6"/>
      <c r="E71" s="6"/>
      <c r="F71" s="44"/>
      <c r="G71" s="1"/>
    </row>
    <row r="72" spans="1:7" ht="15.6" x14ac:dyDescent="0.3">
      <c r="A72" s="6"/>
      <c r="B72" s="6"/>
      <c r="C72" s="1"/>
      <c r="D72" s="6"/>
      <c r="E72" s="6"/>
      <c r="F72" s="6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" customHeight="1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6"/>
      <c r="B78" s="5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x14ac:dyDescent="0.3">
      <c r="B80" s="20"/>
      <c r="C80" s="20"/>
      <c r="D80" s="20"/>
      <c r="E80" s="20"/>
      <c r="F80" s="20"/>
    </row>
    <row r="81" spans="2:6" x14ac:dyDescent="0.3">
      <c r="B81" s="20"/>
      <c r="C81" s="20"/>
      <c r="E81" s="20"/>
      <c r="F81" s="20"/>
    </row>
  </sheetData>
  <mergeCells count="6">
    <mergeCell ref="M3:N3"/>
    <mergeCell ref="A24:F24"/>
    <mergeCell ref="A10:F10"/>
    <mergeCell ref="A60:F60"/>
    <mergeCell ref="B62:F6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2025-08-01T20:06:38Z</cp:lastPrinted>
  <dcterms:created xsi:type="dcterms:W3CDTF">2013-03-19T12:54:14Z</dcterms:created>
  <dcterms:modified xsi:type="dcterms:W3CDTF">2025-08-01T20:14:13Z</dcterms:modified>
</cp:coreProperties>
</file>