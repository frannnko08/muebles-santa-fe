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NOTAS DE VENTAS TOPMOBILI\8 AGOSTO 2025\"/>
    </mc:Choice>
  </mc:AlternateContent>
  <xr:revisionPtr revIDLastSave="0" documentId="13_ncr:1_{6E7B0145-40A0-431A-A4F3-8CBDE969927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CUBIERTA!$A$39:$G$68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3" l="1"/>
  <c r="B23" i="3" s="1"/>
  <c r="J23" i="3"/>
  <c r="D23" i="3" s="1"/>
  <c r="K23" i="3"/>
  <c r="E23" i="3"/>
  <c r="D30" i="3"/>
  <c r="J15" i="3" s="1"/>
  <c r="D15" i="3" s="1"/>
  <c r="B54" i="3"/>
  <c r="B30" i="3" s="1"/>
  <c r="I15" i="3" s="1"/>
  <c r="B15" i="3" s="1"/>
  <c r="C54" i="3"/>
  <c r="C30" i="3" s="1"/>
  <c r="D54" i="3"/>
  <c r="E54" i="3"/>
  <c r="E30" i="3" s="1"/>
  <c r="K15" i="3" s="1"/>
  <c r="E15" i="3" s="1"/>
  <c r="F54" i="3"/>
  <c r="F30" i="3" s="1"/>
  <c r="H25" i="4"/>
  <c r="H22" i="4"/>
  <c r="F15" i="3" l="1"/>
  <c r="F23" i="3"/>
  <c r="F53" i="3"/>
  <c r="F29" i="3" s="1"/>
  <c r="E53" i="3"/>
  <c r="E29" i="3" s="1"/>
  <c r="D53" i="3"/>
  <c r="D29" i="3" s="1"/>
  <c r="C53" i="3"/>
  <c r="C29" i="3" s="1"/>
  <c r="B53" i="3"/>
  <c r="B29" i="3" s="1"/>
  <c r="H21" i="4"/>
  <c r="H26" i="4" l="1"/>
  <c r="H27" i="4" s="1"/>
  <c r="I22" i="3" l="1"/>
  <c r="J22" i="3"/>
  <c r="K22" i="3"/>
  <c r="E22" i="3" s="1"/>
  <c r="F22" i="3"/>
  <c r="D5" i="3"/>
  <c r="K14" i="3" l="1"/>
  <c r="E14" i="3" s="1"/>
  <c r="I14" i="3"/>
  <c r="B14" i="3" s="1"/>
  <c r="F14" i="3"/>
  <c r="J14" i="3"/>
  <c r="D14" i="3" s="1"/>
  <c r="D22" i="3" l="1"/>
  <c r="B22" i="3"/>
  <c r="N5" i="3" l="1"/>
  <c r="M5" i="3" l="1"/>
  <c r="L5" i="3"/>
  <c r="K5" i="3"/>
  <c r="C43" i="3" l="1"/>
  <c r="C7" i="3"/>
  <c r="D42" i="3"/>
  <c r="D43" i="3"/>
  <c r="D7" i="3"/>
  <c r="D41" i="3"/>
  <c r="D4" i="3"/>
</calcChain>
</file>

<file path=xl/sharedStrings.xml><?xml version="1.0" encoding="utf-8"?>
<sst xmlns="http://schemas.openxmlformats.org/spreadsheetml/2006/main" count="244" uniqueCount="139">
  <si>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</si>
  <si>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</si>
  <si>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</si>
  <si>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</si>
  <si>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</si>
  <si>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</si>
  <si>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</si>
  <si>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</si>
  <si>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</si>
  <si>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</si>
  <si>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</si>
  <si>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</si>
  <si>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</si>
  <si>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</si>
  <si>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</si>
  <si>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</si>
  <si>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</si>
  <si>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</si>
  <si>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</si>
  <si>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</si>
  <si>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</si>
  <si>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</si>
  <si>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</si>
  <si>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</si>
  <si>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</si>
  <si>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</si>
  <si>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</si>
  <si>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</si>
  <si>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</si>
  <si>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</si>
  <si>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</si>
  <si>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</si>
  <si>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</si>
  <si>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</si>
  <si>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</si>
  <si>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</si>
  <si>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</si>
  <si>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</si>
  <si>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</si>
  <si>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</si>
  <si>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</si>
  <si>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</si>
  <si>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</si>
  <si>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</si>
  <si>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</si>
  <si>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</si>
  <si>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</si>
  <si>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</si>
  <si>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</si>
  <si>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</si>
  <si>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</si>
  <si>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</si>
  <si>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</si>
  <si>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</si>
  <si>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</si>
  <si>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</si>
  <si>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</si>
  <si>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</si>
  <si>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</si>
  <si>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</si>
  <si>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</si>
  <si>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</si>
  <si>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</si>
  <si>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</si>
  <si>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</si>
  <si>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</si>
  <si>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</si>
  <si>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</si>
  <si>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</si>
  <si>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</si>
  <si>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</si>
  <si>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</si>
  <si>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</si>
  <si>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</si>
  <si>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</si>
  <si>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</si>
  <si>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</si>
  <si>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</si>
  <si>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</si>
  <si>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</si>
  <si>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</si>
  <si>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</si>
  <si>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</si>
  <si>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</si>
  <si>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</si>
  <si>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</si>
  <si>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</si>
  <si>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</si>
  <si>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</si>
  <si>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</si>
  <si>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</si>
  <si>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</si>
  <si>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</si>
  <si>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</si>
  <si>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</si>
  <si>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</si>
  <si>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</si>
  <si>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</si>
  <si>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</si>
  <si>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</si>
  <si>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</si>
  <si>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</si>
  <si>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</si>
  <si>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</si>
  <si>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</si>
  <si>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</si>
  <si>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</si>
  <si>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</si>
  <si>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</si>
  <si>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</si>
  <si>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</si>
  <si>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</si>
  <si>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</si>
  <si>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</si>
  <si>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</si>
  <si>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</si>
  <si>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</si>
  <si>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</si>
  <si>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</si>
  <si>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</si>
  <si>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</si>
  <si>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</si>
  <si>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</si>
  <si>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</si>
  <si>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</si>
  <si>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</si>
  <si>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</si>
  <si>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</si>
  <si>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</si>
  <si>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</si>
  <si>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</si>
  <si>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</si>
  <si>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</si>
  <si>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</si>
  <si>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CUB S/R 180°</t>
  </si>
  <si>
    <t>GRIS HUMO MT</t>
  </si>
  <si>
    <t>GASTON PAVEZ</t>
  </si>
  <si>
    <t>+569 9373 4659</t>
  </si>
  <si>
    <t>N° 11612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</si>
</sst>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1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40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0" fillId="0" borderId="0" xfId="0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42" fontId="3" fillId="0" borderId="12" xfId="3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20" fillId="0" borderId="0" xfId="0" quotePrefix="1" applyFont="1" applyAlignment="1">
      <alignment horizontal="left"/>
    </xf>
    <xf numFmtId="0" fontId="0" fillId="2" borderId="0" xfId="0" applyFill="1" applyAlignment="1">
      <alignment horizont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15" fillId="0" borderId="11" xfId="0" applyFont="1" applyBorder="1" applyAlignment="1">
      <alignment horizontal="center" vertical="center"/>
    </xf>
    <xf numFmtId="0" fontId="15" fillId="0" borderId="32" xfId="0" applyFont="1" applyBorder="1" applyAlignment="1">
      <alignment horizontal="center" vertical="center"/>
    </xf>
    <xf numFmtId="1" fontId="15" fillId="0" borderId="32" xfId="0" applyNumberFormat="1" applyFont="1" applyBorder="1" applyAlignment="1">
      <alignment horizontal="center" vertical="center"/>
    </xf>
    <xf numFmtId="166" fontId="3" fillId="0" borderId="32" xfId="1" applyNumberFormat="1" applyFont="1" applyFill="1" applyBorder="1" applyAlignment="1">
      <alignment horizontal="center" vertical="center"/>
    </xf>
    <xf numFmtId="0" fontId="15" fillId="0" borderId="14" xfId="0" applyFont="1" applyBorder="1" applyAlignment="1">
      <alignment horizontal="center" vertical="center"/>
    </xf>
    <xf numFmtId="0" fontId="15" fillId="0" borderId="33" xfId="0" applyFont="1" applyBorder="1" applyAlignment="1">
      <alignment horizontal="center" vertical="center"/>
    </xf>
    <xf numFmtId="1" fontId="15" fillId="0" borderId="33" xfId="0" applyNumberFormat="1" applyFont="1" applyBorder="1" applyAlignment="1">
      <alignment horizontal="center" vertical="center"/>
    </xf>
    <xf numFmtId="166" fontId="3" fillId="0" borderId="33" xfId="1" applyNumberFormat="1" applyFont="1" applyFill="1" applyBorder="1" applyAlignment="1">
      <alignment horizontal="center" vertical="center"/>
    </xf>
    <xf numFmtId="42" fontId="3" fillId="0" borderId="30" xfId="3" applyFont="1" applyFill="1" applyBorder="1" applyAlignment="1">
      <alignment horizontal="center" vertical="center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27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$ 137.597</a:t>
          </a:r>
        </a:p>
        <a:p>
          <a:pPr algn="l"/>
          <a:endParaRPr lang="es-CL" sz="900" b="1" i="1" baseline="0"/>
        </a:p>
        <a:p>
          <a:pPr algn="l"/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47</xdr:row>
      <xdr:rowOff>171450</xdr:rowOff>
    </xdr:from>
    <xdr:to>
      <xdr:col>5</xdr:col>
      <xdr:colOff>2392680</xdr:colOff>
      <xdr:row>49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56</xdr:row>
      <xdr:rowOff>0</xdr:rowOff>
    </xdr:from>
    <xdr:to>
      <xdr:col>2</xdr:col>
      <xdr:colOff>38100</xdr:colOff>
      <xdr:row>57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56</xdr:row>
      <xdr:rowOff>0</xdr:rowOff>
    </xdr:from>
    <xdr:to>
      <xdr:col>2</xdr:col>
      <xdr:colOff>1019175</xdr:colOff>
      <xdr:row>56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0</xdr:rowOff>
    </xdr:from>
    <xdr:to>
      <xdr:col>3</xdr:col>
      <xdr:colOff>352425</xdr:colOff>
      <xdr:row>57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0</xdr:rowOff>
    </xdr:from>
    <xdr:to>
      <xdr:col>4</xdr:col>
      <xdr:colOff>257175</xdr:colOff>
      <xdr:row>57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0</xdr:rowOff>
    </xdr:from>
    <xdr:to>
      <xdr:col>5</xdr:col>
      <xdr:colOff>447675</xdr:colOff>
      <xdr:row>56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0</xdr:rowOff>
    </xdr:from>
    <xdr:to>
      <xdr:col>6</xdr:col>
      <xdr:colOff>0</xdr:colOff>
      <xdr:row>56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56</xdr:row>
      <xdr:rowOff>190500</xdr:rowOff>
    </xdr:from>
    <xdr:to>
      <xdr:col>2</xdr:col>
      <xdr:colOff>304800</xdr:colOff>
      <xdr:row>58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56</xdr:row>
      <xdr:rowOff>190500</xdr:rowOff>
    </xdr:from>
    <xdr:to>
      <xdr:col>2</xdr:col>
      <xdr:colOff>1276350</xdr:colOff>
      <xdr:row>58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56</xdr:row>
      <xdr:rowOff>190500</xdr:rowOff>
    </xdr:from>
    <xdr:to>
      <xdr:col>3</xdr:col>
      <xdr:colOff>619125</xdr:colOff>
      <xdr:row>58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56</xdr:row>
      <xdr:rowOff>190500</xdr:rowOff>
    </xdr:from>
    <xdr:to>
      <xdr:col>4</xdr:col>
      <xdr:colOff>523875</xdr:colOff>
      <xdr:row>58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56</xdr:row>
      <xdr:rowOff>190500</xdr:rowOff>
    </xdr:from>
    <xdr:to>
      <xdr:col>5</xdr:col>
      <xdr:colOff>723900</xdr:colOff>
      <xdr:row>58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56</xdr:row>
      <xdr:rowOff>190500</xdr:rowOff>
    </xdr:from>
    <xdr:to>
      <xdr:col>6</xdr:col>
      <xdr:colOff>0</xdr:colOff>
      <xdr:row>58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32</xdr:row>
      <xdr:rowOff>15239</xdr:rowOff>
    </xdr:from>
    <xdr:to>
      <xdr:col>5</xdr:col>
      <xdr:colOff>2392680</xdr:colOff>
      <xdr:row>36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REGRUESO DE 5cm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24</xdr:row>
      <xdr:rowOff>200025</xdr:rowOff>
    </xdr:from>
    <xdr:to>
      <xdr:col>6</xdr:col>
      <xdr:colOff>19049</xdr:colOff>
      <xdr:row>26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59</xdr:row>
      <xdr:rowOff>32385</xdr:rowOff>
    </xdr:from>
    <xdr:to>
      <xdr:col>5</xdr:col>
      <xdr:colOff>2392680</xdr:colOff>
      <xdr:row>63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REGRUESO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 5cm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39</xdr:row>
      <xdr:rowOff>41910</xdr:rowOff>
    </xdr:from>
    <xdr:to>
      <xdr:col>1</xdr:col>
      <xdr:colOff>801763</xdr:colOff>
      <xdr:row>44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6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4.21875" customWidth="1"/>
    <col min="4" max="5" width="9.109375" customWidth="1"/>
    <col min="6" max="6" width="36.21875" bestFit="1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138</v>
      </c>
      <c r="E8" s="1"/>
      <c r="F8" s="90" t="s">
        <v>27</v>
      </c>
      <c r="G8" s="91">
        <v>7270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2" t="s">
        <v>128</v>
      </c>
      <c r="C10" s="84" t="s">
        <v>136</v>
      </c>
      <c r="D10" s="53"/>
      <c r="E10" s="53"/>
      <c r="F10" s="54" t="s">
        <v>28</v>
      </c>
      <c r="G10" s="55">
        <v>45894</v>
      </c>
      <c r="H10" s="56"/>
      <c r="I10" s="1"/>
      <c r="J10" s="1"/>
      <c r="K10" s="1"/>
      <c r="L10" s="1"/>
      <c r="M10" s="1"/>
      <c r="N10" s="1"/>
      <c r="O10" s="1"/>
      <c r="P10" s="1"/>
      <c r="Q10" s="1"/>
    </row>
    <row r="11" spans="1:17" ht="16.2" thickBot="1" x14ac:dyDescent="0.35">
      <c r="A11" s="1"/>
      <c r="B11" s="57" t="s">
        <v>2</v>
      </c>
      <c r="C11" s="103"/>
      <c r="D11" s="58"/>
      <c r="E11" s="58"/>
      <c r="F11" s="58" t="s">
        <v>124</v>
      </c>
      <c r="G11" s="59">
        <v>45897</v>
      </c>
      <c r="H11" s="60"/>
      <c r="I11" s="1"/>
    </row>
    <row r="12" spans="1:17" ht="16.8" x14ac:dyDescent="0.4">
      <c r="A12" s="1"/>
      <c r="B12" s="61" t="s">
        <v>129</v>
      </c>
      <c r="C12" s="100"/>
      <c r="D12" s="42"/>
      <c r="E12" s="42"/>
      <c r="F12" s="42" t="s">
        <v>30</v>
      </c>
      <c r="G12" s="62"/>
      <c r="H12" s="63"/>
      <c r="I12" s="1"/>
    </row>
    <row r="13" spans="1:17" ht="15.6" x14ac:dyDescent="0.3">
      <c r="A13" s="1"/>
      <c r="B13" s="61" t="s">
        <v>130</v>
      </c>
      <c r="D13" s="42"/>
      <c r="E13" s="42"/>
      <c r="F13" s="42" t="s">
        <v>127</v>
      </c>
      <c r="G13" s="62"/>
      <c r="H13" s="63"/>
      <c r="I13" s="1"/>
    </row>
    <row r="14" spans="1:17" ht="15.6" x14ac:dyDescent="0.3">
      <c r="A14" s="1"/>
      <c r="B14" s="57" t="s">
        <v>17</v>
      </c>
      <c r="C14" s="116" t="s">
        <v>137</v>
      </c>
      <c r="D14" s="64"/>
      <c r="E14" s="58"/>
      <c r="F14" s="58" t="s">
        <v>29</v>
      </c>
      <c r="G14" s="58" t="s">
        <v>132</v>
      </c>
      <c r="H14" s="60"/>
      <c r="I14" s="1"/>
    </row>
    <row r="15" spans="1:17" ht="16.8" x14ac:dyDescent="0.4">
      <c r="A15" s="1"/>
      <c r="B15" s="61" t="s">
        <v>1</v>
      </c>
      <c r="C15" s="101"/>
      <c r="D15" s="42"/>
      <c r="E15" s="42"/>
      <c r="F15" s="65" t="s">
        <v>75</v>
      </c>
      <c r="G15" s="65" t="s">
        <v>133</v>
      </c>
      <c r="H15" s="63"/>
      <c r="I15" s="1"/>
    </row>
    <row r="16" spans="1:17" ht="16.2" thickBot="1" x14ac:dyDescent="0.35">
      <c r="A16" s="1"/>
      <c r="B16" s="66" t="s">
        <v>3</v>
      </c>
      <c r="C16" s="102"/>
      <c r="D16" s="67"/>
      <c r="E16" s="68"/>
      <c r="F16" s="118" t="s">
        <v>18</v>
      </c>
      <c r="G16" s="118"/>
      <c r="H16" s="119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0" t="s">
        <v>19</v>
      </c>
      <c r="C19" s="121"/>
      <c r="D19" s="121"/>
      <c r="E19" s="121"/>
      <c r="F19" s="121"/>
      <c r="G19" s="121"/>
      <c r="H19" s="122"/>
      <c r="I19" s="1"/>
    </row>
    <row r="20" spans="1:16" ht="16.2" thickBot="1" x14ac:dyDescent="0.35">
      <c r="A20" s="1"/>
      <c r="B20" s="69" t="s">
        <v>20</v>
      </c>
      <c r="C20" s="70" t="s">
        <v>21</v>
      </c>
      <c r="D20" s="70" t="s">
        <v>22</v>
      </c>
      <c r="E20" s="70" t="s">
        <v>8</v>
      </c>
      <c r="F20" s="71" t="s">
        <v>23</v>
      </c>
      <c r="G20" s="69" t="s">
        <v>24</v>
      </c>
      <c r="H20" s="71" t="s">
        <v>4</v>
      </c>
      <c r="I20" s="1"/>
    </row>
    <row r="21" spans="1:16" ht="15.6" x14ac:dyDescent="0.3">
      <c r="A21" s="1"/>
      <c r="B21" s="131">
        <v>1</v>
      </c>
      <c r="C21" s="132" t="s">
        <v>134</v>
      </c>
      <c r="D21" s="133">
        <v>2600</v>
      </c>
      <c r="E21" s="133">
        <v>650</v>
      </c>
      <c r="F21" s="132" t="s">
        <v>135</v>
      </c>
      <c r="G21" s="134">
        <v>98246</v>
      </c>
      <c r="H21" s="113">
        <f>G21*B21</f>
        <v>98246</v>
      </c>
      <c r="I21" s="1"/>
    </row>
    <row r="22" spans="1:16" ht="16.2" thickBot="1" x14ac:dyDescent="0.35">
      <c r="A22" s="1"/>
      <c r="B22" s="135">
        <v>2</v>
      </c>
      <c r="C22" s="136" t="s">
        <v>134</v>
      </c>
      <c r="D22" s="137">
        <v>2600</v>
      </c>
      <c r="E22" s="137">
        <v>440</v>
      </c>
      <c r="F22" s="136" t="s">
        <v>135</v>
      </c>
      <c r="G22" s="138">
        <v>66505</v>
      </c>
      <c r="H22" s="139">
        <f>G22*B22</f>
        <v>133010</v>
      </c>
      <c r="I22" s="1"/>
    </row>
    <row r="23" spans="1:16" ht="18" customHeight="1" x14ac:dyDescent="0.3">
      <c r="A23" s="1"/>
      <c r="B23" s="93"/>
      <c r="C23" s="93"/>
      <c r="D23" s="93"/>
      <c r="E23" s="93"/>
      <c r="F23" s="94"/>
      <c r="G23" s="95"/>
      <c r="H23" s="95"/>
      <c r="I23" s="1"/>
      <c r="K23" s="17"/>
      <c r="L23" s="25"/>
      <c r="M23" s="17"/>
      <c r="N23" s="17"/>
      <c r="O23" s="25"/>
      <c r="P23" s="32"/>
    </row>
    <row r="24" spans="1:16" ht="8.25" customHeight="1" thickBot="1" x14ac:dyDescent="0.35">
      <c r="A24" s="1"/>
      <c r="B24" s="72"/>
      <c r="C24" s="72"/>
      <c r="D24" s="72"/>
      <c r="E24" s="72"/>
      <c r="F24" s="72"/>
      <c r="G24" s="73"/>
      <c r="H24" s="73"/>
      <c r="I24" s="1"/>
    </row>
    <row r="25" spans="1:16" ht="15.6" x14ac:dyDescent="0.3">
      <c r="A25" s="1"/>
      <c r="B25" s="1"/>
      <c r="C25" s="1"/>
      <c r="D25" s="1"/>
      <c r="E25" s="1"/>
      <c r="F25" s="1"/>
      <c r="G25" s="74" t="s">
        <v>5</v>
      </c>
      <c r="H25" s="75">
        <f>SUM(H21:H22)</f>
        <v>231256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6" t="s">
        <v>6</v>
      </c>
      <c r="H26" s="77">
        <f>H25*0.19</f>
        <v>43938.64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8" t="s">
        <v>4</v>
      </c>
      <c r="H27" s="79">
        <f>H25+H26</f>
        <v>275194.64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0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0" t="s">
        <v>123</v>
      </c>
      <c r="C30" s="81"/>
      <c r="D30" s="82"/>
      <c r="E30" s="82"/>
      <c r="F30" s="72"/>
      <c r="G30" s="1"/>
      <c r="H30" s="1"/>
      <c r="I30" s="1"/>
    </row>
    <row r="31" spans="1:16" ht="15.6" x14ac:dyDescent="0.3">
      <c r="A31" s="1"/>
      <c r="B31" s="80" t="s">
        <v>122</v>
      </c>
      <c r="C31" s="81"/>
      <c r="D31" s="82"/>
      <c r="E31" s="82"/>
      <c r="F31" s="72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3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1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4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0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8">
        <v>50</v>
      </c>
      <c r="H4" s="28">
        <v>100</v>
      </c>
      <c r="I4" s="29" t="s">
        <v>113</v>
      </c>
      <c r="J4" s="30" t="s">
        <v>109</v>
      </c>
      <c r="K4" s="30"/>
      <c r="L4" s="30"/>
      <c r="M4" s="30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8">
        <v>50</v>
      </c>
      <c r="H5" s="28"/>
      <c r="I5" s="29" t="s">
        <v>115</v>
      </c>
      <c r="J5" s="30" t="s">
        <v>117</v>
      </c>
      <c r="K5" s="30"/>
      <c r="L5" s="30"/>
      <c r="M5" s="30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0" t="s">
        <v>111</v>
      </c>
      <c r="K20" s="30"/>
      <c r="L20" s="30"/>
      <c r="M20" s="30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8"/>
      <c r="H22" s="28"/>
      <c r="I22" s="29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6">
        <v>40</v>
      </c>
      <c r="C36" s="26">
        <v>90</v>
      </c>
      <c r="D36" s="27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6">
        <v>40</v>
      </c>
      <c r="C37" s="26">
        <v>90</v>
      </c>
      <c r="D37" s="27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7"/>
  <sheetViews>
    <sheetView tabSelected="1" topLeftCell="A35" zoomScaleNormal="100" workbookViewId="0">
      <selection activeCell="G48" sqref="G48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3" t="s">
        <v>125</v>
      </c>
      <c r="L2" s="33"/>
      <c r="M2" s="33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39" t="s">
        <v>27</v>
      </c>
      <c r="D4" s="14">
        <f>'4637'!G8</f>
        <v>7270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0" t="s">
        <v>67</v>
      </c>
      <c r="D5" s="41" t="str">
        <f>'4637'!C10</f>
        <v>GASTON PAVEZ</v>
      </c>
      <c r="E5" s="42"/>
      <c r="F5" s="42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3"/>
      <c r="D6" s="44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45897</v>
      </c>
      <c r="E7" s="1"/>
      <c r="F7" s="1"/>
      <c r="G7" s="1"/>
    </row>
    <row r="8" spans="1:14" ht="15.6" x14ac:dyDescent="0.3">
      <c r="A8" s="1"/>
      <c r="B8" s="1"/>
      <c r="C8" s="51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0" t="s">
        <v>7</v>
      </c>
      <c r="E12" s="50" t="s">
        <v>8</v>
      </c>
      <c r="F12" s="1"/>
      <c r="G12" s="1"/>
    </row>
    <row r="13" spans="1:14" ht="15.6" x14ac:dyDescent="0.3">
      <c r="A13" s="50" t="s">
        <v>9</v>
      </c>
      <c r="B13" s="36" t="s">
        <v>10</v>
      </c>
      <c r="C13" s="36" t="s">
        <v>11</v>
      </c>
      <c r="D13" s="31">
        <v>50</v>
      </c>
      <c r="E13" s="31">
        <v>0</v>
      </c>
      <c r="F13" s="36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131</v>
      </c>
      <c r="B14" s="24">
        <f>I14</f>
        <v>1</v>
      </c>
      <c r="C14" s="16"/>
      <c r="D14" s="24">
        <f>J14+D$13</f>
        <v>2650</v>
      </c>
      <c r="E14" s="34">
        <f>K14+$E$13</f>
        <v>650</v>
      </c>
      <c r="F14" s="98" t="str">
        <f>F29</f>
        <v>GRIS HUMO MT</v>
      </c>
      <c r="G14" s="1"/>
      <c r="I14" s="3">
        <f>B29</f>
        <v>1</v>
      </c>
      <c r="J14" s="4">
        <f>D29</f>
        <v>2600</v>
      </c>
      <c r="K14" s="4">
        <f>E29</f>
        <v>650</v>
      </c>
    </row>
    <row r="15" spans="1:14" ht="15.6" x14ac:dyDescent="0.3">
      <c r="A15" s="92"/>
      <c r="B15" s="24">
        <f>I15</f>
        <v>2</v>
      </c>
      <c r="C15" s="16"/>
      <c r="D15" s="24">
        <f>J15+D$13</f>
        <v>2650</v>
      </c>
      <c r="E15" s="34">
        <f>K15+$E$13</f>
        <v>440</v>
      </c>
      <c r="F15" s="98" t="str">
        <f>F30</f>
        <v>GRIS HUMO MT</v>
      </c>
      <c r="G15" s="1"/>
      <c r="I15" s="3">
        <f>B30</f>
        <v>2</v>
      </c>
      <c r="J15" s="4">
        <f>D30</f>
        <v>2600</v>
      </c>
      <c r="K15" s="4">
        <f>E30</f>
        <v>440</v>
      </c>
    </row>
    <row r="16" spans="1:14" x14ac:dyDescent="0.3">
      <c r="A16" s="9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26" t="s">
        <v>14</v>
      </c>
      <c r="B18" s="126"/>
      <c r="C18" s="126"/>
      <c r="D18" s="126"/>
      <c r="E18" s="126"/>
      <c r="F18" s="126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0" t="s">
        <v>7</v>
      </c>
      <c r="E20" s="50" t="s">
        <v>8</v>
      </c>
      <c r="F20" s="1"/>
      <c r="G20" s="1"/>
    </row>
    <row r="21" spans="1:11" ht="15.6" x14ac:dyDescent="0.3">
      <c r="A21" s="50" t="s">
        <v>9</v>
      </c>
      <c r="B21" s="36" t="s">
        <v>10</v>
      </c>
      <c r="C21" s="36" t="s">
        <v>11</v>
      </c>
      <c r="D21" s="31">
        <v>40</v>
      </c>
      <c r="E21" s="31">
        <v>120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2"/>
      <c r="B22" s="24">
        <f>I22</f>
        <v>1</v>
      </c>
      <c r="C22" s="24"/>
      <c r="D22" s="24">
        <f>J22+D$21</f>
        <v>2640</v>
      </c>
      <c r="E22" s="24">
        <f>K22+$E$21</f>
        <v>770</v>
      </c>
      <c r="F22" s="98" t="str">
        <f>F29</f>
        <v>GRIS HUMO MT</v>
      </c>
      <c r="G22" s="1"/>
      <c r="I22" s="3">
        <f>B29</f>
        <v>1</v>
      </c>
      <c r="J22" s="4">
        <f>D29</f>
        <v>2600</v>
      </c>
      <c r="K22" s="4">
        <f>E29</f>
        <v>650</v>
      </c>
    </row>
    <row r="23" spans="1:11" ht="15.6" x14ac:dyDescent="0.3">
      <c r="A23" s="92"/>
      <c r="B23" s="24">
        <f t="shared" ref="B23" si="0">I23</f>
        <v>2</v>
      </c>
      <c r="C23" s="24"/>
      <c r="D23" s="24">
        <f>J23+D$21</f>
        <v>2640</v>
      </c>
      <c r="E23" s="24">
        <f>K23+$E$21</f>
        <v>560</v>
      </c>
      <c r="F23" s="98" t="str">
        <f>F30</f>
        <v>GRIS HUMO MT</v>
      </c>
      <c r="G23" s="1"/>
      <c r="I23" s="3">
        <f>B30</f>
        <v>2</v>
      </c>
      <c r="J23" s="4">
        <f>D30</f>
        <v>2600</v>
      </c>
      <c r="K23" s="4">
        <f>E30</f>
        <v>440</v>
      </c>
    </row>
    <row r="24" spans="1:11" ht="15.6" x14ac:dyDescent="0.3">
      <c r="A24" s="92"/>
      <c r="B24" s="6"/>
      <c r="C24" s="6"/>
      <c r="D24" s="6"/>
      <c r="E24" s="6"/>
      <c r="F24" s="114"/>
      <c r="G24" s="1"/>
      <c r="I24" s="117"/>
      <c r="J24" s="2"/>
      <c r="K24" s="2"/>
    </row>
    <row r="25" spans="1:11" ht="16.2" thickBot="1" x14ac:dyDescent="0.35">
      <c r="A25" s="50"/>
      <c r="B25" s="6"/>
      <c r="C25" s="6"/>
      <c r="D25" s="6"/>
      <c r="E25" s="6"/>
      <c r="F25" s="6"/>
      <c r="G25" s="1"/>
      <c r="I25" s="2"/>
      <c r="J25" s="2"/>
      <c r="K25" s="2"/>
    </row>
    <row r="26" spans="1:11" ht="16.2" thickBot="1" x14ac:dyDescent="0.35">
      <c r="A26" s="50"/>
      <c r="B26" s="21" t="s">
        <v>107</v>
      </c>
      <c r="C26" s="22"/>
      <c r="D26" s="22"/>
      <c r="E26" s="22"/>
      <c r="F26" s="23"/>
      <c r="G26" s="1"/>
      <c r="I26" s="2"/>
      <c r="J26" s="2"/>
      <c r="K26" s="2"/>
    </row>
    <row r="27" spans="1:11" ht="10.5" customHeight="1" x14ac:dyDescent="0.3">
      <c r="A27" s="1"/>
      <c r="B27" s="1"/>
      <c r="C27" s="1"/>
      <c r="D27" s="1"/>
      <c r="E27" s="1"/>
      <c r="F27" s="1"/>
      <c r="G27" s="1"/>
    </row>
    <row r="28" spans="1:11" ht="15.6" x14ac:dyDescent="0.3">
      <c r="A28" s="50" t="s">
        <v>9</v>
      </c>
      <c r="B28" s="86" t="s">
        <v>10</v>
      </c>
      <c r="C28" s="86" t="s">
        <v>110</v>
      </c>
      <c r="D28" s="86" t="s">
        <v>7</v>
      </c>
      <c r="E28" s="86" t="s">
        <v>8</v>
      </c>
      <c r="F28" s="86" t="s">
        <v>23</v>
      </c>
      <c r="G28" s="1"/>
    </row>
    <row r="29" spans="1:11" ht="15.6" x14ac:dyDescent="0.3">
      <c r="A29" s="92" t="s">
        <v>131</v>
      </c>
      <c r="B29" s="24">
        <f>B53</f>
        <v>1</v>
      </c>
      <c r="C29" s="24" t="str">
        <f>C53</f>
        <v>CUB S/R 180°</v>
      </c>
      <c r="D29" s="24">
        <f>D53</f>
        <v>2600</v>
      </c>
      <c r="E29" s="24">
        <f>E53</f>
        <v>650</v>
      </c>
      <c r="F29" s="24" t="str">
        <f>F53</f>
        <v>GRIS HUMO MT</v>
      </c>
      <c r="G29" s="1"/>
    </row>
    <row r="30" spans="1:11" ht="15.6" x14ac:dyDescent="0.3">
      <c r="A30" s="92"/>
      <c r="B30" s="24">
        <f>B54</f>
        <v>2</v>
      </c>
      <c r="C30" s="24" t="str">
        <f>C54</f>
        <v>CUB S/R 180°</v>
      </c>
      <c r="D30" s="24">
        <f>D54</f>
        <v>2600</v>
      </c>
      <c r="E30" s="24">
        <f>E54</f>
        <v>440</v>
      </c>
      <c r="F30" s="24" t="str">
        <f>F54</f>
        <v>GRIS HUMO MT</v>
      </c>
      <c r="G30" s="1"/>
    </row>
    <row r="31" spans="1:11" ht="15.6" x14ac:dyDescent="0.3">
      <c r="A31" s="92"/>
      <c r="B31" s="6"/>
      <c r="C31" s="114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5.6" x14ac:dyDescent="0.3">
      <c r="A38" s="1"/>
      <c r="B38" s="6"/>
      <c r="C38" s="6"/>
      <c r="D38" s="6"/>
      <c r="E38" s="6"/>
      <c r="F38" s="6"/>
      <c r="G38" s="1"/>
    </row>
    <row r="39" spans="1:7" ht="15.6" x14ac:dyDescent="0.3">
      <c r="A39" s="1"/>
      <c r="B39" s="6"/>
      <c r="C39" s="6"/>
      <c r="D39" s="6"/>
      <c r="E39" s="6"/>
      <c r="F39" s="6"/>
      <c r="G39" s="1"/>
    </row>
    <row r="40" spans="1:7" ht="16.2" thickBot="1" x14ac:dyDescent="0.35">
      <c r="A40" s="1"/>
      <c r="B40" s="1"/>
      <c r="G40" s="1"/>
    </row>
    <row r="41" spans="1:7" ht="15.6" x14ac:dyDescent="0.3">
      <c r="A41" s="1"/>
      <c r="B41" s="1"/>
      <c r="C41" s="104" t="s">
        <v>27</v>
      </c>
      <c r="D41" s="105">
        <f>'4637'!G8</f>
        <v>7270</v>
      </c>
      <c r="E41" s="106"/>
      <c r="F41" s="107"/>
      <c r="G41" s="1"/>
    </row>
    <row r="42" spans="1:7" ht="15.6" x14ac:dyDescent="0.3">
      <c r="A42" s="1"/>
      <c r="B42" s="1"/>
      <c r="C42" s="108" t="s">
        <v>67</v>
      </c>
      <c r="D42" s="41" t="str">
        <f>'4637'!C10</f>
        <v>GASTON PAVEZ</v>
      </c>
      <c r="E42" s="42"/>
      <c r="F42" s="63"/>
      <c r="G42" s="1"/>
    </row>
    <row r="43" spans="1:7" ht="16.2" thickBot="1" x14ac:dyDescent="0.35">
      <c r="A43" s="1"/>
      <c r="B43" s="1"/>
      <c r="C43" s="109" t="str">
        <f>'4637'!F11</f>
        <v>FECHA LIMITE :</v>
      </c>
      <c r="D43" s="110">
        <f>'4637'!G11</f>
        <v>45897</v>
      </c>
      <c r="E43" s="111"/>
      <c r="F43" s="112"/>
      <c r="G43" s="1"/>
    </row>
    <row r="44" spans="1:7" ht="15.6" x14ac:dyDescent="0.3">
      <c r="A44" s="1"/>
      <c r="B44" s="1"/>
      <c r="G44" s="1"/>
    </row>
    <row r="45" spans="1:7" ht="17.25" customHeight="1" x14ac:dyDescent="0.3">
      <c r="A45" s="1"/>
      <c r="B45" s="1"/>
      <c r="G45" s="1"/>
    </row>
    <row r="46" spans="1:7" ht="4.5" customHeight="1" x14ac:dyDescent="0.3">
      <c r="A46" s="1"/>
      <c r="B46" s="1"/>
      <c r="C46" s="43"/>
      <c r="D46" s="44"/>
      <c r="E46" s="1"/>
      <c r="F46" s="1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6" x14ac:dyDescent="0.3">
      <c r="A48" s="1"/>
      <c r="B48" s="1"/>
      <c r="C48" s="1"/>
      <c r="D48" s="1"/>
      <c r="E48" s="1"/>
      <c r="F48" s="1"/>
      <c r="G48" s="1"/>
    </row>
    <row r="49" spans="1:7" ht="15.6" x14ac:dyDescent="0.3">
      <c r="A49" s="126" t="s">
        <v>68</v>
      </c>
      <c r="B49" s="126"/>
      <c r="C49" s="126"/>
      <c r="D49" s="126"/>
      <c r="E49" s="126"/>
      <c r="F49" s="126"/>
      <c r="G49" s="1"/>
    </row>
    <row r="50" spans="1:7" ht="15.6" x14ac:dyDescent="0.3">
      <c r="A50" s="1"/>
      <c r="B50" s="1"/>
      <c r="C50" s="1"/>
      <c r="D50" s="1"/>
      <c r="E50" s="1"/>
      <c r="F50" s="1"/>
      <c r="G50" s="1"/>
    </row>
    <row r="51" spans="1:7" ht="15.75" customHeight="1" x14ac:dyDescent="0.3">
      <c r="A51" s="1"/>
      <c r="B51" s="127" t="s">
        <v>69</v>
      </c>
      <c r="C51" s="128"/>
      <c r="D51" s="129"/>
      <c r="E51" s="129"/>
      <c r="F51" s="130"/>
      <c r="G51" s="1"/>
    </row>
    <row r="52" spans="1:7" s="15" customFormat="1" ht="12.75" customHeight="1" x14ac:dyDescent="0.3">
      <c r="A52" s="1"/>
      <c r="B52" s="35" t="s">
        <v>10</v>
      </c>
      <c r="C52" s="45" t="s">
        <v>11</v>
      </c>
      <c r="D52" s="46" t="s">
        <v>7</v>
      </c>
      <c r="E52" s="46" t="s">
        <v>8</v>
      </c>
      <c r="F52" s="47" t="s">
        <v>12</v>
      </c>
      <c r="G52" s="1"/>
    </row>
    <row r="53" spans="1:7" s="15" customFormat="1" ht="15" customHeight="1" x14ac:dyDescent="0.3">
      <c r="A53" s="92" t="s">
        <v>131</v>
      </c>
      <c r="B53" s="37">
        <f>'4637'!B21</f>
        <v>1</v>
      </c>
      <c r="C53" s="97" t="str">
        <f>'4637'!C21</f>
        <v>CUB S/R 180°</v>
      </c>
      <c r="D53" s="38">
        <f>'4637'!D21</f>
        <v>2600</v>
      </c>
      <c r="E53" s="38">
        <f>'4637'!E21</f>
        <v>650</v>
      </c>
      <c r="F53" s="99" t="str">
        <f>'4637'!F21</f>
        <v>GRIS HUMO MT</v>
      </c>
      <c r="G53" s="1"/>
    </row>
    <row r="54" spans="1:7" s="15" customFormat="1" ht="15" customHeight="1" x14ac:dyDescent="0.3">
      <c r="A54" s="92"/>
      <c r="B54" s="37">
        <f>'4637'!B22</f>
        <v>2</v>
      </c>
      <c r="C54" s="97" t="str">
        <f>'4637'!C22</f>
        <v>CUB S/R 180°</v>
      </c>
      <c r="D54" s="38">
        <f>'4637'!D22</f>
        <v>2600</v>
      </c>
      <c r="E54" s="38">
        <f>'4637'!E22</f>
        <v>440</v>
      </c>
      <c r="F54" s="99" t="str">
        <f>'4637'!F22</f>
        <v>GRIS HUMO MT</v>
      </c>
      <c r="G54" s="1"/>
    </row>
    <row r="55" spans="1:7" s="15" customFormat="1" ht="15" customHeight="1" x14ac:dyDescent="0.3">
      <c r="A55" s="92"/>
      <c r="B55" s="50"/>
      <c r="C55" s="115"/>
      <c r="D55" s="50"/>
      <c r="E55" s="50"/>
      <c r="F55" s="93"/>
      <c r="G55" s="1"/>
    </row>
    <row r="56" spans="1:7" s="15" customFormat="1" ht="15" customHeight="1" x14ac:dyDescent="0.3">
      <c r="A56" s="48"/>
      <c r="B56" s="50"/>
      <c r="C56" s="50"/>
      <c r="D56" s="50"/>
      <c r="E56" s="50"/>
      <c r="F56" s="50"/>
      <c r="G56" s="1"/>
    </row>
    <row r="57" spans="1:7" ht="15.6" x14ac:dyDescent="0.3">
      <c r="A57" s="6"/>
      <c r="B57" s="6"/>
      <c r="C57" s="1"/>
      <c r="D57" s="6"/>
      <c r="E57" s="6"/>
      <c r="F57" s="43"/>
      <c r="G57" s="1"/>
    </row>
    <row r="58" spans="1:7" ht="15.6" x14ac:dyDescent="0.3">
      <c r="A58" s="6"/>
      <c r="B58" s="6"/>
      <c r="C58" s="1"/>
      <c r="D58" s="6"/>
      <c r="E58" s="6"/>
      <c r="F58" s="6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1"/>
      <c r="B60" s="1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ht="15" customHeight="1" x14ac:dyDescent="0.3">
      <c r="A62" s="1"/>
      <c r="B62" s="1"/>
      <c r="C62" s="1"/>
      <c r="D62" s="1"/>
      <c r="E62" s="1"/>
      <c r="F62" s="1"/>
      <c r="G62" s="1"/>
    </row>
    <row r="63" spans="1:7" ht="15.6" x14ac:dyDescent="0.3">
      <c r="A63" s="1"/>
      <c r="B63" s="1"/>
      <c r="C63" s="1"/>
      <c r="D63" s="1"/>
      <c r="E63" s="1"/>
      <c r="F63" s="1"/>
      <c r="G63" s="1"/>
    </row>
    <row r="64" spans="1:7" ht="15.6" x14ac:dyDescent="0.3">
      <c r="A64" s="6"/>
      <c r="B64" s="49"/>
      <c r="C64" s="1"/>
      <c r="D64" s="1"/>
      <c r="E64" s="1"/>
      <c r="F64" s="1"/>
      <c r="G64" s="1"/>
    </row>
    <row r="65" spans="1:7" ht="15.6" x14ac:dyDescent="0.3">
      <c r="A65" s="1"/>
      <c r="B65" s="1"/>
      <c r="C65" s="1"/>
      <c r="D65" s="1"/>
      <c r="E65" s="1"/>
      <c r="F65" s="1"/>
      <c r="G65" s="1"/>
    </row>
    <row r="66" spans="1:7" x14ac:dyDescent="0.3">
      <c r="B66" s="20"/>
      <c r="C66" s="20"/>
      <c r="D66" s="20"/>
      <c r="E66" s="20"/>
      <c r="F66" s="20"/>
    </row>
    <row r="67" spans="1:7" x14ac:dyDescent="0.3">
      <c r="B67" s="20"/>
      <c r="C67" s="20"/>
      <c r="E67" s="20"/>
      <c r="F67" s="20"/>
    </row>
  </sheetData>
  <mergeCells count="6">
    <mergeCell ref="M3:N3"/>
    <mergeCell ref="A18:F18"/>
    <mergeCell ref="A10:F10"/>
    <mergeCell ref="A49:F49"/>
    <mergeCell ref="B51:F51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2025-08-26T13:21:20Z</cp:lastPrinted>
  <dcterms:created xsi:type="dcterms:W3CDTF">2013-03-19T12:54:14Z</dcterms:created>
  <dcterms:modified xsi:type="dcterms:W3CDTF">2025-08-26T15:58:38Z</dcterms:modified>
</cp:coreProperties>
</file>