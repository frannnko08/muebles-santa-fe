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3E91727E-F895-406D-9786-54C7F3A284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CUBIERTA!$A$42:$F$67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/>
  <c r="I25" i="3" s="1"/>
  <c r="B25" i="3" s="1"/>
  <c r="C33" i="3"/>
  <c r="F25" i="3" s="1"/>
  <c r="D33" i="3"/>
  <c r="J25" i="3" s="1"/>
  <c r="D25" i="3" s="1"/>
  <c r="E33" i="3"/>
  <c r="K25" i="3" s="1"/>
  <c r="F33" i="3"/>
  <c r="B56" i="3"/>
  <c r="C56" i="3"/>
  <c r="D56" i="3"/>
  <c r="E56" i="3"/>
  <c r="F56" i="3"/>
  <c r="F16" i="3" l="1"/>
  <c r="J16" i="3"/>
  <c r="D16" i="3" s="1"/>
  <c r="I16" i="3"/>
  <c r="B16" i="3" s="1"/>
  <c r="K16" i="3"/>
  <c r="E16" i="3" s="1"/>
  <c r="H24" i="4" l="1"/>
  <c r="B32" i="3"/>
  <c r="I24" i="3" s="1"/>
  <c r="B24" i="3" s="1"/>
  <c r="C32" i="3"/>
  <c r="F15" i="3" s="1"/>
  <c r="D32" i="3"/>
  <c r="J15" i="3" s="1"/>
  <c r="D15" i="3" s="1"/>
  <c r="E32" i="3"/>
  <c r="K15" i="3" s="1"/>
  <c r="E15" i="3" s="1"/>
  <c r="F32" i="3"/>
  <c r="B55" i="3"/>
  <c r="C55" i="3"/>
  <c r="D55" i="3"/>
  <c r="E55" i="3"/>
  <c r="F55" i="3"/>
  <c r="H23" i="4"/>
  <c r="J24" i="3" l="1"/>
  <c r="D24" i="3" s="1"/>
  <c r="F24" i="3"/>
  <c r="K24" i="3"/>
  <c r="I15" i="3"/>
  <c r="B15" i="3" s="1"/>
  <c r="H22" i="4"/>
  <c r="H27" i="4" s="1"/>
  <c r="B31" i="3"/>
  <c r="I23" i="3" s="1"/>
  <c r="C31" i="3"/>
  <c r="F14" i="3" s="1"/>
  <c r="D31" i="3"/>
  <c r="J14" i="3" s="1"/>
  <c r="D14" i="3" s="1"/>
  <c r="E31" i="3"/>
  <c r="K23" i="3" s="1"/>
  <c r="F31" i="3"/>
  <c r="B54" i="3"/>
  <c r="C54" i="3"/>
  <c r="D54" i="3"/>
  <c r="E54" i="3"/>
  <c r="F54" i="3"/>
  <c r="J23" i="3" l="1"/>
  <c r="D23" i="3" s="1"/>
  <c r="K14" i="3"/>
  <c r="E14" i="3" s="1"/>
  <c r="B23" i="3"/>
  <c r="I14" i="3"/>
  <c r="B14" i="3" s="1"/>
  <c r="F23" i="3"/>
  <c r="H28" i="4" l="1"/>
  <c r="H29" i="4" s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<sst xmlns="http://schemas.openxmlformats.org/spreadsheetml/2006/main" count="254" uniqueCount="148">
  <si>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</si>
  <si>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</si>
  <si>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</si>
  <si>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</si>
  <si>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</si>
  <si>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</si>
  <si>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</si>
  <si>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</si>
  <si>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</si>
  <si>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</si>
  <si>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</si>
  <si>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</si>
  <si>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</si>
  <si>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</si>
  <si>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</si>
  <si>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</si>
  <si>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</si>
  <si>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</si>
  <si>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</si>
  <si>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</si>
  <si>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</si>
  <si>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</si>
  <si>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</si>
  <si>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</si>
  <si>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</si>
  <si>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</si>
  <si>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</si>
  <si>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</si>
  <si>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</si>
  <si>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</si>
  <si>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</si>
  <si>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</si>
  <si>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</si>
  <si>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</si>
  <si>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</si>
  <si>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</si>
  <si>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</si>
  <si>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</si>
  <si>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</si>
  <si>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</si>
  <si>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</si>
  <si>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</si>
  <si>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</si>
  <si>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</si>
  <si>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</si>
  <si>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</si>
  <si>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</si>
  <si>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</si>
  <si>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</si>
  <si>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</si>
  <si>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</si>
  <si>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</si>
  <si>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</si>
  <si>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</si>
  <si>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</si>
  <si>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</si>
  <si>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</si>
  <si>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</si>
  <si>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</si>
  <si>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</si>
  <si>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</si>
  <si>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</si>
  <si>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</si>
  <si>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</si>
  <si>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</si>
  <si>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</si>
  <si>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</si>
  <si>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</si>
  <si>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</si>
  <si>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</si>
  <si>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</si>
  <si>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</si>
  <si>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</si>
  <si>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</si>
  <si>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</si>
  <si>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</si>
  <si>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</si>
  <si>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</si>
  <si>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</si>
  <si>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</si>
  <si>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</si>
  <si>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</si>
  <si>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</si>
  <si>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</si>
  <si>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</si>
  <si>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</si>
  <si>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</si>
  <si>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</si>
  <si>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</si>
  <si>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</si>
  <si>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</si>
  <si>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</si>
  <si>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</si>
  <si>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</si>
  <si>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</si>
  <si>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</si>
  <si>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</si>
  <si>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</si>
  <si>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</si>
  <si>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</si>
  <si>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</si>
  <si>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</si>
  <si>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</si>
  <si>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</si>
  <si>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</si>
  <si>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</si>
  <si>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</si>
  <si>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</si>
  <si>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</si>
  <si>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</si>
  <si>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</si>
  <si>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</si>
  <si>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</si>
  <si>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</si>
  <si>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</si>
  <si>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</si>
  <si>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</si>
  <si>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</si>
  <si>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</si>
  <si>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</si>
  <si>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</si>
  <si>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</si>
  <si>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</si>
  <si>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</si>
  <si>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</si>
  <si>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</si>
  <si>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</si>
  <si>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</si>
  <si>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</si>
  <si>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</si>
  <si>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</si>
  <si>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</si>
  <si>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</si>
  <si>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</si>
  <si>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</si>
  <si>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CORREO:</t>
  </si>
  <si>
    <t>SISTEMAS SERVICIOS SPA</t>
  </si>
  <si>
    <t>77.091.475-2</t>
  </si>
  <si>
    <t>FCA. DE MUEBLES</t>
  </si>
  <si>
    <t>MARIOLI CONCHA</t>
  </si>
  <si>
    <t>+569 9408 2633</t>
  </si>
  <si>
    <t>CORNISA 1L R19</t>
  </si>
  <si>
    <t>CEN 1V R19</t>
  </si>
  <si>
    <t>AV. SALVADOR ALLENDE 5040 CERRILLOS</t>
  </si>
  <si>
    <t>recepciondte@sistemamuebles.cl</t>
  </si>
  <si>
    <t>MDF30MM</t>
  </si>
  <si>
    <t>TRAIGHT WALNUT  10848 SF</t>
  </si>
  <si>
    <t>N° 11619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</si>
</sst>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PAGADA</a:t>
          </a:r>
          <a:r>
            <a:rPr lang="es-CL" sz="900" b="1" i="1" baseline="0"/>
            <a:t> CON TRANSFERENCIA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CORNISA Y CENEFA SEGUN DIBUJO ADJUNTO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CORNISAY CENEFA  SEGUN DIBUJO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ADJUNTO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48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epciondte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12" workbookViewId="0">
      <selection activeCell="F27" sqref="F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6.88671875" customWidth="1"/>
    <col min="4" max="4" width="10.88671875" customWidth="1"/>
    <col min="5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147</v>
      </c>
      <c r="E8" s="1"/>
      <c r="F8" s="93" t="s">
        <v>27</v>
      </c>
      <c r="G8" s="94">
        <v>7271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136</v>
      </c>
      <c r="D10" s="55"/>
      <c r="E10" s="55"/>
      <c r="F10" s="56" t="s">
        <v>28</v>
      </c>
      <c r="G10" s="57">
        <v>45897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45841</v>
      </c>
      <c r="H11" s="62"/>
      <c r="I11" s="1"/>
    </row>
    <row r="12" spans="1:17" ht="16.8" x14ac:dyDescent="0.4">
      <c r="A12" s="1"/>
      <c r="B12" s="63" t="s">
        <v>130</v>
      </c>
      <c r="C12" s="107" t="s">
        <v>138</v>
      </c>
      <c r="D12" s="43"/>
      <c r="E12" s="43"/>
      <c r="F12" s="43" t="s">
        <v>30</v>
      </c>
      <c r="G12" s="64">
        <v>16319</v>
      </c>
      <c r="H12" s="65"/>
      <c r="I12" s="1"/>
    </row>
    <row r="13" spans="1:17" ht="15.6" x14ac:dyDescent="0.3">
      <c r="A13" s="1"/>
      <c r="B13" s="63" t="s">
        <v>132</v>
      </c>
      <c r="C13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135</v>
      </c>
      <c r="C14" s="108" t="s">
        <v>144</v>
      </c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6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7" t="s">
        <v>143</v>
      </c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2" t="s">
        <v>18</v>
      </c>
      <c r="G17" s="112"/>
      <c r="H17" s="113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4" t="s">
        <v>19</v>
      </c>
      <c r="C20" s="115"/>
      <c r="D20" s="115"/>
      <c r="E20" s="115"/>
      <c r="F20" s="115"/>
      <c r="G20" s="115"/>
      <c r="H20" s="116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141</v>
      </c>
      <c r="D22" s="110">
        <v>2000</v>
      </c>
      <c r="E22" s="110">
        <v>125</v>
      </c>
      <c r="F22" s="100" t="s">
        <v>146</v>
      </c>
      <c r="G22" s="111">
        <v>19088</v>
      </c>
      <c r="H22" s="111">
        <f>G22*B22</f>
        <v>19088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2</v>
      </c>
      <c r="C23" s="100" t="s">
        <v>142</v>
      </c>
      <c r="D23" s="110">
        <v>1000</v>
      </c>
      <c r="E23" s="110">
        <v>105</v>
      </c>
      <c r="F23" s="100" t="s">
        <v>146</v>
      </c>
      <c r="G23" s="111">
        <v>5947</v>
      </c>
      <c r="H23" s="111">
        <f>G23*B23</f>
        <v>11894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00" t="s">
        <v>142</v>
      </c>
      <c r="D24" s="110">
        <v>2000</v>
      </c>
      <c r="E24" s="110">
        <v>105</v>
      </c>
      <c r="F24" s="100" t="s">
        <v>146</v>
      </c>
      <c r="G24" s="111">
        <v>11453</v>
      </c>
      <c r="H24" s="111">
        <f>G24*B24</f>
        <v>11453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/>
      <c r="C25" s="101"/>
      <c r="D25" s="102"/>
      <c r="E25" s="102"/>
      <c r="F25" s="101"/>
      <c r="G25" s="103"/>
      <c r="H25" s="104"/>
      <c r="I25" s="1"/>
    </row>
    <row r="26" spans="1:16" ht="18" customHeight="1" thickBot="1" x14ac:dyDescent="0.35">
      <c r="A26" s="1"/>
      <c r="B26" s="101"/>
      <c r="C26" s="101"/>
      <c r="D26" s="102"/>
      <c r="E26" s="102"/>
      <c r="F26" s="101"/>
      <c r="G26" s="103"/>
      <c r="H26" s="104"/>
      <c r="I26" s="1"/>
    </row>
    <row r="27" spans="1:16" ht="15.6" x14ac:dyDescent="0.3">
      <c r="A27" s="1"/>
      <c r="B27" s="1"/>
      <c r="C27" s="1"/>
      <c r="D27" s="1"/>
      <c r="E27" s="1"/>
      <c r="F27" s="1"/>
      <c r="G27" s="75" t="s">
        <v>5</v>
      </c>
      <c r="H27" s="76">
        <f>SUM(H22:H24)</f>
        <v>42435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7" t="s">
        <v>6</v>
      </c>
      <c r="H28" s="78">
        <f>H27*19%</f>
        <v>8062.6500000000005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9" t="s">
        <v>4</v>
      </c>
      <c r="H29" s="80">
        <f>H27+H28</f>
        <v>50497.65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6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1" t="s">
        <v>123</v>
      </c>
      <c r="C32" s="82"/>
      <c r="D32" s="83"/>
      <c r="E32" s="83"/>
      <c r="F32" s="74"/>
      <c r="G32" s="1"/>
      <c r="H32" s="1"/>
      <c r="I32" s="1"/>
    </row>
    <row r="33" spans="1:9" ht="15.6" x14ac:dyDescent="0.3">
      <c r="A33" s="1"/>
      <c r="B33" s="81" t="s">
        <v>122</v>
      </c>
      <c r="C33" s="82"/>
      <c r="D33" s="83"/>
      <c r="E33" s="83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4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  <hyperlink ref="C14" r:id="rId2" xr:uid="{5CE97F39-FCAE-4604-9342-92FE8750514A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topLeftCell="A29" zoomScaleNormal="100" workbookViewId="0">
      <selection activeCell="A42" sqref="A42:F6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7271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SISTEMAS SERVICIOS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45841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145</v>
      </c>
      <c r="B14" s="25">
        <f t="shared" ref="B14" si="0">I14</f>
        <v>1</v>
      </c>
      <c r="C14" s="25"/>
      <c r="D14" s="25">
        <f t="shared" ref="D14" si="1">J14+D$13</f>
        <v>2080</v>
      </c>
      <c r="E14" s="35">
        <f>K14+E$13</f>
        <v>125</v>
      </c>
      <c r="F14" s="98" t="str">
        <f>C31</f>
        <v>CORNISA 1L R19</v>
      </c>
      <c r="G14" s="1"/>
      <c r="I14" s="3">
        <f>I23</f>
        <v>1</v>
      </c>
      <c r="J14" s="4">
        <f>D31</f>
        <v>2000</v>
      </c>
      <c r="K14" s="4">
        <f>E31</f>
        <v>125</v>
      </c>
    </row>
    <row r="15" spans="1:14" ht="15.6" x14ac:dyDescent="0.3">
      <c r="A15" s="95"/>
      <c r="B15" s="25">
        <f t="shared" ref="B15" si="2">I15</f>
        <v>2</v>
      </c>
      <c r="C15" s="25"/>
      <c r="D15" s="25">
        <f t="shared" ref="D15" si="3">J15+D$13</f>
        <v>1080</v>
      </c>
      <c r="E15" s="35">
        <f>K15+E$13</f>
        <v>105</v>
      </c>
      <c r="F15" s="98" t="str">
        <f>C32</f>
        <v>CEN 1V R19</v>
      </c>
      <c r="G15" s="1"/>
      <c r="I15" s="3">
        <f>I24</f>
        <v>2</v>
      </c>
      <c r="J15" s="4">
        <f>D32</f>
        <v>1000</v>
      </c>
      <c r="K15" s="4">
        <f>E32</f>
        <v>105</v>
      </c>
    </row>
    <row r="16" spans="1:14" ht="15.6" x14ac:dyDescent="0.3">
      <c r="A16" s="95"/>
      <c r="B16" s="25">
        <f t="shared" ref="B16" si="4">I16</f>
        <v>1</v>
      </c>
      <c r="C16" s="25"/>
      <c r="D16" s="25">
        <f t="shared" ref="D16" si="5">J16+D$13</f>
        <v>2080</v>
      </c>
      <c r="E16" s="35">
        <f t="shared" ref="E16" si="6">K16+E$13</f>
        <v>105</v>
      </c>
      <c r="F16" s="98" t="str">
        <f>C33</f>
        <v>CEN 1V R19</v>
      </c>
      <c r="G16" s="1"/>
      <c r="I16" s="3">
        <f>I25</f>
        <v>1</v>
      </c>
      <c r="J16" s="4">
        <f t="shared" ref="J16:K16" si="7">D33</f>
        <v>2000</v>
      </c>
      <c r="K16" s="4">
        <f t="shared" si="7"/>
        <v>105</v>
      </c>
    </row>
    <row r="17" spans="1:11" ht="15.6" x14ac:dyDescent="0.3">
      <c r="A17" s="52"/>
      <c r="B17" s="6"/>
      <c r="C17" s="6"/>
      <c r="D17" s="6"/>
      <c r="E17" s="88"/>
      <c r="F17" s="6"/>
      <c r="G17" s="1"/>
      <c r="I17" s="89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70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5"/>
      <c r="B23" s="16">
        <f t="shared" ref="B23" si="8">I23</f>
        <v>1</v>
      </c>
      <c r="C23" s="16"/>
      <c r="D23" s="16">
        <f>J23+D$22</f>
        <v>2040</v>
      </c>
      <c r="E23" s="16">
        <v>190</v>
      </c>
      <c r="F23" s="99" t="str">
        <f>C31</f>
        <v>CORNISA 1L R19</v>
      </c>
      <c r="G23" s="1"/>
      <c r="I23" s="3">
        <f>B31</f>
        <v>1</v>
      </c>
      <c r="J23" s="4">
        <f t="shared" ref="J23:K23" si="9">D31</f>
        <v>2000</v>
      </c>
      <c r="K23" s="4">
        <f t="shared" si="9"/>
        <v>125</v>
      </c>
    </row>
    <row r="24" spans="1:11" ht="15.6" x14ac:dyDescent="0.3">
      <c r="A24" s="95"/>
      <c r="B24" s="16">
        <f t="shared" ref="B24" si="10">I24</f>
        <v>2</v>
      </c>
      <c r="C24" s="16"/>
      <c r="D24" s="16">
        <f>J24+D$22</f>
        <v>1040</v>
      </c>
      <c r="E24" s="16">
        <v>150</v>
      </c>
      <c r="F24" s="99" t="str">
        <f>C32</f>
        <v>CEN 1V R19</v>
      </c>
      <c r="G24" s="1"/>
      <c r="I24" s="3">
        <f>B32</f>
        <v>2</v>
      </c>
      <c r="J24" s="4">
        <f t="shared" ref="J24" si="11">D32</f>
        <v>1000</v>
      </c>
      <c r="K24" s="4">
        <f t="shared" ref="K24" si="12">E32</f>
        <v>105</v>
      </c>
    </row>
    <row r="25" spans="1:11" ht="15.6" x14ac:dyDescent="0.3">
      <c r="A25" s="95"/>
      <c r="B25" s="16">
        <f t="shared" ref="B25" si="13">I25</f>
        <v>1</v>
      </c>
      <c r="C25" s="16"/>
      <c r="D25" s="16">
        <f>J25+D$22</f>
        <v>2040</v>
      </c>
      <c r="E25" s="16">
        <v>150</v>
      </c>
      <c r="F25" s="99" t="str">
        <f>C33</f>
        <v>CEN 1V R19</v>
      </c>
      <c r="G25" s="1"/>
      <c r="I25" s="3">
        <f>B33</f>
        <v>1</v>
      </c>
      <c r="J25" s="4">
        <f>D33</f>
        <v>2000</v>
      </c>
      <c r="K25" s="4">
        <f>E33</f>
        <v>105</v>
      </c>
    </row>
    <row r="26" spans="1:11" ht="15.6" x14ac:dyDescent="0.3">
      <c r="A26" s="95"/>
      <c r="B26" s="6"/>
      <c r="C26" s="6"/>
      <c r="D26" s="6"/>
      <c r="E26" s="6"/>
      <c r="F26" s="105"/>
      <c r="G26" s="1"/>
      <c r="I26" s="89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7" t="s">
        <v>10</v>
      </c>
      <c r="C30" s="87" t="s">
        <v>110</v>
      </c>
      <c r="D30" s="87" t="s">
        <v>7</v>
      </c>
      <c r="E30" s="87" t="s">
        <v>8</v>
      </c>
      <c r="F30" s="87" t="s">
        <v>23</v>
      </c>
      <c r="G30" s="1"/>
    </row>
    <row r="31" spans="1:11" ht="15.6" x14ac:dyDescent="0.3">
      <c r="A31" s="95" t="s">
        <v>145</v>
      </c>
      <c r="B31" s="25">
        <f>'4637'!B22</f>
        <v>1</v>
      </c>
      <c r="C31" s="98" t="str">
        <f>'4637'!C22</f>
        <v>CORNISA 1L R19</v>
      </c>
      <c r="D31" s="25">
        <f>'4637'!D22</f>
        <v>2000</v>
      </c>
      <c r="E31" s="25">
        <f>'4637'!E22</f>
        <v>125</v>
      </c>
      <c r="F31" s="25" t="str">
        <f>'4637'!F22</f>
        <v>TRAIGHT WALNUT  10848 SF</v>
      </c>
      <c r="G31" s="1"/>
    </row>
    <row r="32" spans="1:11" ht="15.6" x14ac:dyDescent="0.3">
      <c r="A32" s="95"/>
      <c r="B32" s="25">
        <f>'4637'!B23</f>
        <v>2</v>
      </c>
      <c r="C32" s="98" t="str">
        <f>'4637'!C23</f>
        <v>CEN 1V R19</v>
      </c>
      <c r="D32" s="25">
        <f>'4637'!D23</f>
        <v>1000</v>
      </c>
      <c r="E32" s="25">
        <f>'4637'!E23</f>
        <v>105</v>
      </c>
      <c r="F32" s="25" t="str">
        <f>'4637'!F23</f>
        <v>TRAIGHT WALNUT  10848 SF</v>
      </c>
      <c r="G32" s="1"/>
    </row>
    <row r="33" spans="1:7" ht="15.6" x14ac:dyDescent="0.3">
      <c r="A33" s="95"/>
      <c r="B33" s="25">
        <f>'4637'!B24</f>
        <v>1</v>
      </c>
      <c r="C33" s="98" t="str">
        <f>'4637'!C24</f>
        <v>CEN 1V R19</v>
      </c>
      <c r="D33" s="25">
        <f>'4637'!D24</f>
        <v>2000</v>
      </c>
      <c r="E33" s="25">
        <f>'4637'!E24</f>
        <v>105</v>
      </c>
      <c r="F33" s="25" t="str">
        <f>'4637'!F24</f>
        <v>TRAIGHT WALNUT  10848 SF</v>
      </c>
      <c r="G33" s="1"/>
    </row>
    <row r="34" spans="1:7" ht="15.6" x14ac:dyDescent="0.3">
      <c r="A34" s="52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40" t="s">
        <v>27</v>
      </c>
      <c r="D44" s="14">
        <f>'4637'!G8</f>
        <v>7271</v>
      </c>
      <c r="E44" s="1"/>
      <c r="F44" s="1"/>
      <c r="G44" s="1"/>
    </row>
    <row r="45" spans="1:7" ht="17.25" customHeight="1" x14ac:dyDescent="0.3">
      <c r="A45" s="1"/>
      <c r="B45" s="1"/>
      <c r="C45" s="41" t="s">
        <v>67</v>
      </c>
      <c r="D45" s="42" t="str">
        <f>'4637'!C10</f>
        <v>SISTEMAS SERVICIOS SPA</v>
      </c>
      <c r="E45" s="43"/>
      <c r="F45" s="43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C47" s="46" t="str">
        <f>'4637'!F11</f>
        <v>FECHA LIMITE :</v>
      </c>
      <c r="D47" s="13">
        <f>'4637'!G11</f>
        <v>45841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20" t="s">
        <v>68</v>
      </c>
      <c r="B50" s="120"/>
      <c r="C50" s="120"/>
      <c r="D50" s="120"/>
      <c r="E50" s="120"/>
      <c r="F50" s="120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1" t="s">
        <v>69</v>
      </c>
      <c r="C52" s="122"/>
      <c r="D52" s="123"/>
      <c r="E52" s="123"/>
      <c r="F52" s="124"/>
      <c r="G52" s="1"/>
    </row>
    <row r="53" spans="1:7" s="15" customFormat="1" ht="12.75" customHeight="1" x14ac:dyDescent="0.3">
      <c r="A53" s="1"/>
      <c r="B53" s="36" t="s">
        <v>10</v>
      </c>
      <c r="C53" s="47" t="s">
        <v>11</v>
      </c>
      <c r="D53" s="48" t="s">
        <v>7</v>
      </c>
      <c r="E53" s="48" t="s">
        <v>8</v>
      </c>
      <c r="F53" s="49" t="s">
        <v>12</v>
      </c>
      <c r="G53" s="1"/>
    </row>
    <row r="54" spans="1:7" s="15" customFormat="1" ht="15" customHeight="1" x14ac:dyDescent="0.3">
      <c r="A54" s="95" t="s">
        <v>145</v>
      </c>
      <c r="B54" s="38">
        <f>'4637'!B22</f>
        <v>1</v>
      </c>
      <c r="C54" s="97" t="str">
        <f>'4637'!C22</f>
        <v>CORNISA 1L R19</v>
      </c>
      <c r="D54" s="39">
        <f>'4637'!D22</f>
        <v>2000</v>
      </c>
      <c r="E54" s="39">
        <f>'4637'!E22</f>
        <v>125</v>
      </c>
      <c r="F54" s="38" t="str">
        <f>'4637'!F22</f>
        <v>TRAIGHT WALNUT  10848 SF</v>
      </c>
      <c r="G54" s="1"/>
    </row>
    <row r="55" spans="1:7" s="15" customFormat="1" ht="15" customHeight="1" x14ac:dyDescent="0.3">
      <c r="A55" s="95"/>
      <c r="B55" s="38">
        <f>'4637'!B23</f>
        <v>2</v>
      </c>
      <c r="C55" s="97" t="str">
        <f>'4637'!C23</f>
        <v>CEN 1V R19</v>
      </c>
      <c r="D55" s="39">
        <f>'4637'!D23</f>
        <v>1000</v>
      </c>
      <c r="E55" s="39">
        <f>'4637'!E23</f>
        <v>105</v>
      </c>
      <c r="F55" s="38" t="str">
        <f>'4637'!F23</f>
        <v>TRAIGHT WALNUT  10848 SF</v>
      </c>
      <c r="G55" s="1"/>
    </row>
    <row r="56" spans="1:7" s="15" customFormat="1" ht="15" customHeight="1" x14ac:dyDescent="0.3">
      <c r="A56" s="95"/>
      <c r="B56" s="38">
        <f>'4637'!B24</f>
        <v>1</v>
      </c>
      <c r="C56" s="97" t="str">
        <f>'4637'!C24</f>
        <v>CEN 1V R19</v>
      </c>
      <c r="D56" s="39">
        <f>'4637'!D24</f>
        <v>2000</v>
      </c>
      <c r="E56" s="39">
        <f>'4637'!E24</f>
        <v>105</v>
      </c>
      <c r="F56" s="38" t="str">
        <f>'4637'!F24</f>
        <v>TRAIGHT WALNUT  10848 SF</v>
      </c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2025-08-29T12:39:14Z</cp:lastPrinted>
  <dcterms:created xsi:type="dcterms:W3CDTF">2013-03-19T12:54:14Z</dcterms:created>
  <dcterms:modified xsi:type="dcterms:W3CDTF">2025-08-29T12:45:45Z</dcterms:modified>
</cp:coreProperties>
</file>