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8 AGOSTO 2025\"/>
    </mc:Choice>
  </mc:AlternateContent>
  <xr:revisionPtr revIDLastSave="0" documentId="13_ncr:1_{8BA3FC03-0C23-4091-AD5C-BDF20924E15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CUBIERTA!$A$47:$G$74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3" l="1"/>
  <c r="E27" i="3"/>
  <c r="E28" i="3"/>
  <c r="E29" i="3"/>
  <c r="F26" i="3"/>
  <c r="F27" i="3"/>
  <c r="F28" i="3"/>
  <c r="F29" i="3"/>
  <c r="G18" i="3"/>
  <c r="H22" i="4"/>
  <c r="H23" i="4"/>
  <c r="H24" i="4"/>
  <c r="H25" i="4"/>
  <c r="H28" i="4" s="1"/>
  <c r="H21" i="4"/>
  <c r="J15" i="3"/>
  <c r="C15" i="3" s="1"/>
  <c r="J14" i="3"/>
  <c r="H29" i="4" l="1"/>
  <c r="H30" i="4" s="1"/>
  <c r="E60" i="3"/>
  <c r="E35" i="3" s="1"/>
  <c r="F60" i="3"/>
  <c r="F35" i="3" s="1"/>
  <c r="L26" i="3" s="1"/>
  <c r="E61" i="3"/>
  <c r="E36" i="3" s="1"/>
  <c r="K27" i="3" s="1"/>
  <c r="F61" i="3"/>
  <c r="F36" i="3" s="1"/>
  <c r="L27" i="3" s="1"/>
  <c r="E62" i="3"/>
  <c r="E37" i="3" s="1"/>
  <c r="F62" i="3"/>
  <c r="F37" i="3" s="1"/>
  <c r="E63" i="3"/>
  <c r="E38" i="3" s="1"/>
  <c r="F63" i="3"/>
  <c r="F38" i="3" s="1"/>
  <c r="F59" i="3"/>
  <c r="E59" i="3"/>
  <c r="C60" i="3"/>
  <c r="C35" i="3" s="1"/>
  <c r="C27" i="3" s="1"/>
  <c r="D60" i="3"/>
  <c r="D35" i="3" s="1"/>
  <c r="G60" i="3"/>
  <c r="G35" i="3" s="1"/>
  <c r="G15" i="3" s="1"/>
  <c r="C61" i="3"/>
  <c r="C36" i="3" s="1"/>
  <c r="D61" i="3"/>
  <c r="D36" i="3" s="1"/>
  <c r="G61" i="3"/>
  <c r="G36" i="3" s="1"/>
  <c r="C62" i="3"/>
  <c r="C37" i="3" s="1"/>
  <c r="J28" i="3" s="1"/>
  <c r="C28" i="3" s="1"/>
  <c r="D62" i="3"/>
  <c r="D37" i="3" s="1"/>
  <c r="G62" i="3"/>
  <c r="G37" i="3" s="1"/>
  <c r="G28" i="3" s="1"/>
  <c r="C63" i="3"/>
  <c r="C38" i="3" s="1"/>
  <c r="J29" i="3" s="1"/>
  <c r="C29" i="3" s="1"/>
  <c r="D63" i="3"/>
  <c r="D38" i="3" s="1"/>
  <c r="G63" i="3"/>
  <c r="G38" i="3" s="1"/>
  <c r="K28" i="3" l="1"/>
  <c r="K26" i="3"/>
  <c r="L29" i="3"/>
  <c r="K29" i="3"/>
  <c r="L28" i="3"/>
  <c r="G16" i="3"/>
  <c r="G29" i="3"/>
  <c r="G17" i="3"/>
  <c r="F15" i="3"/>
  <c r="G27" i="3"/>
  <c r="G26" i="3"/>
  <c r="J17" i="3"/>
  <c r="C17" i="3" s="1"/>
  <c r="L18" i="3"/>
  <c r="F18" i="3" s="1"/>
  <c r="K17" i="3"/>
  <c r="E17" i="3" s="1"/>
  <c r="K18" i="3"/>
  <c r="E18" i="3" s="1"/>
  <c r="L16" i="3"/>
  <c r="F16" i="3" s="1"/>
  <c r="J18" i="3"/>
  <c r="C18" i="3" s="1"/>
  <c r="E16" i="3"/>
  <c r="L17" i="3"/>
  <c r="F17" i="3" s="1"/>
  <c r="C16" i="3"/>
  <c r="G59" i="3"/>
  <c r="G34" i="3" s="1"/>
  <c r="F34" i="3"/>
  <c r="E34" i="3"/>
  <c r="K25" i="3" s="1"/>
  <c r="K14" i="3" s="1"/>
  <c r="D59" i="3"/>
  <c r="D34" i="3" s="1"/>
  <c r="C59" i="3"/>
  <c r="C34" i="3" s="1"/>
  <c r="K15" i="3" l="1"/>
  <c r="E15" i="3" s="1"/>
  <c r="E25" i="3"/>
  <c r="L25" i="3"/>
  <c r="F25" i="3" s="1"/>
  <c r="G25" i="3"/>
  <c r="E5" i="3"/>
  <c r="L14" i="3" l="1"/>
  <c r="F14" i="3" s="1"/>
  <c r="G14" i="3"/>
  <c r="E14" i="3"/>
  <c r="C25" i="3" l="1"/>
  <c r="C14" i="3"/>
  <c r="O5" i="3" l="1"/>
  <c r="N5" i="3" l="1"/>
  <c r="M5" i="3"/>
  <c r="L5" i="3"/>
  <c r="D50" i="3" l="1"/>
  <c r="D7" i="3"/>
  <c r="E49" i="3"/>
  <c r="E50" i="3"/>
  <c r="E7" i="3"/>
  <c r="E48" i="3"/>
  <c r="E4" i="3"/>
</calcChain>
</file>

<file path=xl/sharedStrings.xml><?xml version="1.0" encoding="utf-8"?>
<sst xmlns="http://schemas.openxmlformats.org/spreadsheetml/2006/main" count="251" uniqueCount="139">
  <si>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</si>
  <si>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</si>
  <si>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</si>
  <si>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</si>
  <si>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</si>
  <si>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</si>
  <si>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</si>
  <si>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</si>
  <si>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</si>
  <si>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</si>
  <si>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</si>
  <si>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</si>
  <si>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</si>
  <si>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</si>
  <si>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</si>
  <si>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</si>
  <si>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</si>
  <si>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</si>
  <si>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</si>
  <si>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</si>
  <si>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</si>
  <si>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</si>
  <si>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</si>
  <si>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</si>
  <si>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</si>
  <si>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</si>
  <si>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</si>
  <si>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</si>
  <si>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</si>
  <si>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</si>
  <si>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</si>
  <si>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</si>
  <si>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</si>
  <si>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</si>
  <si>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</si>
  <si>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</si>
  <si>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</si>
  <si>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</si>
  <si>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</si>
  <si>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</si>
  <si>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</si>
  <si>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</si>
  <si>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</si>
  <si>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</si>
  <si>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</si>
  <si>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</si>
  <si>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</si>
  <si>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</si>
  <si>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</si>
  <si>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</si>
  <si>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</si>
  <si>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</si>
  <si>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</si>
  <si>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</si>
  <si>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</si>
  <si>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</si>
  <si>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</si>
  <si>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</si>
  <si>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</si>
  <si>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</si>
  <si>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</si>
  <si>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</si>
  <si>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</si>
  <si>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</si>
  <si>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</si>
  <si>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</si>
  <si>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</si>
  <si>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</si>
  <si>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</si>
  <si>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</si>
  <si>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</si>
  <si>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</si>
  <si>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</si>
  <si>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</si>
  <si>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</si>
  <si>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</si>
  <si>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</si>
  <si>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</si>
  <si>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</si>
  <si>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</si>
  <si>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</si>
  <si>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</si>
  <si>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</si>
  <si>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</si>
  <si>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</si>
  <si>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</si>
  <si>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</si>
  <si>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</si>
  <si>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</si>
  <si>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</si>
  <si>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</si>
  <si>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</si>
  <si>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</si>
  <si>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</si>
  <si>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</si>
  <si>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</si>
  <si>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</si>
  <si>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</si>
  <si>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</si>
  <si>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</si>
  <si>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</si>
  <si>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</si>
  <si>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</si>
  <si>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</si>
  <si>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</si>
  <si>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</si>
  <si>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</si>
  <si>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</si>
  <si>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</si>
  <si>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</si>
  <si>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</si>
  <si>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</si>
  <si>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</si>
  <si>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</si>
  <si>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</si>
  <si>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</si>
  <si>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</si>
  <si>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</si>
  <si>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</si>
  <si>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</si>
  <si>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</si>
  <si>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</si>
  <si>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</si>
  <si>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</si>
  <si>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</si>
  <si>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</si>
  <si>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</si>
  <si>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</si>
  <si>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</si>
  <si>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</si>
  <si>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</si>
  <si>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NO</t>
  </si>
  <si>
    <t>CONTADO</t>
  </si>
  <si>
    <t>SANTIAGO</t>
  </si>
  <si>
    <t>ALEX MATUS</t>
  </si>
  <si>
    <t>N° 11532</t>
  </si>
  <si>
    <t>NATURAL ELM 1499 MT</t>
  </si>
  <si>
    <t>+569 7335 4882</t>
  </si>
  <si>
    <t>MELAMIL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</si>
</sst>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0" fillId="0" borderId="0" xfId="0" applyAlignment="1">
      <alignment horizontal="left"/>
    </xf>
    <xf numFmtId="0" fontId="11" fillId="0" borderId="3" xfId="0" applyFont="1" applyBorder="1" applyAlignment="1">
      <alignment horizontal="left" indent="1"/>
    </xf>
    <xf numFmtId="0" fontId="1" fillId="0" borderId="4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0" fontId="11" fillId="3" borderId="6" xfId="0" applyFont="1" applyFill="1" applyBorder="1" applyAlignment="1">
      <alignment horizontal="left" indent="1"/>
    </xf>
    <xf numFmtId="14" fontId="11" fillId="0" borderId="8" xfId="0" applyNumberFormat="1" applyFont="1" applyBorder="1" applyAlignment="1">
      <alignment horizontal="left" indent="1"/>
    </xf>
    <xf numFmtId="14" fontId="1" fillId="0" borderId="9" xfId="0" applyNumberFormat="1" applyFont="1" applyBorder="1" applyAlignment="1">
      <alignment horizontal="left" wrapText="1" shrinkToFit="1"/>
    </xf>
    <xf numFmtId="0" fontId="3" fillId="0" borderId="9" xfId="0" applyFont="1" applyBorder="1"/>
    <xf numFmtId="0" fontId="3" fillId="0" borderId="10" xfId="0" applyFont="1" applyBorder="1"/>
    <xf numFmtId="166" fontId="3" fillId="0" borderId="2" xfId="1" applyNumberFormat="1" applyFont="1" applyFill="1" applyBorder="1" applyAlignment="1">
      <alignment horizontal="center" vertical="center"/>
    </xf>
    <xf numFmtId="0" fontId="20" fillId="0" borderId="0" xfId="0" quotePrefix="1" applyFont="1"/>
    <xf numFmtId="0" fontId="3" fillId="0" borderId="2" xfId="0" applyFont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7" fillId="0" borderId="0" xfId="0" applyFont="1" applyAlignment="1">
      <alignment horizont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0" fontId="7" fillId="0" borderId="18" xfId="0" applyFont="1" applyBorder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27</xdr:row>
      <xdr:rowOff>9525</xdr:rowOff>
    </xdr:from>
    <xdr:to>
      <xdr:col>5</xdr:col>
      <xdr:colOff>1390650</xdr:colOff>
      <xdr:row>30</xdr:row>
      <xdr:rowOff>15240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541645"/>
          <a:ext cx="59055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$ 100.000.-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47625</xdr:rowOff>
    </xdr:from>
    <xdr:to>
      <xdr:col>6</xdr:col>
      <xdr:colOff>2392680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82140" y="1076325"/>
          <a:ext cx="678180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152400</xdr:colOff>
      <xdr:row>19</xdr:row>
      <xdr:rowOff>76200</xdr:rowOff>
    </xdr:from>
    <xdr:to>
      <xdr:col>7</xdr:col>
      <xdr:colOff>15240</xdr:colOff>
      <xdr:row>21</xdr:row>
      <xdr:rowOff>22860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497580"/>
          <a:ext cx="8534400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171450</xdr:colOff>
      <xdr:row>8</xdr:row>
      <xdr:rowOff>171450</xdr:rowOff>
    </xdr:from>
    <xdr:to>
      <xdr:col>6</xdr:col>
      <xdr:colOff>2392680</xdr:colOff>
      <xdr:row>10</xdr:row>
      <xdr:rowOff>7620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492490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161925</xdr:colOff>
      <xdr:row>53</xdr:row>
      <xdr:rowOff>171450</xdr:rowOff>
    </xdr:from>
    <xdr:to>
      <xdr:col>6</xdr:col>
      <xdr:colOff>2392680</xdr:colOff>
      <xdr:row>55</xdr:row>
      <xdr:rowOff>15240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582150"/>
          <a:ext cx="8502015" cy="2400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64</xdr:row>
      <xdr:rowOff>0</xdr:rowOff>
    </xdr:from>
    <xdr:to>
      <xdr:col>3</xdr:col>
      <xdr:colOff>38100</xdr:colOff>
      <xdr:row>65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64</xdr:row>
      <xdr:rowOff>0</xdr:rowOff>
    </xdr:from>
    <xdr:to>
      <xdr:col>3</xdr:col>
      <xdr:colOff>1019175</xdr:colOff>
      <xdr:row>64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64</xdr:row>
      <xdr:rowOff>0</xdr:rowOff>
    </xdr:from>
    <xdr:to>
      <xdr:col>4</xdr:col>
      <xdr:colOff>352425</xdr:colOff>
      <xdr:row>65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64</xdr:row>
      <xdr:rowOff>0</xdr:rowOff>
    </xdr:from>
    <xdr:to>
      <xdr:col>5</xdr:col>
      <xdr:colOff>257175</xdr:colOff>
      <xdr:row>65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64</xdr:row>
      <xdr:rowOff>0</xdr:rowOff>
    </xdr:from>
    <xdr:to>
      <xdr:col>6</xdr:col>
      <xdr:colOff>447675</xdr:colOff>
      <xdr:row>64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64</xdr:row>
      <xdr:rowOff>0</xdr:rowOff>
    </xdr:from>
    <xdr:to>
      <xdr:col>7</xdr:col>
      <xdr:colOff>0</xdr:colOff>
      <xdr:row>64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64</xdr:row>
      <xdr:rowOff>190500</xdr:rowOff>
    </xdr:from>
    <xdr:to>
      <xdr:col>3</xdr:col>
      <xdr:colOff>304800</xdr:colOff>
      <xdr:row>66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64</xdr:row>
      <xdr:rowOff>190500</xdr:rowOff>
    </xdr:from>
    <xdr:to>
      <xdr:col>3</xdr:col>
      <xdr:colOff>1276350</xdr:colOff>
      <xdr:row>66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64</xdr:row>
      <xdr:rowOff>190500</xdr:rowOff>
    </xdr:from>
    <xdr:to>
      <xdr:col>4</xdr:col>
      <xdr:colOff>619125</xdr:colOff>
      <xdr:row>66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64</xdr:row>
      <xdr:rowOff>190500</xdr:rowOff>
    </xdr:from>
    <xdr:to>
      <xdr:col>5</xdr:col>
      <xdr:colOff>523875</xdr:colOff>
      <xdr:row>66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64</xdr:row>
      <xdr:rowOff>190500</xdr:rowOff>
    </xdr:from>
    <xdr:to>
      <xdr:col>6</xdr:col>
      <xdr:colOff>723900</xdr:colOff>
      <xdr:row>66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64</xdr:row>
      <xdr:rowOff>190500</xdr:rowOff>
    </xdr:from>
    <xdr:to>
      <xdr:col>7</xdr:col>
      <xdr:colOff>0</xdr:colOff>
      <xdr:row>66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392430</xdr:colOff>
      <xdr:row>39</xdr:row>
      <xdr:rowOff>15239</xdr:rowOff>
    </xdr:from>
    <xdr:to>
      <xdr:col>6</xdr:col>
      <xdr:colOff>2392680</xdr:colOff>
      <xdr:row>43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979919"/>
          <a:ext cx="827151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PUERTAS CORTADAS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 Y ENCHAPADAS CON TAPACANTO PVC 0,45MM</a:t>
          </a:r>
          <a:endParaRPr lang="es-ES" sz="1050">
            <a:effectLst/>
          </a:endParaRPr>
        </a:p>
      </xdr:txBody>
    </xdr:sp>
    <xdr:clientData/>
  </xdr:twoCellAnchor>
  <xdr:twoCellAnchor>
    <xdr:from>
      <xdr:col>1</xdr:col>
      <xdr:colOff>190500</xdr:colOff>
      <xdr:row>29</xdr:row>
      <xdr:rowOff>200025</xdr:rowOff>
    </xdr:from>
    <xdr:to>
      <xdr:col>7</xdr:col>
      <xdr:colOff>19049</xdr:colOff>
      <xdr:row>31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67</xdr:row>
      <xdr:rowOff>32385</xdr:rowOff>
    </xdr:from>
    <xdr:to>
      <xdr:col>6</xdr:col>
      <xdr:colOff>2392680</xdr:colOff>
      <xdr:row>71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73455" y="12140565"/>
          <a:ext cx="769048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PUERTAS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CORTADAS A LA MEDIDA Y ENCHAPADAS TAPACANTO PVC 0,4MM</a:t>
          </a:r>
          <a:endParaRPr lang="es-CL">
            <a:effectLst/>
          </a:endParaRPr>
        </a:p>
      </xdr:txBody>
    </xdr:sp>
    <xdr:clientData/>
  </xdr:twoCellAnchor>
  <xdr:twoCellAnchor editAs="oneCell">
    <xdr:from>
      <xdr:col>1</xdr:col>
      <xdr:colOff>160020</xdr:colOff>
      <xdr:row>46</xdr:row>
      <xdr:rowOff>41910</xdr:rowOff>
    </xdr:from>
    <xdr:to>
      <xdr:col>2</xdr:col>
      <xdr:colOff>801763</xdr:colOff>
      <xdr:row>51</xdr:row>
      <xdr:rowOff>190500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1</xdr:col>
      <xdr:colOff>129540</xdr:colOff>
      <xdr:row>1</xdr:row>
      <xdr:rowOff>114300</xdr:rowOff>
    </xdr:from>
    <xdr:to>
      <xdr:col>2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opLeftCell="A6" workbookViewId="0">
      <selection activeCell="F21" sqref="F21:F2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1.77734375" customWidth="1"/>
    <col min="4" max="5" width="9.109375" customWidth="1"/>
    <col min="6" max="6" width="26.5546875" customWidth="1"/>
    <col min="7" max="7" width="13" customWidth="1"/>
    <col min="8" max="8" width="12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7" t="s">
        <v>16</v>
      </c>
      <c r="C8" s="88"/>
      <c r="D8" s="89" t="s">
        <v>135</v>
      </c>
      <c r="E8" s="1"/>
      <c r="F8" s="90" t="s">
        <v>27</v>
      </c>
      <c r="G8" s="91">
        <v>7272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2" t="s">
        <v>128</v>
      </c>
      <c r="C10" s="84" t="s">
        <v>134</v>
      </c>
      <c r="D10" s="53"/>
      <c r="E10" s="53"/>
      <c r="F10" s="54" t="s">
        <v>28</v>
      </c>
      <c r="G10" s="55">
        <v>45897</v>
      </c>
      <c r="H10" s="56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7" t="s">
        <v>2</v>
      </c>
      <c r="C11" s="103"/>
      <c r="D11" s="58"/>
      <c r="E11" s="58"/>
      <c r="F11" s="58" t="s">
        <v>124</v>
      </c>
      <c r="G11" s="59">
        <v>45843</v>
      </c>
      <c r="H11" s="60"/>
      <c r="I11" s="1"/>
    </row>
    <row r="12" spans="1:17" ht="16.8" x14ac:dyDescent="0.4">
      <c r="A12" s="1"/>
      <c r="B12" s="61" t="s">
        <v>129</v>
      </c>
      <c r="C12" s="100"/>
      <c r="D12" s="42"/>
      <c r="E12" s="42"/>
      <c r="F12" s="42" t="s">
        <v>30</v>
      </c>
      <c r="G12" s="62"/>
      <c r="H12" s="63"/>
      <c r="I12" s="1"/>
    </row>
    <row r="13" spans="1:17" ht="15.6" x14ac:dyDescent="0.3">
      <c r="A13" s="1"/>
      <c r="B13" s="61" t="s">
        <v>130</v>
      </c>
      <c r="D13" s="42"/>
      <c r="E13" s="42"/>
      <c r="F13" s="42" t="s">
        <v>127</v>
      </c>
      <c r="G13" s="62"/>
      <c r="H13" s="63"/>
      <c r="I13" s="1"/>
    </row>
    <row r="14" spans="1:17" ht="15.6" x14ac:dyDescent="0.3">
      <c r="A14" s="1"/>
      <c r="B14" s="57" t="s">
        <v>17</v>
      </c>
      <c r="C14" s="114" t="s">
        <v>137</v>
      </c>
      <c r="D14" s="64"/>
      <c r="E14" s="58"/>
      <c r="F14" s="58" t="s">
        <v>29</v>
      </c>
      <c r="G14" s="58" t="s">
        <v>131</v>
      </c>
      <c r="H14" s="60"/>
      <c r="I14" s="1"/>
    </row>
    <row r="15" spans="1:17" ht="16.8" x14ac:dyDescent="0.4">
      <c r="A15" s="1"/>
      <c r="B15" s="61" t="s">
        <v>1</v>
      </c>
      <c r="C15" s="101"/>
      <c r="D15" s="42"/>
      <c r="E15" s="42"/>
      <c r="F15" s="65" t="s">
        <v>75</v>
      </c>
      <c r="G15" s="65" t="s">
        <v>132</v>
      </c>
      <c r="H15" s="63"/>
      <c r="I15" s="1"/>
    </row>
    <row r="16" spans="1:17" ht="16.2" thickBot="1" x14ac:dyDescent="0.35">
      <c r="A16" s="1"/>
      <c r="B16" s="66" t="s">
        <v>3</v>
      </c>
      <c r="C16" s="102" t="s">
        <v>133</v>
      </c>
      <c r="D16" s="67"/>
      <c r="E16" s="68"/>
      <c r="F16" s="122" t="s">
        <v>18</v>
      </c>
      <c r="G16" s="122"/>
      <c r="H16" s="12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4" t="s">
        <v>19</v>
      </c>
      <c r="C19" s="125"/>
      <c r="D19" s="125"/>
      <c r="E19" s="125"/>
      <c r="F19" s="125"/>
      <c r="G19" s="125"/>
      <c r="H19" s="126"/>
      <c r="I19" s="1"/>
    </row>
    <row r="20" spans="1:16" ht="16.2" thickBot="1" x14ac:dyDescent="0.35">
      <c r="A20" s="1"/>
      <c r="B20" s="69" t="s">
        <v>20</v>
      </c>
      <c r="C20" s="70" t="s">
        <v>21</v>
      </c>
      <c r="D20" s="70" t="s">
        <v>22</v>
      </c>
      <c r="E20" s="70" t="s">
        <v>8</v>
      </c>
      <c r="F20" s="71" t="s">
        <v>23</v>
      </c>
      <c r="G20" s="69" t="s">
        <v>24</v>
      </c>
      <c r="H20" s="71" t="s">
        <v>4</v>
      </c>
      <c r="I20" s="1"/>
    </row>
    <row r="21" spans="1:16" ht="15.6" x14ac:dyDescent="0.3">
      <c r="A21" s="1"/>
      <c r="B21" s="99">
        <v>2</v>
      </c>
      <c r="C21" s="99" t="s">
        <v>63</v>
      </c>
      <c r="D21" s="115">
        <v>447</v>
      </c>
      <c r="E21" s="115">
        <v>303</v>
      </c>
      <c r="F21" s="99" t="s">
        <v>136</v>
      </c>
      <c r="G21" s="118">
        <v>15442</v>
      </c>
      <c r="H21" s="113">
        <f>G21*B21</f>
        <v>30884</v>
      </c>
      <c r="I21" s="1"/>
      <c r="J21" s="120"/>
      <c r="K21" s="120"/>
    </row>
    <row r="22" spans="1:16" ht="15.6" x14ac:dyDescent="0.3">
      <c r="A22" s="1"/>
      <c r="B22" s="99">
        <v>1</v>
      </c>
      <c r="C22" s="99" t="s">
        <v>63</v>
      </c>
      <c r="D22" s="115">
        <v>600</v>
      </c>
      <c r="E22" s="115">
        <v>397</v>
      </c>
      <c r="F22" s="99" t="s">
        <v>136</v>
      </c>
      <c r="G22" s="113">
        <v>24034</v>
      </c>
      <c r="H22" s="113">
        <f t="shared" ref="H22:H25" si="0">G22*B22</f>
        <v>24034</v>
      </c>
      <c r="I22" s="1"/>
      <c r="J22" s="120"/>
      <c r="K22" s="120"/>
    </row>
    <row r="23" spans="1:16" ht="15.6" x14ac:dyDescent="0.3">
      <c r="A23" s="1"/>
      <c r="B23" s="99">
        <v>1</v>
      </c>
      <c r="C23" s="99" t="s">
        <v>63</v>
      </c>
      <c r="D23" s="115">
        <v>600</v>
      </c>
      <c r="E23" s="115">
        <v>413</v>
      </c>
      <c r="F23" s="99" t="s">
        <v>136</v>
      </c>
      <c r="G23" s="113">
        <v>21882</v>
      </c>
      <c r="H23" s="113">
        <f t="shared" si="0"/>
        <v>21882</v>
      </c>
      <c r="I23" s="1"/>
      <c r="J23" s="120"/>
      <c r="K23" s="120"/>
    </row>
    <row r="24" spans="1:16" ht="15.6" x14ac:dyDescent="0.3">
      <c r="A24" s="1"/>
      <c r="B24" s="99">
        <v>1</v>
      </c>
      <c r="C24" s="99" t="s">
        <v>63</v>
      </c>
      <c r="D24" s="115">
        <v>705</v>
      </c>
      <c r="E24" s="115">
        <v>390</v>
      </c>
      <c r="F24" s="99" t="s">
        <v>136</v>
      </c>
      <c r="G24" s="113">
        <v>23854</v>
      </c>
      <c r="H24" s="113">
        <f t="shared" si="0"/>
        <v>23854</v>
      </c>
      <c r="I24" s="1"/>
      <c r="J24" s="120"/>
      <c r="K24" s="120"/>
    </row>
    <row r="25" spans="1:16" ht="16.2" thickBot="1" x14ac:dyDescent="0.35">
      <c r="A25" s="1"/>
      <c r="B25" s="99">
        <v>2</v>
      </c>
      <c r="C25" s="99" t="s">
        <v>63</v>
      </c>
      <c r="D25" s="115">
        <v>705</v>
      </c>
      <c r="E25" s="115">
        <v>442</v>
      </c>
      <c r="F25" s="99" t="s">
        <v>136</v>
      </c>
      <c r="G25" s="119">
        <v>27035</v>
      </c>
      <c r="H25" s="113">
        <f t="shared" si="0"/>
        <v>54070</v>
      </c>
      <c r="I25" s="1"/>
      <c r="J25" s="120"/>
      <c r="K25" s="120"/>
    </row>
    <row r="26" spans="1:16" ht="18" customHeight="1" x14ac:dyDescent="0.3">
      <c r="A26" s="1"/>
      <c r="B26" s="93"/>
      <c r="C26" s="93"/>
      <c r="D26" s="93"/>
      <c r="E26" s="93"/>
      <c r="F26" s="94"/>
      <c r="G26" s="95"/>
      <c r="H26" s="95"/>
      <c r="I26" s="1"/>
      <c r="K26" s="17"/>
      <c r="L26" s="26"/>
      <c r="M26" s="17"/>
      <c r="N26" s="17"/>
      <c r="O26" s="26"/>
      <c r="P26" s="33"/>
    </row>
    <row r="27" spans="1:16" ht="8.25" customHeight="1" thickBot="1" x14ac:dyDescent="0.35">
      <c r="A27" s="1"/>
      <c r="B27" s="72"/>
      <c r="C27" s="72"/>
      <c r="D27" s="72"/>
      <c r="E27" s="72"/>
      <c r="F27" s="72"/>
      <c r="G27" s="73"/>
      <c r="H27" s="73"/>
      <c r="I27" s="1"/>
    </row>
    <row r="28" spans="1:16" ht="15.6" x14ac:dyDescent="0.3">
      <c r="A28" s="1"/>
      <c r="B28" s="1"/>
      <c r="C28" s="1"/>
      <c r="D28" s="1"/>
      <c r="E28" s="1"/>
      <c r="F28" s="1"/>
      <c r="G28" s="74" t="s">
        <v>5</v>
      </c>
      <c r="H28" s="75">
        <f>SUM(H21:H27)</f>
        <v>154724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6" t="s">
        <v>6</v>
      </c>
      <c r="H29" s="77">
        <f>H28*19%</f>
        <v>29397.56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78" t="s">
        <v>4</v>
      </c>
      <c r="H30" s="79">
        <f>H28+H29</f>
        <v>184121.56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0"/>
      <c r="H31" s="96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0" t="s">
        <v>123</v>
      </c>
      <c r="C33" s="81"/>
      <c r="D33" s="82"/>
      <c r="E33" s="82"/>
      <c r="F33" s="72"/>
      <c r="G33" s="1"/>
      <c r="H33" s="1"/>
      <c r="I33" s="1"/>
    </row>
    <row r="34" spans="1:9" ht="15.6" x14ac:dyDescent="0.3">
      <c r="A34" s="1"/>
      <c r="B34" s="80" t="s">
        <v>122</v>
      </c>
      <c r="C34" s="81"/>
      <c r="D34" s="82"/>
      <c r="E34" s="82"/>
      <c r="F34" s="72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3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0"/>
  </sortState>
  <mergeCells count="2">
    <mergeCell ref="F16:H16"/>
    <mergeCell ref="B19:H19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12"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31</v>
      </c>
      <c r="C2" s="127"/>
      <c r="D2" s="127"/>
      <c r="E2" s="18"/>
      <c r="G2" s="127" t="s">
        <v>70</v>
      </c>
      <c r="H2" s="127"/>
      <c r="I2" s="127"/>
      <c r="P2" s="128" t="s">
        <v>58</v>
      </c>
      <c r="Q2" s="128"/>
      <c r="R2" s="12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8" t="s">
        <v>58</v>
      </c>
      <c r="M8" s="128"/>
      <c r="N8" s="12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5"/>
  <sheetViews>
    <sheetView tabSelected="1" topLeftCell="A35" zoomScaleNormal="100" workbookViewId="0">
      <selection activeCell="A47" sqref="A47:G74"/>
    </sheetView>
  </sheetViews>
  <sheetFormatPr baseColWidth="10" defaultRowHeight="14.4" x14ac:dyDescent="0.3"/>
  <cols>
    <col min="2" max="2" width="13.88671875" customWidth="1"/>
    <col min="3" max="3" width="13.5546875" customWidth="1"/>
    <col min="4" max="4" width="35.33203125" customWidth="1"/>
    <col min="5" max="5" width="16" customWidth="1"/>
    <col min="6" max="6" width="12.6640625" bestFit="1" customWidth="1"/>
    <col min="7" max="7" width="35" customWidth="1"/>
    <col min="10" max="10" width="5.44140625" customWidth="1"/>
    <col min="11" max="11" width="9.33203125" customWidth="1"/>
    <col min="12" max="12" width="8.6640625" customWidth="1"/>
  </cols>
  <sheetData>
    <row r="1" spans="1:15" ht="15.6" x14ac:dyDescent="0.3">
      <c r="B1" s="1"/>
      <c r="C1" s="1"/>
      <c r="D1" s="1"/>
      <c r="E1" s="1"/>
      <c r="F1" s="1"/>
      <c r="G1" s="1"/>
      <c r="H1" s="1"/>
    </row>
    <row r="2" spans="1:15" ht="16.5" customHeight="1" x14ac:dyDescent="0.3">
      <c r="B2" s="1"/>
      <c r="C2" s="1"/>
      <c r="D2" s="1"/>
      <c r="E2" s="1"/>
      <c r="F2" s="1"/>
      <c r="G2" s="1"/>
      <c r="H2" s="1"/>
      <c r="L2" s="34" t="s">
        <v>125</v>
      </c>
      <c r="M2" s="34"/>
      <c r="N2" s="34"/>
    </row>
    <row r="3" spans="1:15" ht="15.6" x14ac:dyDescent="0.3">
      <c r="B3" s="1"/>
      <c r="C3" s="1"/>
      <c r="D3" s="1"/>
      <c r="E3" s="1"/>
      <c r="F3" s="1"/>
      <c r="G3" s="1"/>
      <c r="H3" s="1"/>
      <c r="L3" s="129" t="s">
        <v>61</v>
      </c>
      <c r="M3" s="129"/>
      <c r="N3" s="129" t="s">
        <v>14</v>
      </c>
      <c r="O3" s="129"/>
    </row>
    <row r="4" spans="1:15" ht="15.75" customHeight="1" x14ac:dyDescent="0.3">
      <c r="B4" s="1"/>
      <c r="C4" s="1"/>
      <c r="D4" s="39" t="s">
        <v>27</v>
      </c>
      <c r="E4" s="14">
        <f>'4637'!G8</f>
        <v>7272</v>
      </c>
      <c r="F4" s="1"/>
      <c r="G4" s="1"/>
      <c r="H4" s="1"/>
      <c r="L4" t="s">
        <v>7</v>
      </c>
      <c r="M4" t="s">
        <v>8</v>
      </c>
      <c r="N4" t="s">
        <v>7</v>
      </c>
      <c r="O4" t="s">
        <v>8</v>
      </c>
    </row>
    <row r="5" spans="1:15" ht="18" customHeight="1" x14ac:dyDescent="0.3">
      <c r="B5" s="1"/>
      <c r="C5" s="1"/>
      <c r="D5" s="40" t="s">
        <v>67</v>
      </c>
      <c r="E5" s="41" t="str">
        <f>'4637'!C10</f>
        <v>ALEX MATUS</v>
      </c>
      <c r="F5" s="42"/>
      <c r="G5" s="42"/>
      <c r="H5" s="1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">
      <c r="B6" s="1"/>
      <c r="C6" s="1"/>
      <c r="D6" s="43"/>
      <c r="E6" s="44"/>
      <c r="F6" s="1"/>
      <c r="G6" s="1"/>
      <c r="H6" s="1"/>
    </row>
    <row r="7" spans="1:15" ht="15.6" x14ac:dyDescent="0.3">
      <c r="B7" s="1"/>
      <c r="C7" s="1"/>
      <c r="D7" s="85" t="str">
        <f>'4637'!F11</f>
        <v>FECHA LIMITE :</v>
      </c>
      <c r="E7" s="13">
        <f>'4637'!G11</f>
        <v>45843</v>
      </c>
      <c r="F7" s="1"/>
      <c r="G7" s="1"/>
      <c r="H7" s="1"/>
    </row>
    <row r="8" spans="1:15" ht="15.6" x14ac:dyDescent="0.3">
      <c r="B8" s="1"/>
      <c r="C8" s="1"/>
      <c r="D8" s="51"/>
      <c r="E8" s="1"/>
      <c r="F8" s="1"/>
      <c r="G8" s="1"/>
      <c r="H8" s="1"/>
    </row>
    <row r="9" spans="1:15" ht="15.6" x14ac:dyDescent="0.3">
      <c r="B9" s="1"/>
      <c r="C9" s="1"/>
      <c r="D9" s="1"/>
      <c r="E9" s="1"/>
      <c r="F9" s="1"/>
      <c r="G9" s="1"/>
      <c r="H9" s="1"/>
    </row>
    <row r="10" spans="1:15" ht="15" customHeight="1" x14ac:dyDescent="0.3">
      <c r="B10" s="130" t="s">
        <v>61</v>
      </c>
      <c r="C10" s="130"/>
      <c r="D10" s="130"/>
      <c r="E10" s="130"/>
      <c r="F10" s="130"/>
      <c r="G10" s="130"/>
      <c r="H10" s="1"/>
    </row>
    <row r="11" spans="1:15" ht="15.6" x14ac:dyDescent="0.3">
      <c r="B11" s="1"/>
      <c r="C11" s="1"/>
      <c r="D11" s="12"/>
      <c r="E11" s="1"/>
      <c r="F11" s="1"/>
      <c r="G11" s="1"/>
      <c r="H11" s="1"/>
    </row>
    <row r="12" spans="1:15" ht="15.6" x14ac:dyDescent="0.3">
      <c r="B12" s="1"/>
      <c r="C12" s="1"/>
      <c r="D12" s="1"/>
      <c r="E12" s="50" t="s">
        <v>7</v>
      </c>
      <c r="F12" s="50" t="s">
        <v>8</v>
      </c>
      <c r="G12" s="1"/>
      <c r="H12" s="1"/>
    </row>
    <row r="13" spans="1:15" ht="15.6" x14ac:dyDescent="0.3">
      <c r="B13" s="50" t="s">
        <v>9</v>
      </c>
      <c r="C13" s="36" t="s">
        <v>10</v>
      </c>
      <c r="D13" s="36" t="s">
        <v>11</v>
      </c>
      <c r="E13" s="32">
        <v>50</v>
      </c>
      <c r="F13" s="32">
        <v>-2</v>
      </c>
      <c r="G13" s="36" t="s">
        <v>110</v>
      </c>
      <c r="H13" s="1"/>
      <c r="K13" s="5" t="s">
        <v>7</v>
      </c>
      <c r="L13" s="5" t="s">
        <v>8</v>
      </c>
    </row>
    <row r="14" spans="1:15" ht="15.6" x14ac:dyDescent="0.3">
      <c r="A14" s="2">
        <v>1</v>
      </c>
      <c r="B14" s="92" t="s">
        <v>138</v>
      </c>
      <c r="C14" s="25">
        <f>J14</f>
        <v>1</v>
      </c>
      <c r="D14" s="16"/>
      <c r="E14" s="25">
        <f>K14+E$13</f>
        <v>497</v>
      </c>
      <c r="F14" s="25">
        <f>L14+$F$13</f>
        <v>301</v>
      </c>
      <c r="G14" s="98" t="str">
        <f>G34</f>
        <v>NATURAL ELM 1499 MT</v>
      </c>
      <c r="H14" s="1"/>
      <c r="J14" s="116">
        <f>J25</f>
        <v>1</v>
      </c>
      <c r="K14" s="29">
        <f>K25</f>
        <v>447</v>
      </c>
      <c r="L14" s="29">
        <f>F34</f>
        <v>303</v>
      </c>
    </row>
    <row r="15" spans="1:15" ht="15.6" x14ac:dyDescent="0.3">
      <c r="A15" s="2">
        <v>2</v>
      </c>
      <c r="B15" s="92"/>
      <c r="C15" s="25">
        <f>J15</f>
        <v>1</v>
      </c>
      <c r="D15" s="16"/>
      <c r="E15" s="25">
        <f>K15+E$13</f>
        <v>650</v>
      </c>
      <c r="F15" s="25">
        <f>L15+$F$13</f>
        <v>495</v>
      </c>
      <c r="G15" s="98" t="str">
        <f>G35</f>
        <v>NATURAL ELM 1499 MT</v>
      </c>
      <c r="H15" s="1"/>
      <c r="J15" s="116">
        <f>J26</f>
        <v>1</v>
      </c>
      <c r="K15" s="29">
        <f>K26</f>
        <v>600</v>
      </c>
      <c r="L15" s="29">
        <v>497</v>
      </c>
    </row>
    <row r="16" spans="1:15" ht="15.6" x14ac:dyDescent="0.3">
      <c r="A16" s="2">
        <v>3</v>
      </c>
      <c r="B16" s="92"/>
      <c r="C16" s="25">
        <f>J16</f>
        <v>1</v>
      </c>
      <c r="D16" s="16"/>
      <c r="E16" s="25">
        <f t="shared" ref="E16:E18" si="0">K16+E$13</f>
        <v>800</v>
      </c>
      <c r="F16" s="25">
        <f>L16+$F$13</f>
        <v>395</v>
      </c>
      <c r="G16" s="98" t="str">
        <f>G36</f>
        <v>NATURAL ELM 1499 MT</v>
      </c>
      <c r="H16" s="1"/>
      <c r="J16" s="116">
        <v>1</v>
      </c>
      <c r="K16" s="29">
        <v>750</v>
      </c>
      <c r="L16" s="29">
        <f>F35</f>
        <v>397</v>
      </c>
    </row>
    <row r="17" spans="1:12" ht="15.6" x14ac:dyDescent="0.3">
      <c r="A17" s="2">
        <v>4</v>
      </c>
      <c r="B17" s="92"/>
      <c r="C17" s="25">
        <f t="shared" ref="C17:C18" si="1">J17</f>
        <v>1</v>
      </c>
      <c r="D17" s="16"/>
      <c r="E17" s="25">
        <f t="shared" si="0"/>
        <v>755</v>
      </c>
      <c r="F17" s="25">
        <f>L17+$F$13</f>
        <v>388</v>
      </c>
      <c r="G17" s="98" t="str">
        <f>G38</f>
        <v>NATURAL ELM 1499 MT</v>
      </c>
      <c r="H17" s="1"/>
      <c r="J17" s="3">
        <f>C37</f>
        <v>1</v>
      </c>
      <c r="K17" s="4">
        <f t="shared" ref="K17:L17" si="2">E37</f>
        <v>705</v>
      </c>
      <c r="L17" s="4">
        <f t="shared" si="2"/>
        <v>390</v>
      </c>
    </row>
    <row r="18" spans="1:12" ht="15.6" x14ac:dyDescent="0.3">
      <c r="A18" s="2">
        <v>5</v>
      </c>
      <c r="B18" s="92"/>
      <c r="C18" s="25">
        <f t="shared" si="1"/>
        <v>2</v>
      </c>
      <c r="D18" s="16"/>
      <c r="E18" s="25">
        <f t="shared" si="0"/>
        <v>755</v>
      </c>
      <c r="F18" s="25">
        <f>L18+$F$13</f>
        <v>440</v>
      </c>
      <c r="G18" s="98" t="str">
        <f>G29</f>
        <v>NATURAL ELM 1499 MT</v>
      </c>
      <c r="H18" s="1"/>
      <c r="J18" s="116">
        <f>C38</f>
        <v>2</v>
      </c>
      <c r="K18" s="29">
        <f t="shared" ref="K18:L18" si="3">E38</f>
        <v>705</v>
      </c>
      <c r="L18" s="29">
        <f t="shared" si="3"/>
        <v>442</v>
      </c>
    </row>
    <row r="19" spans="1:12" x14ac:dyDescent="0.3">
      <c r="B19" s="92"/>
    </row>
    <row r="20" spans="1:12" ht="6.75" customHeight="1" x14ac:dyDescent="0.3">
      <c r="B20" s="1"/>
      <c r="C20" s="1"/>
      <c r="D20" s="1"/>
      <c r="E20" s="1"/>
      <c r="F20" s="1"/>
      <c r="G20" s="1"/>
      <c r="H20" s="1"/>
    </row>
    <row r="21" spans="1:12" ht="15.6" x14ac:dyDescent="0.3">
      <c r="B21" s="130" t="s">
        <v>14</v>
      </c>
      <c r="C21" s="130"/>
      <c r="D21" s="130"/>
      <c r="E21" s="130"/>
      <c r="F21" s="130"/>
      <c r="G21" s="130"/>
      <c r="H21" s="1"/>
    </row>
    <row r="22" spans="1:12" ht="10.5" customHeight="1" x14ac:dyDescent="0.3">
      <c r="B22" s="1"/>
      <c r="C22" s="1"/>
      <c r="D22" s="12"/>
      <c r="E22" s="1"/>
      <c r="F22" s="1"/>
      <c r="G22" s="1"/>
      <c r="H22" s="1"/>
    </row>
    <row r="23" spans="1:12" ht="15.6" x14ac:dyDescent="0.3">
      <c r="B23" s="1"/>
      <c r="C23" s="1"/>
      <c r="D23" s="1"/>
      <c r="E23" s="50" t="s">
        <v>7</v>
      </c>
      <c r="F23" s="50" t="s">
        <v>8</v>
      </c>
      <c r="G23" s="1"/>
      <c r="H23" s="1"/>
    </row>
    <row r="24" spans="1:12" ht="15.6" x14ac:dyDescent="0.3">
      <c r="B24" s="50" t="s">
        <v>9</v>
      </c>
      <c r="C24" s="35" t="s">
        <v>10</v>
      </c>
      <c r="D24" s="35" t="s">
        <v>11</v>
      </c>
      <c r="E24" s="21">
        <v>40</v>
      </c>
      <c r="F24" s="21">
        <v>90</v>
      </c>
      <c r="G24" s="35" t="s">
        <v>110</v>
      </c>
      <c r="H24" s="1"/>
      <c r="K24" s="5" t="s">
        <v>7</v>
      </c>
      <c r="L24" s="5" t="s">
        <v>8</v>
      </c>
    </row>
    <row r="25" spans="1:12" ht="15.6" x14ac:dyDescent="0.3">
      <c r="A25" s="117">
        <v>1</v>
      </c>
      <c r="C25" s="16">
        <f t="shared" ref="C25" si="4">J25</f>
        <v>1</v>
      </c>
      <c r="D25" s="16"/>
      <c r="E25" s="16">
        <f>K25+E$24</f>
        <v>487</v>
      </c>
      <c r="F25" s="16">
        <f>L25+$F$24</f>
        <v>393</v>
      </c>
      <c r="G25" s="121" t="str">
        <f>G34</f>
        <v>NATURAL ELM 1499 MT</v>
      </c>
      <c r="H25" s="1"/>
      <c r="J25" s="3">
        <v>1</v>
      </c>
      <c r="K25" s="4">
        <f>E34</f>
        <v>447</v>
      </c>
      <c r="L25" s="4">
        <f>F34</f>
        <v>303</v>
      </c>
    </row>
    <row r="26" spans="1:12" ht="15.6" x14ac:dyDescent="0.3">
      <c r="A26" s="117">
        <v>2</v>
      </c>
      <c r="C26" s="16">
        <v>1</v>
      </c>
      <c r="D26" s="16"/>
      <c r="E26" s="16">
        <f t="shared" ref="E26:E29" si="5">K26+E$24</f>
        <v>640</v>
      </c>
      <c r="F26" s="16">
        <f t="shared" ref="F26:F29" si="6">L26+$F$24</f>
        <v>487</v>
      </c>
      <c r="G26" s="121" t="str">
        <f>G35</f>
        <v>NATURAL ELM 1499 MT</v>
      </c>
      <c r="H26" s="1"/>
      <c r="J26" s="3">
        <v>1</v>
      </c>
      <c r="K26" s="4">
        <f>E35</f>
        <v>600</v>
      </c>
      <c r="L26" s="4">
        <f t="shared" ref="L26:L29" si="7">F35</f>
        <v>397</v>
      </c>
    </row>
    <row r="27" spans="1:12" ht="15.6" x14ac:dyDescent="0.3">
      <c r="A27" s="117">
        <v>3</v>
      </c>
      <c r="C27" s="16">
        <f t="shared" ref="C27:C29" si="8">J27</f>
        <v>1</v>
      </c>
      <c r="D27" s="16"/>
      <c r="E27" s="16">
        <f t="shared" si="5"/>
        <v>640</v>
      </c>
      <c r="F27" s="16">
        <f t="shared" si="6"/>
        <v>503</v>
      </c>
      <c r="G27" s="121" t="str">
        <f>G35</f>
        <v>NATURAL ELM 1499 MT</v>
      </c>
      <c r="H27" s="1"/>
      <c r="J27" s="3">
        <v>1</v>
      </c>
      <c r="K27" s="4">
        <f>E36</f>
        <v>600</v>
      </c>
      <c r="L27" s="4">
        <f t="shared" si="7"/>
        <v>413</v>
      </c>
    </row>
    <row r="28" spans="1:12" ht="15.6" x14ac:dyDescent="0.3">
      <c r="A28" s="117">
        <v>4</v>
      </c>
      <c r="C28" s="16">
        <f t="shared" si="8"/>
        <v>1</v>
      </c>
      <c r="D28" s="16"/>
      <c r="E28" s="16">
        <f t="shared" si="5"/>
        <v>745</v>
      </c>
      <c r="F28" s="16">
        <f t="shared" si="6"/>
        <v>480</v>
      </c>
      <c r="G28" s="121" t="str">
        <f t="shared" ref="G28:G29" si="9">G37</f>
        <v>NATURAL ELM 1499 MT</v>
      </c>
      <c r="H28" s="1"/>
      <c r="J28" s="3">
        <f t="shared" ref="J28:J29" si="10">C37</f>
        <v>1</v>
      </c>
      <c r="K28" s="4">
        <f>E37</f>
        <v>705</v>
      </c>
      <c r="L28" s="4">
        <f t="shared" si="7"/>
        <v>390</v>
      </c>
    </row>
    <row r="29" spans="1:12" ht="15.6" x14ac:dyDescent="0.3">
      <c r="A29" s="117">
        <v>5</v>
      </c>
      <c r="C29" s="16">
        <f t="shared" si="8"/>
        <v>2</v>
      </c>
      <c r="D29" s="16"/>
      <c r="E29" s="16">
        <f t="shared" si="5"/>
        <v>745</v>
      </c>
      <c r="F29" s="16">
        <f t="shared" si="6"/>
        <v>532</v>
      </c>
      <c r="G29" s="121" t="str">
        <f t="shared" si="9"/>
        <v>NATURAL ELM 1499 MT</v>
      </c>
      <c r="H29" s="1"/>
      <c r="J29" s="3">
        <f t="shared" si="10"/>
        <v>2</v>
      </c>
      <c r="K29" s="4">
        <f>E38</f>
        <v>705</v>
      </c>
      <c r="L29" s="4">
        <f t="shared" si="7"/>
        <v>442</v>
      </c>
    </row>
    <row r="30" spans="1:12" ht="16.2" thickBot="1" x14ac:dyDescent="0.35">
      <c r="B30" s="50"/>
      <c r="C30" s="6"/>
      <c r="D30" s="6"/>
      <c r="E30" s="6"/>
      <c r="F30" s="6"/>
      <c r="G30" s="6"/>
      <c r="H30" s="1"/>
      <c r="J30" s="2"/>
      <c r="K30" s="2"/>
      <c r="L30" s="2"/>
    </row>
    <row r="31" spans="1:12" ht="16.2" thickBot="1" x14ac:dyDescent="0.35">
      <c r="B31" s="50"/>
      <c r="C31" s="22" t="s">
        <v>107</v>
      </c>
      <c r="D31" s="23"/>
      <c r="E31" s="23"/>
      <c r="F31" s="23"/>
      <c r="G31" s="24"/>
      <c r="H31" s="1"/>
      <c r="J31" s="2"/>
      <c r="K31" s="2"/>
      <c r="L31" s="2"/>
    </row>
    <row r="32" spans="1:12" ht="10.5" customHeight="1" x14ac:dyDescent="0.3">
      <c r="B32" s="1"/>
      <c r="C32" s="1"/>
      <c r="D32" s="1"/>
      <c r="E32" s="1"/>
      <c r="F32" s="1"/>
      <c r="G32" s="1"/>
      <c r="H32" s="1"/>
    </row>
    <row r="33" spans="1:11" ht="15.6" x14ac:dyDescent="0.3">
      <c r="B33" s="50" t="s">
        <v>9</v>
      </c>
      <c r="C33" s="86" t="s">
        <v>10</v>
      </c>
      <c r="D33" s="86" t="s">
        <v>110</v>
      </c>
      <c r="E33" s="86" t="s">
        <v>7</v>
      </c>
      <c r="F33" s="86" t="s">
        <v>8</v>
      </c>
      <c r="G33" s="86" t="s">
        <v>23</v>
      </c>
      <c r="H33" s="1"/>
      <c r="K33">
        <v>300</v>
      </c>
    </row>
    <row r="34" spans="1:11" ht="15.6" x14ac:dyDescent="0.3">
      <c r="A34" s="2">
        <v>1</v>
      </c>
      <c r="B34" s="92" t="s">
        <v>138</v>
      </c>
      <c r="C34" s="25">
        <f>C59</f>
        <v>2</v>
      </c>
      <c r="D34" s="98" t="str">
        <f t="shared" ref="D34:G34" si="11">D59</f>
        <v>PR6</v>
      </c>
      <c r="E34" s="25">
        <f t="shared" si="11"/>
        <v>447</v>
      </c>
      <c r="F34" s="25">
        <f t="shared" si="11"/>
        <v>303</v>
      </c>
      <c r="G34" s="25" t="str">
        <f t="shared" si="11"/>
        <v>NATURAL ELM 1499 MT</v>
      </c>
      <c r="H34" s="1"/>
      <c r="K34">
        <v>12</v>
      </c>
    </row>
    <row r="35" spans="1:11" ht="15.6" x14ac:dyDescent="0.3">
      <c r="A35" s="2">
        <v>2</v>
      </c>
      <c r="B35" s="92"/>
      <c r="C35" s="25">
        <f t="shared" ref="C35:G35" si="12">C60</f>
        <v>1</v>
      </c>
      <c r="D35" s="98" t="str">
        <f t="shared" si="12"/>
        <v>PR6</v>
      </c>
      <c r="E35" s="25">
        <f t="shared" si="12"/>
        <v>600</v>
      </c>
      <c r="F35" s="25">
        <f t="shared" si="12"/>
        <v>397</v>
      </c>
      <c r="G35" s="25" t="str">
        <f t="shared" si="12"/>
        <v>NATURAL ELM 1499 MT</v>
      </c>
      <c r="H35" s="1"/>
    </row>
    <row r="36" spans="1:11" ht="15.6" x14ac:dyDescent="0.3">
      <c r="A36" s="2">
        <v>3</v>
      </c>
      <c r="B36" s="92"/>
      <c r="C36" s="25">
        <f t="shared" ref="C36:G36" si="13">C61</f>
        <v>1</v>
      </c>
      <c r="D36" s="98" t="str">
        <f t="shared" si="13"/>
        <v>PR6</v>
      </c>
      <c r="E36" s="25">
        <f t="shared" si="13"/>
        <v>600</v>
      </c>
      <c r="F36" s="25">
        <f t="shared" si="13"/>
        <v>413</v>
      </c>
      <c r="G36" s="25" t="str">
        <f t="shared" si="13"/>
        <v>NATURAL ELM 1499 MT</v>
      </c>
      <c r="H36" s="1"/>
    </row>
    <row r="37" spans="1:11" ht="15.6" x14ac:dyDescent="0.3">
      <c r="A37" s="2">
        <v>4</v>
      </c>
      <c r="B37" s="92"/>
      <c r="C37" s="25">
        <f t="shared" ref="C37:G37" si="14">C62</f>
        <v>1</v>
      </c>
      <c r="D37" s="98" t="str">
        <f t="shared" si="14"/>
        <v>PR6</v>
      </c>
      <c r="E37" s="25">
        <f t="shared" si="14"/>
        <v>705</v>
      </c>
      <c r="F37" s="25">
        <f t="shared" si="14"/>
        <v>390</v>
      </c>
      <c r="G37" s="25" t="str">
        <f t="shared" si="14"/>
        <v>NATURAL ELM 1499 MT</v>
      </c>
      <c r="H37" s="1"/>
    </row>
    <row r="38" spans="1:11" ht="15.6" x14ac:dyDescent="0.3">
      <c r="A38" s="2">
        <v>5</v>
      </c>
      <c r="B38" s="92"/>
      <c r="C38" s="25">
        <f t="shared" ref="C38:G38" si="15">C63</f>
        <v>2</v>
      </c>
      <c r="D38" s="98" t="str">
        <f t="shared" si="15"/>
        <v>PR6</v>
      </c>
      <c r="E38" s="25">
        <f t="shared" si="15"/>
        <v>705</v>
      </c>
      <c r="F38" s="25">
        <f t="shared" si="15"/>
        <v>442</v>
      </c>
      <c r="G38" s="25" t="str">
        <f t="shared" si="15"/>
        <v>NATURAL ELM 1499 MT</v>
      </c>
      <c r="H38" s="1"/>
    </row>
    <row r="39" spans="1:11" ht="15.6" x14ac:dyDescent="0.3">
      <c r="B39" s="1"/>
      <c r="C39" s="6"/>
      <c r="D39" s="6"/>
      <c r="E39" s="6"/>
      <c r="F39" s="6"/>
      <c r="G39" s="6"/>
      <c r="H39" s="1"/>
    </row>
    <row r="40" spans="1:11" ht="15.6" x14ac:dyDescent="0.3">
      <c r="B40" s="1"/>
      <c r="C40" s="6"/>
      <c r="D40" s="6"/>
      <c r="E40" s="6"/>
      <c r="F40" s="6"/>
      <c r="G40" s="6"/>
      <c r="H40" s="1"/>
    </row>
    <row r="41" spans="1:11" ht="15.6" x14ac:dyDescent="0.3">
      <c r="B41" s="1"/>
      <c r="C41" s="6"/>
      <c r="D41" s="6"/>
      <c r="E41" s="6"/>
      <c r="F41" s="6"/>
      <c r="G41" s="6"/>
      <c r="H41" s="1"/>
    </row>
    <row r="42" spans="1:11" ht="15.6" x14ac:dyDescent="0.3">
      <c r="B42" s="1"/>
      <c r="C42" s="6"/>
      <c r="D42" s="6"/>
      <c r="E42" s="6"/>
      <c r="F42" s="6"/>
      <c r="G42" s="6"/>
      <c r="H42" s="1"/>
    </row>
    <row r="43" spans="1:11" ht="15.6" x14ac:dyDescent="0.3">
      <c r="B43" s="1"/>
      <c r="C43" s="6"/>
      <c r="D43" s="6"/>
      <c r="E43" s="6"/>
      <c r="F43" s="6"/>
      <c r="G43" s="6"/>
      <c r="H43" s="1"/>
    </row>
    <row r="44" spans="1:11" ht="15.6" x14ac:dyDescent="0.3">
      <c r="B44" s="1"/>
      <c r="C44" s="6"/>
      <c r="D44" s="6"/>
      <c r="E44" s="6"/>
      <c r="F44" s="6"/>
      <c r="G44" s="6"/>
      <c r="H44" s="1"/>
    </row>
    <row r="45" spans="1:11" ht="15.6" x14ac:dyDescent="0.3">
      <c r="B45" s="1"/>
      <c r="C45" s="6"/>
      <c r="D45" s="6"/>
      <c r="E45" s="6"/>
      <c r="F45" s="6"/>
      <c r="G45" s="6"/>
      <c r="H45" s="1"/>
    </row>
    <row r="46" spans="1:11" ht="15.6" x14ac:dyDescent="0.3">
      <c r="B46" s="1"/>
      <c r="C46" s="6"/>
      <c r="D46" s="6"/>
      <c r="E46" s="6"/>
      <c r="F46" s="6"/>
      <c r="G46" s="6"/>
      <c r="H46" s="1"/>
    </row>
    <row r="47" spans="1:11" ht="16.2" thickBot="1" x14ac:dyDescent="0.35">
      <c r="B47" s="1"/>
      <c r="C47" s="1"/>
      <c r="H47" s="1"/>
    </row>
    <row r="48" spans="1:11" ht="15.6" x14ac:dyDescent="0.3">
      <c r="B48" s="1"/>
      <c r="C48" s="1"/>
      <c r="D48" s="104" t="s">
        <v>27</v>
      </c>
      <c r="E48" s="105">
        <f>'4637'!G8</f>
        <v>7272</v>
      </c>
      <c r="F48" s="106"/>
      <c r="G48" s="107"/>
      <c r="H48" s="1"/>
    </row>
    <row r="49" spans="2:8" ht="15.6" x14ac:dyDescent="0.3">
      <c r="B49" s="1"/>
      <c r="C49" s="1"/>
      <c r="D49" s="108" t="s">
        <v>67</v>
      </c>
      <c r="E49" s="41" t="str">
        <f>'4637'!C10</f>
        <v>ALEX MATUS</v>
      </c>
      <c r="F49" s="42"/>
      <c r="G49" s="63"/>
      <c r="H49" s="1"/>
    </row>
    <row r="50" spans="2:8" ht="16.2" thickBot="1" x14ac:dyDescent="0.35">
      <c r="B50" s="1"/>
      <c r="C50" s="1"/>
      <c r="D50" s="109" t="str">
        <f>'4637'!F11</f>
        <v>FECHA LIMITE :</v>
      </c>
      <c r="E50" s="110">
        <f>'4637'!G11</f>
        <v>45843</v>
      </c>
      <c r="F50" s="111"/>
      <c r="G50" s="112"/>
      <c r="H50" s="1"/>
    </row>
    <row r="51" spans="2:8" ht="15.6" x14ac:dyDescent="0.3">
      <c r="B51" s="1"/>
      <c r="C51" s="1"/>
      <c r="H51" s="1"/>
    </row>
    <row r="52" spans="2:8" ht="17.25" customHeight="1" x14ac:dyDescent="0.3">
      <c r="B52" s="1"/>
      <c r="C52" s="1"/>
      <c r="H52" s="1"/>
    </row>
    <row r="53" spans="2:8" ht="4.5" customHeight="1" x14ac:dyDescent="0.3">
      <c r="B53" s="1"/>
      <c r="C53" s="1"/>
      <c r="D53" s="43"/>
      <c r="E53" s="44"/>
      <c r="F53" s="1"/>
      <c r="G53" s="1"/>
      <c r="H53" s="1"/>
    </row>
    <row r="54" spans="2:8" ht="15.6" x14ac:dyDescent="0.3">
      <c r="B54" s="1"/>
      <c r="C54" s="1"/>
      <c r="D54" s="1"/>
      <c r="E54" s="1"/>
      <c r="F54" s="1"/>
      <c r="G54" s="1"/>
      <c r="H54" s="1"/>
    </row>
    <row r="55" spans="2:8" ht="15.6" x14ac:dyDescent="0.3">
      <c r="B55" s="130" t="s">
        <v>68</v>
      </c>
      <c r="C55" s="130"/>
      <c r="D55" s="130"/>
      <c r="E55" s="130"/>
      <c r="F55" s="130"/>
      <c r="G55" s="130"/>
      <c r="H55" s="1"/>
    </row>
    <row r="56" spans="2:8" ht="15.6" x14ac:dyDescent="0.3">
      <c r="B56" s="1"/>
      <c r="C56" s="1"/>
      <c r="D56" s="1"/>
      <c r="E56" s="1"/>
      <c r="F56" s="1"/>
      <c r="G56" s="1"/>
      <c r="H56" s="1"/>
    </row>
    <row r="57" spans="2:8" ht="15.75" customHeight="1" x14ac:dyDescent="0.3">
      <c r="B57" s="1"/>
      <c r="C57" s="131" t="s">
        <v>69</v>
      </c>
      <c r="D57" s="132"/>
      <c r="E57" s="133"/>
      <c r="F57" s="133"/>
      <c r="G57" s="134"/>
      <c r="H57" s="1"/>
    </row>
    <row r="58" spans="2:8" s="15" customFormat="1" ht="12.75" customHeight="1" x14ac:dyDescent="0.3">
      <c r="B58" s="1"/>
      <c r="C58" s="35" t="s">
        <v>10</v>
      </c>
      <c r="D58" s="45" t="s">
        <v>11</v>
      </c>
      <c r="E58" s="46" t="s">
        <v>7</v>
      </c>
      <c r="F58" s="46" t="s">
        <v>8</v>
      </c>
      <c r="G58" s="47" t="s">
        <v>12</v>
      </c>
      <c r="H58" s="1"/>
    </row>
    <row r="59" spans="2:8" s="15" customFormat="1" ht="15" customHeight="1" x14ac:dyDescent="0.3">
      <c r="B59" s="92" t="s">
        <v>138</v>
      </c>
      <c r="C59" s="37">
        <f>'4637'!B21</f>
        <v>2</v>
      </c>
      <c r="D59" s="97" t="str">
        <f>'4637'!C21</f>
        <v>PR6</v>
      </c>
      <c r="E59" s="38">
        <f>'4637'!D21</f>
        <v>447</v>
      </c>
      <c r="F59" s="38">
        <f>'4637'!E21</f>
        <v>303</v>
      </c>
      <c r="G59" s="99" t="str">
        <f>'4637'!F21</f>
        <v>NATURAL ELM 1499 MT</v>
      </c>
      <c r="H59" s="1"/>
    </row>
    <row r="60" spans="2:8" s="15" customFormat="1" ht="15" customHeight="1" x14ac:dyDescent="0.3">
      <c r="B60" s="92"/>
      <c r="C60" s="37">
        <f>'4637'!B22</f>
        <v>1</v>
      </c>
      <c r="D60" s="97" t="str">
        <f>'4637'!C22</f>
        <v>PR6</v>
      </c>
      <c r="E60" s="38">
        <f>'4637'!D22</f>
        <v>600</v>
      </c>
      <c r="F60" s="38">
        <f>'4637'!E22</f>
        <v>397</v>
      </c>
      <c r="G60" s="99" t="str">
        <f>'4637'!F22</f>
        <v>NATURAL ELM 1499 MT</v>
      </c>
      <c r="H60" s="1"/>
    </row>
    <row r="61" spans="2:8" s="15" customFormat="1" ht="15" customHeight="1" x14ac:dyDescent="0.3">
      <c r="B61" s="92"/>
      <c r="C61" s="37">
        <f>'4637'!B23</f>
        <v>1</v>
      </c>
      <c r="D61" s="97" t="str">
        <f>'4637'!C23</f>
        <v>PR6</v>
      </c>
      <c r="E61" s="38">
        <f>'4637'!D23</f>
        <v>600</v>
      </c>
      <c r="F61" s="38">
        <f>'4637'!E23</f>
        <v>413</v>
      </c>
      <c r="G61" s="99" t="str">
        <f>'4637'!F23</f>
        <v>NATURAL ELM 1499 MT</v>
      </c>
      <c r="H61" s="1"/>
    </row>
    <row r="62" spans="2:8" s="15" customFormat="1" ht="15" customHeight="1" x14ac:dyDescent="0.3">
      <c r="B62" s="92"/>
      <c r="C62" s="37">
        <f>'4637'!B24</f>
        <v>1</v>
      </c>
      <c r="D62" s="97" t="str">
        <f>'4637'!C24</f>
        <v>PR6</v>
      </c>
      <c r="E62" s="38">
        <f>'4637'!D24</f>
        <v>705</v>
      </c>
      <c r="F62" s="38">
        <f>'4637'!E24</f>
        <v>390</v>
      </c>
      <c r="G62" s="99" t="str">
        <f>'4637'!F24</f>
        <v>NATURAL ELM 1499 MT</v>
      </c>
      <c r="H62" s="1"/>
    </row>
    <row r="63" spans="2:8" s="15" customFormat="1" ht="15" customHeight="1" x14ac:dyDescent="0.3">
      <c r="B63" s="92"/>
      <c r="C63" s="37">
        <f>'4637'!B25</f>
        <v>2</v>
      </c>
      <c r="D63" s="97" t="str">
        <f>'4637'!C25</f>
        <v>PR6</v>
      </c>
      <c r="E63" s="38">
        <f>'4637'!D25</f>
        <v>705</v>
      </c>
      <c r="F63" s="38">
        <f>'4637'!E25</f>
        <v>442</v>
      </c>
      <c r="G63" s="99" t="str">
        <f>'4637'!F25</f>
        <v>NATURAL ELM 1499 MT</v>
      </c>
      <c r="H63" s="1"/>
    </row>
    <row r="64" spans="2:8" s="15" customFormat="1" ht="15" customHeight="1" x14ac:dyDescent="0.3">
      <c r="B64" s="48"/>
      <c r="C64" s="50"/>
      <c r="D64" s="50"/>
      <c r="E64" s="50"/>
      <c r="F64" s="50"/>
      <c r="G64" s="50"/>
      <c r="H64" s="1"/>
    </row>
    <row r="65" spans="2:8" ht="15.6" x14ac:dyDescent="0.3">
      <c r="B65" s="6"/>
      <c r="C65" s="6"/>
      <c r="D65" s="1"/>
      <c r="E65" s="6"/>
      <c r="F65" s="6"/>
      <c r="G65" s="43"/>
      <c r="H65" s="1"/>
    </row>
    <row r="66" spans="2:8" ht="15.6" x14ac:dyDescent="0.3">
      <c r="B66" s="6"/>
      <c r="C66" s="6"/>
      <c r="D66" s="1"/>
      <c r="E66" s="6"/>
      <c r="F66" s="6"/>
      <c r="G66" s="6"/>
      <c r="H66" s="1"/>
    </row>
    <row r="67" spans="2:8" ht="15.6" x14ac:dyDescent="0.3">
      <c r="B67" s="1"/>
      <c r="C67" s="1"/>
      <c r="D67" s="1"/>
      <c r="E67" s="1"/>
      <c r="F67" s="1"/>
      <c r="G67" s="1"/>
      <c r="H67" s="1"/>
    </row>
    <row r="68" spans="2:8" ht="15.6" x14ac:dyDescent="0.3">
      <c r="B68" s="1"/>
      <c r="C68" s="1"/>
      <c r="D68" s="1"/>
      <c r="E68" s="1"/>
      <c r="F68" s="1"/>
      <c r="G68" s="1"/>
      <c r="H68" s="1"/>
    </row>
    <row r="69" spans="2:8" ht="15.6" x14ac:dyDescent="0.3">
      <c r="B69" s="1"/>
      <c r="C69" s="1"/>
      <c r="D69" s="1"/>
      <c r="E69" s="1"/>
      <c r="F69" s="1"/>
      <c r="G69" s="1"/>
      <c r="H69" s="1"/>
    </row>
    <row r="70" spans="2:8" ht="15" customHeight="1" x14ac:dyDescent="0.3">
      <c r="B70" s="1"/>
      <c r="C70" s="1"/>
      <c r="D70" s="1"/>
      <c r="E70" s="1"/>
      <c r="F70" s="1"/>
      <c r="G70" s="1"/>
      <c r="H70" s="1"/>
    </row>
    <row r="71" spans="2:8" ht="15.6" x14ac:dyDescent="0.3">
      <c r="B71" s="1"/>
      <c r="C71" s="1"/>
      <c r="D71" s="1"/>
      <c r="E71" s="1"/>
      <c r="F71" s="1"/>
      <c r="G71" s="1"/>
      <c r="H71" s="1"/>
    </row>
    <row r="72" spans="2:8" ht="15.6" x14ac:dyDescent="0.3">
      <c r="B72" s="6"/>
      <c r="C72" s="49"/>
      <c r="D72" s="1"/>
      <c r="E72" s="1"/>
      <c r="F72" s="1"/>
      <c r="G72" s="1"/>
      <c r="H72" s="1"/>
    </row>
    <row r="73" spans="2:8" ht="15.6" x14ac:dyDescent="0.3">
      <c r="B73" s="1"/>
      <c r="C73" s="1"/>
      <c r="D73" s="1"/>
      <c r="E73" s="1"/>
      <c r="F73" s="1"/>
      <c r="G73" s="1"/>
      <c r="H73" s="1"/>
    </row>
    <row r="74" spans="2:8" x14ac:dyDescent="0.3">
      <c r="C74" s="20"/>
      <c r="D74" s="20"/>
      <c r="E74" s="20"/>
      <c r="F74" s="20"/>
      <c r="G74" s="20"/>
    </row>
    <row r="75" spans="2:8" x14ac:dyDescent="0.3">
      <c r="C75" s="20"/>
      <c r="D75" s="20"/>
      <c r="F75" s="20"/>
      <c r="G75" s="20"/>
    </row>
  </sheetData>
  <mergeCells count="6">
    <mergeCell ref="N3:O3"/>
    <mergeCell ref="B21:G21"/>
    <mergeCell ref="B10:G10"/>
    <mergeCell ref="B55:G55"/>
    <mergeCell ref="C57:G57"/>
    <mergeCell ref="L3:M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2025-08-29T12:48:27Z</cp:lastPrinted>
  <dcterms:created xsi:type="dcterms:W3CDTF">2013-03-19T12:54:14Z</dcterms:created>
  <dcterms:modified xsi:type="dcterms:W3CDTF">2025-08-29T12:49:07Z</dcterms:modified>
</cp:coreProperties>
</file>