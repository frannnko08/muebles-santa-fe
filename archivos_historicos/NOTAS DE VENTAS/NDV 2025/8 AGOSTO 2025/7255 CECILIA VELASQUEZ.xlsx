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A9E0A4FF-5610-42B3-BE2C-6CDC93C0C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3" l="1"/>
  <c r="B30" i="3" s="1"/>
  <c r="C56" i="3"/>
  <c r="C30" i="3" s="1"/>
  <c r="D56" i="3"/>
  <c r="D30" i="3" s="1"/>
  <c r="E56" i="3"/>
  <c r="E30" i="3" s="1"/>
  <c r="F56" i="3"/>
  <c r="F30" i="3" s="1"/>
  <c r="H26" i="4"/>
  <c r="H23" i="4" l="1"/>
  <c r="B55" i="3"/>
  <c r="B29" i="3" s="1"/>
  <c r="I15" i="3" s="1"/>
  <c r="B15" i="3" s="1"/>
  <c r="C55" i="3"/>
  <c r="C29" i="3" s="1"/>
  <c r="D55" i="3"/>
  <c r="D29" i="3" s="1"/>
  <c r="J15" i="3" s="1"/>
  <c r="D15" i="3" s="1"/>
  <c r="E55" i="3"/>
  <c r="E29" i="3" s="1"/>
  <c r="K15" i="3" s="1"/>
  <c r="E15" i="3" s="1"/>
  <c r="F55" i="3"/>
  <c r="F29" i="3" s="1"/>
  <c r="F15" i="3" s="1"/>
  <c r="F54" i="3"/>
  <c r="F28" i="3" s="1"/>
  <c r="E54" i="3"/>
  <c r="E28" i="3" s="1"/>
  <c r="D54" i="3"/>
  <c r="D28" i="3" s="1"/>
  <c r="C54" i="3"/>
  <c r="C28" i="3" s="1"/>
  <c r="B54" i="3"/>
  <c r="B28" i="3" s="1"/>
  <c r="H22" i="4"/>
  <c r="H21" i="4"/>
  <c r="H27" i="4" s="1"/>
  <c r="H28" i="4" s="1"/>
  <c r="K23" i="3" l="1"/>
  <c r="E23" i="3" s="1"/>
  <c r="F23" i="3"/>
  <c r="J23" i="3"/>
  <c r="D23" i="3" s="1"/>
  <c r="I23" i="3"/>
  <c r="B23" i="3" s="1"/>
  <c r="I22" i="3" l="1"/>
  <c r="J22" i="3"/>
  <c r="K22" i="3"/>
  <c r="E22" i="3" s="1"/>
  <c r="F22" i="3"/>
  <c r="D5" i="3"/>
  <c r="K14" i="3" l="1"/>
  <c r="E14" i="3" s="1"/>
  <c r="I14" i="3"/>
  <c r="F14" i="3"/>
  <c r="J14" i="3"/>
  <c r="D14" i="3" s="1"/>
  <c r="D22" i="3" l="1"/>
  <c r="B22" i="3"/>
  <c r="B14" i="3"/>
  <c r="N5" i="3" l="1"/>
  <c r="M5" i="3" l="1"/>
  <c r="L5" i="3"/>
  <c r="K5" i="3"/>
  <c r="C43" i="3" l="1"/>
  <c r="C7" i="3"/>
  <c r="D42" i="3"/>
  <c r="D43" i="3"/>
  <c r="D7" i="3"/>
  <c r="D41" i="3"/>
  <c r="D4" i="3"/>
</calcChain>
</file>

<file path=xl/sharedStrings.xml><?xml version="1.0" encoding="utf-8"?>
<sst xmlns="http://schemas.openxmlformats.org/spreadsheetml/2006/main" count="246" uniqueCount="141">
  <si>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</si>
  <si>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</si>
  <si>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</si>
  <si>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</si>
  <si>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</si>
  <si>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</si>
  <si>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</si>
  <si>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</si>
  <si>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</si>
  <si>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</si>
  <si>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</si>
  <si>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</si>
  <si>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</si>
  <si>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</si>
  <si>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</si>
  <si>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</si>
  <si>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</si>
  <si>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</si>
  <si>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</si>
  <si>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</si>
  <si>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</si>
  <si>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</si>
  <si>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</si>
  <si>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</si>
  <si>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</si>
  <si>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</si>
  <si>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</si>
  <si>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</si>
  <si>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</si>
  <si>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</si>
  <si>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</si>
  <si>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</si>
  <si>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</si>
  <si>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</si>
  <si>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</si>
  <si>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</si>
  <si>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</si>
  <si>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</si>
  <si>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</si>
  <si>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</si>
  <si>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</si>
  <si>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</si>
  <si>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</si>
  <si>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</si>
  <si>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</si>
  <si>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</si>
  <si>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</si>
  <si>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</si>
  <si>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</si>
  <si>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</si>
  <si>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</si>
  <si>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</si>
  <si>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</si>
  <si>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</si>
  <si>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</si>
  <si>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</si>
  <si>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</si>
  <si>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</si>
  <si>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</si>
  <si>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</si>
  <si>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</si>
  <si>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</si>
  <si>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</si>
  <si>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</si>
  <si>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</si>
  <si>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</si>
  <si>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</si>
  <si>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</si>
  <si>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</si>
  <si>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</si>
  <si>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</si>
  <si>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</si>
  <si>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</si>
  <si>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</si>
  <si>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</si>
  <si>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</si>
  <si>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</si>
  <si>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</si>
  <si>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</si>
  <si>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</si>
  <si>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</si>
  <si>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</si>
  <si>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</si>
  <si>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</si>
  <si>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</si>
  <si>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</si>
  <si>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</si>
  <si>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</si>
  <si>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</si>
  <si>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</si>
  <si>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</si>
  <si>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</si>
  <si>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</si>
  <si>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</si>
  <si>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</si>
  <si>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</si>
  <si>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</si>
  <si>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</si>
  <si>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</si>
  <si>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</si>
  <si>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</si>
  <si>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</si>
  <si>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</si>
  <si>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</si>
  <si>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</si>
  <si>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</si>
  <si>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</si>
  <si>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</si>
  <si>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</si>
  <si>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</si>
  <si>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</si>
  <si>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</si>
  <si>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</si>
  <si>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</si>
  <si>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</si>
  <si>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</si>
  <si>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</si>
  <si>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</si>
  <si>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</si>
  <si>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</si>
  <si>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</si>
  <si>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</si>
  <si>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</si>
  <si>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</si>
  <si>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</si>
  <si>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</si>
  <si>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</si>
  <si>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</si>
  <si>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</si>
  <si>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</si>
  <si>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</si>
  <si>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</si>
  <si>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</si>
  <si>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</si>
  <si>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</si>
  <si>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CECILIA VELASQUEZ</t>
  </si>
  <si>
    <t>CLASICC 3111 BR</t>
  </si>
  <si>
    <t>+569 8228 4128</t>
  </si>
  <si>
    <t>N° 11580</t>
  </si>
  <si>
    <t>CORNISA R8 1 LADO</t>
  </si>
  <si>
    <t>CORTE 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</si>
</sst>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42" fontId="3" fillId="0" borderId="2" xfId="3" applyFont="1" applyFill="1" applyBorder="1" applyAlignment="1">
      <alignment horizontal="center" vertical="center"/>
    </xf>
    <xf numFmtId="42" fontId="3" fillId="0" borderId="31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165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$ 35.000.-</a:t>
          </a:r>
        </a:p>
        <a:p>
          <a:pPr algn="l"/>
          <a:r>
            <a:rPr lang="es-CL" sz="900" b="1" i="1" baseline="0"/>
            <a:t> SALDO $ 36.651.-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2392680</xdr:colOff>
      <xdr:row>50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5</xdr:col>
      <xdr:colOff>2392680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DE 2,20 VA SOBRE MEDIDA AL LADO IZQ MIRANDOLA DESDE EL FRENTE Y CUBIERTA DE 1,33 VA CORTADA A LA MEDIDA Y ENCHAPADA AL LADO DER MIRANDOLA DESDE EL FRENTE , LLEVA CORTE 45°</a:t>
          </a:r>
          <a:endParaRPr lang="es-CL">
            <a:effectLst/>
          </a:endParaRPr>
        </a:p>
        <a:p>
          <a:endParaRPr lang="es-CL">
            <a:effectLst/>
          </a:endParaRP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5</xdr:col>
      <xdr:colOff>2392680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LA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DE 2,20 VA SOBRE MEDIDA AL LADO IZQ MIRANDOLA DESDE EL FRENTE Y CUBIERTA DE 1,33 VA CORTADA A LA MEDIDA Y ENCHAPADA AL LADO DER MIRANDOLA DESDE EL FRENTE , LLEVA CORTE 45°</a:t>
          </a:r>
          <a:endParaRPr lang="es-CL">
            <a:effectLst/>
          </a:endParaRPr>
        </a:p>
        <a:p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44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7" workbookViewId="0">
      <selection activeCell="N27" sqref="N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6.4414062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138</v>
      </c>
      <c r="E8" s="1"/>
      <c r="F8" s="91" t="s">
        <v>27</v>
      </c>
      <c r="G8" s="92">
        <v>7255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135</v>
      </c>
      <c r="D10" s="54"/>
      <c r="E10" s="54"/>
      <c r="F10" s="55" t="s">
        <v>28</v>
      </c>
      <c r="G10" s="56">
        <v>45880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05"/>
      <c r="D11" s="59"/>
      <c r="E11" s="59"/>
      <c r="F11" s="59" t="s">
        <v>124</v>
      </c>
      <c r="G11" s="60">
        <v>45882</v>
      </c>
      <c r="H11" s="61"/>
      <c r="I11" s="1"/>
    </row>
    <row r="12" spans="1:17" ht="16.8" x14ac:dyDescent="0.4">
      <c r="A12" s="1"/>
      <c r="B12" s="62" t="s">
        <v>129</v>
      </c>
      <c r="C12" s="102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25" t="s">
        <v>137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3"/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4" t="s">
        <v>134</v>
      </c>
      <c r="D16" s="68"/>
      <c r="E16" s="69"/>
      <c r="F16" s="128" t="s">
        <v>18</v>
      </c>
      <c r="G16" s="128"/>
      <c r="H16" s="12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30" t="s">
        <v>19</v>
      </c>
      <c r="C19" s="131"/>
      <c r="D19" s="131"/>
      <c r="E19" s="131"/>
      <c r="F19" s="131"/>
      <c r="G19" s="131"/>
      <c r="H19" s="132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6.2" thickBot="1" x14ac:dyDescent="0.35">
      <c r="A21" s="1"/>
      <c r="B21" s="115">
        <v>1</v>
      </c>
      <c r="C21" s="116" t="s">
        <v>139</v>
      </c>
      <c r="D21" s="116">
        <v>1330</v>
      </c>
      <c r="E21" s="116">
        <v>170</v>
      </c>
      <c r="F21" s="116" t="s">
        <v>136</v>
      </c>
      <c r="G21" s="119">
        <v>17747</v>
      </c>
      <c r="H21" s="120">
        <f>G21*B21</f>
        <v>17747</v>
      </c>
      <c r="I21" s="1"/>
    </row>
    <row r="22" spans="1:16" ht="15.6" x14ac:dyDescent="0.3">
      <c r="A22" s="1"/>
      <c r="B22" s="117">
        <v>1</v>
      </c>
      <c r="C22" s="116" t="s">
        <v>139</v>
      </c>
      <c r="D22" s="118">
        <v>2200</v>
      </c>
      <c r="E22" s="118">
        <v>170</v>
      </c>
      <c r="F22" s="118" t="s">
        <v>136</v>
      </c>
      <c r="G22" s="121">
        <v>27464</v>
      </c>
      <c r="H22" s="122">
        <f>G22*B22</f>
        <v>27464</v>
      </c>
      <c r="I22" s="1"/>
    </row>
    <row r="23" spans="1:16" ht="18" customHeight="1" x14ac:dyDescent="0.3">
      <c r="A23" s="1"/>
      <c r="B23" s="101">
        <v>2</v>
      </c>
      <c r="C23" s="101" t="s">
        <v>140</v>
      </c>
      <c r="D23" s="126"/>
      <c r="E23" s="126"/>
      <c r="F23" s="127"/>
      <c r="G23" s="127">
        <v>7500</v>
      </c>
      <c r="H23" s="121">
        <f>G23*B23</f>
        <v>15000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4"/>
      <c r="C24" s="94"/>
      <c r="D24" s="94"/>
      <c r="E24" s="94"/>
      <c r="F24" s="95"/>
      <c r="G24" s="96"/>
      <c r="H24" s="96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SUM(H21:H23)</f>
        <v>60211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H26*0.19</f>
        <v>11440.09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71651.09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1"/>
      <c r="H29" s="97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1" t="s">
        <v>123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81" t="s">
        <v>122</v>
      </c>
      <c r="C32" s="82"/>
      <c r="D32" s="83"/>
      <c r="E32" s="83"/>
      <c r="F32" s="73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4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31</v>
      </c>
      <c r="C2" s="133"/>
      <c r="D2" s="133"/>
      <c r="E2" s="18"/>
      <c r="G2" s="133" t="s">
        <v>70</v>
      </c>
      <c r="H2" s="133"/>
      <c r="I2" s="133"/>
      <c r="P2" s="134" t="s">
        <v>58</v>
      </c>
      <c r="Q2" s="134"/>
      <c r="R2" s="13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4" t="s">
        <v>58</v>
      </c>
      <c r="M8" s="134"/>
      <c r="N8" s="13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zoomScaleNormal="100" workbookViewId="0">
      <selection activeCell="A16" sqref="A16:XFD1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5" t="s">
        <v>61</v>
      </c>
      <c r="L3" s="135"/>
      <c r="M3" s="135" t="s">
        <v>14</v>
      </c>
      <c r="N3" s="135"/>
    </row>
    <row r="4" spans="1:14" ht="15.75" customHeight="1" x14ac:dyDescent="0.3">
      <c r="A4" s="1"/>
      <c r="B4" s="1"/>
      <c r="C4" s="40" t="s">
        <v>27</v>
      </c>
      <c r="D4" s="14">
        <f>'4637'!G8</f>
        <v>7255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CECILIA VELASQUEZ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45882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6" t="s">
        <v>61</v>
      </c>
      <c r="B10" s="136"/>
      <c r="C10" s="136"/>
      <c r="D10" s="136"/>
      <c r="E10" s="136"/>
      <c r="F10" s="13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131</v>
      </c>
      <c r="B14" s="25">
        <f>I14</f>
        <v>1</v>
      </c>
      <c r="C14" s="16"/>
      <c r="D14" s="25">
        <f>J14+D$13</f>
        <v>1410</v>
      </c>
      <c r="E14" s="35">
        <f>K14+$E$13</f>
        <v>170</v>
      </c>
      <c r="F14" s="99" t="str">
        <f>F28</f>
        <v>CLASICC 3111 BR</v>
      </c>
      <c r="G14" s="1"/>
      <c r="I14" s="3">
        <f>B28</f>
        <v>1</v>
      </c>
      <c r="J14" s="4">
        <f>D28</f>
        <v>1330</v>
      </c>
      <c r="K14" s="4">
        <f>E28</f>
        <v>170</v>
      </c>
    </row>
    <row r="15" spans="1:14" ht="15.6" x14ac:dyDescent="0.3">
      <c r="A15" s="93"/>
      <c r="B15" s="25">
        <f t="shared" ref="B15" si="0">I15</f>
        <v>1</v>
      </c>
      <c r="C15" s="16"/>
      <c r="D15" s="25">
        <f>J15+D$13</f>
        <v>2280</v>
      </c>
      <c r="E15" s="35">
        <f t="shared" ref="E15" si="1">K15+$E$13</f>
        <v>170</v>
      </c>
      <c r="F15" s="99" t="str">
        <f t="shared" ref="F15" si="2">F29</f>
        <v>CLASICC 3111 BR</v>
      </c>
      <c r="G15" s="1"/>
      <c r="I15" s="3">
        <f t="shared" ref="I15" si="3">B29</f>
        <v>1</v>
      </c>
      <c r="J15" s="4">
        <f t="shared" ref="J15:K15" si="4">D29</f>
        <v>2200</v>
      </c>
      <c r="K15" s="4">
        <f t="shared" si="4"/>
        <v>170</v>
      </c>
    </row>
    <row r="16" spans="1:14" x14ac:dyDescent="0.3">
      <c r="A16" s="93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6" t="s">
        <v>14</v>
      </c>
      <c r="B18" s="136"/>
      <c r="C18" s="136"/>
      <c r="D18" s="136"/>
      <c r="E18" s="136"/>
      <c r="F18" s="13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5">I22</f>
        <v>1</v>
      </c>
      <c r="C22" s="16"/>
      <c r="D22" s="16">
        <f>J22+D$21</f>
        <v>1370</v>
      </c>
      <c r="E22" s="16">
        <f>K22+$E$21</f>
        <v>230</v>
      </c>
      <c r="F22" s="100" t="str">
        <f>F28</f>
        <v>CLASICC 3111 BR</v>
      </c>
      <c r="G22" s="1"/>
      <c r="I22" s="3">
        <f>B28</f>
        <v>1</v>
      </c>
      <c r="J22" s="4">
        <f>D28</f>
        <v>1330</v>
      </c>
      <c r="K22" s="4">
        <f>E28</f>
        <v>170</v>
      </c>
    </row>
    <row r="23" spans="1:11" ht="15.6" x14ac:dyDescent="0.3">
      <c r="A23" s="93"/>
      <c r="B23" s="16">
        <f t="shared" ref="B23" si="6">I23</f>
        <v>1</v>
      </c>
      <c r="C23" s="16"/>
      <c r="D23" s="16">
        <f>J23+D$21</f>
        <v>2240</v>
      </c>
      <c r="E23" s="16">
        <f>K23+$E$21</f>
        <v>230</v>
      </c>
      <c r="F23" s="100" t="str">
        <f>F29</f>
        <v>CLASICC 3111 BR</v>
      </c>
      <c r="G23" s="1"/>
      <c r="I23" s="3">
        <f t="shared" ref="I23" si="7">B29</f>
        <v>1</v>
      </c>
      <c r="J23" s="4">
        <f t="shared" ref="J23:K23" si="8">D29</f>
        <v>2200</v>
      </c>
      <c r="K23" s="4">
        <f t="shared" si="8"/>
        <v>170</v>
      </c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3" t="s">
        <v>131</v>
      </c>
      <c r="B28" s="25">
        <f>B54</f>
        <v>1</v>
      </c>
      <c r="C28" s="25" t="str">
        <f t="shared" ref="C28:F28" si="9">C54</f>
        <v>CORNISA R8 1 LADO</v>
      </c>
      <c r="D28" s="25">
        <f t="shared" si="9"/>
        <v>1330</v>
      </c>
      <c r="E28" s="25">
        <f t="shared" si="9"/>
        <v>170</v>
      </c>
      <c r="F28" s="25" t="str">
        <f t="shared" si="9"/>
        <v>CLASICC 3111 BR</v>
      </c>
      <c r="G28" s="1"/>
    </row>
    <row r="29" spans="1:11" ht="15.6" x14ac:dyDescent="0.3">
      <c r="A29" s="93"/>
      <c r="B29" s="25">
        <f t="shared" ref="B29:F30" si="10">B55</f>
        <v>1</v>
      </c>
      <c r="C29" s="25" t="str">
        <f t="shared" si="10"/>
        <v>CORNISA R8 1 LADO</v>
      </c>
      <c r="D29" s="25">
        <f t="shared" si="10"/>
        <v>2200</v>
      </c>
      <c r="E29" s="25">
        <f t="shared" si="10"/>
        <v>170</v>
      </c>
      <c r="F29" s="25" t="str">
        <f t="shared" si="10"/>
        <v>CLASICC 3111 BR</v>
      </c>
      <c r="G29" s="1"/>
    </row>
    <row r="30" spans="1:11" ht="15.6" x14ac:dyDescent="0.3">
      <c r="A30" s="93"/>
      <c r="B30" s="25">
        <f t="shared" si="10"/>
        <v>2</v>
      </c>
      <c r="C30" s="25" t="str">
        <f t="shared" si="10"/>
        <v>CORTE 45°</v>
      </c>
      <c r="D30" s="25">
        <f t="shared" si="10"/>
        <v>0</v>
      </c>
      <c r="E30" s="25">
        <f t="shared" si="10"/>
        <v>0</v>
      </c>
      <c r="F30" s="25">
        <f t="shared" si="10"/>
        <v>0</v>
      </c>
      <c r="G30" s="1"/>
    </row>
    <row r="31" spans="1:11" ht="15.6" x14ac:dyDescent="0.3">
      <c r="A31" s="93"/>
      <c r="B31" s="6"/>
      <c r="C31" s="123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6.2" thickBot="1" x14ac:dyDescent="0.35">
      <c r="A40" s="1"/>
      <c r="B40" s="1"/>
      <c r="G40" s="1"/>
    </row>
    <row r="41" spans="1:7" ht="15.6" x14ac:dyDescent="0.3">
      <c r="A41" s="1"/>
      <c r="B41" s="1"/>
      <c r="C41" s="106" t="s">
        <v>27</v>
      </c>
      <c r="D41" s="107">
        <f>'4637'!G8</f>
        <v>7255</v>
      </c>
      <c r="E41" s="108"/>
      <c r="F41" s="109"/>
      <c r="G41" s="1"/>
    </row>
    <row r="42" spans="1:7" ht="15.6" x14ac:dyDescent="0.3">
      <c r="A42" s="1"/>
      <c r="B42" s="1"/>
      <c r="C42" s="110" t="s">
        <v>67</v>
      </c>
      <c r="D42" s="42" t="str">
        <f>'4637'!C10</f>
        <v>CECILIA VELASQUEZ</v>
      </c>
      <c r="E42" s="43"/>
      <c r="F42" s="64"/>
      <c r="G42" s="1"/>
    </row>
    <row r="43" spans="1:7" ht="16.2" thickBot="1" x14ac:dyDescent="0.35">
      <c r="A43" s="1"/>
      <c r="B43" s="1"/>
      <c r="C43" s="111" t="str">
        <f>'4637'!F11</f>
        <v>FECHA LIMITE :</v>
      </c>
      <c r="D43" s="112">
        <f>'4637'!G11</f>
        <v>45882</v>
      </c>
      <c r="E43" s="113"/>
      <c r="F43" s="114"/>
      <c r="G43" s="1"/>
    </row>
    <row r="44" spans="1:7" ht="15.6" x14ac:dyDescent="0.3">
      <c r="A44" s="1"/>
      <c r="B44" s="1"/>
      <c r="G44" s="1"/>
    </row>
    <row r="45" spans="1:7" ht="17.25" customHeight="1" x14ac:dyDescent="0.3">
      <c r="A45" s="1"/>
      <c r="B45" s="1"/>
      <c r="G45" s="1"/>
    </row>
    <row r="46" spans="1:7" ht="4.5" customHeight="1" x14ac:dyDescent="0.3">
      <c r="A46" s="1"/>
      <c r="B46" s="1"/>
      <c r="C46" s="44"/>
      <c r="D46" s="45"/>
      <c r="E46" s="1"/>
      <c r="F46" s="1"/>
      <c r="G46" s="1"/>
    </row>
    <row r="47" spans="1:7" ht="15.6" x14ac:dyDescent="0.3">
      <c r="A47" s="1"/>
      <c r="B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36" t="s">
        <v>68</v>
      </c>
      <c r="B50" s="136"/>
      <c r="C50" s="136"/>
      <c r="D50" s="136"/>
      <c r="E50" s="136"/>
      <c r="F50" s="13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37" t="s">
        <v>69</v>
      </c>
      <c r="C52" s="138"/>
      <c r="D52" s="139"/>
      <c r="E52" s="139"/>
      <c r="F52" s="140"/>
      <c r="G52" s="1"/>
    </row>
    <row r="53" spans="1:7" s="15" customFormat="1" ht="12.75" customHeight="1" x14ac:dyDescent="0.3">
      <c r="A53" s="1"/>
      <c r="B53" s="36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">
      <c r="A54" s="93" t="s">
        <v>131</v>
      </c>
      <c r="B54" s="38">
        <f>'4637'!B21</f>
        <v>1</v>
      </c>
      <c r="C54" s="98" t="str">
        <f>'4637'!C21</f>
        <v>CORNISA R8 1 LADO</v>
      </c>
      <c r="D54" s="39">
        <f>'4637'!D21</f>
        <v>1330</v>
      </c>
      <c r="E54" s="39">
        <f>'4637'!E21</f>
        <v>170</v>
      </c>
      <c r="F54" s="101" t="str">
        <f>'4637'!F21</f>
        <v>CLASICC 3111 BR</v>
      </c>
      <c r="G54" s="1"/>
    </row>
    <row r="55" spans="1:7" s="15" customFormat="1" ht="15" customHeight="1" x14ac:dyDescent="0.3">
      <c r="A55" s="93"/>
      <c r="B55" s="38">
        <f>'4637'!B22</f>
        <v>1</v>
      </c>
      <c r="C55" s="98" t="str">
        <f>'4637'!C22</f>
        <v>CORNISA R8 1 LADO</v>
      </c>
      <c r="D55" s="39">
        <f>'4637'!D22</f>
        <v>2200</v>
      </c>
      <c r="E55" s="39">
        <f>'4637'!E22</f>
        <v>170</v>
      </c>
      <c r="F55" s="101" t="str">
        <f>'4637'!F22</f>
        <v>CLASICC 3111 BR</v>
      </c>
      <c r="G55" s="1"/>
    </row>
    <row r="56" spans="1:7" s="15" customFormat="1" ht="15" customHeight="1" x14ac:dyDescent="0.3">
      <c r="A56" s="93"/>
      <c r="B56" s="38">
        <f>'4637'!B23</f>
        <v>2</v>
      </c>
      <c r="C56" s="98" t="str">
        <f>'4637'!C23</f>
        <v>CORTE 45°</v>
      </c>
      <c r="D56" s="39">
        <f>'4637'!D23</f>
        <v>0</v>
      </c>
      <c r="E56" s="39">
        <f>'4637'!E23</f>
        <v>0</v>
      </c>
      <c r="F56" s="101">
        <f>'4637'!F23</f>
        <v>0</v>
      </c>
      <c r="G56" s="1"/>
    </row>
    <row r="57" spans="1:7" s="15" customFormat="1" ht="15" customHeight="1" x14ac:dyDescent="0.3">
      <c r="A57" s="93"/>
      <c r="B57" s="51"/>
      <c r="C57" s="124"/>
      <c r="D57" s="51"/>
      <c r="E57" s="51"/>
      <c r="F57" s="94"/>
      <c r="G57" s="1"/>
    </row>
    <row r="58" spans="1:7" s="15" customFormat="1" ht="15" customHeight="1" x14ac:dyDescent="0.3">
      <c r="A58" s="49"/>
      <c r="B58" s="51"/>
      <c r="C58" s="51"/>
      <c r="D58" s="51"/>
      <c r="E58" s="51"/>
      <c r="F58" s="51"/>
      <c r="G58" s="1"/>
    </row>
    <row r="59" spans="1:7" ht="15.6" x14ac:dyDescent="0.3">
      <c r="A59" s="6"/>
      <c r="B59" s="6"/>
      <c r="C59" s="1"/>
      <c r="D59" s="6"/>
      <c r="E59" s="6"/>
      <c r="F59" s="44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0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8:F18"/>
    <mergeCell ref="A10:F10"/>
    <mergeCell ref="A50:F50"/>
    <mergeCell ref="B52:F52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2025-08-06T16:48:20Z</cp:lastPrinted>
  <dcterms:created xsi:type="dcterms:W3CDTF">2013-03-19T12:54:14Z</dcterms:created>
  <dcterms:modified xsi:type="dcterms:W3CDTF">2025-08-13T23:57:49Z</dcterms:modified>
</cp:coreProperties>
</file>