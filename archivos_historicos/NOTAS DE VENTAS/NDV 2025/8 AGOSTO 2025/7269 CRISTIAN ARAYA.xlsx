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8 AGOSTO 2025\"/>
    </mc:Choice>
  </mc:AlternateContent>
  <xr:revisionPtr revIDLastSave="0" documentId="13_ncr:1_{A6717713-02CB-4328-8868-F3A90EAFCAC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CUBIERTA!$A$36:$G$64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4" l="1"/>
  <c r="F50" i="3"/>
  <c r="F27" i="3" s="1"/>
  <c r="E50" i="3"/>
  <c r="E27" i="3" s="1"/>
  <c r="D50" i="3"/>
  <c r="D27" i="3" s="1"/>
  <c r="C50" i="3"/>
  <c r="C27" i="3" s="1"/>
  <c r="B50" i="3"/>
  <c r="B27" i="3" s="1"/>
  <c r="H21" i="4"/>
  <c r="H24" i="4" s="1"/>
  <c r="H25" i="4" l="1"/>
  <c r="H26" i="4" s="1"/>
  <c r="I21" i="3" l="1"/>
  <c r="J21" i="3"/>
  <c r="K21" i="3"/>
  <c r="E21" i="3" s="1"/>
  <c r="F21" i="3"/>
  <c r="D5" i="3"/>
  <c r="K14" i="3" l="1"/>
  <c r="E14" i="3" s="1"/>
  <c r="I14" i="3"/>
  <c r="B14" i="3" s="1"/>
  <c r="F14" i="3"/>
  <c r="J14" i="3"/>
  <c r="D14" i="3" s="1"/>
  <c r="D21" i="3" l="1"/>
  <c r="B21" i="3"/>
  <c r="N5" i="3" l="1"/>
  <c r="M5" i="3" l="1"/>
  <c r="L5" i="3"/>
  <c r="K5" i="3"/>
  <c r="C40" i="3" l="1"/>
  <c r="C7" i="3"/>
  <c r="D39" i="3"/>
  <c r="D40" i="3"/>
  <c r="D7" i="3"/>
  <c r="D38" i="3"/>
  <c r="D4" i="3"/>
</calcChain>
</file>

<file path=xl/sharedStrings.xml><?xml version="1.0" encoding="utf-8"?>
<sst xmlns="http://schemas.openxmlformats.org/spreadsheetml/2006/main" count="241" uniqueCount="138">
  <si>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</si>
  <si>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</si>
  <si>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</si>
  <si>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</si>
  <si>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</si>
  <si>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</si>
  <si>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</si>
  <si>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</si>
  <si>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</si>
  <si>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</si>
  <si>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</si>
  <si>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</si>
  <si>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</si>
  <si>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</si>
  <si>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</si>
  <si>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</si>
  <si>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</si>
  <si>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</si>
  <si>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</si>
  <si>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</si>
  <si>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</si>
  <si>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</si>
  <si>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</si>
  <si>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</si>
  <si>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</si>
  <si>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</si>
  <si>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</si>
  <si>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</si>
  <si>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</si>
  <si>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</si>
  <si>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</si>
  <si>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</si>
  <si>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</si>
  <si>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</si>
  <si>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</si>
  <si>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</si>
  <si>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</si>
  <si>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</si>
  <si>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</si>
  <si>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</si>
  <si>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</si>
  <si>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</si>
  <si>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</si>
  <si>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</si>
  <si>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</si>
  <si>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</si>
  <si>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</si>
  <si>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</si>
  <si>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</si>
  <si>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</si>
  <si>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</si>
  <si>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</si>
  <si>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</si>
  <si>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</si>
  <si>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</si>
  <si>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</si>
  <si>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</si>
  <si>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</si>
  <si>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</si>
  <si>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</si>
  <si>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</si>
  <si>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</si>
  <si>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</si>
  <si>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</si>
  <si>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</si>
  <si>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</si>
  <si>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</si>
  <si>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</si>
  <si>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</si>
  <si>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</si>
  <si>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</si>
  <si>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</si>
  <si>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</si>
  <si>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</si>
  <si>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</si>
  <si>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</si>
  <si>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</si>
  <si>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</si>
  <si>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</si>
  <si>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</si>
  <si>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</si>
  <si>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</si>
  <si>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</si>
  <si>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</si>
  <si>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</si>
  <si>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</si>
  <si>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</si>
  <si>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</si>
  <si>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</si>
  <si>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</si>
  <si>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</si>
  <si>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</si>
  <si>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</si>
  <si>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</si>
  <si>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</si>
  <si>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</si>
  <si>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</si>
  <si>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</si>
  <si>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</si>
  <si>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</si>
  <si>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</si>
  <si>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</si>
  <si>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</si>
  <si>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</si>
  <si>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</si>
  <si>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</si>
  <si>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</si>
  <si>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</si>
  <si>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</si>
  <si>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</si>
  <si>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</si>
  <si>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</si>
  <si>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</si>
  <si>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</si>
  <si>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</si>
  <si>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</si>
  <si>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</si>
  <si>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</si>
  <si>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</si>
  <si>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</si>
  <si>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</si>
  <si>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</si>
  <si>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</si>
  <si>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</si>
  <si>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</si>
  <si>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</si>
  <si>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</si>
  <si>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</si>
  <si>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</si>
  <si>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</si>
  <si>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</si>
  <si>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</si>
  <si>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</si>
  <si>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</si>
  <si>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CRISTIAN ARAYA</t>
  </si>
  <si>
    <t>N° 11611</t>
  </si>
  <si>
    <t>CUB MESA 3 LADOS</t>
  </si>
  <si>
    <t>MARINA DI CARRARA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</si>
</sst>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20" fillId="0" borderId="0" xfId="0" quotePrefix="1" applyFont="1" applyAlignment="1">
      <alignment horizontal="left"/>
    </xf>
    <xf numFmtId="0" fontId="15" fillId="0" borderId="13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$ 30.000</a:t>
          </a:r>
        </a:p>
        <a:p>
          <a:pPr algn="l"/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6</xdr:col>
      <xdr:colOff>15240</xdr:colOff>
      <xdr:row>17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2392680</xdr:colOff>
      <xdr:row>46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5</xdr:col>
      <xdr:colOff>2392680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CON CORTES EN LAS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ESQUINAS Y ENCHAPADA CON LA MISMA LAMINA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5</xdr:col>
      <xdr:colOff>2392680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 CON CORTES EN LAS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ESQUINAS Y ENCHAPADA CON LA MISMA LAMINA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41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workbookViewId="0">
      <selection activeCell="J19" sqref="J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4.2187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135</v>
      </c>
      <c r="E8" s="1"/>
      <c r="F8" s="90" t="s">
        <v>27</v>
      </c>
      <c r="G8" s="91">
        <v>7269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128</v>
      </c>
      <c r="C10" s="84" t="s">
        <v>134</v>
      </c>
      <c r="D10" s="53"/>
      <c r="E10" s="53"/>
      <c r="F10" s="54" t="s">
        <v>28</v>
      </c>
      <c r="G10" s="55">
        <v>45894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03"/>
      <c r="D11" s="58"/>
      <c r="E11" s="58"/>
      <c r="F11" s="58" t="s">
        <v>124</v>
      </c>
      <c r="G11" s="59">
        <v>45897</v>
      </c>
      <c r="H11" s="60"/>
      <c r="I11" s="1"/>
    </row>
    <row r="12" spans="1:17" ht="16.8" x14ac:dyDescent="0.4">
      <c r="A12" s="1"/>
      <c r="B12" s="61" t="s">
        <v>129</v>
      </c>
      <c r="C12" s="100"/>
      <c r="D12" s="42"/>
      <c r="E12" s="42"/>
      <c r="F12" s="42" t="s">
        <v>30</v>
      </c>
      <c r="G12" s="62"/>
      <c r="H12" s="63"/>
      <c r="I12" s="1"/>
    </row>
    <row r="13" spans="1:17" ht="15.6" x14ac:dyDescent="0.3">
      <c r="A13" s="1"/>
      <c r="B13" s="61" t="s">
        <v>130</v>
      </c>
      <c r="D13" s="42"/>
      <c r="E13" s="42"/>
      <c r="F13" s="42" t="s">
        <v>127</v>
      </c>
      <c r="G13" s="62"/>
      <c r="H13" s="63"/>
      <c r="I13" s="1"/>
    </row>
    <row r="14" spans="1:17" ht="15.6" x14ac:dyDescent="0.3">
      <c r="A14" s="1"/>
      <c r="B14" s="57" t="s">
        <v>17</v>
      </c>
      <c r="C14" s="118"/>
      <c r="D14" s="64"/>
      <c r="E14" s="58"/>
      <c r="F14" s="58" t="s">
        <v>29</v>
      </c>
      <c r="G14" s="58" t="s">
        <v>132</v>
      </c>
      <c r="H14" s="60"/>
      <c r="I14" s="1"/>
    </row>
    <row r="15" spans="1:17" ht="16.8" x14ac:dyDescent="0.4">
      <c r="A15" s="1"/>
      <c r="B15" s="61" t="s">
        <v>1</v>
      </c>
      <c r="C15" s="101"/>
      <c r="D15" s="42"/>
      <c r="E15" s="42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102"/>
      <c r="D16" s="67"/>
      <c r="E16" s="68"/>
      <c r="F16" s="121" t="s">
        <v>18</v>
      </c>
      <c r="G16" s="121"/>
      <c r="H16" s="12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3" t="s">
        <v>19</v>
      </c>
      <c r="C19" s="124"/>
      <c r="D19" s="124"/>
      <c r="E19" s="124"/>
      <c r="F19" s="124"/>
      <c r="G19" s="124"/>
      <c r="H19" s="125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5.6" x14ac:dyDescent="0.3">
      <c r="A21" s="1"/>
      <c r="B21" s="119">
        <v>1</v>
      </c>
      <c r="C21" s="99" t="s">
        <v>136</v>
      </c>
      <c r="D21" s="117">
        <v>1180</v>
      </c>
      <c r="E21" s="117">
        <v>360</v>
      </c>
      <c r="F21" s="99" t="s">
        <v>137</v>
      </c>
      <c r="G21" s="116">
        <f>48500/1.19</f>
        <v>40756.302521008409</v>
      </c>
      <c r="H21" s="113">
        <f>G21*B21</f>
        <v>40756.302521008409</v>
      </c>
      <c r="I21" s="1"/>
    </row>
    <row r="22" spans="1:16" ht="18" customHeight="1" x14ac:dyDescent="0.3">
      <c r="A22" s="1"/>
      <c r="B22" s="93"/>
      <c r="C22" s="93"/>
      <c r="D22" s="93"/>
      <c r="E22" s="93"/>
      <c r="F22" s="94"/>
      <c r="G22" s="95"/>
      <c r="H22" s="95"/>
      <c r="I22" s="1"/>
      <c r="K22" s="17"/>
      <c r="L22" s="25"/>
      <c r="M22" s="17"/>
      <c r="N22" s="17"/>
      <c r="O22" s="25"/>
      <c r="P22" s="32"/>
    </row>
    <row r="23" spans="1:16" ht="8.25" customHeight="1" thickBot="1" x14ac:dyDescent="0.35">
      <c r="A23" s="1"/>
      <c r="B23" s="72"/>
      <c r="C23" s="72"/>
      <c r="D23" s="72"/>
      <c r="E23" s="72"/>
      <c r="F23" s="72"/>
      <c r="G23" s="73"/>
      <c r="H23" s="73"/>
      <c r="I23" s="1"/>
    </row>
    <row r="24" spans="1:16" ht="15.6" x14ac:dyDescent="0.3">
      <c r="A24" s="1"/>
      <c r="B24" s="1"/>
      <c r="C24" s="1"/>
      <c r="D24" s="1"/>
      <c r="E24" s="1"/>
      <c r="F24" s="1"/>
      <c r="G24" s="74" t="s">
        <v>5</v>
      </c>
      <c r="H24" s="75">
        <f>SUM(H21:H21)</f>
        <v>40756.302521008409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6</v>
      </c>
      <c r="H25" s="77">
        <f>H24*0.19</f>
        <v>7743.6974789915976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8" t="s">
        <v>4</v>
      </c>
      <c r="H26" s="79">
        <f>H24+H25</f>
        <v>48500.000000000007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0" t="s">
        <v>123</v>
      </c>
      <c r="C29" s="81"/>
      <c r="D29" s="82"/>
      <c r="E29" s="82"/>
      <c r="F29" s="72"/>
      <c r="G29" s="1"/>
      <c r="H29" s="1"/>
      <c r="I29" s="1"/>
    </row>
    <row r="30" spans="1:16" ht="15.6" x14ac:dyDescent="0.3">
      <c r="A30" s="1"/>
      <c r="B30" s="80" t="s">
        <v>122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31</v>
      </c>
      <c r="C2" s="126"/>
      <c r="D2" s="126"/>
      <c r="E2" s="18"/>
      <c r="G2" s="126" t="s">
        <v>70</v>
      </c>
      <c r="H2" s="126"/>
      <c r="I2" s="126"/>
      <c r="P2" s="127" t="s">
        <v>58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8">
        <v>50</v>
      </c>
      <c r="H4" s="28">
        <v>100</v>
      </c>
      <c r="I4" s="29" t="s">
        <v>113</v>
      </c>
      <c r="J4" s="30" t="s">
        <v>109</v>
      </c>
      <c r="K4" s="30"/>
      <c r="L4" s="30"/>
      <c r="M4" s="30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8">
        <v>50</v>
      </c>
      <c r="H5" s="28"/>
      <c r="I5" s="29" t="s">
        <v>115</v>
      </c>
      <c r="J5" s="30" t="s">
        <v>117</v>
      </c>
      <c r="K5" s="30"/>
      <c r="L5" s="30"/>
      <c r="M5" s="30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7" t="s">
        <v>58</v>
      </c>
      <c r="M8" s="127"/>
      <c r="N8" s="12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0" t="s">
        <v>111</v>
      </c>
      <c r="K20" s="30"/>
      <c r="L20" s="30"/>
      <c r="M20" s="30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8"/>
      <c r="H22" s="28"/>
      <c r="I22" s="29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6">
        <v>40</v>
      </c>
      <c r="C36" s="26">
        <v>90</v>
      </c>
      <c r="D36" s="27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6">
        <v>40</v>
      </c>
      <c r="C37" s="26">
        <v>90</v>
      </c>
      <c r="D37" s="27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zoomScaleNormal="100" workbookViewId="0">
      <selection activeCell="F34" sqref="A1:F3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3" t="s">
        <v>125</v>
      </c>
      <c r="L2" s="33"/>
      <c r="M2" s="33"/>
    </row>
    <row r="3" spans="1:14" ht="15.6" x14ac:dyDescent="0.3">
      <c r="A3" s="1"/>
      <c r="B3" s="1"/>
      <c r="C3" s="1"/>
      <c r="D3" s="1"/>
      <c r="E3" s="1"/>
      <c r="F3" s="1"/>
      <c r="G3" s="1"/>
      <c r="K3" s="128" t="s">
        <v>61</v>
      </c>
      <c r="L3" s="128"/>
      <c r="M3" s="128" t="s">
        <v>14</v>
      </c>
      <c r="N3" s="128"/>
    </row>
    <row r="4" spans="1:14" ht="15.75" customHeight="1" x14ac:dyDescent="0.3">
      <c r="A4" s="1"/>
      <c r="B4" s="1"/>
      <c r="C4" s="39" t="s">
        <v>27</v>
      </c>
      <c r="D4" s="14">
        <f>'4637'!G8</f>
        <v>7269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CRISTIAN ARAYA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45897</v>
      </c>
      <c r="E7" s="1"/>
      <c r="F7" s="1"/>
      <c r="G7" s="1"/>
    </row>
    <row r="8" spans="1:14" ht="15.6" x14ac:dyDescent="0.3">
      <c r="A8" s="1"/>
      <c r="B8" s="1"/>
      <c r="C8" s="51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9" t="s">
        <v>61</v>
      </c>
      <c r="B10" s="129"/>
      <c r="C10" s="129"/>
      <c r="D10" s="129"/>
      <c r="E10" s="129"/>
      <c r="F10" s="12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6" t="s">
        <v>10</v>
      </c>
      <c r="C13" s="36" t="s">
        <v>11</v>
      </c>
      <c r="D13" s="31">
        <v>50</v>
      </c>
      <c r="E13" s="31">
        <v>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131</v>
      </c>
      <c r="B14" s="24">
        <f>I14</f>
        <v>1</v>
      </c>
      <c r="C14" s="16"/>
      <c r="D14" s="24">
        <f>J14+D$13</f>
        <v>1230</v>
      </c>
      <c r="E14" s="34">
        <f>K14+$E$13</f>
        <v>360</v>
      </c>
      <c r="F14" s="98" t="str">
        <f>F27</f>
        <v>MARINA DI CARRARA PP</v>
      </c>
      <c r="G14" s="1"/>
      <c r="I14" s="3">
        <f>B27</f>
        <v>1</v>
      </c>
      <c r="J14" s="4">
        <f>D27</f>
        <v>1180</v>
      </c>
      <c r="K14" s="4">
        <f>E27</f>
        <v>360</v>
      </c>
    </row>
    <row r="15" spans="1:14" x14ac:dyDescent="0.3">
      <c r="A15" s="9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9" t="s">
        <v>14</v>
      </c>
      <c r="B17" s="129"/>
      <c r="C17" s="129"/>
      <c r="D17" s="129"/>
      <c r="E17" s="129"/>
      <c r="F17" s="12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31">
        <v>100</v>
      </c>
      <c r="E20" s="31">
        <v>100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2"/>
      <c r="B21" s="24">
        <f t="shared" ref="B21" si="0">I21</f>
        <v>1</v>
      </c>
      <c r="C21" s="24"/>
      <c r="D21" s="24">
        <f>J21+D$20</f>
        <v>1280</v>
      </c>
      <c r="E21" s="24">
        <f>K21+$E$20</f>
        <v>460</v>
      </c>
      <c r="F21" s="98" t="str">
        <f>F27</f>
        <v>MARINA DI CARRARA PP</v>
      </c>
      <c r="G21" s="1"/>
      <c r="I21" s="3">
        <f>B27</f>
        <v>1</v>
      </c>
      <c r="J21" s="4">
        <f>D27</f>
        <v>1180</v>
      </c>
      <c r="K21" s="4">
        <f>E27</f>
        <v>360</v>
      </c>
    </row>
    <row r="22" spans="1:11" ht="15.6" x14ac:dyDescent="0.3">
      <c r="A22" s="92"/>
      <c r="B22" s="6"/>
      <c r="C22" s="6"/>
      <c r="D22" s="6"/>
      <c r="E22" s="6"/>
      <c r="F22" s="114"/>
      <c r="G22" s="1"/>
      <c r="I22" s="120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1" t="s">
        <v>107</v>
      </c>
      <c r="C24" s="22"/>
      <c r="D24" s="22"/>
      <c r="E24" s="22"/>
      <c r="F24" s="23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2" t="s">
        <v>131</v>
      </c>
      <c r="B27" s="24">
        <f>B50</f>
        <v>1</v>
      </c>
      <c r="C27" s="24" t="str">
        <f>C50</f>
        <v>CUB MESA 3 LADOS</v>
      </c>
      <c r="D27" s="24">
        <f>D50</f>
        <v>1180</v>
      </c>
      <c r="E27" s="24">
        <f>E50</f>
        <v>360</v>
      </c>
      <c r="F27" s="24" t="str">
        <f>F50</f>
        <v>MARINA DI CARRARA PP</v>
      </c>
      <c r="G27" s="1"/>
    </row>
    <row r="28" spans="1:11" ht="15.6" x14ac:dyDescent="0.3">
      <c r="A28" s="92"/>
      <c r="B28" s="6"/>
      <c r="C28" s="114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6.2" thickBot="1" x14ac:dyDescent="0.35">
      <c r="A37" s="1"/>
      <c r="B37" s="1"/>
      <c r="G37" s="1"/>
    </row>
    <row r="38" spans="1:7" ht="15.6" x14ac:dyDescent="0.3">
      <c r="A38" s="1"/>
      <c r="B38" s="1"/>
      <c r="C38" s="104" t="s">
        <v>27</v>
      </c>
      <c r="D38" s="105">
        <f>'4637'!G8</f>
        <v>7269</v>
      </c>
      <c r="E38" s="106"/>
      <c r="F38" s="107"/>
      <c r="G38" s="1"/>
    </row>
    <row r="39" spans="1:7" ht="15.6" x14ac:dyDescent="0.3">
      <c r="A39" s="1"/>
      <c r="B39" s="1"/>
      <c r="C39" s="108" t="s">
        <v>67</v>
      </c>
      <c r="D39" s="41" t="str">
        <f>'4637'!C10</f>
        <v>CRISTIAN ARAYA</v>
      </c>
      <c r="E39" s="42"/>
      <c r="F39" s="63"/>
      <c r="G39" s="1"/>
    </row>
    <row r="40" spans="1:7" ht="16.2" thickBot="1" x14ac:dyDescent="0.35">
      <c r="A40" s="1"/>
      <c r="B40" s="1"/>
      <c r="C40" s="109" t="str">
        <f>'4637'!F11</f>
        <v>FECHA LIMITE :</v>
      </c>
      <c r="D40" s="110">
        <f>'4637'!G11</f>
        <v>45897</v>
      </c>
      <c r="E40" s="111"/>
      <c r="F40" s="112"/>
      <c r="G40" s="1"/>
    </row>
    <row r="41" spans="1:7" ht="15.6" x14ac:dyDescent="0.3">
      <c r="A41" s="1"/>
      <c r="B41" s="1"/>
      <c r="G41" s="1"/>
    </row>
    <row r="42" spans="1:7" ht="17.25" customHeight="1" x14ac:dyDescent="0.3">
      <c r="A42" s="1"/>
      <c r="B42" s="1"/>
      <c r="G42" s="1"/>
    </row>
    <row r="43" spans="1:7" ht="4.5" customHeight="1" x14ac:dyDescent="0.3">
      <c r="A43" s="1"/>
      <c r="B43" s="1"/>
      <c r="C43" s="43"/>
      <c r="D43" s="44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9" t="s">
        <v>68</v>
      </c>
      <c r="B46" s="129"/>
      <c r="C46" s="129"/>
      <c r="D46" s="129"/>
      <c r="E46" s="129"/>
      <c r="F46" s="129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30" t="s">
        <v>69</v>
      </c>
      <c r="C48" s="131"/>
      <c r="D48" s="132"/>
      <c r="E48" s="132"/>
      <c r="F48" s="133"/>
      <c r="G48" s="1"/>
    </row>
    <row r="49" spans="1:7" s="15" customFormat="1" ht="12.75" customHeight="1" x14ac:dyDescent="0.3">
      <c r="A49" s="1"/>
      <c r="B49" s="35" t="s">
        <v>10</v>
      </c>
      <c r="C49" s="45" t="s">
        <v>11</v>
      </c>
      <c r="D49" s="46" t="s">
        <v>7</v>
      </c>
      <c r="E49" s="46" t="s">
        <v>8</v>
      </c>
      <c r="F49" s="47" t="s">
        <v>12</v>
      </c>
      <c r="G49" s="1"/>
    </row>
    <row r="50" spans="1:7" s="15" customFormat="1" ht="15" customHeight="1" x14ac:dyDescent="0.3">
      <c r="A50" s="92" t="s">
        <v>131</v>
      </c>
      <c r="B50" s="37">
        <f>'4637'!B21</f>
        <v>1</v>
      </c>
      <c r="C50" s="97" t="str">
        <f>'4637'!C21</f>
        <v>CUB MESA 3 LADOS</v>
      </c>
      <c r="D50" s="38">
        <f>'4637'!D21</f>
        <v>1180</v>
      </c>
      <c r="E50" s="38">
        <f>'4637'!E21</f>
        <v>360</v>
      </c>
      <c r="F50" s="99" t="str">
        <f>'4637'!F21</f>
        <v>MARINA DI CARRARA PP</v>
      </c>
      <c r="G50" s="1"/>
    </row>
    <row r="51" spans="1:7" s="15" customFormat="1" ht="15" customHeight="1" x14ac:dyDescent="0.3">
      <c r="A51" s="92"/>
      <c r="B51" s="50"/>
      <c r="C51" s="115"/>
      <c r="D51" s="50"/>
      <c r="E51" s="50"/>
      <c r="F51" s="93"/>
      <c r="G51" s="1"/>
    </row>
    <row r="52" spans="1:7" s="15" customFormat="1" ht="15" customHeight="1" x14ac:dyDescent="0.3">
      <c r="A52" s="48"/>
      <c r="B52" s="50"/>
      <c r="C52" s="50"/>
      <c r="D52" s="50"/>
      <c r="E52" s="50"/>
      <c r="F52" s="50"/>
      <c r="G52" s="1"/>
    </row>
    <row r="53" spans="1:7" ht="15.6" x14ac:dyDescent="0.3">
      <c r="A53" s="6"/>
      <c r="B53" s="6"/>
      <c r="C53" s="1"/>
      <c r="D53" s="6"/>
      <c r="E53" s="6"/>
      <c r="F53" s="43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49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7:F17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2025-08-26T13:06:58Z</cp:lastPrinted>
  <dcterms:created xsi:type="dcterms:W3CDTF">2013-03-19T12:54:14Z</dcterms:created>
  <dcterms:modified xsi:type="dcterms:W3CDTF">2025-08-26T13:07:06Z</dcterms:modified>
</cp:coreProperties>
</file>