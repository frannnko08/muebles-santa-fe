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6363DD79-3324-42C2-A4CD-B0D47C901F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26" i="3"/>
  <c r="E27" i="3"/>
  <c r="E24" i="3"/>
  <c r="E15" i="3"/>
  <c r="E16" i="3"/>
  <c r="E17" i="3"/>
  <c r="E14" i="3"/>
  <c r="I16" i="3"/>
  <c r="B16" i="3" s="1"/>
  <c r="K25" i="3"/>
  <c r="I27" i="3"/>
  <c r="B27" i="3" s="1"/>
  <c r="B60" i="3"/>
  <c r="B33" i="3" s="1"/>
  <c r="I15" i="3" s="1"/>
  <c r="B15" i="3" s="1"/>
  <c r="C60" i="3"/>
  <c r="C33" i="3" s="1"/>
  <c r="D60" i="3"/>
  <c r="D33" i="3" s="1"/>
  <c r="J15" i="3" s="1"/>
  <c r="E60" i="3"/>
  <c r="E33" i="3" s="1"/>
  <c r="K15" i="3" s="1"/>
  <c r="F60" i="3"/>
  <c r="F33" i="3" s="1"/>
  <c r="F15" i="3" s="1"/>
  <c r="B61" i="3"/>
  <c r="B34" i="3" s="1"/>
  <c r="I26" i="3" s="1"/>
  <c r="B26" i="3" s="1"/>
  <c r="C61" i="3"/>
  <c r="C34" i="3" s="1"/>
  <c r="D61" i="3"/>
  <c r="D34" i="3" s="1"/>
  <c r="J16" i="3" s="1"/>
  <c r="E61" i="3"/>
  <c r="E34" i="3" s="1"/>
  <c r="K16" i="3" s="1"/>
  <c r="F61" i="3"/>
  <c r="F34" i="3" s="1"/>
  <c r="F26" i="3" s="1"/>
  <c r="B62" i="3"/>
  <c r="B35" i="3" s="1"/>
  <c r="I17" i="3" s="1"/>
  <c r="B17" i="3" s="1"/>
  <c r="C62" i="3"/>
  <c r="C35" i="3" s="1"/>
  <c r="D62" i="3"/>
  <c r="D35" i="3" s="1"/>
  <c r="J27" i="3" s="1"/>
  <c r="D27" i="3" s="1"/>
  <c r="E62" i="3"/>
  <c r="E35" i="3" s="1"/>
  <c r="K17" i="3" s="1"/>
  <c r="F62" i="3"/>
  <c r="F35" i="3" s="1"/>
  <c r="F27" i="3" s="1"/>
  <c r="F59" i="3"/>
  <c r="F32" i="3" s="1"/>
  <c r="E59" i="3"/>
  <c r="E32" i="3" s="1"/>
  <c r="D59" i="3"/>
  <c r="D32" i="3" s="1"/>
  <c r="C59" i="3"/>
  <c r="C32" i="3" s="1"/>
  <c r="B59" i="3"/>
  <c r="B32" i="3" s="1"/>
  <c r="H28" i="4"/>
  <c r="H29" i="4" s="1"/>
  <c r="H30" i="4" s="1"/>
  <c r="H24" i="4"/>
  <c r="H23" i="4"/>
  <c r="H22" i="4"/>
  <c r="H21" i="4"/>
  <c r="F25" i="3" l="1"/>
  <c r="F16" i="3"/>
  <c r="K26" i="3"/>
  <c r="J25" i="3"/>
  <c r="D25" i="3" s="1"/>
  <c r="J17" i="3"/>
  <c r="F17" i="3"/>
  <c r="K27" i="3"/>
  <c r="J26" i="3"/>
  <c r="D26" i="3" s="1"/>
  <c r="I25" i="3"/>
  <c r="B25" i="3" s="1"/>
  <c r="I24" i="3" l="1"/>
  <c r="J24" i="3"/>
  <c r="K24" i="3"/>
  <c r="F24" i="3"/>
  <c r="D5" i="3"/>
  <c r="K14" i="3" l="1"/>
  <c r="I14" i="3"/>
  <c r="F14" i="3"/>
  <c r="J14" i="3"/>
  <c r="D14" i="3" s="1"/>
  <c r="D15" i="3" s="1"/>
  <c r="D16" i="3" s="1"/>
  <c r="D17" i="3" s="1"/>
  <c r="D24" i="3" l="1"/>
  <c r="B24" i="3"/>
  <c r="B14" i="3"/>
  <c r="N5" i="3" l="1"/>
  <c r="M5" i="3" l="1"/>
  <c r="L5" i="3"/>
  <c r="K5" i="3"/>
  <c r="C48" i="3" l="1"/>
  <c r="C7" i="3"/>
  <c r="D47" i="3"/>
  <c r="D48" i="3"/>
  <c r="D7" i="3"/>
  <c r="D46" i="3"/>
  <c r="D4" i="3"/>
</calcChain>
</file>

<file path=xl/sharedStrings.xml><?xml version="1.0" encoding="utf-8"?>
<sst xmlns="http://schemas.openxmlformats.org/spreadsheetml/2006/main" count="250" uniqueCount="141">
  <si>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</si>
  <si>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</si>
  <si>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</si>
  <si>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</si>
  <si>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</si>
  <si>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</si>
  <si>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</si>
  <si>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</si>
  <si>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</si>
  <si>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</si>
  <si>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</si>
  <si>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</si>
  <si>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</si>
  <si>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</si>
  <si>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</si>
  <si>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</si>
  <si>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</si>
  <si>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</si>
  <si>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</si>
  <si>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</si>
  <si>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</si>
  <si>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</si>
  <si>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</si>
  <si>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</si>
  <si>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</si>
  <si>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</si>
  <si>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</si>
  <si>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</si>
  <si>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</si>
  <si>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</si>
  <si>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</si>
  <si>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</si>
  <si>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</si>
  <si>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</si>
  <si>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</si>
  <si>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</si>
  <si>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</si>
  <si>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</si>
  <si>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</si>
  <si>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</si>
  <si>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</si>
  <si>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</si>
  <si>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</si>
  <si>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</si>
  <si>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</si>
  <si>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</si>
  <si>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</si>
  <si>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</si>
  <si>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</si>
  <si>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</si>
  <si>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</si>
  <si>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</si>
  <si>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</si>
  <si>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</si>
  <si>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</si>
  <si>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</si>
  <si>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</si>
  <si>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</si>
  <si>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</si>
  <si>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</si>
  <si>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</si>
  <si>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</si>
  <si>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</si>
  <si>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</si>
  <si>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</si>
  <si>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</si>
  <si>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</si>
  <si>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</si>
  <si>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</si>
  <si>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</si>
  <si>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</si>
  <si>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</si>
  <si>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</si>
  <si>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</si>
  <si>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</si>
  <si>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</si>
  <si>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</si>
  <si>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</si>
  <si>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</si>
  <si>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</si>
  <si>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</si>
  <si>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</si>
  <si>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</si>
  <si>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</si>
  <si>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</si>
  <si>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</si>
  <si>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</si>
  <si>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</si>
  <si>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</si>
  <si>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</si>
  <si>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</si>
  <si>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</si>
  <si>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</si>
  <si>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</si>
  <si>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</si>
  <si>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</si>
  <si>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</si>
  <si>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</si>
  <si>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</si>
  <si>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</si>
  <si>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</si>
  <si>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</si>
  <si>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</si>
  <si>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</si>
  <si>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</si>
  <si>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</si>
  <si>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</si>
  <si>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</si>
  <si>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</si>
  <si>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</si>
  <si>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</si>
  <si>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</si>
  <si>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</si>
  <si>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</si>
  <si>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</si>
  <si>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</si>
  <si>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</si>
  <si>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</si>
  <si>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</si>
  <si>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</si>
  <si>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</si>
  <si>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</si>
  <si>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</si>
  <si>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</si>
  <si>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</si>
  <si>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</si>
  <si>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</si>
  <si>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</si>
  <si>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</si>
  <si>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</si>
  <si>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</si>
  <si>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</si>
  <si>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</si>
  <si>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</si>
  <si>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</si>
  <si>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SOBRANTE LAMINADOS:</t>
  </si>
  <si>
    <t>N° 11569</t>
  </si>
  <si>
    <t>DIEGO LOBO VENEGAS</t>
  </si>
  <si>
    <t>+56 9 3662 1518</t>
  </si>
  <si>
    <t>BLANCO OPACO</t>
  </si>
  <si>
    <t>PERAL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</si>
</sst>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165" fontId="15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42" fontId="15" fillId="0" borderId="10" xfId="3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42" fontId="3" fillId="0" borderId="33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42" fontId="3" fillId="0" borderId="2" xfId="3" applyFont="1" applyFill="1" applyBorder="1" applyAlignment="1">
      <alignment horizontal="center" vertical="center"/>
    </xf>
    <xf numFmtId="42" fontId="3" fillId="0" borderId="31" xfId="3" applyFont="1" applyFill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30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$121.348</a:t>
          </a:r>
        </a:p>
        <a:p>
          <a:pPr algn="l"/>
          <a:endParaRPr lang="es-CL" sz="900" b="1" i="1"/>
        </a:p>
        <a:p>
          <a:pPr algn="l"/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6</xdr:col>
      <xdr:colOff>15240</xdr:colOff>
      <xdr:row>20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2392680</xdr:colOff>
      <xdr:row>55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5</xdr:col>
      <xdr:colOff>2392680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SE ENTREGAN CORTADAS A LA MEDIDA Y ENCHAPADAS CON TAPACANTO PVC 0,4mm</a:t>
          </a:r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67</xdr:row>
      <xdr:rowOff>32385</xdr:rowOff>
    </xdr:from>
    <xdr:to>
      <xdr:col>5</xdr:col>
      <xdr:colOff>2392680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SE ENTREGAN CORTADAS A LA MEDIDA Y ENCHAPADAS CON TAPACANTO PVC 0,4mm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49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9" workbookViewId="0">
      <selection activeCell="I25" sqref="I25: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136</v>
      </c>
      <c r="E8" s="1"/>
      <c r="F8" s="91" t="s">
        <v>27</v>
      </c>
      <c r="G8" s="92">
        <v>7253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137</v>
      </c>
      <c r="D10" s="54"/>
      <c r="E10" s="54"/>
      <c r="F10" s="55" t="s">
        <v>28</v>
      </c>
      <c r="G10" s="56">
        <v>45874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124</v>
      </c>
      <c r="G11" s="60">
        <v>45882</v>
      </c>
      <c r="H11" s="61"/>
      <c r="I11" s="1"/>
    </row>
    <row r="12" spans="1:17" ht="16.8" x14ac:dyDescent="0.4">
      <c r="A12" s="1"/>
      <c r="B12" s="62" t="s">
        <v>129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06" t="s">
        <v>138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134</v>
      </c>
      <c r="D16" s="68"/>
      <c r="E16" s="69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31">
        <v>2</v>
      </c>
      <c r="C21" s="132" t="s">
        <v>65</v>
      </c>
      <c r="D21" s="132">
        <v>740</v>
      </c>
      <c r="E21" s="132">
        <v>440</v>
      </c>
      <c r="F21" s="132" t="s">
        <v>139</v>
      </c>
      <c r="G21" s="137">
        <v>26772</v>
      </c>
      <c r="H21" s="138">
        <f>G21*B21</f>
        <v>53544</v>
      </c>
      <c r="I21" s="1"/>
    </row>
    <row r="22" spans="1:16" ht="15.6" x14ac:dyDescent="0.3">
      <c r="A22" s="1"/>
      <c r="B22" s="133">
        <v>1</v>
      </c>
      <c r="C22" s="134" t="s">
        <v>65</v>
      </c>
      <c r="D22" s="134">
        <v>740</v>
      </c>
      <c r="E22" s="134">
        <v>400</v>
      </c>
      <c r="F22" s="134" t="s">
        <v>139</v>
      </c>
      <c r="G22" s="139">
        <v>24705</v>
      </c>
      <c r="H22" s="140">
        <f>G22*B22</f>
        <v>24705</v>
      </c>
      <c r="I22" s="1"/>
    </row>
    <row r="23" spans="1:16" ht="15.6" x14ac:dyDescent="0.3">
      <c r="A23" s="1"/>
      <c r="B23" s="133">
        <v>3</v>
      </c>
      <c r="C23" s="134" t="s">
        <v>65</v>
      </c>
      <c r="D23" s="134">
        <v>730</v>
      </c>
      <c r="E23" s="134">
        <v>368</v>
      </c>
      <c r="F23" s="134" t="s">
        <v>139</v>
      </c>
      <c r="G23" s="139">
        <v>22788</v>
      </c>
      <c r="H23" s="140">
        <f>G23*B23</f>
        <v>68364</v>
      </c>
      <c r="I23" s="1"/>
    </row>
    <row r="24" spans="1:16" ht="16.2" thickBot="1" x14ac:dyDescent="0.35">
      <c r="A24" s="1"/>
      <c r="B24" s="135">
        <v>2</v>
      </c>
      <c r="C24" s="136" t="s">
        <v>65</v>
      </c>
      <c r="D24" s="136">
        <v>370</v>
      </c>
      <c r="E24" s="136">
        <v>650</v>
      </c>
      <c r="F24" s="136" t="s">
        <v>140</v>
      </c>
      <c r="G24" s="141">
        <v>28667</v>
      </c>
      <c r="H24" s="130">
        <f>G24*B24</f>
        <v>57334</v>
      </c>
      <c r="I24" s="1"/>
    </row>
    <row r="25" spans="1:16" ht="18" customHeight="1" x14ac:dyDescent="0.3">
      <c r="A25" s="1"/>
      <c r="B25" s="94"/>
      <c r="C25" s="94"/>
      <c r="D25" s="107"/>
      <c r="E25" s="107"/>
      <c r="F25" s="74"/>
      <c r="G25" s="74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4"/>
      <c r="C26" s="94"/>
      <c r="D26" s="94"/>
      <c r="E26" s="94"/>
      <c r="F26" s="95"/>
      <c r="G26" s="96"/>
      <c r="H26" s="96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SUM(H21:H24)</f>
        <v>203947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H28*0.19</f>
        <v>38749.93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242696.93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7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1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5"/>
  <sheetViews>
    <sheetView tabSelected="1" topLeftCell="A54" zoomScaleNormal="100" workbookViewId="0">
      <selection activeCell="H67" sqref="H6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40" t="s">
        <v>27</v>
      </c>
      <c r="D4" s="14">
        <f>'4637'!G8</f>
        <v>7253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DIEGO LOBO VENEGAS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45882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f>I14</f>
        <v>2</v>
      </c>
      <c r="C14" s="16"/>
      <c r="D14" s="25">
        <f>J14+D13</f>
        <v>790</v>
      </c>
      <c r="E14" s="35">
        <f>K14+$E$13</f>
        <v>438</v>
      </c>
      <c r="F14" s="99" t="str">
        <f>F32</f>
        <v>BLANCO OPACO</v>
      </c>
      <c r="G14" s="1"/>
      <c r="I14" s="3">
        <f>B32</f>
        <v>2</v>
      </c>
      <c r="J14" s="4">
        <f>D32</f>
        <v>740</v>
      </c>
      <c r="K14" s="4">
        <f>E32</f>
        <v>440</v>
      </c>
    </row>
    <row r="15" spans="1:14" ht="15.6" x14ac:dyDescent="0.3">
      <c r="A15" s="93"/>
      <c r="B15" s="25">
        <f t="shared" ref="B15:B17" si="0">I15</f>
        <v>1</v>
      </c>
      <c r="C15" s="16"/>
      <c r="D15" s="25">
        <f t="shared" ref="D15:D17" si="1">J15+D14</f>
        <v>1530</v>
      </c>
      <c r="E15" s="35">
        <f t="shared" ref="E15:E17" si="2">K15+$E$13</f>
        <v>398</v>
      </c>
      <c r="F15" s="99" t="str">
        <f t="shared" ref="F15:F17" si="3">F33</f>
        <v>BLANCO OPACO</v>
      </c>
      <c r="G15" s="1"/>
      <c r="I15" s="3">
        <f t="shared" ref="I15:I17" si="4">B33</f>
        <v>1</v>
      </c>
      <c r="J15" s="4">
        <f t="shared" ref="J15:K15" si="5">D33</f>
        <v>740</v>
      </c>
      <c r="K15" s="4">
        <f t="shared" si="5"/>
        <v>400</v>
      </c>
    </row>
    <row r="16" spans="1:14" ht="15.6" x14ac:dyDescent="0.3">
      <c r="A16" s="93"/>
      <c r="B16" s="25">
        <f t="shared" si="0"/>
        <v>3</v>
      </c>
      <c r="C16" s="16"/>
      <c r="D16" s="25">
        <f t="shared" si="1"/>
        <v>2260</v>
      </c>
      <c r="E16" s="35">
        <f t="shared" si="2"/>
        <v>366</v>
      </c>
      <c r="F16" s="99" t="str">
        <f t="shared" si="3"/>
        <v>BLANCO OPACO</v>
      </c>
      <c r="G16" s="1"/>
      <c r="I16" s="3">
        <f t="shared" si="4"/>
        <v>3</v>
      </c>
      <c r="J16" s="4">
        <f t="shared" ref="J16:K16" si="6">D34</f>
        <v>730</v>
      </c>
      <c r="K16" s="4">
        <f t="shared" si="6"/>
        <v>368</v>
      </c>
    </row>
    <row r="17" spans="1:11" ht="15.6" x14ac:dyDescent="0.3">
      <c r="A17" s="93"/>
      <c r="B17" s="25">
        <f t="shared" si="0"/>
        <v>2</v>
      </c>
      <c r="C17" s="16"/>
      <c r="D17" s="25">
        <f t="shared" si="1"/>
        <v>2630</v>
      </c>
      <c r="E17" s="35">
        <f t="shared" si="2"/>
        <v>648</v>
      </c>
      <c r="F17" s="99" t="str">
        <f t="shared" si="3"/>
        <v>PERAL</v>
      </c>
      <c r="G17" s="1"/>
      <c r="I17" s="3">
        <f t="shared" si="4"/>
        <v>2</v>
      </c>
      <c r="J17" s="4">
        <f t="shared" ref="J17:K17" si="7">D35</f>
        <v>370</v>
      </c>
      <c r="K17" s="4">
        <f t="shared" si="7"/>
        <v>650</v>
      </c>
    </row>
    <row r="18" spans="1:11" x14ac:dyDescent="0.3">
      <c r="A18" s="93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5" t="s">
        <v>14</v>
      </c>
      <c r="B20" s="125"/>
      <c r="C20" s="125"/>
      <c r="D20" s="125"/>
      <c r="E20" s="125"/>
      <c r="F20" s="125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1" t="s">
        <v>7</v>
      </c>
      <c r="E22" s="51" t="s">
        <v>8</v>
      </c>
      <c r="F22" s="1"/>
      <c r="G22" s="1"/>
    </row>
    <row r="23" spans="1:11" ht="15.6" x14ac:dyDescent="0.3">
      <c r="A23" s="51" t="s">
        <v>9</v>
      </c>
      <c r="B23" s="36" t="s">
        <v>10</v>
      </c>
      <c r="C23" s="36" t="s">
        <v>11</v>
      </c>
      <c r="D23" s="21">
        <v>40</v>
      </c>
      <c r="E23" s="21">
        <v>90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3"/>
      <c r="B24" s="16">
        <f t="shared" ref="B24" si="8">I24</f>
        <v>2</v>
      </c>
      <c r="C24" s="16"/>
      <c r="D24" s="16">
        <f>J24+D$23</f>
        <v>780</v>
      </c>
      <c r="E24" s="16">
        <f>K24+$E$23</f>
        <v>530</v>
      </c>
      <c r="F24" s="100" t="str">
        <f>F32</f>
        <v>BLANCO OPACO</v>
      </c>
      <c r="G24" s="1"/>
      <c r="I24" s="3">
        <f>B32</f>
        <v>2</v>
      </c>
      <c r="J24" s="4">
        <f>D32</f>
        <v>740</v>
      </c>
      <c r="K24" s="4">
        <f>E32</f>
        <v>440</v>
      </c>
    </row>
    <row r="25" spans="1:11" ht="15.6" x14ac:dyDescent="0.3">
      <c r="A25" s="93"/>
      <c r="B25" s="16">
        <f t="shared" ref="B25:B27" si="9">I25</f>
        <v>1</v>
      </c>
      <c r="C25" s="16"/>
      <c r="D25" s="16">
        <f>J25+D$23</f>
        <v>780</v>
      </c>
      <c r="E25" s="16">
        <f t="shared" ref="E25:E27" si="10">K25+$E$23</f>
        <v>490</v>
      </c>
      <c r="F25" s="100" t="str">
        <f>F33</f>
        <v>BLANCO OPACO</v>
      </c>
      <c r="G25" s="1"/>
      <c r="I25" s="3">
        <f t="shared" ref="I25:I27" si="11">B33</f>
        <v>1</v>
      </c>
      <c r="J25" s="4">
        <f t="shared" ref="J25:K25" si="12">D33</f>
        <v>740</v>
      </c>
      <c r="K25" s="4">
        <f t="shared" si="12"/>
        <v>400</v>
      </c>
    </row>
    <row r="26" spans="1:11" ht="15.6" x14ac:dyDescent="0.3">
      <c r="A26" s="93"/>
      <c r="B26" s="16">
        <f t="shared" si="9"/>
        <v>3</v>
      </c>
      <c r="C26" s="16"/>
      <c r="D26" s="16">
        <f>J26+D$23</f>
        <v>770</v>
      </c>
      <c r="E26" s="16">
        <f t="shared" si="10"/>
        <v>458</v>
      </c>
      <c r="F26" s="100" t="str">
        <f>F34</f>
        <v>BLANCO OPACO</v>
      </c>
      <c r="G26" s="1"/>
      <c r="I26" s="3">
        <f t="shared" si="11"/>
        <v>3</v>
      </c>
      <c r="J26" s="4">
        <f t="shared" ref="J26:K26" si="13">D34</f>
        <v>730</v>
      </c>
      <c r="K26" s="4">
        <f t="shared" si="13"/>
        <v>368</v>
      </c>
    </row>
    <row r="27" spans="1:11" ht="15.6" x14ac:dyDescent="0.3">
      <c r="A27" s="93"/>
      <c r="B27" s="16">
        <f t="shared" si="9"/>
        <v>2</v>
      </c>
      <c r="C27" s="16"/>
      <c r="D27" s="16">
        <f>J27+D$23</f>
        <v>410</v>
      </c>
      <c r="E27" s="16">
        <f t="shared" si="10"/>
        <v>740</v>
      </c>
      <c r="F27" s="100" t="str">
        <f>F35</f>
        <v>PERAL</v>
      </c>
      <c r="G27" s="1"/>
      <c r="I27" s="3">
        <f t="shared" si="11"/>
        <v>2</v>
      </c>
      <c r="J27" s="4">
        <f t="shared" ref="J27:K27" si="14">D35</f>
        <v>370</v>
      </c>
      <c r="K27" s="4">
        <f t="shared" si="14"/>
        <v>650</v>
      </c>
    </row>
    <row r="28" spans="1:11" ht="16.2" thickBot="1" x14ac:dyDescent="0.35">
      <c r="A28" s="51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1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1" t="s">
        <v>9</v>
      </c>
      <c r="B31" s="87" t="s">
        <v>10</v>
      </c>
      <c r="C31" s="87" t="s">
        <v>110</v>
      </c>
      <c r="D31" s="87" t="s">
        <v>7</v>
      </c>
      <c r="E31" s="87" t="s">
        <v>8</v>
      </c>
      <c r="F31" s="87" t="s">
        <v>23</v>
      </c>
      <c r="G31" s="1"/>
    </row>
    <row r="32" spans="1:11" ht="15.6" x14ac:dyDescent="0.3">
      <c r="A32" s="93" t="s">
        <v>131</v>
      </c>
      <c r="B32" s="25">
        <f>B59</f>
        <v>2</v>
      </c>
      <c r="C32" s="25" t="str">
        <f t="shared" ref="C32:F32" si="15">C59</f>
        <v>PR12</v>
      </c>
      <c r="D32" s="25">
        <f t="shared" si="15"/>
        <v>740</v>
      </c>
      <c r="E32" s="25">
        <f t="shared" si="15"/>
        <v>440</v>
      </c>
      <c r="F32" s="25" t="str">
        <f t="shared" si="15"/>
        <v>BLANCO OPACO</v>
      </c>
      <c r="G32" s="1"/>
    </row>
    <row r="33" spans="1:7" ht="15.6" x14ac:dyDescent="0.3">
      <c r="A33" s="93"/>
      <c r="B33" s="25">
        <f t="shared" ref="B33:F33" si="16">B60</f>
        <v>1</v>
      </c>
      <c r="C33" s="25" t="str">
        <f t="shared" si="16"/>
        <v>PR12</v>
      </c>
      <c r="D33" s="25">
        <f t="shared" si="16"/>
        <v>740</v>
      </c>
      <c r="E33" s="25">
        <f t="shared" si="16"/>
        <v>400</v>
      </c>
      <c r="F33" s="25" t="str">
        <f t="shared" si="16"/>
        <v>BLANCO OPACO</v>
      </c>
      <c r="G33" s="1"/>
    </row>
    <row r="34" spans="1:7" ht="15.6" x14ac:dyDescent="0.3">
      <c r="A34" s="93"/>
      <c r="B34" s="25">
        <f t="shared" ref="B34:F34" si="17">B61</f>
        <v>3</v>
      </c>
      <c r="C34" s="25" t="str">
        <f t="shared" si="17"/>
        <v>PR12</v>
      </c>
      <c r="D34" s="25">
        <f t="shared" si="17"/>
        <v>730</v>
      </c>
      <c r="E34" s="25">
        <f t="shared" si="17"/>
        <v>368</v>
      </c>
      <c r="F34" s="25" t="str">
        <f t="shared" si="17"/>
        <v>BLANCO OPACO</v>
      </c>
      <c r="G34" s="1"/>
    </row>
    <row r="35" spans="1:7" ht="15.6" x14ac:dyDescent="0.3">
      <c r="A35" s="93"/>
      <c r="B35" s="25">
        <f t="shared" ref="B35:F35" si="18">B62</f>
        <v>2</v>
      </c>
      <c r="C35" s="25" t="str">
        <f t="shared" si="18"/>
        <v>PR12</v>
      </c>
      <c r="D35" s="25">
        <f t="shared" si="18"/>
        <v>370</v>
      </c>
      <c r="E35" s="25">
        <f t="shared" si="18"/>
        <v>650</v>
      </c>
      <c r="F35" s="25" t="str">
        <f t="shared" si="18"/>
        <v>PERAL</v>
      </c>
      <c r="G35" s="1"/>
    </row>
    <row r="36" spans="1:7" ht="15.6" x14ac:dyDescent="0.3">
      <c r="A36" s="93"/>
      <c r="B36" s="142"/>
      <c r="C36" s="143"/>
      <c r="D36" s="142"/>
      <c r="E36" s="142"/>
      <c r="F36" s="142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 t="s">
        <v>135</v>
      </c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6.2" thickBot="1" x14ac:dyDescent="0.35">
      <c r="A45" s="1"/>
      <c r="B45" s="1"/>
      <c r="G45" s="1"/>
    </row>
    <row r="46" spans="1:7" ht="15.6" x14ac:dyDescent="0.3">
      <c r="A46" s="1"/>
      <c r="B46" s="1"/>
      <c r="C46" s="108" t="s">
        <v>27</v>
      </c>
      <c r="D46" s="109">
        <f>'4637'!G8</f>
        <v>7253</v>
      </c>
      <c r="E46" s="110"/>
      <c r="F46" s="111"/>
      <c r="G46" s="1"/>
    </row>
    <row r="47" spans="1:7" ht="15.6" x14ac:dyDescent="0.3">
      <c r="A47" s="1"/>
      <c r="B47" s="1"/>
      <c r="C47" s="112" t="s">
        <v>67</v>
      </c>
      <c r="D47" s="42" t="str">
        <f>'4637'!C10</f>
        <v>DIEGO LOBO VENEGAS</v>
      </c>
      <c r="E47" s="43"/>
      <c r="F47" s="64"/>
      <c r="G47" s="1"/>
    </row>
    <row r="48" spans="1:7" ht="16.2" thickBot="1" x14ac:dyDescent="0.35">
      <c r="A48" s="1"/>
      <c r="B48" s="1"/>
      <c r="C48" s="113" t="str">
        <f>'4637'!F11</f>
        <v>FECHA LIMITE :</v>
      </c>
      <c r="D48" s="114">
        <f>'4637'!G11</f>
        <v>45882</v>
      </c>
      <c r="E48" s="115"/>
      <c r="F48" s="116"/>
      <c r="G48" s="1"/>
    </row>
    <row r="49" spans="1:7" ht="15.6" x14ac:dyDescent="0.3">
      <c r="A49" s="1"/>
      <c r="B49" s="1"/>
      <c r="G49" s="1"/>
    </row>
    <row r="50" spans="1:7" ht="17.25" customHeight="1" x14ac:dyDescent="0.3">
      <c r="A50" s="1"/>
      <c r="B50" s="1"/>
      <c r="G50" s="1"/>
    </row>
    <row r="51" spans="1:7" ht="4.5" customHeight="1" x14ac:dyDescent="0.3">
      <c r="A51" s="1"/>
      <c r="B51" s="1"/>
      <c r="C51" s="44"/>
      <c r="D51" s="45"/>
      <c r="E51" s="1"/>
      <c r="F51" s="1"/>
      <c r="G51" s="1"/>
    </row>
    <row r="52" spans="1:7" ht="15.6" x14ac:dyDescent="0.3">
      <c r="A52" s="1"/>
      <c r="B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25" t="s">
        <v>68</v>
      </c>
      <c r="B55" s="125"/>
      <c r="C55" s="125"/>
      <c r="D55" s="125"/>
      <c r="E55" s="125"/>
      <c r="F55" s="125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26" t="s">
        <v>69</v>
      </c>
      <c r="C57" s="127"/>
      <c r="D57" s="128"/>
      <c r="E57" s="128"/>
      <c r="F57" s="129"/>
      <c r="G57" s="1"/>
    </row>
    <row r="58" spans="1:7" s="15" customFormat="1" ht="12.75" customHeight="1" x14ac:dyDescent="0.3">
      <c r="A58" s="1"/>
      <c r="B58" s="36" t="s">
        <v>10</v>
      </c>
      <c r="C58" s="46" t="s">
        <v>11</v>
      </c>
      <c r="D58" s="47" t="s">
        <v>7</v>
      </c>
      <c r="E58" s="47" t="s">
        <v>8</v>
      </c>
      <c r="F58" s="48" t="s">
        <v>12</v>
      </c>
      <c r="G58" s="1"/>
    </row>
    <row r="59" spans="1:7" s="15" customFormat="1" ht="15" customHeight="1" x14ac:dyDescent="0.3">
      <c r="A59" s="93" t="s">
        <v>131</v>
      </c>
      <c r="B59" s="38">
        <f>'4637'!B21</f>
        <v>2</v>
      </c>
      <c r="C59" s="98" t="str">
        <f>'4637'!C21</f>
        <v>PR12</v>
      </c>
      <c r="D59" s="39">
        <f>'4637'!D21</f>
        <v>740</v>
      </c>
      <c r="E59" s="39">
        <f>'4637'!E21</f>
        <v>440</v>
      </c>
      <c r="F59" s="101" t="str">
        <f>'4637'!F21</f>
        <v>BLANCO OPACO</v>
      </c>
      <c r="G59" s="1"/>
    </row>
    <row r="60" spans="1:7" s="15" customFormat="1" ht="15" customHeight="1" x14ac:dyDescent="0.3">
      <c r="A60" s="93"/>
      <c r="B60" s="38">
        <f>'4637'!B22</f>
        <v>1</v>
      </c>
      <c r="C60" s="98" t="str">
        <f>'4637'!C22</f>
        <v>PR12</v>
      </c>
      <c r="D60" s="39">
        <f>'4637'!D22</f>
        <v>740</v>
      </c>
      <c r="E60" s="39">
        <f>'4637'!E22</f>
        <v>400</v>
      </c>
      <c r="F60" s="101" t="str">
        <f>'4637'!F22</f>
        <v>BLANCO OPACO</v>
      </c>
      <c r="G60" s="1"/>
    </row>
    <row r="61" spans="1:7" s="15" customFormat="1" ht="15" customHeight="1" x14ac:dyDescent="0.3">
      <c r="A61" s="93"/>
      <c r="B61" s="38">
        <f>'4637'!B23</f>
        <v>3</v>
      </c>
      <c r="C61" s="98" t="str">
        <f>'4637'!C23</f>
        <v>PR12</v>
      </c>
      <c r="D61" s="39">
        <f>'4637'!D23</f>
        <v>730</v>
      </c>
      <c r="E61" s="39">
        <f>'4637'!E23</f>
        <v>368</v>
      </c>
      <c r="F61" s="101" t="str">
        <f>'4637'!F23</f>
        <v>BLANCO OPACO</v>
      </c>
      <c r="G61" s="1"/>
    </row>
    <row r="62" spans="1:7" s="15" customFormat="1" ht="15" customHeight="1" x14ac:dyDescent="0.3">
      <c r="A62" s="93"/>
      <c r="B62" s="38">
        <f>'4637'!B24</f>
        <v>2</v>
      </c>
      <c r="C62" s="98" t="str">
        <f>'4637'!C24</f>
        <v>PR12</v>
      </c>
      <c r="D62" s="39">
        <f>'4637'!D24</f>
        <v>370</v>
      </c>
      <c r="E62" s="39">
        <f>'4637'!E24</f>
        <v>650</v>
      </c>
      <c r="F62" s="101" t="str">
        <f>'4637'!F24</f>
        <v>PERAL</v>
      </c>
      <c r="G62" s="1"/>
    </row>
    <row r="63" spans="1:7" s="15" customFormat="1" ht="15" customHeight="1" x14ac:dyDescent="0.3">
      <c r="A63" s="93"/>
      <c r="B63" s="144"/>
      <c r="C63" s="145"/>
      <c r="D63" s="144"/>
      <c r="E63" s="144"/>
      <c r="F63" s="146"/>
      <c r="G63" s="1"/>
    </row>
    <row r="64" spans="1:7" s="15" customFormat="1" ht="15" customHeight="1" x14ac:dyDescent="0.3">
      <c r="A64" s="49"/>
      <c r="B64" s="51"/>
      <c r="C64" s="51"/>
      <c r="D64" s="51"/>
      <c r="E64" s="51"/>
      <c r="F64" s="51"/>
      <c r="G64" s="1"/>
    </row>
    <row r="65" spans="1:7" ht="15.6" x14ac:dyDescent="0.3">
      <c r="A65" s="6"/>
      <c r="B65" s="6"/>
      <c r="C65" s="1"/>
      <c r="D65" s="6"/>
      <c r="E65" s="6"/>
      <c r="F65" s="44"/>
      <c r="G65" s="1"/>
    </row>
    <row r="66" spans="1:7" ht="15.6" x14ac:dyDescent="0.3">
      <c r="A66" s="6"/>
      <c r="B66" s="6"/>
      <c r="C66" s="1"/>
      <c r="D66" s="6"/>
      <c r="E66" s="6"/>
      <c r="F66" s="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" customHeight="1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6"/>
      <c r="B72" s="50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x14ac:dyDescent="0.3">
      <c r="B74" s="20"/>
      <c r="C74" s="20"/>
      <c r="D74" s="20"/>
      <c r="E74" s="20"/>
      <c r="F74" s="20"/>
    </row>
    <row r="75" spans="1:7" x14ac:dyDescent="0.3">
      <c r="B75" s="20"/>
      <c r="C75" s="20"/>
      <c r="E75" s="20"/>
      <c r="F75" s="20"/>
    </row>
  </sheetData>
  <mergeCells count="6">
    <mergeCell ref="M3:N3"/>
    <mergeCell ref="A20:F20"/>
    <mergeCell ref="A10:F10"/>
    <mergeCell ref="A55:F55"/>
    <mergeCell ref="B57:F5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2025-08-06T16:48:20Z</cp:lastPrinted>
  <dcterms:created xsi:type="dcterms:W3CDTF">2013-03-19T12:54:14Z</dcterms:created>
  <dcterms:modified xsi:type="dcterms:W3CDTF">2025-08-11T21:07:11Z</dcterms:modified>
</cp:coreProperties>
</file>