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8 AGOSTO 2025\"/>
    </mc:Choice>
  </mc:AlternateContent>
  <xr:revisionPtr revIDLastSave="0" documentId="13_ncr:1_{936BD1EB-450A-4DFA-99F1-3DFC370D9AA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F49" i="3"/>
  <c r="F26" i="3" s="1"/>
  <c r="E49" i="3"/>
  <c r="E26" i="3" s="1"/>
  <c r="D49" i="3"/>
  <c r="D26" i="3" s="1"/>
  <c r="C49" i="3"/>
  <c r="C26" i="3" s="1"/>
  <c r="B49" i="3"/>
  <c r="B26" i="3" s="1"/>
  <c r="H21" i="4"/>
  <c r="H24" i="4" l="1"/>
  <c r="H25" i="4" s="1"/>
  <c r="H26" i="4" s="1"/>
  <c r="I21" i="3" l="1"/>
  <c r="J21" i="3"/>
  <c r="K21" i="3"/>
  <c r="E21" i="3" s="1"/>
  <c r="F21" i="3"/>
  <c r="D5" i="3"/>
  <c r="K14" i="3" l="1"/>
  <c r="E14" i="3" s="1"/>
  <c r="I14" i="3"/>
  <c r="F14" i="3"/>
  <c r="J14" i="3"/>
  <c r="D14" i="3" s="1"/>
  <c r="D21" i="3" l="1"/>
  <c r="B21" i="3"/>
  <c r="N5" i="3" l="1"/>
  <c r="M5" i="3" l="1"/>
  <c r="L5" i="3"/>
  <c r="K5" i="3"/>
  <c r="C39" i="3" l="1"/>
  <c r="C7" i="3"/>
  <c r="D38" i="3"/>
  <c r="D39" i="3"/>
  <c r="D7" i="3"/>
  <c r="D37" i="3"/>
  <c r="D4" i="3"/>
</calcChain>
</file>

<file path=xl/sharedStrings.xml><?xml version="1.0" encoding="utf-8"?>
<sst xmlns="http://schemas.openxmlformats.org/spreadsheetml/2006/main" count="243" uniqueCount="140">
  <si>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</si>
  <si>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</si>
  <si>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</si>
  <si>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</si>
  <si>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</si>
  <si>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</si>
  <si>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</si>
  <si>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</si>
  <si>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</si>
  <si>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</si>
  <si>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</si>
  <si>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</si>
  <si>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</si>
  <si>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</si>
  <si>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</si>
  <si>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</si>
  <si>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</si>
  <si>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</si>
  <si>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</si>
  <si>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</si>
  <si>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</si>
  <si>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</si>
  <si>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</si>
  <si>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</si>
  <si>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</si>
  <si>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</si>
  <si>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</si>
  <si>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</si>
  <si>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</si>
  <si>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</si>
  <si>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</si>
  <si>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</si>
  <si>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</si>
  <si>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</si>
  <si>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</si>
  <si>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</si>
  <si>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</si>
  <si>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</si>
  <si>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</si>
  <si>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</si>
  <si>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</si>
  <si>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</si>
  <si>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</si>
  <si>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</si>
  <si>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</si>
  <si>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</si>
  <si>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</si>
  <si>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</si>
  <si>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</si>
  <si>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</si>
  <si>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</si>
  <si>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</si>
  <si>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</si>
  <si>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</si>
  <si>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</si>
  <si>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</si>
  <si>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</si>
  <si>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</si>
  <si>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</si>
  <si>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</si>
  <si>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</si>
  <si>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</si>
  <si>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</si>
  <si>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</si>
  <si>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</si>
  <si>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</si>
  <si>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</si>
  <si>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</si>
  <si>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</si>
  <si>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</si>
  <si>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</si>
  <si>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</si>
  <si>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</si>
  <si>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</si>
  <si>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</si>
  <si>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</si>
  <si>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</si>
  <si>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</si>
  <si>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</si>
  <si>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</si>
  <si>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</si>
  <si>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</si>
  <si>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</si>
  <si>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</si>
  <si>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</si>
  <si>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</si>
  <si>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</si>
  <si>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</si>
  <si>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</si>
  <si>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</si>
  <si>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</si>
  <si>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</si>
  <si>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</si>
  <si>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</si>
  <si>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</si>
  <si>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</si>
  <si>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</si>
  <si>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</si>
  <si>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</si>
  <si>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</si>
  <si>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</si>
  <si>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</si>
  <si>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</si>
  <si>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</si>
  <si>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</si>
  <si>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</si>
  <si>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</si>
  <si>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</si>
  <si>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</si>
  <si>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</si>
  <si>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</si>
  <si>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</si>
  <si>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</si>
  <si>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</si>
  <si>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</si>
  <si>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</si>
  <si>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</si>
  <si>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</si>
  <si>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</si>
  <si>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</si>
  <si>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</si>
  <si>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</si>
  <si>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</si>
  <si>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</si>
  <si>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</si>
  <si>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</si>
  <si>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</si>
  <si>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</si>
  <si>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</si>
  <si>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</si>
  <si>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</si>
  <si>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</si>
  <si>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NO</t>
  </si>
  <si>
    <t>CONTADO</t>
  </si>
  <si>
    <t>DENEY Y VELIZ</t>
  </si>
  <si>
    <t>CUB C/R R8</t>
  </si>
  <si>
    <t>GRANITO 3012 MT</t>
  </si>
  <si>
    <t>569 7588 4312</t>
  </si>
  <si>
    <t>VALAPARAISO</t>
  </si>
  <si>
    <t>N° 11609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</si>
</sst>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0" fillId="0" borderId="0" xfId="0" applyAlignment="1">
      <alignment horizontal="left"/>
    </xf>
    <xf numFmtId="0" fontId="1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11" fillId="3" borderId="6" xfId="0" applyFont="1" applyFill="1" applyBorder="1" applyAlignment="1">
      <alignment horizontal="left" indent="1"/>
    </xf>
    <xf numFmtId="14" fontId="11" fillId="0" borderId="8" xfId="0" applyNumberFormat="1" applyFont="1" applyBorder="1" applyAlignment="1">
      <alignment horizontal="left" indent="1"/>
    </xf>
    <xf numFmtId="14" fontId="1" fillId="0" borderId="9" xfId="0" applyNumberFormat="1" applyFont="1" applyBorder="1" applyAlignment="1">
      <alignment horizontal="left" wrapText="1" shrinkToFit="1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42" fontId="3" fillId="0" borderId="12" xfId="3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20" fillId="0" borderId="0" xfId="0" quotePrefix="1" applyFont="1" applyAlignment="1">
      <alignment horizontal="left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26</xdr:row>
      <xdr:rowOff>15240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541645"/>
          <a:ext cx="59055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CANCELADO $ 114.260.--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47625</xdr:rowOff>
    </xdr:from>
    <xdr:to>
      <xdr:col>5</xdr:col>
      <xdr:colOff>2392680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82140" y="1076325"/>
          <a:ext cx="678180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6</xdr:col>
      <xdr:colOff>15240</xdr:colOff>
      <xdr:row>17</xdr:row>
      <xdr:rowOff>22860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497580"/>
          <a:ext cx="8534400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10</xdr:row>
      <xdr:rowOff>7620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2392680</xdr:colOff>
      <xdr:row>45</xdr:row>
      <xdr:rowOff>15240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582150"/>
          <a:ext cx="8502015" cy="2400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28</xdr:row>
      <xdr:rowOff>15239</xdr:rowOff>
    </xdr:from>
    <xdr:to>
      <xdr:col>5</xdr:col>
      <xdr:colOff>2392680</xdr:colOff>
      <xdr:row>32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979919"/>
          <a:ext cx="82715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21</xdr:row>
      <xdr:rowOff>200025</xdr:rowOff>
    </xdr:from>
    <xdr:to>
      <xdr:col>6</xdr:col>
      <xdr:colOff>19049</xdr:colOff>
      <xdr:row>23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5</xdr:col>
      <xdr:colOff>2392680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73455" y="12140565"/>
          <a:ext cx="769048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41910</xdr:rowOff>
    </xdr:from>
    <xdr:to>
      <xdr:col>1</xdr:col>
      <xdr:colOff>801763</xdr:colOff>
      <xdr:row>40</xdr:row>
      <xdr:rowOff>190500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4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4.21875" customWidth="1"/>
    <col min="4" max="5" width="9.109375" customWidth="1"/>
    <col min="6" max="6" width="36.21875" bestFit="1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7" t="s">
        <v>16</v>
      </c>
      <c r="C8" s="88"/>
      <c r="D8" s="89" t="s">
        <v>139</v>
      </c>
      <c r="E8" s="1"/>
      <c r="F8" s="90" t="s">
        <v>27</v>
      </c>
      <c r="G8" s="91">
        <v>7267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2" t="s">
        <v>128</v>
      </c>
      <c r="C10" s="84" t="s">
        <v>134</v>
      </c>
      <c r="D10" s="53"/>
      <c r="E10" s="53"/>
      <c r="F10" s="54" t="s">
        <v>28</v>
      </c>
      <c r="G10" s="55">
        <v>45891</v>
      </c>
      <c r="H10" s="56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7" t="s">
        <v>2</v>
      </c>
      <c r="C11" s="103"/>
      <c r="D11" s="58"/>
      <c r="E11" s="58"/>
      <c r="F11" s="58" t="s">
        <v>124</v>
      </c>
      <c r="G11" s="59">
        <v>45894</v>
      </c>
      <c r="H11" s="60"/>
      <c r="I11" s="1"/>
    </row>
    <row r="12" spans="1:17" ht="16.8" x14ac:dyDescent="0.4">
      <c r="A12" s="1"/>
      <c r="B12" s="61" t="s">
        <v>129</v>
      </c>
      <c r="C12" s="100"/>
      <c r="D12" s="42"/>
      <c r="E12" s="42"/>
      <c r="F12" s="42" t="s">
        <v>30</v>
      </c>
      <c r="G12" s="62"/>
      <c r="H12" s="63"/>
      <c r="I12" s="1"/>
    </row>
    <row r="13" spans="1:17" ht="15.6" x14ac:dyDescent="0.3">
      <c r="A13" s="1"/>
      <c r="B13" s="61" t="s">
        <v>130</v>
      </c>
      <c r="D13" s="42"/>
      <c r="E13" s="42"/>
      <c r="F13" s="42" t="s">
        <v>127</v>
      </c>
      <c r="G13" s="62"/>
      <c r="H13" s="63"/>
      <c r="I13" s="1"/>
    </row>
    <row r="14" spans="1:17" ht="15.6" x14ac:dyDescent="0.3">
      <c r="A14" s="1"/>
      <c r="B14" s="57" t="s">
        <v>17</v>
      </c>
      <c r="C14" s="133" t="s">
        <v>137</v>
      </c>
      <c r="D14" s="64"/>
      <c r="E14" s="58"/>
      <c r="F14" s="58" t="s">
        <v>29</v>
      </c>
      <c r="G14" s="58" t="s">
        <v>132</v>
      </c>
      <c r="H14" s="60"/>
      <c r="I14" s="1"/>
    </row>
    <row r="15" spans="1:17" ht="16.8" x14ac:dyDescent="0.4">
      <c r="A15" s="1"/>
      <c r="B15" s="61" t="s">
        <v>1</v>
      </c>
      <c r="C15" s="101"/>
      <c r="D15" s="42"/>
      <c r="E15" s="42"/>
      <c r="F15" s="65" t="s">
        <v>75</v>
      </c>
      <c r="G15" s="65" t="s">
        <v>133</v>
      </c>
      <c r="H15" s="63"/>
      <c r="I15" s="1"/>
    </row>
    <row r="16" spans="1:17" ht="16.2" thickBot="1" x14ac:dyDescent="0.35">
      <c r="A16" s="1"/>
      <c r="B16" s="66" t="s">
        <v>3</v>
      </c>
      <c r="C16" s="102" t="s">
        <v>138</v>
      </c>
      <c r="D16" s="67"/>
      <c r="E16" s="68"/>
      <c r="F16" s="118" t="s">
        <v>18</v>
      </c>
      <c r="G16" s="118"/>
      <c r="H16" s="119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0" t="s">
        <v>19</v>
      </c>
      <c r="C19" s="121"/>
      <c r="D19" s="121"/>
      <c r="E19" s="121"/>
      <c r="F19" s="121"/>
      <c r="G19" s="121"/>
      <c r="H19" s="122"/>
      <c r="I19" s="1"/>
    </row>
    <row r="20" spans="1:16" ht="16.2" thickBot="1" x14ac:dyDescent="0.35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5.6" x14ac:dyDescent="0.3">
      <c r="A21" s="1"/>
      <c r="B21" s="113">
        <v>1</v>
      </c>
      <c r="C21" s="114" t="s">
        <v>135</v>
      </c>
      <c r="D21" s="132">
        <v>1350</v>
      </c>
      <c r="E21" s="132">
        <v>600</v>
      </c>
      <c r="F21" s="99" t="s">
        <v>136</v>
      </c>
      <c r="G21" s="131">
        <v>96017</v>
      </c>
      <c r="H21" s="115">
        <f>G21*B21</f>
        <v>96017</v>
      </c>
      <c r="I21" s="1"/>
    </row>
    <row r="22" spans="1:16" ht="18" customHeight="1" x14ac:dyDescent="0.3">
      <c r="A22" s="1"/>
      <c r="B22" s="93"/>
      <c r="C22" s="93"/>
      <c r="D22" s="93"/>
      <c r="E22" s="93"/>
      <c r="F22" s="94"/>
      <c r="G22" s="95"/>
      <c r="H22" s="95"/>
      <c r="I22" s="1"/>
      <c r="K22" s="17"/>
      <c r="L22" s="25"/>
      <c r="M22" s="17"/>
      <c r="N22" s="17"/>
      <c r="O22" s="25"/>
      <c r="P22" s="32"/>
    </row>
    <row r="23" spans="1:16" ht="8.25" customHeight="1" thickBot="1" x14ac:dyDescent="0.35">
      <c r="A23" s="1"/>
      <c r="B23" s="72"/>
      <c r="C23" s="72"/>
      <c r="D23" s="72"/>
      <c r="E23" s="72"/>
      <c r="F23" s="72"/>
      <c r="G23" s="73"/>
      <c r="H23" s="73"/>
      <c r="I23" s="1"/>
    </row>
    <row r="24" spans="1:16" ht="15.6" x14ac:dyDescent="0.3">
      <c r="A24" s="1"/>
      <c r="B24" s="1"/>
      <c r="C24" s="1"/>
      <c r="D24" s="1"/>
      <c r="E24" s="1"/>
      <c r="F24" s="1"/>
      <c r="G24" s="74" t="s">
        <v>5</v>
      </c>
      <c r="H24" s="75">
        <f>SUM(H21:H21)</f>
        <v>96017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6</v>
      </c>
      <c r="H25" s="77">
        <f>H24*0.19</f>
        <v>18243.23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8" t="s">
        <v>4</v>
      </c>
      <c r="H26" s="79">
        <f>H24+H25</f>
        <v>114260.23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0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0" t="s">
        <v>123</v>
      </c>
      <c r="C29" s="81"/>
      <c r="D29" s="82"/>
      <c r="E29" s="82"/>
      <c r="F29" s="72"/>
      <c r="G29" s="1"/>
      <c r="H29" s="1"/>
      <c r="I29" s="1"/>
    </row>
    <row r="30" spans="1:16" ht="15.6" x14ac:dyDescent="0.3">
      <c r="A30" s="1"/>
      <c r="B30" s="80" t="s">
        <v>122</v>
      </c>
      <c r="C30" s="81"/>
      <c r="D30" s="82"/>
      <c r="E30" s="82"/>
      <c r="F30" s="72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3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31</v>
      </c>
      <c r="C2" s="123"/>
      <c r="D2" s="123"/>
      <c r="E2" s="18"/>
      <c r="G2" s="123" t="s">
        <v>70</v>
      </c>
      <c r="H2" s="123"/>
      <c r="I2" s="123"/>
      <c r="P2" s="124" t="s">
        <v>58</v>
      </c>
      <c r="Q2" s="124"/>
      <c r="R2" s="124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8">
        <v>50</v>
      </c>
      <c r="H4" s="28">
        <v>100</v>
      </c>
      <c r="I4" s="29" t="s">
        <v>113</v>
      </c>
      <c r="J4" s="30" t="s">
        <v>109</v>
      </c>
      <c r="K4" s="30"/>
      <c r="L4" s="30"/>
      <c r="M4" s="30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8">
        <v>50</v>
      </c>
      <c r="H5" s="28"/>
      <c r="I5" s="29" t="s">
        <v>115</v>
      </c>
      <c r="J5" s="30" t="s">
        <v>117</v>
      </c>
      <c r="K5" s="30"/>
      <c r="L5" s="30"/>
      <c r="M5" s="30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4" t="s">
        <v>58</v>
      </c>
      <c r="M8" s="124"/>
      <c r="N8" s="12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0" t="s">
        <v>111</v>
      </c>
      <c r="K20" s="30"/>
      <c r="L20" s="30"/>
      <c r="M20" s="30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8"/>
      <c r="H22" s="28"/>
      <c r="I22" s="29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6">
        <v>40</v>
      </c>
      <c r="C36" s="26">
        <v>90</v>
      </c>
      <c r="D36" s="27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6">
        <v>40</v>
      </c>
      <c r="C37" s="26">
        <v>90</v>
      </c>
      <c r="D37" s="27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zoomScaleNormal="100" workbookViewId="0">
      <selection sqref="A1:G35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3" t="s">
        <v>125</v>
      </c>
      <c r="L2" s="33"/>
      <c r="M2" s="33"/>
    </row>
    <row r="3" spans="1:14" ht="15.6" x14ac:dyDescent="0.3">
      <c r="A3" s="1"/>
      <c r="B3" s="1"/>
      <c r="C3" s="1"/>
      <c r="D3" s="1"/>
      <c r="E3" s="1"/>
      <c r="F3" s="1"/>
      <c r="G3" s="1"/>
      <c r="K3" s="125" t="s">
        <v>61</v>
      </c>
      <c r="L3" s="125"/>
      <c r="M3" s="125" t="s">
        <v>14</v>
      </c>
      <c r="N3" s="125"/>
    </row>
    <row r="4" spans="1:14" ht="15.75" customHeight="1" x14ac:dyDescent="0.3">
      <c r="A4" s="1"/>
      <c r="B4" s="1"/>
      <c r="C4" s="39" t="s">
        <v>27</v>
      </c>
      <c r="D4" s="14">
        <f>'4637'!G8</f>
        <v>7267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DENEY Y VELIZ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45894</v>
      </c>
      <c r="E7" s="1"/>
      <c r="F7" s="1"/>
      <c r="G7" s="1"/>
    </row>
    <row r="8" spans="1:14" ht="15.6" x14ac:dyDescent="0.3">
      <c r="A8" s="1"/>
      <c r="B8" s="1"/>
      <c r="C8" s="51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6" t="s">
        <v>61</v>
      </c>
      <c r="B10" s="126"/>
      <c r="C10" s="126"/>
      <c r="D10" s="126"/>
      <c r="E10" s="126"/>
      <c r="F10" s="12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6" t="s">
        <v>10</v>
      </c>
      <c r="C13" s="36" t="s">
        <v>11</v>
      </c>
      <c r="D13" s="31">
        <v>80</v>
      </c>
      <c r="E13" s="31">
        <v>-30</v>
      </c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92" t="s">
        <v>131</v>
      </c>
      <c r="B14" s="24">
        <f>I14</f>
        <v>1</v>
      </c>
      <c r="C14" s="16"/>
      <c r="D14" s="24">
        <f>J14+D$13</f>
        <v>1430</v>
      </c>
      <c r="E14" s="34">
        <f>K14+$E$13</f>
        <v>570</v>
      </c>
      <c r="F14" s="98" t="str">
        <f>F26</f>
        <v>GRANITO 3012 MT</v>
      </c>
      <c r="G14" s="1"/>
      <c r="I14" s="3">
        <f>B26</f>
        <v>1</v>
      </c>
      <c r="J14" s="4">
        <f>D26</f>
        <v>1350</v>
      </c>
      <c r="K14" s="4">
        <f>E26</f>
        <v>600</v>
      </c>
    </row>
    <row r="15" spans="1:14" x14ac:dyDescent="0.3">
      <c r="A15" s="9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6" t="s">
        <v>14</v>
      </c>
      <c r="B17" s="126"/>
      <c r="C17" s="126"/>
      <c r="D17" s="126"/>
      <c r="E17" s="126"/>
      <c r="F17" s="126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7</v>
      </c>
      <c r="E19" s="50" t="s">
        <v>8</v>
      </c>
      <c r="F19" s="1"/>
      <c r="G19" s="1"/>
    </row>
    <row r="20" spans="1:11" ht="15.6" x14ac:dyDescent="0.3">
      <c r="A20" s="50" t="s">
        <v>9</v>
      </c>
      <c r="B20" s="36" t="s">
        <v>10</v>
      </c>
      <c r="C20" s="36" t="s">
        <v>11</v>
      </c>
      <c r="D20" s="31">
        <v>40</v>
      </c>
      <c r="E20" s="3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2"/>
      <c r="B21" s="24">
        <f t="shared" ref="B21" si="0">I21</f>
        <v>1</v>
      </c>
      <c r="C21" s="24"/>
      <c r="D21" s="24">
        <f>J21+D$20</f>
        <v>1390</v>
      </c>
      <c r="E21" s="24">
        <f>K21+$E$20</f>
        <v>730</v>
      </c>
      <c r="F21" s="98" t="str">
        <f>F26</f>
        <v>GRANITO 3012 MT</v>
      </c>
      <c r="G21" s="1"/>
      <c r="I21" s="3">
        <f>B26</f>
        <v>1</v>
      </c>
      <c r="J21" s="4">
        <f>D26</f>
        <v>1350</v>
      </c>
      <c r="K21" s="4">
        <f>E26</f>
        <v>600</v>
      </c>
    </row>
    <row r="22" spans="1:11" ht="16.2" thickBot="1" x14ac:dyDescent="0.35">
      <c r="A22" s="50"/>
      <c r="B22" s="6"/>
      <c r="C22" s="6"/>
      <c r="D22" s="6"/>
      <c r="E22" s="6"/>
      <c r="F22" s="6"/>
      <c r="G22" s="1"/>
      <c r="I22" s="2"/>
      <c r="J22" s="2"/>
      <c r="K22" s="2"/>
    </row>
    <row r="23" spans="1:11" ht="16.2" thickBot="1" x14ac:dyDescent="0.35">
      <c r="A23" s="50"/>
      <c r="B23" s="21" t="s">
        <v>107</v>
      </c>
      <c r="C23" s="22"/>
      <c r="D23" s="22"/>
      <c r="E23" s="22"/>
      <c r="F23" s="23"/>
      <c r="G23" s="1"/>
      <c r="I23" s="2"/>
      <c r="J23" s="2"/>
      <c r="K23" s="2"/>
    </row>
    <row r="24" spans="1:11" ht="10.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50" t="s">
        <v>9</v>
      </c>
      <c r="B25" s="86" t="s">
        <v>10</v>
      </c>
      <c r="C25" s="86" t="s">
        <v>110</v>
      </c>
      <c r="D25" s="86" t="s">
        <v>7</v>
      </c>
      <c r="E25" s="86" t="s">
        <v>8</v>
      </c>
      <c r="F25" s="86" t="s">
        <v>23</v>
      </c>
      <c r="G25" s="1"/>
    </row>
    <row r="26" spans="1:11" ht="15.6" x14ac:dyDescent="0.3">
      <c r="A26" s="92" t="s">
        <v>131</v>
      </c>
      <c r="B26" s="24">
        <f>B49</f>
        <v>1</v>
      </c>
      <c r="C26" s="24" t="str">
        <f t="shared" ref="C26:F26" si="1">C49</f>
        <v>CUB C/R R8</v>
      </c>
      <c r="D26" s="24">
        <f t="shared" si="1"/>
        <v>1350</v>
      </c>
      <c r="E26" s="24">
        <f t="shared" si="1"/>
        <v>600</v>
      </c>
      <c r="F26" s="24" t="str">
        <f t="shared" si="1"/>
        <v>GRANITO 3012 MT</v>
      </c>
      <c r="G26" s="1"/>
    </row>
    <row r="27" spans="1:11" ht="15.6" x14ac:dyDescent="0.3">
      <c r="A27" s="92"/>
      <c r="B27" s="6"/>
      <c r="C27" s="116"/>
      <c r="D27" s="6"/>
      <c r="E27" s="6"/>
      <c r="F27" s="6"/>
      <c r="G27" s="1"/>
    </row>
    <row r="28" spans="1:11" ht="15.6" x14ac:dyDescent="0.3">
      <c r="A28" s="1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6.2" thickBot="1" x14ac:dyDescent="0.35">
      <c r="A36" s="1"/>
      <c r="B36" s="1"/>
      <c r="G36" s="1"/>
    </row>
    <row r="37" spans="1:7" ht="15.6" x14ac:dyDescent="0.3">
      <c r="A37" s="1"/>
      <c r="B37" s="1"/>
      <c r="C37" s="104" t="s">
        <v>27</v>
      </c>
      <c r="D37" s="105">
        <f>'4637'!G8</f>
        <v>7267</v>
      </c>
      <c r="E37" s="106"/>
      <c r="F37" s="107"/>
      <c r="G37" s="1"/>
    </row>
    <row r="38" spans="1:7" ht="15.6" x14ac:dyDescent="0.3">
      <c r="A38" s="1"/>
      <c r="B38" s="1"/>
      <c r="C38" s="108" t="s">
        <v>67</v>
      </c>
      <c r="D38" s="41" t="str">
        <f>'4637'!C10</f>
        <v>DENEY Y VELIZ</v>
      </c>
      <c r="E38" s="42"/>
      <c r="F38" s="63"/>
      <c r="G38" s="1"/>
    </row>
    <row r="39" spans="1:7" ht="16.2" thickBot="1" x14ac:dyDescent="0.35">
      <c r="A39" s="1"/>
      <c r="B39" s="1"/>
      <c r="C39" s="109" t="str">
        <f>'4637'!F11</f>
        <v>FECHA LIMITE :</v>
      </c>
      <c r="D39" s="110">
        <f>'4637'!G11</f>
        <v>45894</v>
      </c>
      <c r="E39" s="111"/>
      <c r="F39" s="112"/>
      <c r="G39" s="1"/>
    </row>
    <row r="40" spans="1:7" ht="15.6" x14ac:dyDescent="0.3">
      <c r="A40" s="1"/>
      <c r="B40" s="1"/>
      <c r="G40" s="1"/>
    </row>
    <row r="41" spans="1:7" ht="17.25" customHeight="1" x14ac:dyDescent="0.3">
      <c r="A41" s="1"/>
      <c r="B41" s="1"/>
      <c r="G41" s="1"/>
    </row>
    <row r="42" spans="1:7" ht="4.5" customHeight="1" x14ac:dyDescent="0.3">
      <c r="A42" s="1"/>
      <c r="B42" s="1"/>
      <c r="C42" s="43"/>
      <c r="D42" s="44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6" t="s">
        <v>68</v>
      </c>
      <c r="B45" s="126"/>
      <c r="C45" s="126"/>
      <c r="D45" s="126"/>
      <c r="E45" s="126"/>
      <c r="F45" s="126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7" t="s">
        <v>69</v>
      </c>
      <c r="C47" s="128"/>
      <c r="D47" s="129"/>
      <c r="E47" s="129"/>
      <c r="F47" s="130"/>
      <c r="G47" s="1"/>
    </row>
    <row r="48" spans="1:7" s="15" customFormat="1" ht="12.75" customHeight="1" x14ac:dyDescent="0.3">
      <c r="A48" s="1"/>
      <c r="B48" s="35" t="s">
        <v>10</v>
      </c>
      <c r="C48" s="45" t="s">
        <v>11</v>
      </c>
      <c r="D48" s="46" t="s">
        <v>7</v>
      </c>
      <c r="E48" s="46" t="s">
        <v>8</v>
      </c>
      <c r="F48" s="47" t="s">
        <v>12</v>
      </c>
      <c r="G48" s="1"/>
    </row>
    <row r="49" spans="1:7" s="15" customFormat="1" ht="15" customHeight="1" x14ac:dyDescent="0.3">
      <c r="A49" s="92" t="s">
        <v>131</v>
      </c>
      <c r="B49" s="37">
        <f>'4637'!B21</f>
        <v>1</v>
      </c>
      <c r="C49" s="97" t="str">
        <f>'4637'!C21</f>
        <v>CUB C/R R8</v>
      </c>
      <c r="D49" s="38">
        <f>'4637'!D21</f>
        <v>1350</v>
      </c>
      <c r="E49" s="38">
        <f>'4637'!E21</f>
        <v>600</v>
      </c>
      <c r="F49" s="99" t="str">
        <f>'4637'!F21</f>
        <v>GRANITO 3012 MT</v>
      </c>
      <c r="G49" s="1"/>
    </row>
    <row r="50" spans="1:7" s="15" customFormat="1" ht="15" customHeight="1" x14ac:dyDescent="0.3">
      <c r="A50" s="92"/>
      <c r="B50" s="50"/>
      <c r="C50" s="117"/>
      <c r="D50" s="50"/>
      <c r="E50" s="50"/>
      <c r="F50" s="93"/>
      <c r="G50" s="1"/>
    </row>
    <row r="51" spans="1:7" s="15" customFormat="1" ht="15" customHeight="1" x14ac:dyDescent="0.3">
      <c r="A51" s="48"/>
      <c r="B51" s="50"/>
      <c r="C51" s="50"/>
      <c r="D51" s="50"/>
      <c r="E51" s="50"/>
      <c r="F51" s="50"/>
      <c r="G51" s="1"/>
    </row>
    <row r="52" spans="1:7" ht="15.6" x14ac:dyDescent="0.3">
      <c r="A52" s="6"/>
      <c r="B52" s="6"/>
      <c r="C52" s="1"/>
      <c r="D52" s="6"/>
      <c r="E52" s="6"/>
      <c r="F52" s="43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49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7:F17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2025-08-22T17:33:49Z</cp:lastPrinted>
  <dcterms:created xsi:type="dcterms:W3CDTF">2013-03-19T12:54:14Z</dcterms:created>
  <dcterms:modified xsi:type="dcterms:W3CDTF">2025-08-22T17:34:14Z</dcterms:modified>
</cp:coreProperties>
</file>