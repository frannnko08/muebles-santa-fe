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BFAF5F45-C1C0-42AD-9166-A0D2C809443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CUBIERTA!$A$1:$G$57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I23" i="3" s="1"/>
  <c r="C30" i="3"/>
  <c r="F23" i="3" s="1"/>
  <c r="D30" i="3"/>
  <c r="J15" i="3" s="1"/>
  <c r="D15" i="3" s="1"/>
  <c r="E30" i="3"/>
  <c r="K15" i="3" s="1"/>
  <c r="E15" i="3" s="1"/>
  <c r="F30" i="3"/>
  <c r="F29" i="3"/>
  <c r="B73" i="3"/>
  <c r="C73" i="3"/>
  <c r="D73" i="3"/>
  <c r="E73" i="3"/>
  <c r="F15" i="3"/>
  <c r="H22" i="4"/>
  <c r="H23" i="4"/>
  <c r="J23" i="3" l="1"/>
  <c r="D23" i="3" s="1"/>
  <c r="B23" i="3"/>
  <c r="I15" i="3"/>
  <c r="B15" i="3" s="1"/>
  <c r="K23" i="3"/>
  <c r="H21" i="4" l="1"/>
  <c r="B29" i="3"/>
  <c r="I22" i="3" s="1"/>
  <c r="C29" i="3"/>
  <c r="F14" i="3" s="1"/>
  <c r="D29" i="3"/>
  <c r="J14" i="3" s="1"/>
  <c r="D14" i="3" s="1"/>
  <c r="E29" i="3"/>
  <c r="K22" i="3" s="1"/>
  <c r="B72" i="3"/>
  <c r="C72" i="3"/>
  <c r="D72" i="3"/>
  <c r="E72" i="3"/>
  <c r="H26" i="4" l="1"/>
  <c r="J22" i="3"/>
  <c r="D22" i="3" s="1"/>
  <c r="K14" i="3"/>
  <c r="E14" i="3" s="1"/>
  <c r="B22" i="3"/>
  <c r="I14" i="3"/>
  <c r="B14" i="3" s="1"/>
  <c r="F22" i="3"/>
  <c r="H27" i="4" l="1"/>
  <c r="H28" i="4" s="1"/>
  <c r="N5" i="3" l="1"/>
  <c r="M5" i="3" l="1"/>
  <c r="L5" i="3"/>
  <c r="K5" i="3"/>
  <c r="C65" i="3" l="1"/>
  <c r="C7" i="3"/>
  <c r="D63" i="3"/>
  <c r="D5" i="3"/>
  <c r="D65" i="3"/>
  <c r="D7" i="3"/>
  <c r="D61" i="3"/>
  <c r="D4" i="3"/>
</calcChain>
</file>

<file path=xl/sharedStrings.xml><?xml version="1.0" encoding="utf-8"?>
<sst xmlns="http://schemas.openxmlformats.org/spreadsheetml/2006/main" count="256" uniqueCount="147">
  <si>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</si>
  <si>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</si>
  <si>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</si>
  <si>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</si>
  <si>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</si>
  <si>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</si>
  <si>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</si>
  <si>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</si>
  <si>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</si>
  <si>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</si>
  <si>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</si>
  <si>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</si>
  <si>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</si>
  <si>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</si>
  <si>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</si>
  <si>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</si>
  <si>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</si>
  <si>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</si>
  <si>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</si>
  <si>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</si>
  <si>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</si>
  <si>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</si>
  <si>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</si>
  <si>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</si>
  <si>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</si>
  <si>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</si>
  <si>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</si>
  <si>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</si>
  <si>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</si>
  <si>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</si>
  <si>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</si>
  <si>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</si>
  <si>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</si>
  <si>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</si>
  <si>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</si>
  <si>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</si>
  <si>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</si>
  <si>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</si>
  <si>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</si>
  <si>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</si>
  <si>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</si>
  <si>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</si>
  <si>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</si>
  <si>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</si>
  <si>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</si>
  <si>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</si>
  <si>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</si>
  <si>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</si>
  <si>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</si>
  <si>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</si>
  <si>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</si>
  <si>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</si>
  <si>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</si>
  <si>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</si>
  <si>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</si>
  <si>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</si>
  <si>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</si>
  <si>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</si>
  <si>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</si>
  <si>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</si>
  <si>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</si>
  <si>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</si>
  <si>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</si>
  <si>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</si>
  <si>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</si>
  <si>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</si>
  <si>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</si>
  <si>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</si>
  <si>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</si>
  <si>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</si>
  <si>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</si>
  <si>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</si>
  <si>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</si>
  <si>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</si>
  <si>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</si>
  <si>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</si>
  <si>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</si>
  <si>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</si>
  <si>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</si>
  <si>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</si>
  <si>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</si>
  <si>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</si>
  <si>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</si>
  <si>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</si>
  <si>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</si>
  <si>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</si>
  <si>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</si>
  <si>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</si>
  <si>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</si>
  <si>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</si>
  <si>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</si>
  <si>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</si>
  <si>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</si>
  <si>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</si>
  <si>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</si>
  <si>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</si>
  <si>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</si>
  <si>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</si>
  <si>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</si>
  <si>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</si>
  <si>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</si>
  <si>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</si>
  <si>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</si>
  <si>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</si>
  <si>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</si>
  <si>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</si>
  <si>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</si>
  <si>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</si>
  <si>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</si>
  <si>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</si>
  <si>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</si>
  <si>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</si>
  <si>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</si>
  <si>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</si>
  <si>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</si>
  <si>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</si>
  <si>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</si>
  <si>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</si>
  <si>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</si>
  <si>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</si>
  <si>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</si>
  <si>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</si>
  <si>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</si>
  <si>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</si>
  <si>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</si>
  <si>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</si>
  <si>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</si>
  <si>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</si>
  <si>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</si>
  <si>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</si>
  <si>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</si>
  <si>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</si>
  <si>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</si>
  <si>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</si>
  <si>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</si>
  <si>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+569 9742 2926</t>
  </si>
  <si>
    <t>JUAN PABLO ARAYA LIRA</t>
  </si>
  <si>
    <t>N° 11563</t>
  </si>
  <si>
    <t>BARMER DARK MARBLE 40478 SF</t>
  </si>
  <si>
    <t>CORTE 45°</t>
  </si>
  <si>
    <t>13.181012-1</t>
  </si>
  <si>
    <t xml:space="preserve"> PROYECTOS E INSTALACIONES EN GENERAL </t>
  </si>
  <si>
    <t>POLCURA # 164 VILLA SAN RAFAEL</t>
  </si>
  <si>
    <t>ILLAPEL</t>
  </si>
  <si>
    <t>kiveca@gmail.com</t>
  </si>
  <si>
    <t>RESPALDO DE 3 CMS</t>
  </si>
  <si>
    <t>REGRUESO MDF 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</si>
</sst>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20" fillId="0" borderId="0" xfId="2" quotePrefix="1" applyFont="1" applyFill="1" applyBorder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65" fontId="15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PAGADO CON TRANSFERENCIA EL 05/08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5</xdr:col>
      <xdr:colOff>1946274</xdr:colOff>
      <xdr:row>56</xdr:row>
      <xdr:rowOff>54758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6DEF0C3-2E66-2A20-E274-8C065CBBA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" y="7056120"/>
          <a:ext cx="5085714" cy="38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66</xdr:row>
      <xdr:rowOff>171450</xdr:rowOff>
    </xdr:from>
    <xdr:to>
      <xdr:col>5</xdr:col>
      <xdr:colOff>1685924</xdr:colOff>
      <xdr:row>68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64</xdr:row>
      <xdr:rowOff>0</xdr:rowOff>
    </xdr:from>
    <xdr:to>
      <xdr:col>6</xdr:col>
      <xdr:colOff>0</xdr:colOff>
      <xdr:row>65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62</xdr:row>
      <xdr:rowOff>38100</xdr:rowOff>
    </xdr:from>
    <xdr:to>
      <xdr:col>6</xdr:col>
      <xdr:colOff>0</xdr:colOff>
      <xdr:row>63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60</xdr:row>
      <xdr:rowOff>0</xdr:rowOff>
    </xdr:from>
    <xdr:to>
      <xdr:col>6</xdr:col>
      <xdr:colOff>0</xdr:colOff>
      <xdr:row>61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75</xdr:row>
      <xdr:rowOff>0</xdr:rowOff>
    </xdr:from>
    <xdr:to>
      <xdr:col>2</xdr:col>
      <xdr:colOff>38100</xdr:colOff>
      <xdr:row>76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75</xdr:row>
      <xdr:rowOff>0</xdr:rowOff>
    </xdr:from>
    <xdr:to>
      <xdr:col>2</xdr:col>
      <xdr:colOff>1019175</xdr:colOff>
      <xdr:row>75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75</xdr:row>
      <xdr:rowOff>0</xdr:rowOff>
    </xdr:from>
    <xdr:to>
      <xdr:col>3</xdr:col>
      <xdr:colOff>352425</xdr:colOff>
      <xdr:row>76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75</xdr:row>
      <xdr:rowOff>0</xdr:rowOff>
    </xdr:from>
    <xdr:to>
      <xdr:col>4</xdr:col>
      <xdr:colOff>257175</xdr:colOff>
      <xdr:row>76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75</xdr:row>
      <xdr:rowOff>0</xdr:rowOff>
    </xdr:from>
    <xdr:to>
      <xdr:col>5</xdr:col>
      <xdr:colOff>447675</xdr:colOff>
      <xdr:row>75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75</xdr:row>
      <xdr:rowOff>0</xdr:rowOff>
    </xdr:from>
    <xdr:to>
      <xdr:col>6</xdr:col>
      <xdr:colOff>0</xdr:colOff>
      <xdr:row>75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75</xdr:row>
      <xdr:rowOff>190500</xdr:rowOff>
    </xdr:from>
    <xdr:to>
      <xdr:col>2</xdr:col>
      <xdr:colOff>304800</xdr:colOff>
      <xdr:row>77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75</xdr:row>
      <xdr:rowOff>190500</xdr:rowOff>
    </xdr:from>
    <xdr:to>
      <xdr:col>2</xdr:col>
      <xdr:colOff>1276350</xdr:colOff>
      <xdr:row>77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75</xdr:row>
      <xdr:rowOff>190500</xdr:rowOff>
    </xdr:from>
    <xdr:to>
      <xdr:col>3</xdr:col>
      <xdr:colOff>619125</xdr:colOff>
      <xdr:row>77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75</xdr:row>
      <xdr:rowOff>190500</xdr:rowOff>
    </xdr:from>
    <xdr:to>
      <xdr:col>4</xdr:col>
      <xdr:colOff>523875</xdr:colOff>
      <xdr:row>77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75</xdr:row>
      <xdr:rowOff>190500</xdr:rowOff>
    </xdr:from>
    <xdr:to>
      <xdr:col>5</xdr:col>
      <xdr:colOff>723900</xdr:colOff>
      <xdr:row>77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75</xdr:row>
      <xdr:rowOff>190500</xdr:rowOff>
    </xdr:from>
    <xdr:to>
      <xdr:col>6</xdr:col>
      <xdr:colOff>0</xdr:colOff>
      <xdr:row>77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5608319"/>
          <a:ext cx="83477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RESPALDO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3 CMS Y REGRUESO DE 15MM, LLEVA CORTE DE 45°, EMBALAR Y DESPACHAR POR TRANSPORTES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78</xdr:row>
      <xdr:rowOff>32385</xdr:rowOff>
    </xdr:from>
    <xdr:to>
      <xdr:col>6</xdr:col>
      <xdr:colOff>19050</xdr:colOff>
      <xdr:row>82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RESPALDO A 3CMS Y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REGRUESO DE MDF15MM, LLEVA CORTE 45, EMBALAR Y DESPACHAR POR TRANSPORTE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57</xdr:row>
      <xdr:rowOff>41910</xdr:rowOff>
    </xdr:from>
    <xdr:to>
      <xdr:col>1</xdr:col>
      <xdr:colOff>801763</xdr:colOff>
      <xdr:row>62</xdr:row>
      <xdr:rowOff>205740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1</xdr:col>
      <xdr:colOff>510540</xdr:colOff>
      <xdr:row>36</xdr:row>
      <xdr:rowOff>38100</xdr:rowOff>
    </xdr:from>
    <xdr:to>
      <xdr:col>5</xdr:col>
      <xdr:colOff>277494</xdr:colOff>
      <xdr:row>55</xdr:row>
      <xdr:rowOff>169058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215536-90B5-4C23-AE81-C7DE889AB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3040" y="6819900"/>
          <a:ext cx="5085714" cy="38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22" workbookViewId="0">
      <selection activeCell="F21" sqref="F21:F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7249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45874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12" t="s">
        <v>140</v>
      </c>
      <c r="D11" s="60"/>
      <c r="E11" s="60"/>
      <c r="F11" s="60" t="s">
        <v>124</v>
      </c>
      <c r="G11" s="61">
        <v>45881</v>
      </c>
      <c r="H11" s="62"/>
      <c r="I11" s="1"/>
    </row>
    <row r="12" spans="1:17" ht="16.8" x14ac:dyDescent="0.4">
      <c r="A12" s="1"/>
      <c r="B12" s="63" t="s">
        <v>130</v>
      </c>
      <c r="C12" s="109" t="s">
        <v>141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131</v>
      </c>
      <c r="C13" t="s">
        <v>144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3" t="s">
        <v>135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6.8" x14ac:dyDescent="0.4">
      <c r="A15" s="1"/>
      <c r="B15" s="63" t="s">
        <v>1</v>
      </c>
      <c r="C15" s="110" t="s">
        <v>142</v>
      </c>
      <c r="D15" s="43"/>
      <c r="E15" s="43"/>
      <c r="F15" s="67" t="s">
        <v>75</v>
      </c>
      <c r="G15" s="67" t="s">
        <v>134</v>
      </c>
      <c r="H15" s="65"/>
      <c r="I15" s="1"/>
    </row>
    <row r="16" spans="1:17" ht="16.2" thickBot="1" x14ac:dyDescent="0.35">
      <c r="A16" s="1"/>
      <c r="B16" s="68" t="s">
        <v>3</v>
      </c>
      <c r="C16" s="111" t="s">
        <v>143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</v>
      </c>
      <c r="C21" s="104" t="s">
        <v>127</v>
      </c>
      <c r="D21" s="107">
        <v>1850</v>
      </c>
      <c r="E21" s="107">
        <v>530</v>
      </c>
      <c r="F21" s="104" t="s">
        <v>138</v>
      </c>
      <c r="G21" s="106">
        <v>91892</v>
      </c>
      <c r="H21" s="105">
        <f>G21*B21</f>
        <v>91892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4">
        <v>1</v>
      </c>
      <c r="C22" s="104" t="s">
        <v>127</v>
      </c>
      <c r="D22" s="107">
        <v>1700</v>
      </c>
      <c r="E22" s="107">
        <v>530</v>
      </c>
      <c r="F22" s="104" t="s">
        <v>138</v>
      </c>
      <c r="G22" s="106">
        <v>84681</v>
      </c>
      <c r="H22" s="105">
        <f t="shared" ref="H22:H23" si="0">G22*B22</f>
        <v>84681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4">
        <v>2</v>
      </c>
      <c r="C23" s="104" t="s">
        <v>139</v>
      </c>
      <c r="D23" s="127"/>
      <c r="E23" s="127"/>
      <c r="F23" s="106"/>
      <c r="G23" s="106">
        <v>10000</v>
      </c>
      <c r="H23" s="105">
        <f t="shared" si="0"/>
        <v>20000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196573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37348.870000000003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233921.87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2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6"/>
  <sheetViews>
    <sheetView tabSelected="1" zoomScaleNormal="100" workbookViewId="0">
      <selection sqref="A1:G5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7249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JUAN PABLO ARAYA LIRA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45881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132</v>
      </c>
      <c r="B14" s="25">
        <f>I14</f>
        <v>1</v>
      </c>
      <c r="C14" s="16" t="s">
        <v>145</v>
      </c>
      <c r="D14" s="25">
        <f>J14+D$13</f>
        <v>1900</v>
      </c>
      <c r="E14" s="35">
        <f>K14+E$13</f>
        <v>500</v>
      </c>
      <c r="F14" s="102" t="str">
        <f>C29</f>
        <v>CUB C/R R6</v>
      </c>
      <c r="G14" s="1"/>
      <c r="I14" s="3">
        <f>I22</f>
        <v>1</v>
      </c>
      <c r="J14" s="4">
        <f>D29</f>
        <v>1850</v>
      </c>
      <c r="K14" s="4">
        <f>E29</f>
        <v>530</v>
      </c>
    </row>
    <row r="15" spans="1:14" ht="15.6" x14ac:dyDescent="0.3">
      <c r="A15" s="96"/>
      <c r="B15" s="25">
        <f>I15</f>
        <v>1</v>
      </c>
      <c r="C15" s="16" t="s">
        <v>145</v>
      </c>
      <c r="D15" s="25">
        <f>J15+D$13</f>
        <v>1750</v>
      </c>
      <c r="E15" s="35">
        <f>K15+E$13</f>
        <v>500</v>
      </c>
      <c r="F15" s="102">
        <f>C31</f>
        <v>0</v>
      </c>
      <c r="G15" s="1"/>
      <c r="I15" s="3">
        <f>I23</f>
        <v>1</v>
      </c>
      <c r="J15" s="4">
        <f>D30</f>
        <v>1700</v>
      </c>
      <c r="K15" s="4">
        <f>E30</f>
        <v>530</v>
      </c>
    </row>
    <row r="16" spans="1:14" ht="15.6" x14ac:dyDescent="0.3">
      <c r="A16" s="52"/>
      <c r="B16" s="6"/>
      <c r="C16" s="6" t="s">
        <v>146</v>
      </c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110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0">I22</f>
        <v>1</v>
      </c>
      <c r="C22" s="16"/>
      <c r="D22" s="16">
        <f>J22+D$21</f>
        <v>1890</v>
      </c>
      <c r="E22" s="16">
        <v>610</v>
      </c>
      <c r="F22" s="103" t="str">
        <f>C29</f>
        <v>CUB C/R R6</v>
      </c>
      <c r="G22" s="1"/>
      <c r="I22" s="3">
        <f>B29</f>
        <v>1</v>
      </c>
      <c r="J22" s="4">
        <f t="shared" ref="J22:K22" si="1">D29</f>
        <v>1850</v>
      </c>
      <c r="K22" s="4">
        <f t="shared" si="1"/>
        <v>530</v>
      </c>
    </row>
    <row r="23" spans="1:11" ht="15.6" x14ac:dyDescent="0.3">
      <c r="A23" s="96"/>
      <c r="B23" s="16">
        <f t="shared" ref="B23" si="2">I23</f>
        <v>1</v>
      </c>
      <c r="C23" s="16"/>
      <c r="D23" s="16">
        <f>J23+D$21</f>
        <v>1740</v>
      </c>
      <c r="E23" s="16">
        <v>610</v>
      </c>
      <c r="F23" s="103" t="str">
        <f>C30</f>
        <v>CUB C/R R6</v>
      </c>
      <c r="G23" s="1"/>
      <c r="I23" s="3">
        <f>B30</f>
        <v>1</v>
      </c>
      <c r="J23" s="4">
        <f t="shared" ref="J23" si="3">D30</f>
        <v>1700</v>
      </c>
      <c r="K23" s="4">
        <f t="shared" ref="K23" si="4">E30</f>
        <v>530</v>
      </c>
    </row>
    <row r="24" spans="1:11" ht="15.6" x14ac:dyDescent="0.3">
      <c r="A24" s="96"/>
      <c r="B24" s="6"/>
      <c r="C24" s="6"/>
      <c r="D24" s="6"/>
      <c r="E24" s="6"/>
      <c r="F24" s="108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132</v>
      </c>
      <c r="B29" s="25">
        <f>'4637'!B21</f>
        <v>1</v>
      </c>
      <c r="C29" s="102" t="str">
        <f>'4637'!C21</f>
        <v>CUB C/R R6</v>
      </c>
      <c r="D29" s="25">
        <f>'4637'!D21</f>
        <v>1850</v>
      </c>
      <c r="E29" s="25">
        <f>'4637'!E21</f>
        <v>530</v>
      </c>
      <c r="F29" s="25" t="str">
        <f>F72</f>
        <v>BARMER DARK MARBLE 40478 SF</v>
      </c>
      <c r="G29" s="1"/>
    </row>
    <row r="30" spans="1:11" ht="15.6" x14ac:dyDescent="0.3">
      <c r="A30" s="96"/>
      <c r="B30" s="25">
        <f>'4637'!B22</f>
        <v>1</v>
      </c>
      <c r="C30" s="102" t="str">
        <f>'4637'!C22</f>
        <v>CUB C/R R6</v>
      </c>
      <c r="D30" s="25">
        <f>'4637'!D22</f>
        <v>1700</v>
      </c>
      <c r="E30" s="25">
        <f>'4637'!E22</f>
        <v>530</v>
      </c>
      <c r="F30" s="25" t="str">
        <f>F73</f>
        <v>BARMER DARK MARBLE 40478 SF</v>
      </c>
      <c r="G30" s="1"/>
    </row>
    <row r="31" spans="1:11" ht="15.6" x14ac:dyDescent="0.3">
      <c r="A31" s="96"/>
      <c r="B31" s="6"/>
      <c r="C31" s="108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6"/>
      <c r="C57" s="6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40" t="s">
        <v>27</v>
      </c>
      <c r="D61" s="14">
        <f>'4637'!G8</f>
        <v>7249</v>
      </c>
      <c r="E61" s="1"/>
      <c r="F61" s="1"/>
      <c r="G61" s="1"/>
    </row>
    <row r="62" spans="1:7" ht="15.6" x14ac:dyDescent="0.3">
      <c r="A62" s="1"/>
      <c r="B62" s="1"/>
      <c r="C62" s="40"/>
      <c r="D62" s="14"/>
      <c r="E62" s="1"/>
      <c r="F62" s="1"/>
      <c r="G62" s="1"/>
    </row>
    <row r="63" spans="1:7" ht="17.25" customHeight="1" x14ac:dyDescent="0.3">
      <c r="A63" s="1"/>
      <c r="B63" s="1"/>
      <c r="C63" s="41" t="s">
        <v>67</v>
      </c>
      <c r="D63" s="42" t="str">
        <f>'4637'!C10</f>
        <v>JUAN PABLO ARAYA LIRA</v>
      </c>
      <c r="E63" s="43"/>
      <c r="F63" s="43"/>
      <c r="G63" s="1"/>
    </row>
    <row r="64" spans="1:7" ht="4.5" customHeight="1" x14ac:dyDescent="0.3">
      <c r="A64" s="1"/>
      <c r="B64" s="1"/>
      <c r="C64" s="44"/>
      <c r="D64" s="45"/>
      <c r="E64" s="1"/>
      <c r="F64" s="1"/>
      <c r="G64" s="1"/>
    </row>
    <row r="65" spans="1:7" ht="15.6" x14ac:dyDescent="0.3">
      <c r="A65" s="1"/>
      <c r="B65" s="1"/>
      <c r="C65" s="46" t="str">
        <f>'4637'!F11</f>
        <v>FECHA LIMITE :</v>
      </c>
      <c r="D65" s="13">
        <f>'4637'!G11</f>
        <v>45881</v>
      </c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22" t="s">
        <v>68</v>
      </c>
      <c r="B68" s="122"/>
      <c r="C68" s="122"/>
      <c r="D68" s="122"/>
      <c r="E68" s="122"/>
      <c r="F68" s="122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75" customHeight="1" x14ac:dyDescent="0.3">
      <c r="A70" s="1"/>
      <c r="B70" s="123" t="s">
        <v>69</v>
      </c>
      <c r="C70" s="124"/>
      <c r="D70" s="125"/>
      <c r="E70" s="125"/>
      <c r="F70" s="126"/>
      <c r="G70" s="1"/>
    </row>
    <row r="71" spans="1:7" s="15" customFormat="1" ht="12.75" customHeight="1" x14ac:dyDescent="0.3">
      <c r="A71" s="1"/>
      <c r="B71" s="36" t="s">
        <v>10</v>
      </c>
      <c r="C71" s="47" t="s">
        <v>11</v>
      </c>
      <c r="D71" s="48" t="s">
        <v>7</v>
      </c>
      <c r="E71" s="48" t="s">
        <v>8</v>
      </c>
      <c r="F71" s="49" t="s">
        <v>12</v>
      </c>
      <c r="G71" s="1"/>
    </row>
    <row r="72" spans="1:7" s="15" customFormat="1" ht="15" customHeight="1" x14ac:dyDescent="0.3">
      <c r="A72" s="96" t="s">
        <v>132</v>
      </c>
      <c r="B72" s="38">
        <f>'4637'!B21</f>
        <v>1</v>
      </c>
      <c r="C72" s="101" t="str">
        <f>'4637'!C21</f>
        <v>CUB C/R R6</v>
      </c>
      <c r="D72" s="39">
        <f>'4637'!D21</f>
        <v>1850</v>
      </c>
      <c r="E72" s="39">
        <f>'4637'!E21</f>
        <v>530</v>
      </c>
      <c r="F72" s="104" t="s">
        <v>138</v>
      </c>
      <c r="G72" s="1"/>
    </row>
    <row r="73" spans="1:7" s="15" customFormat="1" ht="15" customHeight="1" x14ac:dyDescent="0.3">
      <c r="A73" s="96"/>
      <c r="B73" s="38">
        <f>'4637'!B22</f>
        <v>1</v>
      </c>
      <c r="C73" s="101" t="str">
        <f>'4637'!C22</f>
        <v>CUB C/R R6</v>
      </c>
      <c r="D73" s="39">
        <f>'4637'!D22</f>
        <v>1700</v>
      </c>
      <c r="E73" s="39">
        <f>'4637'!E22</f>
        <v>530</v>
      </c>
      <c r="F73" s="104" t="s">
        <v>138</v>
      </c>
      <c r="G73" s="1"/>
    </row>
    <row r="74" spans="1:7" s="15" customFormat="1" ht="15" customHeight="1" x14ac:dyDescent="0.3">
      <c r="A74" s="96"/>
      <c r="B74" s="128"/>
      <c r="C74" s="129"/>
      <c r="D74" s="128"/>
      <c r="E74" s="128"/>
      <c r="F74" s="128"/>
      <c r="G74" s="1"/>
    </row>
    <row r="75" spans="1:7" s="15" customFormat="1" ht="15" customHeight="1" x14ac:dyDescent="0.3">
      <c r="A75" s="50"/>
      <c r="B75" s="52"/>
      <c r="C75" s="52"/>
      <c r="D75" s="52"/>
      <c r="E75" s="52"/>
      <c r="F75" s="52"/>
      <c r="G75" s="1"/>
    </row>
    <row r="76" spans="1:7" ht="15.6" x14ac:dyDescent="0.3">
      <c r="A76" s="6"/>
      <c r="B76" s="6"/>
      <c r="C76" s="1"/>
      <c r="D76" s="6"/>
      <c r="E76" s="6"/>
      <c r="F76" s="44"/>
      <c r="G76" s="1"/>
    </row>
    <row r="77" spans="1:7" ht="15.6" x14ac:dyDescent="0.3">
      <c r="A77" s="6"/>
      <c r="B77" s="6"/>
      <c r="C77" s="1"/>
      <c r="D77" s="6"/>
      <c r="E77" s="6"/>
      <c r="F77" s="6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1:7" ht="15" customHeight="1" x14ac:dyDescent="0.3">
      <c r="A81" s="1"/>
      <c r="B81" s="1"/>
      <c r="C81" s="1"/>
      <c r="D81" s="1"/>
      <c r="E81" s="1"/>
      <c r="F81" s="1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.6" x14ac:dyDescent="0.3">
      <c r="A83" s="6"/>
      <c r="B83" s="51"/>
      <c r="C83" s="1"/>
      <c r="D83" s="1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x14ac:dyDescent="0.3">
      <c r="B85" s="20"/>
      <c r="C85" s="20"/>
      <c r="D85" s="20"/>
      <c r="E85" s="20"/>
      <c r="F85" s="20"/>
    </row>
    <row r="86" spans="1:7" x14ac:dyDescent="0.3">
      <c r="B86" s="20"/>
      <c r="C86" s="20"/>
      <c r="E86" s="20"/>
      <c r="F86" s="20"/>
    </row>
  </sheetData>
  <mergeCells count="6">
    <mergeCell ref="M3:N3"/>
    <mergeCell ref="A18:F18"/>
    <mergeCell ref="A10:F10"/>
    <mergeCell ref="A68:F68"/>
    <mergeCell ref="B70:F7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2025-08-05T21:34:03Z</cp:lastPrinted>
  <dcterms:created xsi:type="dcterms:W3CDTF">2013-03-19T12:54:14Z</dcterms:created>
  <dcterms:modified xsi:type="dcterms:W3CDTF">2025-08-05T21:35:32Z</dcterms:modified>
</cp:coreProperties>
</file>