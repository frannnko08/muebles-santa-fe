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AE43A2DF-6B05-4EB1-BAF0-0367FB2D54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B30" i="3" l="1"/>
  <c r="I23" i="3" s="1"/>
  <c r="B23" i="3" s="1"/>
  <c r="C30" i="3"/>
  <c r="F15" i="3" s="1"/>
  <c r="D30" i="3"/>
  <c r="J15" i="3" s="1"/>
  <c r="E30" i="3"/>
  <c r="K15" i="3" s="1"/>
  <c r="E15" i="3" s="1"/>
  <c r="F30" i="3"/>
  <c r="B52" i="3"/>
  <c r="C52" i="3"/>
  <c r="D52" i="3"/>
  <c r="E52" i="3"/>
  <c r="F52" i="3"/>
  <c r="H23" i="4"/>
  <c r="J23" i="3" l="1"/>
  <c r="D23" i="3" s="1"/>
  <c r="F23" i="3"/>
  <c r="K23" i="3"/>
  <c r="E23" i="3" s="1"/>
  <c r="I15" i="3"/>
  <c r="B15" i="3" s="1"/>
  <c r="H22" i="4"/>
  <c r="H26" i="4" s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7" i="4" l="1"/>
  <c r="H28" i="4" s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<sst xmlns="http://schemas.openxmlformats.org/spreadsheetml/2006/main" count="250" uniqueCount="145">
  <si>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</si>
  <si>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</si>
  <si>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</si>
  <si>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</si>
  <si>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</si>
  <si>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</si>
  <si>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</si>
  <si>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</si>
  <si>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</si>
  <si>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</si>
  <si>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</si>
  <si>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</si>
  <si>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</si>
  <si>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</si>
  <si>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</si>
  <si>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</si>
  <si>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</si>
  <si>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</si>
  <si>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</si>
  <si>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</si>
  <si>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</si>
  <si>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</si>
  <si>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</si>
  <si>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</si>
  <si>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</si>
  <si>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</si>
  <si>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</si>
  <si>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</si>
  <si>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</si>
  <si>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</si>
  <si>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</si>
  <si>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</si>
  <si>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</si>
  <si>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</si>
  <si>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</si>
  <si>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</si>
  <si>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</si>
  <si>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</si>
  <si>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</si>
  <si>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</si>
  <si>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</si>
  <si>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</si>
  <si>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</si>
  <si>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</si>
  <si>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</si>
  <si>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</si>
  <si>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</si>
  <si>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</si>
  <si>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</si>
  <si>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</si>
  <si>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</si>
  <si>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</si>
  <si>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</si>
  <si>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</si>
  <si>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</si>
  <si>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</si>
  <si>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</si>
  <si>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</si>
  <si>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</si>
  <si>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</si>
  <si>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</si>
  <si>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</si>
  <si>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</si>
  <si>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</si>
  <si>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</si>
  <si>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</si>
  <si>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</si>
  <si>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</si>
  <si>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</si>
  <si>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</si>
  <si>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</si>
  <si>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</si>
  <si>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</si>
  <si>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</si>
  <si>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</si>
  <si>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</si>
  <si>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</si>
  <si>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</si>
  <si>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</si>
  <si>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</si>
  <si>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</si>
  <si>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</si>
  <si>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</si>
  <si>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</si>
  <si>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</si>
  <si>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</si>
  <si>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</si>
  <si>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</si>
  <si>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</si>
  <si>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</si>
  <si>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</si>
  <si>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</si>
  <si>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</si>
  <si>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</si>
  <si>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</si>
  <si>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</si>
  <si>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</si>
  <si>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</si>
  <si>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</si>
  <si>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</si>
  <si>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</si>
  <si>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</si>
  <si>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</si>
  <si>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</si>
  <si>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</si>
  <si>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</si>
  <si>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</si>
  <si>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</si>
  <si>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</si>
  <si>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</si>
  <si>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</si>
  <si>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</si>
  <si>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</si>
  <si>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</si>
  <si>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</si>
  <si>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</si>
  <si>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</si>
  <si>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</si>
  <si>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</si>
  <si>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</si>
  <si>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</si>
  <si>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</si>
  <si>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</si>
  <si>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</si>
  <si>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</si>
  <si>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</si>
  <si>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</si>
  <si>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</si>
  <si>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</si>
  <si>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</si>
  <si>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</si>
  <si>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</si>
  <si>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</si>
  <si>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</si>
  <si>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</si>
  <si>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</si>
  <si>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N° 11613</t>
  </si>
  <si>
    <t>CONSTRUCTORA ACACIA SPA</t>
  </si>
  <si>
    <t>77.741.613-8</t>
  </si>
  <si>
    <t>CONSTRUCCION DE OBRAS CIVILES E INGENIERIA</t>
  </si>
  <si>
    <t>MAURICIO BELMAR</t>
  </si>
  <si>
    <t>+569 7744 8149</t>
  </si>
  <si>
    <t>CUB S/R 180° TRASCARA BLANCA</t>
  </si>
  <si>
    <t>MELAMIL 18MM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</si>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</sst>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r>
            <a:rPr lang="es-CL" sz="900" b="1" i="1" baseline="0"/>
            <a:t>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ENCHAPAR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 CON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F23" sqref="F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136</v>
      </c>
      <c r="E8" s="1"/>
      <c r="F8" s="93" t="s">
        <v>27</v>
      </c>
      <c r="G8" s="94">
        <v>7273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137</v>
      </c>
      <c r="D10" s="55"/>
      <c r="E10" s="55"/>
      <c r="F10" s="56" t="s">
        <v>28</v>
      </c>
      <c r="G10" s="57">
        <v>45897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45843</v>
      </c>
      <c r="H11" s="62"/>
      <c r="I11" s="1"/>
    </row>
    <row r="12" spans="1:17" ht="16.8" x14ac:dyDescent="0.4">
      <c r="A12" s="1"/>
      <c r="B12" s="63" t="s">
        <v>130</v>
      </c>
      <c r="C12" s="107" t="s">
        <v>139</v>
      </c>
      <c r="D12" s="43"/>
      <c r="E12" s="43"/>
      <c r="F12" s="43" t="s">
        <v>30</v>
      </c>
      <c r="G12" s="64">
        <v>1611</v>
      </c>
      <c r="H12" s="65"/>
      <c r="I12" s="1"/>
    </row>
    <row r="13" spans="1:17" ht="15.6" x14ac:dyDescent="0.3">
      <c r="A13" s="1"/>
      <c r="B13" s="63" t="s">
        <v>132</v>
      </c>
      <c r="C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/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141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/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2" t="s">
        <v>18</v>
      </c>
      <c r="G17" s="112"/>
      <c r="H17" s="113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19</v>
      </c>
      <c r="C20" s="115"/>
      <c r="D20" s="115"/>
      <c r="E20" s="115"/>
      <c r="F20" s="115"/>
      <c r="G20" s="115"/>
      <c r="H20" s="116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142</v>
      </c>
      <c r="D22" s="110">
        <v>1400</v>
      </c>
      <c r="E22" s="110">
        <v>610</v>
      </c>
      <c r="F22" s="100" t="s">
        <v>144</v>
      </c>
      <c r="G22" s="111">
        <v>63046</v>
      </c>
      <c r="H22" s="111">
        <f>G22*B22</f>
        <v>63046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6</v>
      </c>
      <c r="C23" s="100" t="s">
        <v>63</v>
      </c>
      <c r="D23" s="110">
        <v>945</v>
      </c>
      <c r="E23" s="110">
        <v>610</v>
      </c>
      <c r="F23" s="100" t="s">
        <v>144</v>
      </c>
      <c r="G23" s="111">
        <v>41669</v>
      </c>
      <c r="H23" s="111">
        <f>G23*B23</f>
        <v>250014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/>
      <c r="C24" s="101"/>
      <c r="D24" s="102"/>
      <c r="E24" s="102"/>
      <c r="F24" s="101"/>
      <c r="G24" s="103"/>
      <c r="H24" s="104"/>
      <c r="I24" s="1"/>
    </row>
    <row r="25" spans="1:16" ht="18" customHeight="1" thickBot="1" x14ac:dyDescent="0.35">
      <c r="A25" s="1"/>
      <c r="B25" s="101"/>
      <c r="C25" s="101"/>
      <c r="D25" s="102"/>
      <c r="E25" s="102"/>
      <c r="F25" s="101"/>
      <c r="G25" s="103"/>
      <c r="H25" s="10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SUM(H22:H23)</f>
        <v>313060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59481.4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372541.4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4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38" zoomScaleNormal="100" workbookViewId="0">
      <selection activeCell="A39" sqref="A39:F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7273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ACACIA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45843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143</v>
      </c>
      <c r="B14" s="25">
        <f t="shared" ref="B14" si="0">I14</f>
        <v>1</v>
      </c>
      <c r="C14" s="25"/>
      <c r="D14" s="25">
        <f t="shared" ref="D14" si="1">J14+D$13</f>
        <v>1480</v>
      </c>
      <c r="E14" s="35">
        <f>K14+E$13</f>
        <v>610</v>
      </c>
      <c r="F14" s="98" t="str">
        <f>C29</f>
        <v>CUB S/R 180° TRASCARA BLANCA</v>
      </c>
      <c r="G14" s="1"/>
      <c r="I14" s="3">
        <f>I22</f>
        <v>1</v>
      </c>
      <c r="J14" s="4">
        <f>D29</f>
        <v>1400</v>
      </c>
      <c r="K14" s="4">
        <f>E29</f>
        <v>610</v>
      </c>
    </row>
    <row r="15" spans="1:14" ht="15.6" x14ac:dyDescent="0.3">
      <c r="A15" s="95"/>
      <c r="B15" s="25">
        <f t="shared" ref="B15" si="2">I15</f>
        <v>6</v>
      </c>
      <c r="C15" s="25"/>
      <c r="D15" s="25">
        <f>J15+50</f>
        <v>995</v>
      </c>
      <c r="E15" s="35">
        <f>K15-2</f>
        <v>608</v>
      </c>
      <c r="F15" s="98" t="str">
        <f>C30</f>
        <v>PR6</v>
      </c>
      <c r="G15" s="1"/>
      <c r="I15" s="3">
        <f>I23</f>
        <v>6</v>
      </c>
      <c r="J15" s="4">
        <f>D30</f>
        <v>945</v>
      </c>
      <c r="K15" s="4">
        <f>E30</f>
        <v>610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J22+D$21</f>
        <v>1440</v>
      </c>
      <c r="E22" s="16">
        <f>K22+E21</f>
        <v>680</v>
      </c>
      <c r="F22" s="99" t="str">
        <f>C29</f>
        <v>CUB S/R 180° TRASCARA BLANCA</v>
      </c>
      <c r="G22" s="1"/>
      <c r="I22" s="3">
        <f>B29</f>
        <v>1</v>
      </c>
      <c r="J22" s="4">
        <f t="shared" ref="J22:K22" si="4">D29</f>
        <v>1400</v>
      </c>
      <c r="K22" s="4">
        <f t="shared" si="4"/>
        <v>610</v>
      </c>
    </row>
    <row r="23" spans="1:11" ht="15.6" x14ac:dyDescent="0.3">
      <c r="A23" s="95"/>
      <c r="B23" s="16">
        <f t="shared" ref="B23" si="5">I23</f>
        <v>6</v>
      </c>
      <c r="C23" s="16"/>
      <c r="D23" s="16">
        <f>J23+D$21</f>
        <v>985</v>
      </c>
      <c r="E23" s="16">
        <f>K23+90</f>
        <v>700</v>
      </c>
      <c r="F23" s="99" t="str">
        <f>C30</f>
        <v>PR6</v>
      </c>
      <c r="G23" s="1"/>
      <c r="I23" s="3">
        <f>B30</f>
        <v>6</v>
      </c>
      <c r="J23" s="4">
        <f t="shared" ref="J23" si="6">D30</f>
        <v>945</v>
      </c>
      <c r="K23" s="4">
        <f t="shared" ref="K23" si="7">E30</f>
        <v>610</v>
      </c>
    </row>
    <row r="24" spans="1:11" ht="15.6" x14ac:dyDescent="0.3">
      <c r="A24" s="95"/>
      <c r="B24" s="6"/>
      <c r="C24" s="6"/>
      <c r="D24" s="6"/>
      <c r="E24" s="6"/>
      <c r="F24" s="105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143</v>
      </c>
      <c r="B29" s="25">
        <f>'4637'!B22</f>
        <v>1</v>
      </c>
      <c r="C29" s="98" t="str">
        <f>'4637'!C22</f>
        <v>CUB S/R 180° TRASCARA BLANCA</v>
      </c>
      <c r="D29" s="25">
        <f>'4637'!D22</f>
        <v>1400</v>
      </c>
      <c r="E29" s="25">
        <f>'4637'!E22</f>
        <v>610</v>
      </c>
      <c r="F29" s="25" t="str">
        <f>'4637'!F22</f>
        <v>BLANCO MERINO 22191 SF</v>
      </c>
      <c r="G29" s="1"/>
    </row>
    <row r="30" spans="1:11" ht="15.6" x14ac:dyDescent="0.3">
      <c r="A30" s="95"/>
      <c r="B30" s="25">
        <f>'4637'!B23</f>
        <v>6</v>
      </c>
      <c r="C30" s="98" t="str">
        <f>'4637'!C23</f>
        <v>PR6</v>
      </c>
      <c r="D30" s="25">
        <f>'4637'!D23</f>
        <v>945</v>
      </c>
      <c r="E30" s="25">
        <f>'4637'!E23</f>
        <v>610</v>
      </c>
      <c r="F30" s="25" t="str">
        <f>'4637'!F23</f>
        <v>BLANCO MERINO 22191 SF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7273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CONSTRUCTORA ACACIA SPA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45843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0" t="s">
        <v>68</v>
      </c>
      <c r="B47" s="120"/>
      <c r="C47" s="120"/>
      <c r="D47" s="120"/>
      <c r="E47" s="120"/>
      <c r="F47" s="12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1" t="s">
        <v>69</v>
      </c>
      <c r="C49" s="122"/>
      <c r="D49" s="123"/>
      <c r="E49" s="123"/>
      <c r="F49" s="124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143</v>
      </c>
      <c r="B51" s="38">
        <f>'4637'!B22</f>
        <v>1</v>
      </c>
      <c r="C51" s="97" t="str">
        <f>'4637'!C22</f>
        <v>CUB S/R 180° TRASCARA BLANCA</v>
      </c>
      <c r="D51" s="39">
        <f>'4637'!D22</f>
        <v>1400</v>
      </c>
      <c r="E51" s="39">
        <f>'4637'!E22</f>
        <v>610</v>
      </c>
      <c r="F51" s="38" t="str">
        <f>'4637'!F22</f>
        <v>BLANCO MERINO 22191 SF</v>
      </c>
      <c r="G51" s="1"/>
    </row>
    <row r="52" spans="1:7" s="15" customFormat="1" ht="15" customHeight="1" x14ac:dyDescent="0.3">
      <c r="A52" s="95"/>
      <c r="B52" s="38">
        <f>'4637'!B23</f>
        <v>6</v>
      </c>
      <c r="C52" s="97" t="str">
        <f>'4637'!C23</f>
        <v>PR6</v>
      </c>
      <c r="D52" s="39">
        <f>'4637'!D23</f>
        <v>945</v>
      </c>
      <c r="E52" s="39">
        <f>'4637'!E23</f>
        <v>610</v>
      </c>
      <c r="F52" s="38" t="str">
        <f>'4637'!F23</f>
        <v>BLANCO MERINO 22191 SF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2025-08-29T12:50:35Z</cp:lastPrinted>
  <dcterms:created xsi:type="dcterms:W3CDTF">2013-03-19T12:54:14Z</dcterms:created>
  <dcterms:modified xsi:type="dcterms:W3CDTF">2025-08-29T12:51:26Z</dcterms:modified>
</cp:coreProperties>
</file>