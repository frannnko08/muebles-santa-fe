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BDF3416A-12FA-48D8-AFB2-B1C08318B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D14" i="3"/>
  <c r="F22" i="3"/>
  <c r="F14" i="3"/>
  <c r="I14" i="3"/>
  <c r="K14" i="3"/>
  <c r="J14" i="3"/>
  <c r="B27" i="3"/>
  <c r="I22" i="3" s="1"/>
  <c r="C27" i="3"/>
  <c r="D27" i="3"/>
  <c r="J22" i="3" s="1"/>
  <c r="E27" i="3"/>
  <c r="K22" i="3" s="1"/>
  <c r="B50" i="3"/>
  <c r="C50" i="3"/>
  <c r="D50" i="3"/>
  <c r="E50" i="3"/>
  <c r="F50" i="3"/>
  <c r="F27" i="3" s="1"/>
  <c r="D5" i="3"/>
  <c r="H21" i="4"/>
  <c r="E22" i="3" l="1"/>
  <c r="H25" i="4" l="1"/>
  <c r="D22" i="3"/>
  <c r="E14" i="3"/>
  <c r="B22" i="3"/>
  <c r="B14" i="3"/>
  <c r="H26" i="4" l="1"/>
  <c r="N5" i="3" l="1"/>
  <c r="M5" i="3" l="1"/>
  <c r="L5" i="3"/>
  <c r="K5" i="3"/>
  <c r="C39" i="3" l="1"/>
  <c r="C7" i="3"/>
  <c r="D38" i="3"/>
  <c r="D39" i="3"/>
  <c r="D7" i="3"/>
  <c r="D37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<sst xmlns="http://schemas.openxmlformats.org/spreadsheetml/2006/main" count="244" uniqueCount="141">
  <si>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</si>
  <si>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</si>
  <si>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</si>
  <si>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</si>
  <si>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</si>
  <si>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</si>
  <si>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</si>
  <si>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</si>
  <si>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</si>
  <si>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</si>
  <si>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</si>
  <si>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</si>
  <si>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</si>
  <si>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</si>
  <si>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</si>
  <si>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</si>
  <si>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</si>
  <si>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</si>
  <si>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</si>
  <si>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</si>
  <si>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</si>
  <si>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</si>
  <si>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</si>
  <si>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</si>
  <si>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</si>
  <si>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</si>
  <si>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</si>
  <si>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</si>
  <si>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</si>
  <si>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</si>
  <si>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</si>
  <si>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</si>
  <si>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</si>
  <si>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</si>
  <si>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</si>
  <si>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</si>
  <si>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</si>
  <si>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</si>
  <si>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</si>
  <si>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</si>
  <si>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</si>
  <si>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</si>
  <si>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</si>
  <si>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</si>
  <si>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</si>
  <si>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</si>
  <si>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</si>
  <si>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</si>
  <si>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</si>
  <si>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</si>
  <si>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</si>
  <si>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</si>
  <si>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</si>
  <si>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</si>
  <si>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</si>
  <si>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</si>
  <si>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</si>
  <si>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</si>
  <si>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</si>
  <si>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</si>
  <si>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</si>
  <si>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</si>
  <si>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</si>
  <si>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</si>
  <si>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</si>
  <si>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</si>
  <si>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</si>
  <si>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</si>
  <si>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</si>
  <si>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</si>
  <si>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</si>
  <si>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</si>
  <si>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</si>
  <si>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</si>
  <si>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</si>
  <si>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</si>
  <si>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</si>
  <si>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</si>
  <si>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</si>
  <si>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</si>
  <si>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</si>
  <si>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</si>
  <si>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</si>
  <si>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</si>
  <si>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</si>
  <si>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</si>
  <si>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</si>
  <si>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</si>
  <si>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</si>
  <si>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</si>
  <si>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</si>
  <si>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</si>
  <si>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</si>
  <si>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</si>
  <si>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</si>
  <si>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</si>
  <si>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</si>
  <si>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</si>
  <si>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</si>
  <si>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</si>
  <si>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</si>
  <si>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</si>
  <si>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</si>
  <si>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</si>
  <si>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</si>
  <si>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</si>
  <si>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</si>
  <si>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</si>
  <si>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</si>
  <si>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</si>
  <si>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</si>
  <si>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</si>
  <si>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</si>
  <si>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</si>
  <si>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</si>
  <si>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</si>
  <si>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</si>
  <si>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</si>
  <si>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</si>
  <si>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</si>
  <si>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</si>
  <si>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</si>
  <si>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</si>
  <si>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</si>
  <si>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</si>
  <si>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</si>
  <si>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</si>
  <si>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</si>
  <si>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</si>
  <si>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</si>
  <si>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</si>
  <si>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</si>
  <si>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</si>
  <si>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</si>
  <si>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</si>
  <si>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SOBRANTE LAMINADOS:</t>
  </si>
  <si>
    <t>SANDRA MARTINEZ</t>
  </si>
  <si>
    <t>+56 9 9822 5456</t>
  </si>
  <si>
    <t>CUB S/R R8</t>
  </si>
  <si>
    <t>GRANITO STOCK</t>
  </si>
  <si>
    <t>N° 11569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</si>
</sst>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165" fontId="15" fillId="0" borderId="0" xfId="0" applyNumberFormat="1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2392680</xdr:colOff>
      <xdr:row>46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5</xdr:col>
      <xdr:colOff>2392680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56843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CORTADAS A LA MEDIDA Y ENCHAPADAS</a:t>
          </a:r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5</xdr:col>
      <xdr:colOff>2392680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ENTREGA CORTADA A LA MEDIDA Y ENCHAPADA EN LOS COSTADOS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801763</xdr:colOff>
      <xdr:row>40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I22" sqref="I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7253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136</v>
      </c>
      <c r="D10" s="54"/>
      <c r="E10" s="54"/>
      <c r="F10" s="55" t="s">
        <v>28</v>
      </c>
      <c r="G10" s="56">
        <v>45874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7"/>
      <c r="D11" s="59"/>
      <c r="E11" s="59"/>
      <c r="F11" s="59" t="s">
        <v>124</v>
      </c>
      <c r="G11" s="60">
        <v>45882</v>
      </c>
      <c r="H11" s="61"/>
      <c r="I11" s="1"/>
    </row>
    <row r="12" spans="1:17" ht="16.8" x14ac:dyDescent="0.4">
      <c r="A12" s="1"/>
      <c r="B12" s="62" t="s">
        <v>129</v>
      </c>
      <c r="C12" s="104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08" t="s">
        <v>137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5"/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6" t="s">
        <v>134</v>
      </c>
      <c r="D16" s="68"/>
      <c r="E16" s="69"/>
      <c r="F16" s="124" t="s">
        <v>18</v>
      </c>
      <c r="G16" s="124"/>
      <c r="H16" s="12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6" t="s">
        <v>19</v>
      </c>
      <c r="C19" s="127"/>
      <c r="D19" s="127"/>
      <c r="E19" s="127"/>
      <c r="F19" s="127"/>
      <c r="G19" s="127"/>
      <c r="H19" s="128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thickBot="1" x14ac:dyDescent="0.35">
      <c r="A21" s="1"/>
      <c r="B21" s="110">
        <v>1</v>
      </c>
      <c r="C21" s="111" t="s">
        <v>138</v>
      </c>
      <c r="D21" s="112">
        <v>660</v>
      </c>
      <c r="E21" s="112">
        <v>580</v>
      </c>
      <c r="F21" s="111" t="s">
        <v>139</v>
      </c>
      <c r="G21" s="113">
        <v>7000</v>
      </c>
      <c r="H21" s="114">
        <f>G21*B21</f>
        <v>7000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109"/>
      <c r="E22" s="109"/>
      <c r="F22" s="74"/>
      <c r="G22" s="74"/>
      <c r="H22" s="98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96"/>
      <c r="E23" s="96"/>
      <c r="F23" s="97"/>
      <c r="G23" s="98"/>
      <c r="H23" s="98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SUM(H21:H24)</f>
        <v>7000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1330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8330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9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31</v>
      </c>
      <c r="C2" s="129"/>
      <c r="D2" s="129"/>
      <c r="E2" s="18"/>
      <c r="G2" s="129" t="s">
        <v>70</v>
      </c>
      <c r="H2" s="129"/>
      <c r="I2" s="129"/>
      <c r="P2" s="130" t="s">
        <v>58</v>
      </c>
      <c r="Q2" s="130"/>
      <c r="R2" s="13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0" t="s">
        <v>58</v>
      </c>
      <c r="M8" s="130"/>
      <c r="N8" s="13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activeCell="D15" sqref="D1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1" t="s">
        <v>61</v>
      </c>
      <c r="L3" s="131"/>
      <c r="M3" s="131" t="s">
        <v>14</v>
      </c>
      <c r="N3" s="131"/>
    </row>
    <row r="4" spans="1:14" ht="15.75" customHeight="1" x14ac:dyDescent="0.3">
      <c r="A4" s="1"/>
      <c r="B4" s="1"/>
      <c r="C4" s="40" t="s">
        <v>27</v>
      </c>
      <c r="D4" s="14">
        <f>'4637'!G8</f>
        <v>7253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SANDRA MARTINEZ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45882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2" t="s">
        <v>61</v>
      </c>
      <c r="B10" s="132"/>
      <c r="C10" s="132"/>
      <c r="D10" s="132"/>
      <c r="E10" s="132"/>
      <c r="F10" s="13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131</v>
      </c>
      <c r="B14" s="25">
        <f>I14</f>
        <v>1</v>
      </c>
      <c r="C14" s="16"/>
      <c r="D14" s="25">
        <f>J14+D13</f>
        <v>710</v>
      </c>
      <c r="E14" s="35">
        <f>K14</f>
        <v>580</v>
      </c>
      <c r="F14" s="101" t="str">
        <f>F27</f>
        <v>GRANITO STOCK</v>
      </c>
      <c r="G14" s="1"/>
      <c r="I14" s="3">
        <f>B27</f>
        <v>1</v>
      </c>
      <c r="J14" s="4">
        <f>D27</f>
        <v>660</v>
      </c>
      <c r="K14" s="4">
        <f>E27</f>
        <v>580</v>
      </c>
    </row>
    <row r="15" spans="1:14" x14ac:dyDescent="0.3">
      <c r="A15" s="95"/>
    </row>
    <row r="16" spans="1:14" ht="15.6" x14ac:dyDescent="0.3">
      <c r="A16" s="51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32" t="s">
        <v>14</v>
      </c>
      <c r="B18" s="132"/>
      <c r="C18" s="132"/>
      <c r="D18" s="132"/>
      <c r="E18" s="132"/>
      <c r="F18" s="13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0">I22</f>
        <v>1</v>
      </c>
      <c r="C22" s="16"/>
      <c r="D22" s="16">
        <f>J22+D$21</f>
        <v>700</v>
      </c>
      <c r="E22" s="16">
        <f>K22+E21</f>
        <v>640</v>
      </c>
      <c r="F22" s="102" t="str">
        <f>F27</f>
        <v>GRANITO STOCK</v>
      </c>
      <c r="G22" s="1"/>
      <c r="I22" s="3">
        <f>B27</f>
        <v>1</v>
      </c>
      <c r="J22" s="4">
        <f>D27</f>
        <v>660</v>
      </c>
      <c r="K22" s="4">
        <f>E27</f>
        <v>580</v>
      </c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5" t="s">
        <v>131</v>
      </c>
      <c r="B27" s="25">
        <f>'4637'!B21</f>
        <v>1</v>
      </c>
      <c r="C27" s="101" t="str">
        <f>'4637'!C21</f>
        <v>CUB S/R R8</v>
      </c>
      <c r="D27" s="25">
        <f>'4637'!D21</f>
        <v>660</v>
      </c>
      <c r="E27" s="25">
        <f>'4637'!E21</f>
        <v>580</v>
      </c>
      <c r="F27" s="25" t="str">
        <f>F50</f>
        <v>GRANITO STOCK</v>
      </c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 t="s">
        <v>135</v>
      </c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6.2" thickBot="1" x14ac:dyDescent="0.35">
      <c r="A36" s="1"/>
      <c r="B36" s="1"/>
      <c r="G36" s="1"/>
    </row>
    <row r="37" spans="1:7" ht="15.6" x14ac:dyDescent="0.3">
      <c r="A37" s="1"/>
      <c r="B37" s="1"/>
      <c r="C37" s="115" t="s">
        <v>27</v>
      </c>
      <c r="D37" s="116">
        <f>'4637'!G8</f>
        <v>7253</v>
      </c>
      <c r="E37" s="117"/>
      <c r="F37" s="118"/>
      <c r="G37" s="1"/>
    </row>
    <row r="38" spans="1:7" ht="15.6" x14ac:dyDescent="0.3">
      <c r="A38" s="1"/>
      <c r="B38" s="1"/>
      <c r="C38" s="119" t="s">
        <v>67</v>
      </c>
      <c r="D38" s="42" t="str">
        <f>'4637'!C10</f>
        <v>SANDRA MARTINEZ</v>
      </c>
      <c r="E38" s="43"/>
      <c r="F38" s="64"/>
      <c r="G38" s="1"/>
    </row>
    <row r="39" spans="1:7" ht="16.2" thickBot="1" x14ac:dyDescent="0.35">
      <c r="A39" s="1"/>
      <c r="B39" s="1"/>
      <c r="C39" s="120" t="str">
        <f>'4637'!F11</f>
        <v>FECHA LIMITE :</v>
      </c>
      <c r="D39" s="121">
        <f>'4637'!G11</f>
        <v>45882</v>
      </c>
      <c r="E39" s="122"/>
      <c r="F39" s="123"/>
      <c r="G39" s="1"/>
    </row>
    <row r="40" spans="1:7" ht="15.6" x14ac:dyDescent="0.3">
      <c r="A40" s="1"/>
      <c r="B40" s="1"/>
      <c r="G40" s="1"/>
    </row>
    <row r="41" spans="1:7" ht="17.25" customHeight="1" x14ac:dyDescent="0.3">
      <c r="A41" s="1"/>
      <c r="B41" s="1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32" t="s">
        <v>68</v>
      </c>
      <c r="B46" s="132"/>
      <c r="C46" s="132"/>
      <c r="D46" s="132"/>
      <c r="E46" s="132"/>
      <c r="F46" s="132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33" t="s">
        <v>69</v>
      </c>
      <c r="C48" s="134"/>
      <c r="D48" s="135"/>
      <c r="E48" s="135"/>
      <c r="F48" s="136"/>
      <c r="G48" s="1"/>
    </row>
    <row r="49" spans="1:7" s="15" customFormat="1" ht="12.75" customHeight="1" x14ac:dyDescent="0.3">
      <c r="A49" s="1"/>
      <c r="B49" s="36" t="s">
        <v>10</v>
      </c>
      <c r="C49" s="46" t="s">
        <v>11</v>
      </c>
      <c r="D49" s="47" t="s">
        <v>7</v>
      </c>
      <c r="E49" s="47" t="s">
        <v>8</v>
      </c>
      <c r="F49" s="48" t="s">
        <v>12</v>
      </c>
      <c r="G49" s="1"/>
    </row>
    <row r="50" spans="1:7" s="15" customFormat="1" ht="15" customHeight="1" x14ac:dyDescent="0.3">
      <c r="A50" s="95" t="s">
        <v>131</v>
      </c>
      <c r="B50" s="38">
        <f>'4637'!B21</f>
        <v>1</v>
      </c>
      <c r="C50" s="100" t="str">
        <f>'4637'!C21</f>
        <v>CUB S/R R8</v>
      </c>
      <c r="D50" s="39">
        <f>'4637'!D21</f>
        <v>660</v>
      </c>
      <c r="E50" s="39">
        <f>'4637'!E21</f>
        <v>580</v>
      </c>
      <c r="F50" s="103" t="str">
        <f>'4637'!F21</f>
        <v>GRANITO STOCK</v>
      </c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2025-08-06T16:48:20Z</cp:lastPrinted>
  <dcterms:created xsi:type="dcterms:W3CDTF">2013-03-19T12:54:14Z</dcterms:created>
  <dcterms:modified xsi:type="dcterms:W3CDTF">2025-08-11T23:21:51Z</dcterms:modified>
</cp:coreProperties>
</file>