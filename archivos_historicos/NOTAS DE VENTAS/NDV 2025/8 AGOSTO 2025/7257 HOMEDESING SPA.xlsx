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FFA22293-06E3-4391-87B9-0CDB5D293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J30" i="3"/>
  <c r="F53" i="3" l="1"/>
  <c r="F29" i="3" s="1"/>
  <c r="E53" i="3"/>
  <c r="E29" i="3" s="1"/>
  <c r="D53" i="3"/>
  <c r="D29" i="3" s="1"/>
  <c r="C53" i="3"/>
  <c r="C29" i="3" s="1"/>
  <c r="B53" i="3"/>
  <c r="B29" i="3" s="1"/>
  <c r="H21" i="4"/>
  <c r="H24" i="4" l="1"/>
  <c r="H25" i="4" s="1"/>
  <c r="H26" i="4" s="1"/>
  <c r="I23" i="3" l="1"/>
  <c r="J23" i="3"/>
  <c r="K23" i="3"/>
  <c r="F23" i="3"/>
  <c r="D5" i="3"/>
  <c r="K14" i="3" l="1"/>
  <c r="E14" i="3" s="1"/>
  <c r="I14" i="3"/>
  <c r="F14" i="3"/>
  <c r="J14" i="3"/>
  <c r="D14" i="3" s="1"/>
  <c r="D23" i="3" l="1"/>
  <c r="B23" i="3"/>
  <c r="B14" i="3"/>
  <c r="N5" i="3" l="1"/>
  <c r="M5" i="3" l="1"/>
  <c r="L5" i="3"/>
  <c r="K5" i="3"/>
  <c r="C42" i="3" l="1"/>
  <c r="C7" i="3"/>
  <c r="D41" i="3"/>
  <c r="D42" i="3"/>
  <c r="D7" i="3"/>
  <c r="D40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<sst xmlns="http://schemas.openxmlformats.org/spreadsheetml/2006/main" count="245" uniqueCount="142">
  <si>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</si>
  <si>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</si>
  <si>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</si>
  <si>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</si>
  <si>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</si>
  <si>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</si>
  <si>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</si>
  <si>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</si>
  <si>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</si>
  <si>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</si>
  <si>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</si>
  <si>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</si>
  <si>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</si>
  <si>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</si>
  <si>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</si>
  <si>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</si>
  <si>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</si>
  <si>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</si>
  <si>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</si>
  <si>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</si>
  <si>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</si>
  <si>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</si>
  <si>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</si>
  <si>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</si>
  <si>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</si>
  <si>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</si>
  <si>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</si>
  <si>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</si>
  <si>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</si>
  <si>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</si>
  <si>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</si>
  <si>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</si>
  <si>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</si>
  <si>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</si>
  <si>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</si>
  <si>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</si>
  <si>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</si>
  <si>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</si>
  <si>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</si>
  <si>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</si>
  <si>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</si>
  <si>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</si>
  <si>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</si>
  <si>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</si>
  <si>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</si>
  <si>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</si>
  <si>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</si>
  <si>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</si>
  <si>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</si>
  <si>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</si>
  <si>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</si>
  <si>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</si>
  <si>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</si>
  <si>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</si>
  <si>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</si>
  <si>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</si>
  <si>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</si>
  <si>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</si>
  <si>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</si>
  <si>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</si>
  <si>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</si>
  <si>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</si>
  <si>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</si>
  <si>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</si>
  <si>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</si>
  <si>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</si>
  <si>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</si>
  <si>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</si>
  <si>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</si>
  <si>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</si>
  <si>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</si>
  <si>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</si>
  <si>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</si>
  <si>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</si>
  <si>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</si>
  <si>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</si>
  <si>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</si>
  <si>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</si>
  <si>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</si>
  <si>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</si>
  <si>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</si>
  <si>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</si>
  <si>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</si>
  <si>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</si>
  <si>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</si>
  <si>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</si>
  <si>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</si>
  <si>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</si>
  <si>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</si>
  <si>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</si>
  <si>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</si>
  <si>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</si>
  <si>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</si>
  <si>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</si>
  <si>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</si>
  <si>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</si>
  <si>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</si>
  <si>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</si>
  <si>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</si>
  <si>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</si>
  <si>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</si>
  <si>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</si>
  <si>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</si>
  <si>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</si>
  <si>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</si>
  <si>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</si>
  <si>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</si>
  <si>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</si>
  <si>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</si>
  <si>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</si>
  <si>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</si>
  <si>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</si>
  <si>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</si>
  <si>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</si>
  <si>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</si>
  <si>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</si>
  <si>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</si>
  <si>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</si>
  <si>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</si>
  <si>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</si>
  <si>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</si>
  <si>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</si>
  <si>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</si>
  <si>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</si>
  <si>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</si>
  <si>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</si>
  <si>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</si>
  <si>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</si>
  <si>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</si>
  <si>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</si>
  <si>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</si>
  <si>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</si>
  <si>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</si>
  <si>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</si>
  <si>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</si>
  <si>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N° 11571</t>
  </si>
  <si>
    <t>HOME DESING SPA</t>
  </si>
  <si>
    <t>NAIROBI  HERNANDEZ</t>
  </si>
  <si>
    <t>+569 8466 2944</t>
  </si>
  <si>
    <t>CUB CON RESPALDO  30CMS FRENTE 90° R6</t>
  </si>
  <si>
    <t>RESPALDO</t>
  </si>
  <si>
    <t>DOMUS PP-5862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</si>
</sst>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0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</a:t>
          </a:r>
          <a:r>
            <a:rPr lang="es-CL" sz="900" b="1" i="1" baseline="0"/>
            <a:t> $ 291.828.-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6</xdr:col>
      <xdr:colOff>15240</xdr:colOff>
      <xdr:row>19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2392680</xdr:colOff>
      <xdr:row>49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5</xdr:col>
      <xdr:colOff>2392680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CORTADA A LA MEDIDA Y ENCHAPADA AMBOS LADOS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5</xdr:col>
      <xdr:colOff>2392680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VA CORTADA A LA MEDIDA ENCHAPADA EN AMBAS CARAS SIN REGRUESO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43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1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135</v>
      </c>
      <c r="E8" s="1"/>
      <c r="F8" s="91" t="s">
        <v>27</v>
      </c>
      <c r="G8" s="92">
        <v>7257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136</v>
      </c>
      <c r="D10" s="54"/>
      <c r="E10" s="54"/>
      <c r="F10" s="55" t="s">
        <v>28</v>
      </c>
      <c r="G10" s="56">
        <v>45880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45883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137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22" t="s">
        <v>138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134</v>
      </c>
      <c r="D16" s="68"/>
      <c r="E16" s="69"/>
      <c r="F16" s="123" t="s">
        <v>18</v>
      </c>
      <c r="G16" s="123"/>
      <c r="H16" s="12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01">
        <v>3</v>
      </c>
      <c r="C21" s="101" t="s">
        <v>139</v>
      </c>
      <c r="D21" s="119">
        <v>3000</v>
      </c>
      <c r="E21" s="119">
        <v>800</v>
      </c>
      <c r="F21" s="101" t="s">
        <v>141</v>
      </c>
      <c r="G21" s="118">
        <v>163489</v>
      </c>
      <c r="H21" s="115">
        <f>G21*B21</f>
        <v>490467</v>
      </c>
      <c r="I21" s="1"/>
    </row>
    <row r="22" spans="1:16" ht="18" customHeight="1" x14ac:dyDescent="0.3">
      <c r="A22" s="1"/>
      <c r="B22" s="94"/>
      <c r="C22" s="94"/>
      <c r="D22" s="94"/>
      <c r="E22" s="94"/>
      <c r="F22" s="95"/>
      <c r="G22" s="96"/>
      <c r="H22" s="96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SUM(H21:H21)</f>
        <v>490467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H24*0.19</f>
        <v>93188.73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583655.73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31</v>
      </c>
      <c r="C2" s="128"/>
      <c r="D2" s="128"/>
      <c r="E2" s="18"/>
      <c r="G2" s="128" t="s">
        <v>70</v>
      </c>
      <c r="H2" s="128"/>
      <c r="I2" s="128"/>
      <c r="P2" s="129" t="s">
        <v>58</v>
      </c>
      <c r="Q2" s="129"/>
      <c r="R2" s="12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9" t="s">
        <v>58</v>
      </c>
      <c r="M8" s="129"/>
      <c r="N8" s="12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topLeftCell="A12" zoomScaleNormal="100" workbookViewId="0">
      <selection activeCell="F16" sqref="F1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0" t="s">
        <v>61</v>
      </c>
      <c r="L3" s="130"/>
      <c r="M3" s="130" t="s">
        <v>14</v>
      </c>
      <c r="N3" s="130"/>
    </row>
    <row r="4" spans="1:14" ht="15.75" customHeight="1" x14ac:dyDescent="0.3">
      <c r="A4" s="1"/>
      <c r="B4" s="1"/>
      <c r="C4" s="40" t="s">
        <v>27</v>
      </c>
      <c r="D4" s="14">
        <f>'4637'!G8</f>
        <v>7257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HOME DESING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45883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1" t="s">
        <v>61</v>
      </c>
      <c r="B10" s="131"/>
      <c r="C10" s="131"/>
      <c r="D10" s="131"/>
      <c r="E10" s="131"/>
      <c r="F10" s="13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100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>I14</f>
        <v>3</v>
      </c>
      <c r="C14" s="16"/>
      <c r="D14" s="25">
        <f>J14+D$13</f>
        <v>3100</v>
      </c>
      <c r="E14" s="35">
        <f>K14+$E$13</f>
        <v>770</v>
      </c>
      <c r="F14" s="99" t="str">
        <f>F29</f>
        <v>DOMUS PP-5862 BR</v>
      </c>
      <c r="G14" s="1"/>
      <c r="I14" s="3">
        <f>B29</f>
        <v>3</v>
      </c>
      <c r="J14" s="4">
        <f>D29</f>
        <v>3000</v>
      </c>
      <c r="K14" s="4">
        <f>E29</f>
        <v>800</v>
      </c>
    </row>
    <row r="15" spans="1:14" ht="15.6" x14ac:dyDescent="0.3">
      <c r="A15" s="93"/>
      <c r="B15" s="25">
        <f>I15</f>
        <v>3</v>
      </c>
      <c r="C15" s="16"/>
      <c r="D15" s="25">
        <v>3100</v>
      </c>
      <c r="E15" s="35">
        <v>288</v>
      </c>
      <c r="F15" s="99" t="s">
        <v>140</v>
      </c>
      <c r="G15" s="1"/>
      <c r="I15" s="120">
        <v>3</v>
      </c>
      <c r="J15" s="2">
        <v>3100</v>
      </c>
      <c r="K15" s="2">
        <v>288</v>
      </c>
    </row>
    <row r="16" spans="1:14" ht="15.6" x14ac:dyDescent="0.3">
      <c r="A16" s="93"/>
      <c r="B16" s="6"/>
      <c r="C16" s="6"/>
      <c r="D16" s="6"/>
      <c r="E16" s="121"/>
      <c r="F16" s="116"/>
      <c r="G16" s="1"/>
      <c r="I16" s="120"/>
      <c r="J16" s="2"/>
      <c r="K16" s="2"/>
    </row>
    <row r="17" spans="1:11" x14ac:dyDescent="0.3">
      <c r="A17" s="93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1" t="s">
        <v>14</v>
      </c>
      <c r="B19" s="131"/>
      <c r="C19" s="131"/>
      <c r="D19" s="131"/>
      <c r="E19" s="131"/>
      <c r="F19" s="131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80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3"/>
      <c r="B23" s="16">
        <f t="shared" ref="B23" si="0">I23</f>
        <v>3</v>
      </c>
      <c r="C23" s="16"/>
      <c r="D23" s="16">
        <f>J23+D$22</f>
        <v>3080</v>
      </c>
      <c r="E23" s="16">
        <v>1220</v>
      </c>
      <c r="F23" s="100" t="str">
        <f>F29</f>
        <v>DOMUS PP-5862 BR</v>
      </c>
      <c r="G23" s="1"/>
      <c r="I23" s="3">
        <f>B29</f>
        <v>3</v>
      </c>
      <c r="J23" s="4">
        <f>D29</f>
        <v>3000</v>
      </c>
      <c r="K23" s="4">
        <f>E29</f>
        <v>800</v>
      </c>
    </row>
    <row r="24" spans="1:11" ht="15.6" x14ac:dyDescent="0.3">
      <c r="A24" s="93"/>
      <c r="B24" s="6"/>
      <c r="C24" s="6"/>
      <c r="D24" s="6"/>
      <c r="E24" s="6"/>
      <c r="F24" s="116"/>
      <c r="G24" s="1"/>
      <c r="I24" s="120"/>
      <c r="J24" s="2"/>
      <c r="K24" s="2"/>
    </row>
    <row r="25" spans="1:11" ht="16.2" thickBot="1" x14ac:dyDescent="0.35">
      <c r="A25" s="51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1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1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  <c r="J28">
        <v>300</v>
      </c>
    </row>
    <row r="29" spans="1:11" ht="15.6" x14ac:dyDescent="0.3">
      <c r="A29" s="93" t="s">
        <v>131</v>
      </c>
      <c r="B29" s="25">
        <f>B53</f>
        <v>3</v>
      </c>
      <c r="C29" s="99" t="str">
        <f t="shared" ref="C29:F29" si="1">C53</f>
        <v>CUB CON RESPALDO  30CMS FRENTE 90° R6</v>
      </c>
      <c r="D29" s="25">
        <f t="shared" si="1"/>
        <v>3000</v>
      </c>
      <c r="E29" s="25">
        <f t="shared" si="1"/>
        <v>800</v>
      </c>
      <c r="F29" s="25" t="str">
        <f t="shared" si="1"/>
        <v>DOMUS PP-5862 BR</v>
      </c>
      <c r="G29" s="1"/>
      <c r="J29">
        <v>12</v>
      </c>
    </row>
    <row r="30" spans="1:11" ht="15.6" x14ac:dyDescent="0.3">
      <c r="A30" s="93"/>
      <c r="B30" s="6"/>
      <c r="C30" s="116"/>
      <c r="D30" s="6"/>
      <c r="E30" s="6"/>
      <c r="F30" s="6"/>
      <c r="G30" s="1"/>
      <c r="J30">
        <f>J28-J29</f>
        <v>288</v>
      </c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6.2" thickBot="1" x14ac:dyDescent="0.35">
      <c r="A39" s="1"/>
      <c r="B39" s="1"/>
      <c r="G39" s="1"/>
    </row>
    <row r="40" spans="1:7" ht="15.6" x14ac:dyDescent="0.3">
      <c r="A40" s="1"/>
      <c r="B40" s="1"/>
      <c r="C40" s="106" t="s">
        <v>27</v>
      </c>
      <c r="D40" s="107">
        <f>'4637'!G8</f>
        <v>7257</v>
      </c>
      <c r="E40" s="108"/>
      <c r="F40" s="109"/>
      <c r="G40" s="1"/>
    </row>
    <row r="41" spans="1:7" ht="15.6" x14ac:dyDescent="0.3">
      <c r="A41" s="1"/>
      <c r="B41" s="1"/>
      <c r="C41" s="110" t="s">
        <v>67</v>
      </c>
      <c r="D41" s="42" t="str">
        <f>'4637'!C10</f>
        <v>HOME DESING SPA</v>
      </c>
      <c r="E41" s="43"/>
      <c r="F41" s="64"/>
      <c r="G41" s="1"/>
    </row>
    <row r="42" spans="1:7" ht="16.2" thickBot="1" x14ac:dyDescent="0.35">
      <c r="A42" s="1"/>
      <c r="B42" s="1"/>
      <c r="C42" s="111" t="str">
        <f>'4637'!F11</f>
        <v>FECHA LIMITE :</v>
      </c>
      <c r="D42" s="112">
        <f>'4637'!G11</f>
        <v>45883</v>
      </c>
      <c r="E42" s="113"/>
      <c r="F42" s="114"/>
      <c r="G42" s="1"/>
    </row>
    <row r="43" spans="1:7" ht="15.6" x14ac:dyDescent="0.3">
      <c r="A43" s="1"/>
      <c r="B43" s="1"/>
      <c r="G43" s="1"/>
    </row>
    <row r="44" spans="1:7" ht="17.25" customHeight="1" x14ac:dyDescent="0.3">
      <c r="A44" s="1"/>
      <c r="B44" s="1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31" t="s">
        <v>68</v>
      </c>
      <c r="B49" s="131"/>
      <c r="C49" s="131"/>
      <c r="D49" s="131"/>
      <c r="E49" s="131"/>
      <c r="F49" s="13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32" t="s">
        <v>69</v>
      </c>
      <c r="C51" s="133"/>
      <c r="D51" s="134"/>
      <c r="E51" s="134"/>
      <c r="F51" s="135"/>
      <c r="G51" s="1"/>
    </row>
    <row r="52" spans="1:7" s="15" customFormat="1" ht="12.75" customHeight="1" x14ac:dyDescent="0.3">
      <c r="A52" s="1"/>
      <c r="B52" s="36" t="s">
        <v>10</v>
      </c>
      <c r="C52" s="46" t="s">
        <v>11</v>
      </c>
      <c r="D52" s="47" t="s">
        <v>7</v>
      </c>
      <c r="E52" s="47" t="s">
        <v>8</v>
      </c>
      <c r="F52" s="48" t="s">
        <v>12</v>
      </c>
      <c r="G52" s="1"/>
    </row>
    <row r="53" spans="1:7" s="15" customFormat="1" ht="15" customHeight="1" x14ac:dyDescent="0.3">
      <c r="A53" s="93" t="s">
        <v>131</v>
      </c>
      <c r="B53" s="38">
        <f>'4637'!B21</f>
        <v>3</v>
      </c>
      <c r="C53" s="98" t="str">
        <f>'4637'!C21</f>
        <v>CUB CON RESPALDO  30CMS FRENTE 90° R6</v>
      </c>
      <c r="D53" s="39">
        <f>'4637'!D21</f>
        <v>3000</v>
      </c>
      <c r="E53" s="39">
        <f>'4637'!E21</f>
        <v>800</v>
      </c>
      <c r="F53" s="101" t="str">
        <f>'4637'!F21</f>
        <v>DOMUS PP-5862 BR</v>
      </c>
      <c r="G53" s="1"/>
    </row>
    <row r="54" spans="1:7" s="15" customFormat="1" ht="15" customHeight="1" x14ac:dyDescent="0.3">
      <c r="A54" s="93"/>
      <c r="B54" s="51"/>
      <c r="C54" s="117"/>
      <c r="D54" s="51"/>
      <c r="E54" s="51"/>
      <c r="F54" s="94"/>
      <c r="G54" s="1"/>
    </row>
    <row r="55" spans="1:7" s="15" customFormat="1" ht="15" customHeight="1" x14ac:dyDescent="0.3">
      <c r="A55" s="49"/>
      <c r="B55" s="51"/>
      <c r="C55" s="51"/>
      <c r="D55" s="51"/>
      <c r="E55" s="51"/>
      <c r="F55" s="51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0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2025-08-06T16:48:20Z</cp:lastPrinted>
  <dcterms:created xsi:type="dcterms:W3CDTF">2013-03-19T12:54:14Z</dcterms:created>
  <dcterms:modified xsi:type="dcterms:W3CDTF">2025-08-12T13:18:31Z</dcterms:modified>
</cp:coreProperties>
</file>