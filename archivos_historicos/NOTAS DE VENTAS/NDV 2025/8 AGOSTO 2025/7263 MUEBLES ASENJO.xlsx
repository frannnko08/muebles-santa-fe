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8D39A8BB-FBDC-4439-B9E1-39FB08790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I23" i="3" s="1"/>
  <c r="C29" i="3"/>
  <c r="F14" i="3" s="1"/>
  <c r="D29" i="3"/>
  <c r="J14" i="3" s="1"/>
  <c r="D14" i="3" s="1"/>
  <c r="E29" i="3"/>
  <c r="K23" i="3" s="1"/>
  <c r="E23" i="3" s="1"/>
  <c r="F29" i="3"/>
  <c r="B50" i="3"/>
  <c r="C50" i="3"/>
  <c r="D50" i="3"/>
  <c r="E50" i="3"/>
  <c r="F50" i="3"/>
  <c r="H21" i="4"/>
  <c r="H25" i="4" s="1"/>
  <c r="J23" i="3" l="1"/>
  <c r="D23" i="3" s="1"/>
  <c r="K14" i="3"/>
  <c r="E14" i="3" s="1"/>
  <c r="B23" i="3"/>
  <c r="I14" i="3"/>
  <c r="B14" i="3" s="1"/>
  <c r="F23" i="3"/>
  <c r="H26" i="4" l="1"/>
  <c r="H27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<sst xmlns="http://schemas.openxmlformats.org/spreadsheetml/2006/main" count="248" uniqueCount="145">
  <si>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</si>
  <si>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</si>
  <si>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</si>
  <si>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</si>
  <si>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</si>
  <si>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</si>
  <si>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</si>
  <si>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</si>
  <si>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</si>
  <si>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</si>
  <si>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</si>
  <si>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</si>
  <si>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</si>
  <si>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</si>
  <si>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</si>
  <si>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</si>
  <si>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</si>
  <si>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</si>
  <si>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</si>
  <si>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</si>
  <si>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</si>
  <si>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</si>
  <si>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</si>
  <si>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</si>
  <si>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</si>
  <si>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</si>
  <si>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</si>
  <si>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</si>
  <si>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</si>
  <si>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</si>
  <si>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</si>
  <si>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</si>
  <si>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</si>
  <si>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</si>
  <si>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</si>
  <si>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</si>
  <si>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</si>
  <si>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</si>
  <si>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</si>
  <si>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</si>
  <si>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</si>
  <si>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</si>
  <si>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</si>
  <si>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</si>
  <si>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</si>
  <si>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</si>
  <si>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</si>
  <si>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</si>
  <si>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</si>
  <si>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</si>
  <si>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</si>
  <si>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</si>
  <si>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</si>
  <si>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</si>
  <si>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</si>
  <si>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</si>
  <si>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</si>
  <si>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</si>
  <si>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</si>
  <si>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</si>
  <si>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</si>
  <si>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</si>
  <si>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</si>
  <si>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</si>
  <si>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</si>
  <si>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</si>
  <si>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</si>
  <si>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</si>
  <si>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</si>
  <si>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</si>
  <si>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</si>
  <si>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</si>
  <si>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</si>
  <si>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</si>
  <si>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</si>
  <si>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</si>
  <si>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</si>
  <si>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</si>
  <si>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</si>
  <si>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</si>
  <si>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</si>
  <si>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</si>
  <si>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</si>
  <si>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</si>
  <si>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</si>
  <si>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</si>
  <si>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</si>
  <si>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</si>
  <si>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</si>
  <si>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</si>
  <si>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</si>
  <si>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</si>
  <si>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</si>
  <si>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</si>
  <si>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</si>
  <si>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</si>
  <si>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</si>
  <si>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</si>
  <si>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</si>
  <si>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</si>
  <si>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</si>
  <si>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</si>
  <si>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</si>
  <si>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</si>
  <si>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</si>
  <si>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</si>
  <si>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</si>
  <si>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</si>
  <si>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</si>
  <si>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</si>
  <si>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</si>
  <si>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</si>
  <si>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</si>
  <si>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</si>
  <si>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</si>
  <si>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</si>
  <si>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</si>
  <si>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</si>
  <si>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</si>
  <si>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</si>
  <si>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</si>
  <si>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</si>
  <si>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</si>
  <si>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</si>
  <si>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</si>
  <si>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</si>
  <si>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</si>
  <si>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</si>
  <si>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</si>
  <si>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</si>
  <si>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</si>
  <si>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</si>
  <si>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</si>
  <si>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</si>
  <si>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</si>
  <si>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</si>
  <si>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</si>
  <si>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</si>
  <si>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</si>
  <si>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</si>
  <si>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11591</t>
  </si>
  <si>
    <t>CUB 1 LADO R8 MDF 30MM</t>
  </si>
  <si>
    <t xml:space="preserve">NEGRO OPACO </t>
  </si>
  <si>
    <t>MDF 30MM</t>
  </si>
  <si>
    <t>MDF30MM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</si>
</sst>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" fontId="15" fillId="0" borderId="2" xfId="0" applyNumberFormat="1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OBSERVACIONES:CUBIERTA TIPO PUERTA SIN REGRUESO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OBSERVACIONES:CUBIERTA TIPO PUERTA SIN REGRUESO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6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140</v>
      </c>
      <c r="E8" s="1"/>
      <c r="F8" s="94" t="s">
        <v>27</v>
      </c>
      <c r="G8" s="95">
        <v>7263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45887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>
        <v>45889</v>
      </c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23249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1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2</v>
      </c>
      <c r="C21" s="106" t="s">
        <v>141</v>
      </c>
      <c r="D21" s="124">
        <v>1400</v>
      </c>
      <c r="E21" s="124">
        <v>710</v>
      </c>
      <c r="F21" s="106" t="s">
        <v>142</v>
      </c>
      <c r="G21" s="108">
        <v>64276</v>
      </c>
      <c r="H21" s="107">
        <f t="shared" ref="H21" si="0">G21*B21</f>
        <v>128552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109"/>
      <c r="E22" s="109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128552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24424.880000000001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152976.88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zoomScaleNormal="100" workbookViewId="0">
      <selection sqref="A1:F3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7263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45889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143</v>
      </c>
      <c r="B14" s="25">
        <f t="shared" ref="B14" si="0">I14</f>
        <v>2</v>
      </c>
      <c r="C14" s="25"/>
      <c r="D14" s="25">
        <f>J14+D13</f>
        <v>1480</v>
      </c>
      <c r="E14" s="35">
        <f>K14+E$13</f>
        <v>710</v>
      </c>
      <c r="F14" s="103" t="str">
        <f>C29</f>
        <v>CUB 1 LADO R8 MDF 30MM</v>
      </c>
      <c r="G14" s="1"/>
      <c r="I14" s="3">
        <f>I23</f>
        <v>2</v>
      </c>
      <c r="J14" s="4">
        <f>D29</f>
        <v>1400</v>
      </c>
      <c r="K14" s="4">
        <f>E29</f>
        <v>710</v>
      </c>
    </row>
    <row r="15" spans="1:14" ht="15.6" x14ac:dyDescent="0.3">
      <c r="A15" s="96"/>
      <c r="B15" s="6"/>
      <c r="C15" s="6"/>
      <c r="D15" s="6"/>
      <c r="E15" s="89"/>
      <c r="F15" s="110"/>
      <c r="G15" s="1"/>
      <c r="I15" s="90"/>
      <c r="J15" s="2"/>
      <c r="K15" s="2"/>
    </row>
    <row r="16" spans="1:14" ht="15.6" x14ac:dyDescent="0.3">
      <c r="A16" s="96"/>
      <c r="B16" s="6"/>
      <c r="C16" s="6"/>
      <c r="D16" s="6"/>
      <c r="E16" s="89"/>
      <c r="F16" s="110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9" t="s">
        <v>14</v>
      </c>
      <c r="B19" s="119"/>
      <c r="C19" s="119"/>
      <c r="D19" s="119"/>
      <c r="E19" s="119"/>
      <c r="F19" s="119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60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143</v>
      </c>
      <c r="B23" s="16">
        <f t="shared" ref="B23" si="1">I23</f>
        <v>2</v>
      </c>
      <c r="C23" s="16"/>
      <c r="D23" s="16">
        <f t="shared" ref="D23" si="2">J23+D$22</f>
        <v>1440</v>
      </c>
      <c r="E23" s="16">
        <f>K23+E22</f>
        <v>770</v>
      </c>
      <c r="F23" s="104" t="str">
        <f>C29</f>
        <v>CUB 1 LADO R8 MDF 30MM</v>
      </c>
      <c r="G23" s="1"/>
      <c r="I23" s="3">
        <f>B29</f>
        <v>2</v>
      </c>
      <c r="J23" s="4">
        <f t="shared" ref="J23:K23" si="3">D29</f>
        <v>1400</v>
      </c>
      <c r="K23" s="4">
        <f t="shared" si="3"/>
        <v>710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144</v>
      </c>
      <c r="B29" s="25">
        <f>'4637'!B21</f>
        <v>2</v>
      </c>
      <c r="C29" s="103" t="str">
        <f>'4637'!C21</f>
        <v>CUB 1 LADO R8 MDF 30MM</v>
      </c>
      <c r="D29" s="25">
        <f>'4637'!D21</f>
        <v>1400</v>
      </c>
      <c r="E29" s="25">
        <f>'4637'!E21</f>
        <v>710</v>
      </c>
      <c r="F29" s="25" t="str">
        <f>'4637'!F21</f>
        <v xml:space="preserve">NEGRO OPACO </v>
      </c>
      <c r="G29" s="1"/>
    </row>
    <row r="30" spans="1:11" ht="15.6" x14ac:dyDescent="0.3">
      <c r="A30" s="96"/>
      <c r="B30" s="6"/>
      <c r="C30" s="110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7263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MUEBLES ASENJO LTDA.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45889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19" t="s">
        <v>68</v>
      </c>
      <c r="B46" s="119"/>
      <c r="C46" s="119"/>
      <c r="D46" s="119"/>
      <c r="E46" s="119"/>
      <c r="F46" s="119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0" t="s">
        <v>69</v>
      </c>
      <c r="C48" s="121"/>
      <c r="D48" s="122"/>
      <c r="E48" s="122"/>
      <c r="F48" s="123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 t="s">
        <v>144</v>
      </c>
      <c r="B50" s="38">
        <f>'4637'!B21</f>
        <v>2</v>
      </c>
      <c r="C50" s="102" t="str">
        <f>'4637'!C21</f>
        <v>CUB 1 LADO R8 MDF 30MM</v>
      </c>
      <c r="D50" s="39">
        <f>'4637'!D21</f>
        <v>1400</v>
      </c>
      <c r="E50" s="39">
        <f>'4637'!E21</f>
        <v>710</v>
      </c>
      <c r="F50" s="38" t="str">
        <f>'4637'!F21</f>
        <v xml:space="preserve">NEGRO OPACO 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9:F19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2025-08-18T18:57:14Z</cp:lastPrinted>
  <dcterms:created xsi:type="dcterms:W3CDTF">2013-03-19T12:54:14Z</dcterms:created>
  <dcterms:modified xsi:type="dcterms:W3CDTF">2025-09-05T00:06:05Z</dcterms:modified>
</cp:coreProperties>
</file>