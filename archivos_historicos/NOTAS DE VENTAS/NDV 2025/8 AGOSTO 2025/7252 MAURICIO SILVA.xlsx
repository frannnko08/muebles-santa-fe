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3618FBAB-9F3E-4235-977E-F81DEE19EC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C34" i="3"/>
  <c r="D34" i="3"/>
  <c r="E34" i="3"/>
  <c r="B33" i="3"/>
  <c r="I26" i="3" s="1"/>
  <c r="B26" i="3" s="1"/>
  <c r="C33" i="3"/>
  <c r="F26" i="3" s="1"/>
  <c r="D33" i="3"/>
  <c r="J26" i="3" s="1"/>
  <c r="E33" i="3"/>
  <c r="K26" i="3" s="1"/>
  <c r="B59" i="3"/>
  <c r="C59" i="3"/>
  <c r="D59" i="3"/>
  <c r="E59" i="3"/>
  <c r="F59" i="3"/>
  <c r="F33" i="3" s="1"/>
  <c r="B60" i="3"/>
  <c r="C60" i="3"/>
  <c r="D60" i="3"/>
  <c r="E60" i="3"/>
  <c r="F60" i="3"/>
  <c r="F34" i="3" s="1"/>
  <c r="D5" i="3"/>
  <c r="H24" i="4"/>
  <c r="F58" i="3"/>
  <c r="F32" i="3" s="1"/>
  <c r="F57" i="3"/>
  <c r="F31" i="3" s="1"/>
  <c r="H22" i="4"/>
  <c r="H21" i="4"/>
  <c r="B32" i="3"/>
  <c r="I25" i="3" s="1"/>
  <c r="C32" i="3"/>
  <c r="F25" i="3" s="1"/>
  <c r="D32" i="3"/>
  <c r="J15" i="3" s="1"/>
  <c r="D15" i="3" s="1"/>
  <c r="E32" i="3"/>
  <c r="K15" i="3" s="1"/>
  <c r="E15" i="3" s="1"/>
  <c r="B58" i="3"/>
  <c r="C58" i="3"/>
  <c r="D58" i="3"/>
  <c r="E58" i="3"/>
  <c r="J25" i="3" l="1"/>
  <c r="D25" i="3" s="1"/>
  <c r="F15" i="3"/>
  <c r="B25" i="3"/>
  <c r="I15" i="3"/>
  <c r="B15" i="3" s="1"/>
  <c r="K25" i="3"/>
  <c r="E25" i="3" s="1"/>
  <c r="B31" i="3" l="1"/>
  <c r="I24" i="3" s="1"/>
  <c r="C31" i="3"/>
  <c r="F14" i="3" s="1"/>
  <c r="D31" i="3"/>
  <c r="J14" i="3" s="1"/>
  <c r="E31" i="3"/>
  <c r="K24" i="3" s="1"/>
  <c r="E24" i="3" s="1"/>
  <c r="B57" i="3"/>
  <c r="C57" i="3"/>
  <c r="D57" i="3"/>
  <c r="E57" i="3"/>
  <c r="H28" i="4" l="1"/>
  <c r="J24" i="3"/>
  <c r="D24" i="3" s="1"/>
  <c r="K14" i="3"/>
  <c r="E14" i="3" s="1"/>
  <c r="B24" i="3"/>
  <c r="I14" i="3"/>
  <c r="B14" i="3" s="1"/>
  <c r="F24" i="3"/>
  <c r="H29" i="4" l="1"/>
  <c r="N5" i="3" l="1"/>
  <c r="M5" i="3" l="1"/>
  <c r="L5" i="3"/>
  <c r="K5" i="3"/>
  <c r="C46" i="3" l="1"/>
  <c r="C7" i="3"/>
  <c r="D45" i="3"/>
  <c r="D46" i="3"/>
  <c r="D7" i="3"/>
  <c r="D44" i="3"/>
  <c r="D4" i="3"/>
</calcChain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<sst xmlns="http://schemas.openxmlformats.org/spreadsheetml/2006/main" count="253" uniqueCount="147">
  <si>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</si>
  <si>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</si>
  <si>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</si>
  <si>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</si>
  <si>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</si>
  <si>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</si>
  <si>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</si>
  <si>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</si>
  <si>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</si>
  <si>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</si>
  <si>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</si>
  <si>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</si>
  <si>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</si>
  <si>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</si>
  <si>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</si>
  <si>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</si>
  <si>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</si>
  <si>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</si>
  <si>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</si>
  <si>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</si>
  <si>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</si>
  <si>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</si>
  <si>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</si>
  <si>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</si>
  <si>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</si>
  <si>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</si>
  <si>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</si>
  <si>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</si>
  <si>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</si>
  <si>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</si>
  <si>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</si>
  <si>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</si>
  <si>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</si>
  <si>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</si>
  <si>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</si>
  <si>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</si>
  <si>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</si>
  <si>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</si>
  <si>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</si>
  <si>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</si>
  <si>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</si>
  <si>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</si>
  <si>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</si>
  <si>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</si>
  <si>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</si>
  <si>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</si>
  <si>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</si>
  <si>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</si>
  <si>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</si>
  <si>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</si>
  <si>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</si>
  <si>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</si>
  <si>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</si>
  <si>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</si>
  <si>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</si>
  <si>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</si>
  <si>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</si>
  <si>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</si>
  <si>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</si>
  <si>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</si>
  <si>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</si>
  <si>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</si>
  <si>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</si>
  <si>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</si>
  <si>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</si>
  <si>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</si>
  <si>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</si>
  <si>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</si>
  <si>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</si>
  <si>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</si>
  <si>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</si>
  <si>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</si>
  <si>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</si>
  <si>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</si>
  <si>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</si>
  <si>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</si>
  <si>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</si>
  <si>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</si>
  <si>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</si>
  <si>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</si>
  <si>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</si>
  <si>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</si>
  <si>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</si>
  <si>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</si>
  <si>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</si>
  <si>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</si>
  <si>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</si>
  <si>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</si>
  <si>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</si>
  <si>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</si>
  <si>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</si>
  <si>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</si>
  <si>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</si>
  <si>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</si>
  <si>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</si>
  <si>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</si>
  <si>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</si>
  <si>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</si>
  <si>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</si>
  <si>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</si>
  <si>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</si>
  <si>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</si>
  <si>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</si>
  <si>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</si>
  <si>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</si>
  <si>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</si>
  <si>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</si>
  <si>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</si>
  <si>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</si>
  <si>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</si>
  <si>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</si>
  <si>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</si>
  <si>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</si>
  <si>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</si>
  <si>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</si>
  <si>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</si>
  <si>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</si>
  <si>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</si>
  <si>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</si>
  <si>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</si>
  <si>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</si>
  <si>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</si>
  <si>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</si>
  <si>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</si>
  <si>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</si>
  <si>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</si>
  <si>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</si>
  <si>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</si>
  <si>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</si>
  <si>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</si>
  <si>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</si>
  <si>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</si>
  <si>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</si>
  <si>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</si>
  <si>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</si>
  <si>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MAURICIO SILVA</t>
  </si>
  <si>
    <t>CUB SIN RESPALDO R2</t>
  </si>
  <si>
    <t>ZOCALOS</t>
  </si>
  <si>
    <t>CORTE 45°</t>
  </si>
  <si>
    <t>NEGRO MT</t>
  </si>
  <si>
    <t>N° 11570</t>
  </si>
  <si>
    <t>ANDY ESTEBAN BECERRA CANIUQUEO</t>
  </si>
  <si>
    <t>SERVICIOS PROFESIONALES DE INGENIERIA ELECTRICA</t>
  </si>
  <si>
    <t>16.044.561-0</t>
  </si>
  <si>
    <t>PASAJE 3 SUR 3835, JOSE MARIA CARO, LO ESPEJO</t>
  </si>
  <si>
    <t>+56 9 9773 5945</t>
  </si>
  <si>
    <t>SOBRANTE LAMINADOS: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</si>
</sst>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165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/>
    </xf>
    <xf numFmtId="0" fontId="3" fillId="3" borderId="0" xfId="0" applyFont="1" applyFill="1" applyBorder="1"/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30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$152.000</a:t>
          </a:r>
        </a:p>
        <a:p>
          <a:pPr algn="l"/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6</xdr:col>
      <xdr:colOff>15240</xdr:colOff>
      <xdr:row>20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2392680</xdr:colOff>
      <xdr:row>53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1019175</xdr:colOff>
      <xdr:row>61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447675</xdr:colOff>
      <xdr:row>61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190500</xdr:rowOff>
    </xdr:from>
    <xdr:to>
      <xdr:col>2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190500</xdr:rowOff>
    </xdr:from>
    <xdr:to>
      <xdr:col>2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190500</xdr:rowOff>
    </xdr:from>
    <xdr:to>
      <xdr:col>3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190500</xdr:rowOff>
    </xdr:from>
    <xdr:to>
      <xdr:col>4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190500</xdr:rowOff>
    </xdr:from>
    <xdr:to>
      <xdr:col>5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190500</xdr:rowOff>
    </xdr:from>
    <xdr:to>
      <xdr:col>6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5</xdr:col>
      <xdr:colOff>2392680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56843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TRASERA DE LA CUBIERTA VA ENCHAPADA CON TAPACANTO PVC 0,4 O LA MISMA LAMINA.</a:t>
          </a:r>
          <a:endParaRPr lang="es-CL">
            <a:effectLst/>
          </a:endParaRP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VAN SOBRE MEDIDAS</a:t>
          </a:r>
          <a:endParaRPr lang="es-CL">
            <a:effectLst/>
          </a:endParaRP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CORTE 45 SEGUN DIBUJO</a:t>
          </a:r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64</xdr:row>
      <xdr:rowOff>32385</xdr:rowOff>
    </xdr:from>
    <xdr:to>
      <xdr:col>5</xdr:col>
      <xdr:colOff>2392680</xdr:colOff>
      <xdr:row>68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PARTE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TRASERA DE LA CUBIERTA VA ENCHAPADA CON TAPACANTO PVC 0,4 O LA MISMA LAMINA.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VAN SOBRE MEDIDAS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CORTE 45 SEGUN DIBUJO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47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8" workbookViewId="0">
      <selection activeCell="F29" sqref="F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7252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141</v>
      </c>
      <c r="D10" s="54"/>
      <c r="E10" s="54"/>
      <c r="F10" s="55" t="s">
        <v>28</v>
      </c>
      <c r="G10" s="56">
        <v>45874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9" t="s">
        <v>143</v>
      </c>
      <c r="D11" s="59"/>
      <c r="E11" s="59"/>
      <c r="F11" s="59" t="s">
        <v>124</v>
      </c>
      <c r="G11" s="60">
        <v>45882</v>
      </c>
      <c r="H11" s="61"/>
      <c r="I11" s="1"/>
    </row>
    <row r="12" spans="1:17" ht="16.8" x14ac:dyDescent="0.4">
      <c r="A12" s="1"/>
      <c r="B12" s="62" t="s">
        <v>129</v>
      </c>
      <c r="C12" s="106" t="s">
        <v>142</v>
      </c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C13" t="s">
        <v>135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0" t="s">
        <v>145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7" t="s">
        <v>144</v>
      </c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8" t="s">
        <v>134</v>
      </c>
      <c r="D16" s="68"/>
      <c r="E16" s="69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25">
        <v>1</v>
      </c>
      <c r="C21" s="126" t="s">
        <v>136</v>
      </c>
      <c r="D21" s="127">
        <v>1983</v>
      </c>
      <c r="E21" s="127">
        <v>550</v>
      </c>
      <c r="F21" s="126" t="s">
        <v>139</v>
      </c>
      <c r="G21" s="128">
        <v>62706</v>
      </c>
      <c r="H21" s="129">
        <f>G21*B21</f>
        <v>62706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30">
        <v>1</v>
      </c>
      <c r="C22" s="103" t="s">
        <v>136</v>
      </c>
      <c r="D22" s="105">
        <v>1615</v>
      </c>
      <c r="E22" s="105">
        <v>550</v>
      </c>
      <c r="F22" s="103" t="s">
        <v>139</v>
      </c>
      <c r="G22" s="104">
        <v>51185</v>
      </c>
      <c r="H22" s="131">
        <f t="shared" ref="H22" si="0">G22*B22</f>
        <v>51185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30">
        <v>1</v>
      </c>
      <c r="C23" s="103" t="s">
        <v>137</v>
      </c>
      <c r="D23" s="105">
        <v>3000</v>
      </c>
      <c r="E23" s="105">
        <v>100</v>
      </c>
      <c r="F23" s="103" t="s">
        <v>139</v>
      </c>
      <c r="G23" s="104"/>
      <c r="H23" s="131"/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32">
        <v>2</v>
      </c>
      <c r="C24" s="133" t="s">
        <v>138</v>
      </c>
      <c r="D24" s="134"/>
      <c r="E24" s="134"/>
      <c r="F24" s="133"/>
      <c r="G24" s="135">
        <v>7000</v>
      </c>
      <c r="H24" s="136">
        <f>G24*B24</f>
        <v>14000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6"/>
      <c r="C25" s="96"/>
      <c r="D25" s="111"/>
      <c r="E25" s="111"/>
      <c r="F25" s="74"/>
      <c r="G25" s="74"/>
      <c r="H25" s="98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6"/>
      <c r="C26" s="96"/>
      <c r="D26" s="96"/>
      <c r="E26" s="96"/>
      <c r="F26" s="97"/>
      <c r="G26" s="98"/>
      <c r="H26" s="98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SUM(H21:H27)</f>
        <v>127891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24299.29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v>152000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9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tabSelected="1" topLeftCell="A40" zoomScaleNormal="100" workbookViewId="0">
      <selection activeCell="A70" sqref="A43:F7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7252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ANDY ESTEBAN BECERRA CANIUQUEO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45882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131</v>
      </c>
      <c r="B14" s="25">
        <f>I14</f>
        <v>1</v>
      </c>
      <c r="C14" s="16"/>
      <c r="D14" s="25">
        <v>3100</v>
      </c>
      <c r="E14" s="35">
        <f>K14</f>
        <v>550</v>
      </c>
      <c r="F14" s="101" t="str">
        <f>C31</f>
        <v>CUB SIN RESPALDO R2</v>
      </c>
      <c r="G14" s="1"/>
      <c r="I14" s="3">
        <f>I24</f>
        <v>1</v>
      </c>
      <c r="J14" s="4">
        <f>D31</f>
        <v>1983</v>
      </c>
      <c r="K14" s="4">
        <f>E31</f>
        <v>550</v>
      </c>
    </row>
    <row r="15" spans="1:14" ht="15.6" x14ac:dyDescent="0.3">
      <c r="A15" s="95"/>
      <c r="B15" s="25">
        <f>I15</f>
        <v>1</v>
      </c>
      <c r="C15" s="16"/>
      <c r="D15" s="25">
        <f>J15+80</f>
        <v>1695</v>
      </c>
      <c r="E15" s="35">
        <f>K15+E$13</f>
        <v>550</v>
      </c>
      <c r="F15" s="101" t="str">
        <f>C32</f>
        <v>CUB SIN RESPALDO R2</v>
      </c>
      <c r="G15" s="1"/>
      <c r="I15" s="3">
        <f>I25</f>
        <v>1</v>
      </c>
      <c r="J15" s="4">
        <f>D32</f>
        <v>1615</v>
      </c>
      <c r="K15" s="4">
        <f>E32</f>
        <v>550</v>
      </c>
    </row>
    <row r="16" spans="1:14" x14ac:dyDescent="0.3">
      <c r="A16" s="95"/>
    </row>
    <row r="17" spans="1:11" x14ac:dyDescent="0.3">
      <c r="A17" s="95"/>
    </row>
    <row r="18" spans="1:11" ht="15.6" x14ac:dyDescent="0.3">
      <c r="A18" s="51"/>
      <c r="B18" s="6"/>
      <c r="C18" s="6"/>
      <c r="D18" s="6"/>
      <c r="E18" s="88"/>
      <c r="F18" s="6"/>
      <c r="G18" s="1"/>
      <c r="I18" s="89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0" t="s">
        <v>14</v>
      </c>
      <c r="B20" s="120"/>
      <c r="C20" s="120"/>
      <c r="D20" s="120"/>
      <c r="E20" s="120"/>
      <c r="F20" s="12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1" t="s">
        <v>7</v>
      </c>
      <c r="E22" s="51" t="s">
        <v>8</v>
      </c>
      <c r="F22" s="1"/>
      <c r="G22" s="1"/>
    </row>
    <row r="23" spans="1:11" ht="15.6" x14ac:dyDescent="0.3">
      <c r="A23" s="51" t="s">
        <v>9</v>
      </c>
      <c r="B23" s="36" t="s">
        <v>10</v>
      </c>
      <c r="C23" s="36" t="s">
        <v>11</v>
      </c>
      <c r="D23" s="21">
        <v>40</v>
      </c>
      <c r="E23" s="21">
        <v>60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5"/>
      <c r="B24" s="16">
        <f t="shared" ref="B24" si="0">I24</f>
        <v>1</v>
      </c>
      <c r="C24" s="16"/>
      <c r="D24" s="16">
        <f>J24+D$23</f>
        <v>2023</v>
      </c>
      <c r="E24" s="16">
        <f>K24+E23</f>
        <v>610</v>
      </c>
      <c r="F24" s="102" t="str">
        <f t="shared" ref="F24:F26" si="1">C31</f>
        <v>CUB SIN RESPALDO R2</v>
      </c>
      <c r="G24" s="1"/>
      <c r="I24" s="3">
        <f t="shared" ref="I24:I25" si="2">B31</f>
        <v>1</v>
      </c>
      <c r="J24" s="4">
        <f t="shared" ref="J24:K24" si="3">D31</f>
        <v>1983</v>
      </c>
      <c r="K24" s="4">
        <f t="shared" si="3"/>
        <v>550</v>
      </c>
    </row>
    <row r="25" spans="1:11" ht="15.6" x14ac:dyDescent="0.3">
      <c r="A25" s="95"/>
      <c r="B25" s="16">
        <f t="shared" ref="B25" si="4">I25</f>
        <v>1</v>
      </c>
      <c r="C25" s="16"/>
      <c r="D25" s="16">
        <f>J25+D$23</f>
        <v>1655</v>
      </c>
      <c r="E25" s="16">
        <f>K25+E23</f>
        <v>610</v>
      </c>
      <c r="F25" s="102" t="str">
        <f t="shared" si="1"/>
        <v>CUB SIN RESPALDO R2</v>
      </c>
      <c r="G25" s="1"/>
      <c r="I25" s="3">
        <f t="shared" si="2"/>
        <v>1</v>
      </c>
      <c r="J25" s="4">
        <f>D32</f>
        <v>1615</v>
      </c>
      <c r="K25" s="4">
        <f t="shared" ref="K25" si="5">E32</f>
        <v>550</v>
      </c>
    </row>
    <row r="26" spans="1:11" ht="15.6" x14ac:dyDescent="0.3">
      <c r="A26" s="95"/>
      <c r="B26" s="16">
        <f t="shared" ref="B26" si="6">I26</f>
        <v>1</v>
      </c>
      <c r="C26" s="16"/>
      <c r="D26" s="16">
        <v>3000</v>
      </c>
      <c r="E26" s="16">
        <v>100</v>
      </c>
      <c r="F26" s="102" t="str">
        <f t="shared" si="1"/>
        <v>ZOCALOS</v>
      </c>
      <c r="G26" s="1"/>
      <c r="I26" s="3">
        <f t="shared" ref="I26" si="7">B33</f>
        <v>1</v>
      </c>
      <c r="J26" s="4">
        <f>D33</f>
        <v>3000</v>
      </c>
      <c r="K26" s="4">
        <f t="shared" ref="K26" si="8">E33</f>
        <v>100</v>
      </c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7" t="s">
        <v>10</v>
      </c>
      <c r="C30" s="87" t="s">
        <v>110</v>
      </c>
      <c r="D30" s="87" t="s">
        <v>7</v>
      </c>
      <c r="E30" s="87" t="s">
        <v>8</v>
      </c>
      <c r="F30" s="87" t="s">
        <v>23</v>
      </c>
      <c r="G30" s="1"/>
    </row>
    <row r="31" spans="1:11" ht="15.6" x14ac:dyDescent="0.3">
      <c r="A31" s="95" t="s">
        <v>131</v>
      </c>
      <c r="B31" s="25">
        <f>'4637'!B21</f>
        <v>1</v>
      </c>
      <c r="C31" s="101" t="str">
        <f>'4637'!C21</f>
        <v>CUB SIN RESPALDO R2</v>
      </c>
      <c r="D31" s="25">
        <f>'4637'!D21</f>
        <v>1983</v>
      </c>
      <c r="E31" s="25">
        <f>'4637'!E21</f>
        <v>550</v>
      </c>
      <c r="F31" s="25" t="str">
        <f t="shared" ref="F31:F34" si="9">F57</f>
        <v>NEGRO MT</v>
      </c>
      <c r="G31" s="1"/>
    </row>
    <row r="32" spans="1:11" ht="15.6" x14ac:dyDescent="0.3">
      <c r="A32" s="95"/>
      <c r="B32" s="25">
        <f>'4637'!B22</f>
        <v>1</v>
      </c>
      <c r="C32" s="101" t="str">
        <f>'4637'!C22</f>
        <v>CUB SIN RESPALDO R2</v>
      </c>
      <c r="D32" s="25">
        <f>'4637'!D22</f>
        <v>1615</v>
      </c>
      <c r="E32" s="25">
        <f>'4637'!E22</f>
        <v>550</v>
      </c>
      <c r="F32" s="25" t="str">
        <f t="shared" si="9"/>
        <v>NEGRO MT</v>
      </c>
      <c r="G32" s="1"/>
    </row>
    <row r="33" spans="1:7" ht="15.6" x14ac:dyDescent="0.3">
      <c r="A33" s="95"/>
      <c r="B33" s="25">
        <f>'4637'!B23</f>
        <v>1</v>
      </c>
      <c r="C33" s="101" t="str">
        <f>'4637'!C23</f>
        <v>ZOCALOS</v>
      </c>
      <c r="D33" s="25">
        <f>'4637'!D23</f>
        <v>3000</v>
      </c>
      <c r="E33" s="25">
        <f>'4637'!E23</f>
        <v>100</v>
      </c>
      <c r="F33" s="25" t="str">
        <f t="shared" si="9"/>
        <v>NEGRO MT</v>
      </c>
      <c r="G33" s="1"/>
    </row>
    <row r="34" spans="1:7" ht="15.6" x14ac:dyDescent="0.3">
      <c r="A34" s="95"/>
      <c r="B34" s="25">
        <f>'4637'!B24</f>
        <v>2</v>
      </c>
      <c r="C34" s="101" t="str">
        <f>'4637'!C24</f>
        <v>CORTE 45°</v>
      </c>
      <c r="D34" s="25">
        <f>'4637'!D24</f>
        <v>0</v>
      </c>
      <c r="E34" s="25">
        <f>'4637'!E24</f>
        <v>0</v>
      </c>
      <c r="F34" s="25">
        <f t="shared" si="9"/>
        <v>0</v>
      </c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 t="s">
        <v>146</v>
      </c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6.2" thickBot="1" x14ac:dyDescent="0.35">
      <c r="A43" s="1"/>
      <c r="B43" s="1"/>
      <c r="G43" s="1"/>
    </row>
    <row r="44" spans="1:7" ht="15.6" x14ac:dyDescent="0.3">
      <c r="A44" s="1"/>
      <c r="B44" s="1"/>
      <c r="C44" s="137" t="s">
        <v>27</v>
      </c>
      <c r="D44" s="138">
        <f>'4637'!G8</f>
        <v>7252</v>
      </c>
      <c r="E44" s="139"/>
      <c r="F44" s="140"/>
      <c r="G44" s="1"/>
    </row>
    <row r="45" spans="1:7" ht="15.6" x14ac:dyDescent="0.3">
      <c r="A45" s="1"/>
      <c r="B45" s="1"/>
      <c r="C45" s="141" t="s">
        <v>67</v>
      </c>
      <c r="D45" s="142" t="str">
        <f>'4637'!C10</f>
        <v>ANDY ESTEBAN BECERRA CANIUQUEO</v>
      </c>
      <c r="E45" s="143"/>
      <c r="F45" s="64"/>
      <c r="G45" s="1"/>
    </row>
    <row r="46" spans="1:7" ht="16.2" thickBot="1" x14ac:dyDescent="0.35">
      <c r="A46" s="1"/>
      <c r="B46" s="1"/>
      <c r="C46" s="144" t="str">
        <f>'4637'!F11</f>
        <v>FECHA LIMITE :</v>
      </c>
      <c r="D46" s="145">
        <f>'4637'!G11</f>
        <v>45882</v>
      </c>
      <c r="E46" s="146"/>
      <c r="F46" s="147"/>
      <c r="G46" s="1"/>
    </row>
    <row r="47" spans="1:7" ht="15.6" x14ac:dyDescent="0.3">
      <c r="A47" s="1"/>
      <c r="B47" s="1"/>
      <c r="G47" s="1"/>
    </row>
    <row r="48" spans="1:7" ht="17.25" customHeight="1" x14ac:dyDescent="0.3">
      <c r="A48" s="1"/>
      <c r="B48" s="1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20" t="s">
        <v>68</v>
      </c>
      <c r="B53" s="120"/>
      <c r="C53" s="120"/>
      <c r="D53" s="120"/>
      <c r="E53" s="120"/>
      <c r="F53" s="120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21" t="s">
        <v>69</v>
      </c>
      <c r="C55" s="122"/>
      <c r="D55" s="123"/>
      <c r="E55" s="123"/>
      <c r="F55" s="124"/>
      <c r="G55" s="1"/>
    </row>
    <row r="56" spans="1:7" s="15" customFormat="1" ht="12.75" customHeight="1" x14ac:dyDescent="0.3">
      <c r="A56" s="1"/>
      <c r="B56" s="36" t="s">
        <v>10</v>
      </c>
      <c r="C56" s="46" t="s">
        <v>11</v>
      </c>
      <c r="D56" s="47" t="s">
        <v>7</v>
      </c>
      <c r="E56" s="47" t="s">
        <v>8</v>
      </c>
      <c r="F56" s="48" t="s">
        <v>12</v>
      </c>
      <c r="G56" s="1"/>
    </row>
    <row r="57" spans="1:7" s="15" customFormat="1" ht="15" customHeight="1" x14ac:dyDescent="0.3">
      <c r="A57" s="95" t="s">
        <v>131</v>
      </c>
      <c r="B57" s="38">
        <f>'4637'!B21</f>
        <v>1</v>
      </c>
      <c r="C57" s="100" t="str">
        <f>'4637'!C21</f>
        <v>CUB SIN RESPALDO R2</v>
      </c>
      <c r="D57" s="39">
        <f>'4637'!D21</f>
        <v>1983</v>
      </c>
      <c r="E57" s="39">
        <f>'4637'!E21</f>
        <v>550</v>
      </c>
      <c r="F57" s="103" t="str">
        <f>'4637'!F21</f>
        <v>NEGRO MT</v>
      </c>
      <c r="G57" s="1"/>
    </row>
    <row r="58" spans="1:7" s="15" customFormat="1" ht="15" customHeight="1" x14ac:dyDescent="0.3">
      <c r="A58" s="95"/>
      <c r="B58" s="38">
        <f>'4637'!B22</f>
        <v>1</v>
      </c>
      <c r="C58" s="100" t="str">
        <f>'4637'!C22</f>
        <v>CUB SIN RESPALDO R2</v>
      </c>
      <c r="D58" s="39">
        <f>'4637'!D22</f>
        <v>1615</v>
      </c>
      <c r="E58" s="39">
        <f>'4637'!E22</f>
        <v>550</v>
      </c>
      <c r="F58" s="103" t="str">
        <f>'4637'!F22</f>
        <v>NEGRO MT</v>
      </c>
      <c r="G58" s="1"/>
    </row>
    <row r="59" spans="1:7" s="15" customFormat="1" ht="15" customHeight="1" x14ac:dyDescent="0.3">
      <c r="A59" s="95"/>
      <c r="B59" s="38">
        <f>'4637'!B23</f>
        <v>1</v>
      </c>
      <c r="C59" s="100" t="str">
        <f>'4637'!C23</f>
        <v>ZOCALOS</v>
      </c>
      <c r="D59" s="39">
        <f>'4637'!D23</f>
        <v>3000</v>
      </c>
      <c r="E59" s="39">
        <f>'4637'!E23</f>
        <v>100</v>
      </c>
      <c r="F59" s="103" t="str">
        <f>'4637'!F23</f>
        <v>NEGRO MT</v>
      </c>
      <c r="G59" s="1"/>
    </row>
    <row r="60" spans="1:7" s="15" customFormat="1" ht="15" customHeight="1" x14ac:dyDescent="0.3">
      <c r="A60" s="95"/>
      <c r="B60" s="38">
        <f>'4637'!B24</f>
        <v>2</v>
      </c>
      <c r="C60" s="100" t="str">
        <f>'4637'!C24</f>
        <v>CORTE 45°</v>
      </c>
      <c r="D60" s="39">
        <f>'4637'!D24</f>
        <v>0</v>
      </c>
      <c r="E60" s="39">
        <f>'4637'!E24</f>
        <v>0</v>
      </c>
      <c r="F60" s="103">
        <f>'4637'!F24</f>
        <v>0</v>
      </c>
      <c r="G60" s="1"/>
    </row>
    <row r="61" spans="1:7" s="15" customFormat="1" ht="15" customHeight="1" x14ac:dyDescent="0.3">
      <c r="A61" s="49"/>
      <c r="B61" s="51"/>
      <c r="C61" s="51"/>
      <c r="D61" s="51"/>
      <c r="E61" s="51"/>
      <c r="F61" s="51"/>
      <c r="G61" s="1"/>
    </row>
    <row r="62" spans="1:7" ht="15.6" x14ac:dyDescent="0.3">
      <c r="A62" s="6"/>
      <c r="B62" s="6"/>
      <c r="C62" s="1"/>
      <c r="D62" s="6"/>
      <c r="E62" s="6"/>
      <c r="F62" s="44"/>
      <c r="G62" s="1"/>
    </row>
    <row r="63" spans="1:7" ht="15.6" x14ac:dyDescent="0.3">
      <c r="A63" s="6"/>
      <c r="B63" s="6"/>
      <c r="C63" s="1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6"/>
      <c r="B69" s="50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x14ac:dyDescent="0.3">
      <c r="B71" s="20"/>
      <c r="C71" s="20"/>
      <c r="D71" s="20"/>
      <c r="E71" s="20"/>
      <c r="F71" s="20"/>
    </row>
    <row r="72" spans="1:7" x14ac:dyDescent="0.3">
      <c r="B72" s="20"/>
      <c r="C72" s="20"/>
      <c r="E72" s="20"/>
      <c r="F72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2025-08-06T16:26:22Z</cp:lastPrinted>
  <dcterms:created xsi:type="dcterms:W3CDTF">2013-03-19T12:54:14Z</dcterms:created>
  <dcterms:modified xsi:type="dcterms:W3CDTF">2025-08-06T16:36:51Z</dcterms:modified>
</cp:coreProperties>
</file>