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8 AGOSTO 2025\"/>
    </mc:Choice>
  </mc:AlternateContent>
  <xr:revisionPtr revIDLastSave="0" documentId="13_ncr:1_{D7B7C3DF-E656-49A1-B50F-9C3D4A3B7A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'4637'!$A$1:$H$31</definedName>
    <definedName name="_xlnm.Print_Area" localSheetId="2">CUBIERTA!$A$36:$F$64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3" l="1"/>
  <c r="D14" i="3"/>
  <c r="E15" i="3"/>
  <c r="D23" i="3"/>
  <c r="D22" i="3"/>
  <c r="B51" i="3"/>
  <c r="B29" i="3" s="1"/>
  <c r="I23" i="3" s="1"/>
  <c r="B23" i="3" s="1"/>
  <c r="C51" i="3"/>
  <c r="C29" i="3" s="1"/>
  <c r="D51" i="3"/>
  <c r="D29" i="3" s="1"/>
  <c r="J23" i="3" s="1"/>
  <c r="E51" i="3"/>
  <c r="E29" i="3" s="1"/>
  <c r="K23" i="3" s="1"/>
  <c r="E23" i="3" s="1"/>
  <c r="F51" i="3"/>
  <c r="F29" i="3" s="1"/>
  <c r="F23" i="3" s="1"/>
  <c r="H22" i="4"/>
  <c r="H21" i="4"/>
  <c r="K15" i="3" l="1"/>
  <c r="J15" i="3"/>
  <c r="F15" i="3"/>
  <c r="I15" i="3"/>
  <c r="B15" i="3" s="1"/>
  <c r="H25" i="4"/>
  <c r="E50" i="3"/>
  <c r="D50" i="3"/>
  <c r="H26" i="4" l="1"/>
  <c r="H27" i="4" s="1"/>
  <c r="F50" i="3"/>
  <c r="F28" i="3" s="1"/>
  <c r="E28" i="3"/>
  <c r="D28" i="3"/>
  <c r="C50" i="3"/>
  <c r="C28" i="3" s="1"/>
  <c r="B50" i="3"/>
  <c r="B28" i="3" s="1"/>
  <c r="I22" i="3" l="1"/>
  <c r="J22" i="3"/>
  <c r="K22" i="3"/>
  <c r="E22" i="3" s="1"/>
  <c r="F22" i="3"/>
  <c r="D5" i="3"/>
  <c r="K14" i="3" l="1"/>
  <c r="E14" i="3" s="1"/>
  <c r="I14" i="3"/>
  <c r="F14" i="3"/>
  <c r="J14" i="3"/>
  <c r="B22" i="3" l="1"/>
  <c r="B14" i="3"/>
  <c r="N5" i="3" l="1"/>
  <c r="M5" i="3" l="1"/>
  <c r="L5" i="3"/>
  <c r="K5" i="3"/>
  <c r="C41" i="3" l="1"/>
  <c r="C7" i="3"/>
  <c r="D40" i="3"/>
  <c r="D41" i="3"/>
  <c r="D7" i="3"/>
  <c r="D39" i="3"/>
  <c r="D4" i="3"/>
</calcChain>
</file>

<file path=xl/sharedStrings.xml><?xml version="1.0" encoding="utf-8"?>
<sst xmlns="http://schemas.openxmlformats.org/spreadsheetml/2006/main" count="249" uniqueCount="144">
  <si>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</si>
  <si>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</si>
  <si>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</si>
  <si>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</si>
  <si>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</si>
  <si>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</si>
  <si>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</si>
  <si>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</si>
  <si>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</si>
  <si>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</si>
  <si>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</si>
  <si>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</si>
  <si>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</si>
  <si>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</si>
  <si>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</si>
  <si>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</si>
  <si>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</si>
  <si>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</si>
  <si>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</si>
  <si>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</si>
  <si>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</si>
  <si>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</si>
  <si>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</si>
  <si>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</si>
  <si>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</si>
  <si>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</si>
  <si>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</si>
  <si>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</si>
  <si>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</si>
  <si>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</si>
  <si>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</si>
  <si>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</si>
  <si>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</si>
  <si>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</si>
  <si>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</si>
  <si>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</si>
  <si>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</si>
  <si>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</si>
  <si>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</si>
  <si>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</si>
  <si>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</si>
  <si>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</si>
  <si>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</si>
  <si>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</si>
  <si>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</si>
  <si>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</si>
  <si>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</si>
  <si>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</si>
  <si>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</si>
  <si>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</si>
  <si>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</si>
  <si>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</si>
  <si>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</si>
  <si>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</si>
  <si>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</si>
  <si>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</si>
  <si>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</si>
  <si>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</si>
  <si>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</si>
  <si>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</si>
  <si>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</si>
  <si>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</si>
  <si>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</si>
  <si>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</si>
  <si>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</si>
  <si>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</si>
  <si>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</si>
  <si>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</si>
  <si>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</si>
  <si>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</si>
  <si>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</si>
  <si>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</si>
  <si>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</si>
  <si>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</si>
  <si>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</si>
  <si>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</si>
  <si>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</si>
  <si>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</si>
  <si>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</si>
  <si>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</si>
  <si>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</si>
  <si>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</si>
  <si>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</si>
  <si>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</si>
  <si>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</si>
  <si>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</si>
  <si>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</si>
  <si>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</si>
  <si>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</si>
  <si>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</si>
  <si>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</si>
  <si>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</si>
  <si>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</si>
  <si>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</si>
  <si>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</si>
  <si>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</si>
  <si>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</si>
  <si>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</si>
  <si>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</si>
  <si>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</si>
  <si>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</si>
  <si>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</si>
  <si>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</si>
  <si>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</si>
  <si>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</si>
  <si>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</si>
  <si>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</si>
  <si>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</si>
  <si>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</si>
  <si>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</si>
  <si>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</si>
  <si>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</si>
  <si>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</si>
  <si>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</si>
  <si>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</si>
  <si>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</si>
  <si>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</si>
  <si>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</si>
  <si>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</si>
  <si>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</si>
  <si>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</si>
  <si>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</si>
  <si>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</si>
  <si>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</si>
  <si>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</si>
  <si>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</si>
  <si>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</si>
  <si>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</si>
  <si>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</si>
  <si>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</si>
  <si>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CONTACTO:</t>
  </si>
  <si>
    <t>MDF18MM</t>
  </si>
  <si>
    <t>NO</t>
  </si>
  <si>
    <t>CONTADO</t>
  </si>
  <si>
    <t>SANTIAGO</t>
  </si>
  <si>
    <t>N° 11583</t>
  </si>
  <si>
    <t>OMAR VERGARA</t>
  </si>
  <si>
    <t>+56 9 6841 2708</t>
  </si>
  <si>
    <t>MARINA DI CARRARA 3151 PL</t>
  </si>
  <si>
    <t>CUB C/R FTE. 180°</t>
  </si>
  <si>
    <t>MUEBLE DISEÑO SPA</t>
  </si>
  <si>
    <t>78.101.234-3</t>
  </si>
  <si>
    <t>VENTA DE MUEBLES</t>
  </si>
  <si>
    <t>ANTONIO BELLET 193 PROVIDENCIA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</si>
</sst>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Segoe UI"/>
      <family val="2"/>
    </font>
    <font>
      <b/>
      <sz val="11"/>
      <name val="Calibri"/>
      <family val="2"/>
      <scheme val="minor"/>
    </font>
    <font>
      <i/>
      <sz val="11"/>
      <color rgb="FF1F497D"/>
      <name val="Arial"/>
      <family val="2"/>
    </font>
    <font>
      <sz val="9"/>
      <color rgb="FF000000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37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0" fontId="18" fillId="0" borderId="0" xfId="0" applyFont="1"/>
    <xf numFmtId="0" fontId="18" fillId="3" borderId="0" xfId="0" applyFont="1" applyFill="1"/>
    <xf numFmtId="0" fontId="19" fillId="0" borderId="9" xfId="2" applyFont="1" applyFill="1" applyBorder="1" applyAlignment="1">
      <alignment horizontal="left"/>
    </xf>
    <xf numFmtId="0" fontId="11" fillId="0" borderId="3" xfId="0" applyFont="1" applyBorder="1" applyAlignment="1">
      <alignment horizontal="left" indent="1"/>
    </xf>
    <xf numFmtId="0" fontId="1" fillId="0" borderId="4" xfId="0" applyFont="1" applyBorder="1" applyAlignment="1">
      <alignment horizontal="left"/>
    </xf>
    <xf numFmtId="0" fontId="3" fillId="0" borderId="4" xfId="0" applyFont="1" applyBorder="1"/>
    <xf numFmtId="0" fontId="3" fillId="0" borderId="5" xfId="0" applyFont="1" applyBorder="1"/>
    <xf numFmtId="0" fontId="11" fillId="3" borderId="6" xfId="0" applyFont="1" applyFill="1" applyBorder="1" applyAlignment="1">
      <alignment horizontal="left" indent="1"/>
    </xf>
    <xf numFmtId="14" fontId="11" fillId="0" borderId="8" xfId="0" applyNumberFormat="1" applyFont="1" applyBorder="1" applyAlignment="1">
      <alignment horizontal="left" indent="1"/>
    </xf>
    <xf numFmtId="14" fontId="1" fillId="0" borderId="9" xfId="0" applyNumberFormat="1" applyFont="1" applyBorder="1" applyAlignment="1">
      <alignment horizontal="left" wrapText="1" shrinkToFit="1"/>
    </xf>
    <xf numFmtId="0" fontId="3" fillId="0" borderId="9" xfId="0" applyFont="1" applyBorder="1"/>
    <xf numFmtId="0" fontId="3" fillId="0" borderId="10" xfId="0" applyFont="1" applyBorder="1"/>
    <xf numFmtId="0" fontId="0" fillId="3" borderId="4" xfId="0" applyFill="1" applyBorder="1"/>
    <xf numFmtId="0" fontId="21" fillId="3" borderId="0" xfId="0" applyFont="1" applyFill="1"/>
    <xf numFmtId="0" fontId="15" fillId="0" borderId="23" xfId="0" applyFont="1" applyBorder="1" applyAlignment="1">
      <alignment horizontal="center" vertical="center"/>
    </xf>
    <xf numFmtId="166" fontId="3" fillId="0" borderId="25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66" fontId="3" fillId="0" borderId="0" xfId="0" applyNumberFormat="1" applyFont="1"/>
    <xf numFmtId="0" fontId="20" fillId="0" borderId="0" xfId="0" quotePrefix="1" applyFont="1"/>
    <xf numFmtId="0" fontId="15" fillId="0" borderId="32" xfId="0" applyFont="1" applyBorder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1" fontId="15" fillId="0" borderId="32" xfId="0" applyNumberFormat="1" applyFont="1" applyBorder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24</xdr:row>
      <xdr:rowOff>9525</xdr:rowOff>
    </xdr:from>
    <xdr:to>
      <xdr:col>5</xdr:col>
      <xdr:colOff>1390650</xdr:colOff>
      <xdr:row>27</xdr:row>
      <xdr:rowOff>15240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9550" y="5541645"/>
          <a:ext cx="59055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ABONO</a:t>
          </a:r>
          <a:r>
            <a:rPr lang="es-CL" sz="900" b="1" i="1" baseline="0"/>
            <a:t> $ 100.000.-</a:t>
          </a:r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5</xdr:row>
      <xdr:rowOff>47625</xdr:rowOff>
    </xdr:from>
    <xdr:to>
      <xdr:col>5</xdr:col>
      <xdr:colOff>2392680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882140" y="1076325"/>
          <a:ext cx="6781800" cy="19621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6</xdr:col>
      <xdr:colOff>15240</xdr:colOff>
      <xdr:row>18</xdr:row>
      <xdr:rowOff>22860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3497580"/>
          <a:ext cx="8534400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2392680</xdr:colOff>
      <xdr:row>10</xdr:row>
      <xdr:rowOff>7620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1649730"/>
          <a:ext cx="8492490" cy="22479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44</xdr:row>
      <xdr:rowOff>171450</xdr:rowOff>
    </xdr:from>
    <xdr:to>
      <xdr:col>5</xdr:col>
      <xdr:colOff>2392680</xdr:colOff>
      <xdr:row>46</xdr:row>
      <xdr:rowOff>15240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582150"/>
          <a:ext cx="8502015" cy="24003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52</xdr:row>
      <xdr:rowOff>0</xdr:rowOff>
    </xdr:from>
    <xdr:to>
      <xdr:col>2</xdr:col>
      <xdr:colOff>38100</xdr:colOff>
      <xdr:row>53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52</xdr:row>
      <xdr:rowOff>0</xdr:rowOff>
    </xdr:from>
    <xdr:to>
      <xdr:col>2</xdr:col>
      <xdr:colOff>1019175</xdr:colOff>
      <xdr:row>52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52</xdr:row>
      <xdr:rowOff>0</xdr:rowOff>
    </xdr:from>
    <xdr:to>
      <xdr:col>3</xdr:col>
      <xdr:colOff>352425</xdr:colOff>
      <xdr:row>53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52</xdr:row>
      <xdr:rowOff>0</xdr:rowOff>
    </xdr:from>
    <xdr:to>
      <xdr:col>4</xdr:col>
      <xdr:colOff>257175</xdr:colOff>
      <xdr:row>53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52</xdr:row>
      <xdr:rowOff>0</xdr:rowOff>
    </xdr:from>
    <xdr:to>
      <xdr:col>5</xdr:col>
      <xdr:colOff>447675</xdr:colOff>
      <xdr:row>52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52</xdr:row>
      <xdr:rowOff>0</xdr:rowOff>
    </xdr:from>
    <xdr:to>
      <xdr:col>6</xdr:col>
      <xdr:colOff>0</xdr:colOff>
      <xdr:row>52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52</xdr:row>
      <xdr:rowOff>190500</xdr:rowOff>
    </xdr:from>
    <xdr:to>
      <xdr:col>2</xdr:col>
      <xdr:colOff>304800</xdr:colOff>
      <xdr:row>54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52</xdr:row>
      <xdr:rowOff>190500</xdr:rowOff>
    </xdr:from>
    <xdr:to>
      <xdr:col>2</xdr:col>
      <xdr:colOff>1276350</xdr:colOff>
      <xdr:row>54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52</xdr:row>
      <xdr:rowOff>190500</xdr:rowOff>
    </xdr:from>
    <xdr:to>
      <xdr:col>3</xdr:col>
      <xdr:colOff>619125</xdr:colOff>
      <xdr:row>54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52</xdr:row>
      <xdr:rowOff>190500</xdr:rowOff>
    </xdr:from>
    <xdr:to>
      <xdr:col>4</xdr:col>
      <xdr:colOff>523875</xdr:colOff>
      <xdr:row>54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52</xdr:row>
      <xdr:rowOff>190500</xdr:rowOff>
    </xdr:from>
    <xdr:to>
      <xdr:col>5</xdr:col>
      <xdr:colOff>723900</xdr:colOff>
      <xdr:row>54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52</xdr:row>
      <xdr:rowOff>190500</xdr:rowOff>
    </xdr:from>
    <xdr:to>
      <xdr:col>6</xdr:col>
      <xdr:colOff>0</xdr:colOff>
      <xdr:row>54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30</xdr:row>
      <xdr:rowOff>15239</xdr:rowOff>
    </xdr:from>
    <xdr:to>
      <xdr:col>5</xdr:col>
      <xdr:colOff>2392680</xdr:colOff>
      <xdr:row>34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979919"/>
          <a:ext cx="827151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 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23</xdr:row>
      <xdr:rowOff>200025</xdr:rowOff>
    </xdr:from>
    <xdr:to>
      <xdr:col>6</xdr:col>
      <xdr:colOff>19049</xdr:colOff>
      <xdr:row>25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55</xdr:row>
      <xdr:rowOff>32385</xdr:rowOff>
    </xdr:from>
    <xdr:to>
      <xdr:col>5</xdr:col>
      <xdr:colOff>2392680</xdr:colOff>
      <xdr:row>59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973455" y="12140565"/>
          <a:ext cx="7690485" cy="9048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37</xdr:row>
      <xdr:rowOff>41910</xdr:rowOff>
    </xdr:from>
    <xdr:to>
      <xdr:col>1</xdr:col>
      <xdr:colOff>801763</xdr:colOff>
      <xdr:row>42</xdr:row>
      <xdr:rowOff>190500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tabSelected="1" topLeftCell="A5" workbookViewId="0">
      <selection activeCell="C16" sqref="C16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41" customWidth="1"/>
    <col min="4" max="5" width="9.109375" customWidth="1"/>
    <col min="6" max="6" width="33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7" t="s">
        <v>16</v>
      </c>
      <c r="C8" s="88"/>
      <c r="D8" s="89" t="s">
        <v>135</v>
      </c>
      <c r="E8" s="1"/>
      <c r="F8" s="90" t="s">
        <v>27</v>
      </c>
      <c r="G8" s="91">
        <v>7264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3" t="s">
        <v>128</v>
      </c>
      <c r="C10" s="113" t="s">
        <v>140</v>
      </c>
      <c r="D10" s="54"/>
      <c r="E10" s="54"/>
      <c r="F10" s="55" t="s">
        <v>28</v>
      </c>
      <c r="G10" s="56">
        <v>45883</v>
      </c>
      <c r="H10" s="57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8" t="s">
        <v>2</v>
      </c>
      <c r="C11" s="101" t="s">
        <v>141</v>
      </c>
      <c r="D11" s="59"/>
      <c r="E11" s="59"/>
      <c r="F11" s="59" t="s">
        <v>124</v>
      </c>
      <c r="G11" s="60">
        <v>45890</v>
      </c>
      <c r="H11" s="61"/>
      <c r="I11" s="1"/>
    </row>
    <row r="12" spans="1:17" ht="15.6" x14ac:dyDescent="0.3">
      <c r="A12" s="1"/>
      <c r="B12" s="62" t="s">
        <v>129</v>
      </c>
      <c r="C12" s="114" t="s">
        <v>142</v>
      </c>
      <c r="D12" s="43"/>
      <c r="E12" s="43"/>
      <c r="F12" s="43" t="s">
        <v>30</v>
      </c>
      <c r="G12" s="63"/>
      <c r="H12" s="64"/>
      <c r="I12" s="1"/>
    </row>
    <row r="13" spans="1:17" ht="15.6" x14ac:dyDescent="0.3">
      <c r="A13" s="1"/>
      <c r="B13" s="62" t="s">
        <v>130</v>
      </c>
      <c r="C13" t="s">
        <v>136</v>
      </c>
      <c r="D13" s="43"/>
      <c r="E13" s="43"/>
      <c r="F13" s="43" t="s">
        <v>127</v>
      </c>
      <c r="G13" s="63"/>
      <c r="H13" s="64"/>
      <c r="I13" s="1"/>
    </row>
    <row r="14" spans="1:17" ht="15.6" x14ac:dyDescent="0.3">
      <c r="A14" s="1"/>
      <c r="B14" s="58" t="s">
        <v>17</v>
      </c>
      <c r="C14" s="120" t="s">
        <v>137</v>
      </c>
      <c r="D14" s="65"/>
      <c r="E14" s="59"/>
      <c r="F14" s="59" t="s">
        <v>29</v>
      </c>
      <c r="G14" s="59" t="s">
        <v>132</v>
      </c>
      <c r="H14" s="61"/>
      <c r="I14" s="1"/>
    </row>
    <row r="15" spans="1:17" ht="16.8" x14ac:dyDescent="0.4">
      <c r="A15" s="1"/>
      <c r="B15" s="62" t="s">
        <v>1</v>
      </c>
      <c r="C15" s="102" t="s">
        <v>143</v>
      </c>
      <c r="D15" s="43"/>
      <c r="E15" s="43"/>
      <c r="F15" s="66" t="s">
        <v>75</v>
      </c>
      <c r="G15" s="66" t="s">
        <v>133</v>
      </c>
      <c r="H15" s="64"/>
      <c r="I15" s="1"/>
    </row>
    <row r="16" spans="1:17" ht="16.2" thickBot="1" x14ac:dyDescent="0.35">
      <c r="A16" s="1"/>
      <c r="B16" s="67" t="s">
        <v>3</v>
      </c>
      <c r="C16" s="103" t="s">
        <v>134</v>
      </c>
      <c r="D16" s="68"/>
      <c r="E16" s="69"/>
      <c r="F16" s="124" t="s">
        <v>18</v>
      </c>
      <c r="G16" s="124"/>
      <c r="H16" s="125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26" t="s">
        <v>19</v>
      </c>
      <c r="C19" s="127"/>
      <c r="D19" s="127"/>
      <c r="E19" s="127"/>
      <c r="F19" s="127"/>
      <c r="G19" s="127"/>
      <c r="H19" s="128"/>
      <c r="I19" s="1"/>
    </row>
    <row r="20" spans="1:16" ht="16.2" thickBot="1" x14ac:dyDescent="0.35">
      <c r="A20" s="1"/>
      <c r="B20" s="70" t="s">
        <v>20</v>
      </c>
      <c r="C20" s="71" t="s">
        <v>21</v>
      </c>
      <c r="D20" s="71" t="s">
        <v>22</v>
      </c>
      <c r="E20" s="71" t="s">
        <v>8</v>
      </c>
      <c r="F20" s="72" t="s">
        <v>23</v>
      </c>
      <c r="G20" s="70" t="s">
        <v>24</v>
      </c>
      <c r="H20" s="72" t="s">
        <v>4</v>
      </c>
      <c r="I20" s="1"/>
    </row>
    <row r="21" spans="1:16" ht="16.2" thickBot="1" x14ac:dyDescent="0.35">
      <c r="A21" s="1"/>
      <c r="B21" s="115">
        <v>1</v>
      </c>
      <c r="C21" s="121" t="s">
        <v>139</v>
      </c>
      <c r="D21" s="123">
        <v>1220</v>
      </c>
      <c r="E21" s="123">
        <v>500</v>
      </c>
      <c r="F21" s="121" t="s">
        <v>138</v>
      </c>
      <c r="G21" s="122">
        <v>57376</v>
      </c>
      <c r="H21" s="116">
        <f>B21*G21</f>
        <v>57376</v>
      </c>
      <c r="I21" s="119"/>
      <c r="J21" s="33"/>
    </row>
    <row r="22" spans="1:16" ht="15.6" x14ac:dyDescent="0.3">
      <c r="A22" s="1"/>
      <c r="B22" s="100">
        <v>1</v>
      </c>
      <c r="C22" s="100" t="s">
        <v>37</v>
      </c>
      <c r="D22" s="117">
        <v>2200</v>
      </c>
      <c r="E22" s="117">
        <v>800</v>
      </c>
      <c r="F22" s="121" t="s">
        <v>138</v>
      </c>
      <c r="G22" s="118">
        <v>161005</v>
      </c>
      <c r="H22" s="118">
        <f>B22*G22</f>
        <v>161005</v>
      </c>
      <c r="I22" s="119"/>
      <c r="J22" s="33"/>
    </row>
    <row r="23" spans="1:16" ht="18" customHeight="1" x14ac:dyDescent="0.3">
      <c r="A23" s="1"/>
      <c r="B23" s="93"/>
      <c r="C23" s="93"/>
      <c r="D23" s="93"/>
      <c r="E23" s="93"/>
      <c r="F23" s="94"/>
      <c r="G23" s="95"/>
      <c r="H23" s="95"/>
      <c r="I23" s="1"/>
      <c r="K23" s="17"/>
      <c r="L23" s="26"/>
      <c r="M23" s="17"/>
      <c r="N23" s="17"/>
      <c r="O23" s="26"/>
      <c r="P23" s="33"/>
    </row>
    <row r="24" spans="1:16" ht="8.25" customHeight="1" thickBot="1" x14ac:dyDescent="0.35">
      <c r="A24" s="1"/>
      <c r="B24" s="73"/>
      <c r="C24" s="73"/>
      <c r="D24" s="73"/>
      <c r="E24" s="73"/>
      <c r="F24" s="73"/>
      <c r="G24" s="74"/>
      <c r="H24" s="74"/>
      <c r="I24" s="1"/>
    </row>
    <row r="25" spans="1:16" ht="15.6" x14ac:dyDescent="0.3">
      <c r="A25" s="1"/>
      <c r="B25" s="1"/>
      <c r="C25" s="1"/>
      <c r="D25" s="1"/>
      <c r="E25" s="1"/>
      <c r="F25" s="1"/>
      <c r="G25" s="75" t="s">
        <v>5</v>
      </c>
      <c r="H25" s="76">
        <f>SUM(H21:H22)</f>
        <v>218381</v>
      </c>
      <c r="I25" s="1"/>
      <c r="J25" s="33"/>
    </row>
    <row r="26" spans="1:16" ht="15.6" x14ac:dyDescent="0.3">
      <c r="A26" s="1"/>
      <c r="B26" s="1"/>
      <c r="C26" s="1"/>
      <c r="D26" s="1"/>
      <c r="E26" s="1"/>
      <c r="F26" s="1"/>
      <c r="G26" s="77" t="s">
        <v>6</v>
      </c>
      <c r="H26" s="78">
        <f>H25*0.19</f>
        <v>41492.39</v>
      </c>
      <c r="I26" s="1"/>
    </row>
    <row r="27" spans="1:16" ht="16.2" thickBot="1" x14ac:dyDescent="0.35">
      <c r="A27" s="1"/>
      <c r="B27" s="1"/>
      <c r="C27" s="1"/>
      <c r="D27" s="1"/>
      <c r="E27" s="1"/>
      <c r="F27" s="1"/>
      <c r="G27" s="79" t="s">
        <v>4</v>
      </c>
      <c r="H27" s="80">
        <f>H25+H26</f>
        <v>259873.39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51"/>
      <c r="H28" s="96"/>
      <c r="I28" s="1"/>
    </row>
    <row r="29" spans="1:16" ht="15.6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6" ht="15.6" x14ac:dyDescent="0.3">
      <c r="A30" s="1"/>
      <c r="B30" s="81" t="s">
        <v>123</v>
      </c>
      <c r="C30" s="82"/>
      <c r="D30" s="83"/>
      <c r="E30" s="83"/>
      <c r="F30" s="73"/>
      <c r="G30" s="1"/>
      <c r="H30" s="1"/>
      <c r="I30" s="1"/>
    </row>
    <row r="31" spans="1:16" ht="15.6" x14ac:dyDescent="0.3">
      <c r="A31" s="1"/>
      <c r="B31" s="81" t="s">
        <v>122</v>
      </c>
      <c r="C31" s="82"/>
      <c r="D31" s="83"/>
      <c r="E31" s="83"/>
      <c r="F31" s="73"/>
      <c r="G31" s="1"/>
      <c r="H31" s="1"/>
      <c r="I31" s="1"/>
    </row>
    <row r="32" spans="1:16" ht="15.6" x14ac:dyDescent="0.3">
      <c r="A32" s="1"/>
      <c r="B32" s="1" t="s">
        <v>25</v>
      </c>
      <c r="C32" s="1"/>
      <c r="D32" s="1"/>
      <c r="E32" s="84" t="s">
        <v>26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0"/>
  </sortState>
  <mergeCells count="2">
    <mergeCell ref="F16:H16"/>
    <mergeCell ref="B19:H19"/>
  </mergeCells>
  <phoneticPr fontId="10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topLeftCell="A11"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9" t="s">
        <v>31</v>
      </c>
      <c r="C2" s="129"/>
      <c r="D2" s="129"/>
      <c r="E2" s="18"/>
      <c r="G2" s="129" t="s">
        <v>70</v>
      </c>
      <c r="H2" s="129"/>
      <c r="I2" s="129"/>
      <c r="P2" s="130" t="s">
        <v>58</v>
      </c>
      <c r="Q2" s="130"/>
      <c r="R2" s="130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30" t="s">
        <v>58</v>
      </c>
      <c r="M8" s="130"/>
      <c r="N8" s="130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126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3"/>
  <sheetViews>
    <sheetView topLeftCell="A24" zoomScaleNormal="100" workbookViewId="0">
      <selection activeCell="L31" sqref="L31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125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31" t="s">
        <v>61</v>
      </c>
      <c r="L3" s="131"/>
      <c r="M3" s="131" t="s">
        <v>14</v>
      </c>
      <c r="N3" s="131"/>
    </row>
    <row r="4" spans="1:14" ht="15.75" customHeight="1" x14ac:dyDescent="0.3">
      <c r="A4" s="1"/>
      <c r="B4" s="1"/>
      <c r="C4" s="40" t="s">
        <v>27</v>
      </c>
      <c r="D4" s="14">
        <f>'4637'!G8</f>
        <v>7264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MUEBLE DISEÑO SPA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5" t="str">
        <f>'4637'!F11</f>
        <v>FECHA LIMITE :</v>
      </c>
      <c r="D7" s="13">
        <f>'4637'!G11</f>
        <v>45890</v>
      </c>
      <c r="E7" s="1"/>
      <c r="F7" s="1"/>
      <c r="G7" s="1"/>
    </row>
    <row r="8" spans="1:14" ht="15.6" x14ac:dyDescent="0.3">
      <c r="A8" s="1"/>
      <c r="B8" s="1"/>
      <c r="C8" s="52"/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32" t="s">
        <v>61</v>
      </c>
      <c r="B10" s="132"/>
      <c r="C10" s="132"/>
      <c r="D10" s="132"/>
      <c r="E10" s="132"/>
      <c r="F10" s="132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1" t="s">
        <v>7</v>
      </c>
      <c r="E12" s="51" t="s">
        <v>8</v>
      </c>
      <c r="F12" s="1"/>
      <c r="G12" s="1"/>
    </row>
    <row r="13" spans="1:14" ht="15.6" x14ac:dyDescent="0.3">
      <c r="A13" s="51" t="s">
        <v>9</v>
      </c>
      <c r="B13" s="37" t="s">
        <v>10</v>
      </c>
      <c r="C13" s="37" t="s">
        <v>11</v>
      </c>
      <c r="D13" s="32">
        <v>80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2" t="s">
        <v>131</v>
      </c>
      <c r="B14" s="25">
        <f>I14</f>
        <v>1</v>
      </c>
      <c r="C14" s="16"/>
      <c r="D14" s="25">
        <f>J14+D13</f>
        <v>1300</v>
      </c>
      <c r="E14" s="35">
        <f>K14+$E$13</f>
        <v>470</v>
      </c>
      <c r="F14" s="98" t="str">
        <f>F28</f>
        <v>MARINA DI CARRARA 3151 PL</v>
      </c>
      <c r="G14" s="1"/>
      <c r="I14" s="3">
        <f t="shared" ref="I14" si="0">B28</f>
        <v>1</v>
      </c>
      <c r="J14" s="4">
        <f>D28</f>
        <v>1220</v>
      </c>
      <c r="K14" s="4">
        <f>E28</f>
        <v>500</v>
      </c>
    </row>
    <row r="15" spans="1:14" ht="15.6" x14ac:dyDescent="0.3">
      <c r="A15" s="92"/>
      <c r="B15" s="25">
        <f>I15</f>
        <v>1</v>
      </c>
      <c r="C15" s="16"/>
      <c r="D15" s="25">
        <f>J15+D13</f>
        <v>2280</v>
      </c>
      <c r="E15" s="35">
        <f>K15</f>
        <v>800</v>
      </c>
      <c r="F15" s="98" t="str">
        <f>F29</f>
        <v>MARINA DI CARRARA 3151 PL</v>
      </c>
      <c r="G15" s="1"/>
      <c r="I15" s="3">
        <f t="shared" ref="I15" si="1">B29</f>
        <v>1</v>
      </c>
      <c r="J15" s="4">
        <f>D29</f>
        <v>2200</v>
      </c>
      <c r="K15" s="4">
        <f>E29</f>
        <v>800</v>
      </c>
    </row>
    <row r="16" spans="1:14" x14ac:dyDescent="0.3">
      <c r="A16" s="9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32" t="s">
        <v>14</v>
      </c>
      <c r="B18" s="132"/>
      <c r="C18" s="132"/>
      <c r="D18" s="132"/>
      <c r="E18" s="132"/>
      <c r="F18" s="132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1" t="s">
        <v>7</v>
      </c>
      <c r="E20" s="51" t="s">
        <v>8</v>
      </c>
      <c r="F20" s="1"/>
      <c r="G20" s="1"/>
    </row>
    <row r="21" spans="1:11" ht="15.6" x14ac:dyDescent="0.3">
      <c r="A21" s="51" t="s">
        <v>9</v>
      </c>
      <c r="B21" s="36" t="s">
        <v>10</v>
      </c>
      <c r="C21" s="36" t="s">
        <v>11</v>
      </c>
      <c r="D21" s="21">
        <v>40</v>
      </c>
      <c r="E21" s="21">
        <v>150</v>
      </c>
      <c r="F21" s="36" t="s">
        <v>110</v>
      </c>
      <c r="G21" s="1"/>
      <c r="J21" s="5" t="s">
        <v>7</v>
      </c>
      <c r="K21" s="5" t="s">
        <v>8</v>
      </c>
    </row>
    <row r="22" spans="1:11" ht="15.6" x14ac:dyDescent="0.3">
      <c r="A22" s="92"/>
      <c r="B22" s="16">
        <f t="shared" ref="B22" si="2">I22</f>
        <v>1</v>
      </c>
      <c r="C22" s="16"/>
      <c r="D22" s="16">
        <f>J22+D21</f>
        <v>1260</v>
      </c>
      <c r="E22" s="16">
        <f>K22+$E$21</f>
        <v>650</v>
      </c>
      <c r="F22" s="99" t="str">
        <f t="shared" ref="F22:F23" si="3">F28</f>
        <v>MARINA DI CARRARA 3151 PL</v>
      </c>
      <c r="G22" s="1"/>
      <c r="I22" s="3">
        <f>B28</f>
        <v>1</v>
      </c>
      <c r="J22" s="4">
        <f>D28</f>
        <v>1220</v>
      </c>
      <c r="K22" s="4">
        <f>E28</f>
        <v>500</v>
      </c>
    </row>
    <row r="23" spans="1:11" ht="15.6" x14ac:dyDescent="0.3">
      <c r="A23" s="92"/>
      <c r="B23" s="16">
        <f t="shared" ref="B23" si="4">I23</f>
        <v>1</v>
      </c>
      <c r="C23" s="16"/>
      <c r="D23" s="16">
        <f>J23+100</f>
        <v>2300</v>
      </c>
      <c r="E23" s="16">
        <f>K23+$E$21</f>
        <v>950</v>
      </c>
      <c r="F23" s="99" t="str">
        <f t="shared" si="3"/>
        <v>MARINA DI CARRARA 3151 PL</v>
      </c>
      <c r="G23" s="1"/>
      <c r="I23" s="3">
        <f>B29</f>
        <v>1</v>
      </c>
      <c r="J23" s="4">
        <f>D29</f>
        <v>2200</v>
      </c>
      <c r="K23" s="4">
        <f>E29</f>
        <v>800</v>
      </c>
    </row>
    <row r="24" spans="1:11" ht="16.2" thickBot="1" x14ac:dyDescent="0.35">
      <c r="A24" s="51"/>
      <c r="B24" s="6"/>
      <c r="C24" s="6"/>
      <c r="D24" s="6"/>
      <c r="E24" s="6"/>
      <c r="F24" s="6"/>
      <c r="G24" s="1"/>
      <c r="I24" s="2"/>
      <c r="J24" s="2"/>
      <c r="K24" s="2"/>
    </row>
    <row r="25" spans="1:11" ht="16.2" thickBot="1" x14ac:dyDescent="0.35">
      <c r="A25" s="51"/>
      <c r="B25" s="22" t="s">
        <v>107</v>
      </c>
      <c r="C25" s="23"/>
      <c r="D25" s="23"/>
      <c r="E25" s="23"/>
      <c r="F25" s="24"/>
      <c r="G25" s="1"/>
      <c r="I25" s="2"/>
      <c r="J25" s="2"/>
      <c r="K25" s="2"/>
    </row>
    <row r="26" spans="1:11" ht="10.5" customHeight="1" x14ac:dyDescent="0.3">
      <c r="A26" s="1"/>
      <c r="B26" s="1"/>
      <c r="C26" s="1"/>
      <c r="D26" s="1"/>
      <c r="E26" s="1"/>
      <c r="F26" s="1"/>
      <c r="G26" s="1"/>
    </row>
    <row r="27" spans="1:11" ht="15.6" x14ac:dyDescent="0.3">
      <c r="A27" s="51" t="s">
        <v>9</v>
      </c>
      <c r="B27" s="86" t="s">
        <v>10</v>
      </c>
      <c r="C27" s="86" t="s">
        <v>110</v>
      </c>
      <c r="D27" s="86" t="s">
        <v>7</v>
      </c>
      <c r="E27" s="86" t="s">
        <v>8</v>
      </c>
      <c r="F27" s="86" t="s">
        <v>23</v>
      </c>
      <c r="G27" s="1"/>
      <c r="J27">
        <v>300</v>
      </c>
    </row>
    <row r="28" spans="1:11" ht="15.6" x14ac:dyDescent="0.3">
      <c r="A28" s="92" t="s">
        <v>131</v>
      </c>
      <c r="B28" s="25">
        <f>B50</f>
        <v>1</v>
      </c>
      <c r="C28" s="98" t="str">
        <f t="shared" ref="C28:F29" si="5">C50</f>
        <v>CUB C/R FTE. 180°</v>
      </c>
      <c r="D28" s="25">
        <f t="shared" si="5"/>
        <v>1220</v>
      </c>
      <c r="E28" s="25">
        <f t="shared" si="5"/>
        <v>500</v>
      </c>
      <c r="F28" s="25" t="str">
        <f t="shared" si="5"/>
        <v>MARINA DI CARRARA 3151 PL</v>
      </c>
      <c r="G28" s="1"/>
      <c r="J28">
        <v>12</v>
      </c>
    </row>
    <row r="29" spans="1:11" ht="15.6" x14ac:dyDescent="0.3">
      <c r="A29" s="92"/>
      <c r="B29" s="25">
        <f>B51</f>
        <v>1</v>
      </c>
      <c r="C29" s="98" t="str">
        <f t="shared" si="5"/>
        <v>CUB MESA 180° 3 LADOS</v>
      </c>
      <c r="D29" s="25">
        <f t="shared" si="5"/>
        <v>2200</v>
      </c>
      <c r="E29" s="25">
        <f t="shared" si="5"/>
        <v>800</v>
      </c>
      <c r="F29" s="25" t="str">
        <f t="shared" si="5"/>
        <v>MARINA DI CARRARA 3151 PL</v>
      </c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6.2" thickBot="1" x14ac:dyDescent="0.35">
      <c r="A38" s="1"/>
      <c r="B38" s="1"/>
      <c r="G38" s="1"/>
    </row>
    <row r="39" spans="1:7" ht="15.6" x14ac:dyDescent="0.3">
      <c r="A39" s="1"/>
      <c r="B39" s="1"/>
      <c r="C39" s="104" t="s">
        <v>27</v>
      </c>
      <c r="D39" s="105">
        <f>'4637'!G8</f>
        <v>7264</v>
      </c>
      <c r="E39" s="106"/>
      <c r="F39" s="107"/>
      <c r="G39" s="1"/>
    </row>
    <row r="40" spans="1:7" ht="15.6" x14ac:dyDescent="0.3">
      <c r="A40" s="1"/>
      <c r="B40" s="1"/>
      <c r="C40" s="108" t="s">
        <v>67</v>
      </c>
      <c r="D40" s="42" t="str">
        <f>'4637'!C10</f>
        <v>MUEBLE DISEÑO SPA</v>
      </c>
      <c r="E40" s="43"/>
      <c r="F40" s="64"/>
      <c r="G40" s="1"/>
    </row>
    <row r="41" spans="1:7" ht="16.2" thickBot="1" x14ac:dyDescent="0.35">
      <c r="A41" s="1"/>
      <c r="B41" s="1"/>
      <c r="C41" s="109" t="str">
        <f>'4637'!F11</f>
        <v>FECHA LIMITE :</v>
      </c>
      <c r="D41" s="110">
        <f>'4637'!G11</f>
        <v>45890</v>
      </c>
      <c r="E41" s="111"/>
      <c r="F41" s="112"/>
      <c r="G41" s="1"/>
    </row>
    <row r="42" spans="1:7" ht="15.6" x14ac:dyDescent="0.3">
      <c r="A42" s="1"/>
      <c r="B42" s="1"/>
      <c r="G42" s="1"/>
    </row>
    <row r="43" spans="1:7" ht="17.25" customHeight="1" x14ac:dyDescent="0.3">
      <c r="A43" s="1"/>
      <c r="B43" s="1"/>
      <c r="G43" s="1"/>
    </row>
    <row r="44" spans="1:7" ht="4.5" customHeight="1" x14ac:dyDescent="0.3">
      <c r="A44" s="1"/>
      <c r="B44" s="1"/>
      <c r="C44" s="44"/>
      <c r="D44" s="45"/>
      <c r="E44" s="1"/>
      <c r="F44" s="1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6" x14ac:dyDescent="0.3">
      <c r="A46" s="132" t="s">
        <v>68</v>
      </c>
      <c r="B46" s="132"/>
      <c r="C46" s="132"/>
      <c r="D46" s="132"/>
      <c r="E46" s="132"/>
      <c r="F46" s="132"/>
      <c r="G46" s="1"/>
    </row>
    <row r="47" spans="1:7" ht="15.6" x14ac:dyDescent="0.3">
      <c r="A47" s="1"/>
      <c r="B47" s="1"/>
      <c r="C47" s="1"/>
      <c r="D47" s="1"/>
      <c r="E47" s="1"/>
      <c r="F47" s="1"/>
      <c r="G47" s="1"/>
    </row>
    <row r="48" spans="1:7" ht="15.75" customHeight="1" x14ac:dyDescent="0.3">
      <c r="A48" s="1"/>
      <c r="B48" s="133" t="s">
        <v>69</v>
      </c>
      <c r="C48" s="134"/>
      <c r="D48" s="135"/>
      <c r="E48" s="135"/>
      <c r="F48" s="136"/>
      <c r="G48" s="1"/>
    </row>
    <row r="49" spans="1:7" s="15" customFormat="1" ht="12.75" customHeight="1" x14ac:dyDescent="0.3">
      <c r="A49" s="1"/>
      <c r="B49" s="36" t="s">
        <v>10</v>
      </c>
      <c r="C49" s="46" t="s">
        <v>11</v>
      </c>
      <c r="D49" s="47" t="s">
        <v>7</v>
      </c>
      <c r="E49" s="47" t="s">
        <v>8</v>
      </c>
      <c r="F49" s="48" t="s">
        <v>12</v>
      </c>
      <c r="G49" s="1"/>
    </row>
    <row r="50" spans="1:7" s="15" customFormat="1" ht="15" customHeight="1" x14ac:dyDescent="0.3">
      <c r="A50" s="92" t="s">
        <v>131</v>
      </c>
      <c r="B50" s="38">
        <f>'4637'!B21</f>
        <v>1</v>
      </c>
      <c r="C50" s="97" t="str">
        <f>'4637'!C21</f>
        <v>CUB C/R FTE. 180°</v>
      </c>
      <c r="D50" s="39">
        <f>'4637'!D21</f>
        <v>1220</v>
      </c>
      <c r="E50" s="39">
        <f>'4637'!E21</f>
        <v>500</v>
      </c>
      <c r="F50" s="100" t="str">
        <f>'4637'!F21</f>
        <v>MARINA DI CARRARA 3151 PL</v>
      </c>
      <c r="G50" s="1"/>
    </row>
    <row r="51" spans="1:7" s="15" customFormat="1" ht="15" customHeight="1" x14ac:dyDescent="0.3">
      <c r="A51" s="92"/>
      <c r="B51" s="38">
        <f>'4637'!B22</f>
        <v>1</v>
      </c>
      <c r="C51" s="97" t="str">
        <f>'4637'!C22</f>
        <v>CUB MESA 180° 3 LADOS</v>
      </c>
      <c r="D51" s="39">
        <f>'4637'!D22</f>
        <v>2200</v>
      </c>
      <c r="E51" s="39">
        <f>'4637'!E22</f>
        <v>800</v>
      </c>
      <c r="F51" s="100" t="str">
        <f>'4637'!F22</f>
        <v>MARINA DI CARRARA 3151 PL</v>
      </c>
      <c r="G51" s="1"/>
    </row>
    <row r="52" spans="1:7" s="15" customFormat="1" ht="15" customHeight="1" x14ac:dyDescent="0.3">
      <c r="A52" s="49"/>
      <c r="B52" s="51"/>
      <c r="C52" s="51"/>
      <c r="D52" s="51"/>
      <c r="E52" s="51"/>
      <c r="F52" s="51"/>
      <c r="G52" s="1"/>
    </row>
    <row r="53" spans="1:7" ht="15.6" x14ac:dyDescent="0.3">
      <c r="A53" s="6"/>
      <c r="B53" s="6"/>
      <c r="C53" s="1"/>
      <c r="D53" s="6"/>
      <c r="E53" s="6"/>
      <c r="F53" s="44"/>
      <c r="G53" s="1"/>
    </row>
    <row r="54" spans="1:7" ht="15.6" x14ac:dyDescent="0.3">
      <c r="A54" s="6"/>
      <c r="B54" s="6"/>
      <c r="C54" s="1"/>
      <c r="D54" s="6"/>
      <c r="E54" s="6"/>
      <c r="F54" s="6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" customHeight="1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ht="15.6" x14ac:dyDescent="0.3">
      <c r="A60" s="6"/>
      <c r="B60" s="50"/>
      <c r="C60" s="1"/>
      <c r="D60" s="1"/>
      <c r="E60" s="1"/>
      <c r="F60" s="1"/>
      <c r="G60" s="1"/>
    </row>
    <row r="61" spans="1:7" ht="15.6" x14ac:dyDescent="0.3">
      <c r="A61" s="1"/>
      <c r="B61" s="1"/>
      <c r="C61" s="1"/>
      <c r="D61" s="1"/>
      <c r="E61" s="1"/>
      <c r="F61" s="1"/>
      <c r="G61" s="1"/>
    </row>
    <row r="62" spans="1:7" x14ac:dyDescent="0.3">
      <c r="B62" s="20"/>
      <c r="C62" s="20"/>
      <c r="D62" s="20"/>
      <c r="E62" s="20"/>
      <c r="F62" s="20"/>
    </row>
    <row r="63" spans="1:7" x14ac:dyDescent="0.3">
      <c r="B63" s="20"/>
      <c r="C63" s="20"/>
      <c r="E63" s="20"/>
      <c r="F63" s="20"/>
    </row>
  </sheetData>
  <mergeCells count="6">
    <mergeCell ref="M3:N3"/>
    <mergeCell ref="A18:F18"/>
    <mergeCell ref="A10:F10"/>
    <mergeCell ref="A46:F46"/>
    <mergeCell ref="B48:F48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2025-08-20T21:13:30Z</cp:lastPrinted>
  <dcterms:created xsi:type="dcterms:W3CDTF">2013-03-19T12:54:14Z</dcterms:created>
  <dcterms:modified xsi:type="dcterms:W3CDTF">2025-08-20T22:39:08Z</dcterms:modified>
</cp:coreProperties>
</file>