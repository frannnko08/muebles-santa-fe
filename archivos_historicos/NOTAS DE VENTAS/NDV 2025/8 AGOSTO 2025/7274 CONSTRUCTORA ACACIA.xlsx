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C487BFD7-F336-4A9A-BB18-24EE83F424B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'4637'!$A$1:$H$37</definedName>
    <definedName name="_xlnm.Print_Area" localSheetId="2">CUBIERTA!$A$55:$G$85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D20" i="3"/>
  <c r="D21" i="3"/>
  <c r="D18" i="3"/>
  <c r="E19" i="3"/>
  <c r="E20" i="3"/>
  <c r="E21" i="3"/>
  <c r="E18" i="3"/>
  <c r="D17" i="3"/>
  <c r="D16" i="3"/>
  <c r="B17" i="3"/>
  <c r="E17" i="3"/>
  <c r="F17" i="3"/>
  <c r="B18" i="3"/>
  <c r="F18" i="3"/>
  <c r="B19" i="3"/>
  <c r="F19" i="3"/>
  <c r="B20" i="3"/>
  <c r="F20" i="3"/>
  <c r="B21" i="3"/>
  <c r="F21" i="3"/>
  <c r="F16" i="3"/>
  <c r="E16" i="3"/>
  <c r="B16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B41" i="3"/>
  <c r="I29" i="3" s="1"/>
  <c r="B29" i="3" s="1"/>
  <c r="C41" i="3"/>
  <c r="F29" i="3" s="1"/>
  <c r="D41" i="3"/>
  <c r="J29" i="3" s="1"/>
  <c r="D29" i="3" s="1"/>
  <c r="E41" i="3"/>
  <c r="K29" i="3" s="1"/>
  <c r="E29" i="3" s="1"/>
  <c r="F41" i="3"/>
  <c r="B42" i="3"/>
  <c r="I30" i="3" s="1"/>
  <c r="B30" i="3" s="1"/>
  <c r="C42" i="3"/>
  <c r="F30" i="3" s="1"/>
  <c r="D42" i="3"/>
  <c r="J30" i="3" s="1"/>
  <c r="D30" i="3" s="1"/>
  <c r="E42" i="3"/>
  <c r="K30" i="3" s="1"/>
  <c r="E30" i="3" s="1"/>
  <c r="F42" i="3"/>
  <c r="B43" i="3"/>
  <c r="I31" i="3" s="1"/>
  <c r="B31" i="3" s="1"/>
  <c r="C43" i="3"/>
  <c r="F31" i="3" s="1"/>
  <c r="D43" i="3"/>
  <c r="J31" i="3" s="1"/>
  <c r="D31" i="3" s="1"/>
  <c r="E43" i="3"/>
  <c r="K31" i="3" s="1"/>
  <c r="E31" i="3" s="1"/>
  <c r="F43" i="3"/>
  <c r="B44" i="3"/>
  <c r="I32" i="3" s="1"/>
  <c r="B32" i="3" s="1"/>
  <c r="C44" i="3"/>
  <c r="F32" i="3" s="1"/>
  <c r="D44" i="3"/>
  <c r="J32" i="3" s="1"/>
  <c r="D32" i="3" s="1"/>
  <c r="E44" i="3"/>
  <c r="K32" i="3" s="1"/>
  <c r="E32" i="3" s="1"/>
  <c r="F44" i="3"/>
  <c r="B45" i="3"/>
  <c r="I33" i="3" s="1"/>
  <c r="B33" i="3" s="1"/>
  <c r="C45" i="3"/>
  <c r="F33" i="3" s="1"/>
  <c r="D45" i="3"/>
  <c r="J33" i="3" s="1"/>
  <c r="D33" i="3" s="1"/>
  <c r="E45" i="3"/>
  <c r="K33" i="3" s="1"/>
  <c r="E33" i="3" s="1"/>
  <c r="F45" i="3"/>
  <c r="B46" i="3"/>
  <c r="I34" i="3" s="1"/>
  <c r="B34" i="3" s="1"/>
  <c r="C46" i="3"/>
  <c r="F34" i="3" s="1"/>
  <c r="D46" i="3"/>
  <c r="J34" i="3" s="1"/>
  <c r="D34" i="3" s="1"/>
  <c r="E46" i="3"/>
  <c r="K34" i="3" s="1"/>
  <c r="E34" i="3" s="1"/>
  <c r="F46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B71" i="3"/>
  <c r="C71" i="3"/>
  <c r="D71" i="3"/>
  <c r="E71" i="3"/>
  <c r="F71" i="3"/>
  <c r="B72" i="3"/>
  <c r="C72" i="3"/>
  <c r="D72" i="3"/>
  <c r="E72" i="3"/>
  <c r="F72" i="3"/>
  <c r="B73" i="3"/>
  <c r="C73" i="3"/>
  <c r="D73" i="3"/>
  <c r="E73" i="3"/>
  <c r="F73" i="3"/>
  <c r="H26" i="4"/>
  <c r="H27" i="4"/>
  <c r="H28" i="4"/>
  <c r="H25" i="4"/>
  <c r="H23" i="4"/>
  <c r="H24" i="4"/>
  <c r="H22" i="4" l="1"/>
  <c r="H31" i="4" s="1"/>
  <c r="B40" i="3"/>
  <c r="I28" i="3" s="1"/>
  <c r="C40" i="3"/>
  <c r="F14" i="3" s="1"/>
  <c r="D40" i="3"/>
  <c r="J14" i="3" s="1"/>
  <c r="D14" i="3" s="1"/>
  <c r="E40" i="3"/>
  <c r="K28" i="3" s="1"/>
  <c r="E28" i="3" s="1"/>
  <c r="F40" i="3"/>
  <c r="B67" i="3"/>
  <c r="C67" i="3"/>
  <c r="D67" i="3"/>
  <c r="E67" i="3"/>
  <c r="F67" i="3"/>
  <c r="J28" i="3" l="1"/>
  <c r="D28" i="3" s="1"/>
  <c r="K14" i="3"/>
  <c r="E14" i="3" s="1"/>
  <c r="B28" i="3"/>
  <c r="I14" i="3"/>
  <c r="B14" i="3" s="1"/>
  <c r="F28" i="3"/>
  <c r="H32" i="4" l="1"/>
  <c r="H33" i="4" s="1"/>
  <c r="N5" i="3" l="1"/>
  <c r="M5" i="3" l="1"/>
  <c r="L5" i="3"/>
  <c r="K5" i="3"/>
  <c r="C60" i="3" l="1"/>
  <c r="C7" i="3"/>
  <c r="D58" i="3"/>
  <c r="D5" i="3"/>
  <c r="D60" i="3"/>
  <c r="D7" i="3"/>
  <c r="D57" i="3"/>
  <c r="D4" i="3"/>
</calcChain>
</file>

<file path=xl/sharedStrings.xml><?xml version="1.0" encoding="utf-8"?>
<sst xmlns="http://schemas.openxmlformats.org/spreadsheetml/2006/main" count="267" uniqueCount="148">
  <si>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</si>
  <si>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</si>
  <si>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</si>
  <si>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</si>
  <si>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</si>
  <si>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</si>
  <si>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</si>
  <si>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</si>
  <si>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</si>
  <si>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</si>
  <si>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</si>
  <si>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</si>
  <si>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</si>
  <si>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</si>
  <si>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</si>
  <si>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</si>
  <si>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</si>
  <si>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</si>
  <si>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</si>
  <si>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</si>
  <si>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</si>
  <si>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</si>
  <si>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</si>
  <si>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</si>
  <si>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</si>
  <si>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</si>
  <si>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</si>
  <si>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</si>
  <si>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</si>
  <si>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</si>
  <si>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</si>
  <si>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</si>
  <si>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</si>
  <si>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</si>
  <si>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</si>
  <si>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</si>
  <si>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</si>
  <si>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</si>
  <si>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</si>
  <si>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</si>
  <si>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</si>
  <si>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</si>
  <si>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</si>
  <si>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</si>
  <si>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</si>
  <si>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</si>
  <si>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</si>
  <si>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</si>
  <si>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</si>
  <si>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</si>
  <si>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</si>
  <si>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</si>
  <si>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</si>
  <si>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</si>
  <si>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</si>
  <si>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</si>
  <si>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</si>
  <si>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</si>
  <si>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</si>
  <si>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</si>
  <si>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</si>
  <si>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</si>
  <si>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</si>
  <si>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</si>
  <si>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</si>
  <si>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</si>
  <si>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</si>
  <si>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</si>
  <si>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</si>
  <si>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</si>
  <si>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</si>
  <si>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</si>
  <si>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</si>
  <si>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</si>
  <si>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</si>
  <si>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</si>
  <si>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</si>
  <si>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</si>
  <si>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</si>
  <si>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</si>
  <si>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</si>
  <si>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</si>
  <si>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</si>
  <si>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</si>
  <si>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</si>
  <si>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</si>
  <si>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</si>
  <si>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</si>
  <si>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</si>
  <si>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</si>
  <si>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</si>
  <si>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</si>
  <si>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</si>
  <si>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</si>
  <si>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</si>
  <si>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</si>
  <si>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</si>
  <si>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</si>
  <si>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</si>
  <si>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</si>
  <si>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</si>
  <si>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</si>
  <si>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</si>
  <si>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</si>
  <si>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</si>
  <si>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</si>
  <si>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</si>
  <si>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</si>
  <si>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</si>
  <si>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</si>
  <si>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</si>
  <si>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</si>
  <si>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</si>
  <si>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</si>
  <si>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</si>
  <si>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</si>
  <si>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</si>
  <si>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</si>
  <si>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</si>
  <si>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</si>
  <si>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</si>
  <si>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</si>
  <si>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</si>
  <si>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</si>
  <si>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</si>
  <si>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</si>
  <si>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</si>
  <si>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</si>
  <si>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</si>
  <si>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</si>
  <si>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</si>
  <si>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</si>
  <si>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</si>
  <si>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</si>
  <si>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</si>
  <si>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CORREO:</t>
  </si>
  <si>
    <t>CONSTRUCTORA ACACIA SPA</t>
  </si>
  <si>
    <t>77.741.613-8</t>
  </si>
  <si>
    <t>CONSTRUCCION DE OBRAS CIVILES E INGENIERIA</t>
  </si>
  <si>
    <t>MAURICIO BELMAR</t>
  </si>
  <si>
    <t>+569 7744 8149</t>
  </si>
  <si>
    <t>CUB S/R 180° TRASCARA BLANCA</t>
  </si>
  <si>
    <t>MELAMIL 18MM</t>
  </si>
  <si>
    <t>N° 11612</t>
  </si>
  <si>
    <t>TURQUESA 2176 MT</t>
  </si>
  <si>
    <t>MDF 18MM</t>
  </si>
  <si>
    <t>MDF18MM</t>
  </si>
  <si>
    <t>BLANCO MERINO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</si>
</sst>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29</xdr:row>
      <xdr:rowOff>169545</xdr:rowOff>
    </xdr:from>
    <xdr:to>
      <xdr:col>5</xdr:col>
      <xdr:colOff>1390650</xdr:colOff>
      <xdr:row>33</xdr:row>
      <xdr:rowOff>177165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6250305"/>
          <a:ext cx="57150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r>
            <a:rPr lang="es-CL" sz="900" b="1" i="1" baseline="0"/>
            <a:t>  ABONO $ 500.000.-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22</xdr:row>
      <xdr:rowOff>76200</xdr:rowOff>
    </xdr:from>
    <xdr:to>
      <xdr:col>5</xdr:col>
      <xdr:colOff>1676399</xdr:colOff>
      <xdr:row>24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61</xdr:row>
      <xdr:rowOff>171450</xdr:rowOff>
    </xdr:from>
    <xdr:to>
      <xdr:col>5</xdr:col>
      <xdr:colOff>1685924</xdr:colOff>
      <xdr:row>63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59</xdr:row>
      <xdr:rowOff>0</xdr:rowOff>
    </xdr:from>
    <xdr:to>
      <xdr:col>6</xdr:col>
      <xdr:colOff>0</xdr:colOff>
      <xdr:row>60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57</xdr:row>
      <xdr:rowOff>38100</xdr:rowOff>
    </xdr:from>
    <xdr:to>
      <xdr:col>6</xdr:col>
      <xdr:colOff>0</xdr:colOff>
      <xdr:row>58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75</xdr:row>
      <xdr:rowOff>0</xdr:rowOff>
    </xdr:from>
    <xdr:to>
      <xdr:col>2</xdr:col>
      <xdr:colOff>38100</xdr:colOff>
      <xdr:row>76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75</xdr:row>
      <xdr:rowOff>0</xdr:rowOff>
    </xdr:from>
    <xdr:to>
      <xdr:col>2</xdr:col>
      <xdr:colOff>1019175</xdr:colOff>
      <xdr:row>75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75</xdr:row>
      <xdr:rowOff>0</xdr:rowOff>
    </xdr:from>
    <xdr:to>
      <xdr:col>3</xdr:col>
      <xdr:colOff>352425</xdr:colOff>
      <xdr:row>76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75</xdr:row>
      <xdr:rowOff>0</xdr:rowOff>
    </xdr:from>
    <xdr:to>
      <xdr:col>4</xdr:col>
      <xdr:colOff>257175</xdr:colOff>
      <xdr:row>76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75</xdr:row>
      <xdr:rowOff>0</xdr:rowOff>
    </xdr:from>
    <xdr:to>
      <xdr:col>5</xdr:col>
      <xdr:colOff>447675</xdr:colOff>
      <xdr:row>75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75</xdr:row>
      <xdr:rowOff>0</xdr:rowOff>
    </xdr:from>
    <xdr:to>
      <xdr:col>6</xdr:col>
      <xdr:colOff>0</xdr:colOff>
      <xdr:row>75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75</xdr:row>
      <xdr:rowOff>190500</xdr:rowOff>
    </xdr:from>
    <xdr:to>
      <xdr:col>2</xdr:col>
      <xdr:colOff>304800</xdr:colOff>
      <xdr:row>77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75</xdr:row>
      <xdr:rowOff>190500</xdr:rowOff>
    </xdr:from>
    <xdr:to>
      <xdr:col>2</xdr:col>
      <xdr:colOff>1276350</xdr:colOff>
      <xdr:row>77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75</xdr:row>
      <xdr:rowOff>190500</xdr:rowOff>
    </xdr:from>
    <xdr:to>
      <xdr:col>3</xdr:col>
      <xdr:colOff>619125</xdr:colOff>
      <xdr:row>77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75</xdr:row>
      <xdr:rowOff>190500</xdr:rowOff>
    </xdr:from>
    <xdr:to>
      <xdr:col>4</xdr:col>
      <xdr:colOff>523875</xdr:colOff>
      <xdr:row>77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75</xdr:row>
      <xdr:rowOff>190500</xdr:rowOff>
    </xdr:from>
    <xdr:to>
      <xdr:col>5</xdr:col>
      <xdr:colOff>723900</xdr:colOff>
      <xdr:row>77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75</xdr:row>
      <xdr:rowOff>190500</xdr:rowOff>
    </xdr:from>
    <xdr:to>
      <xdr:col>6</xdr:col>
      <xdr:colOff>0</xdr:colOff>
      <xdr:row>77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48</xdr:row>
      <xdr:rowOff>15239</xdr:rowOff>
    </xdr:from>
    <xdr:to>
      <xdr:col>6</xdr:col>
      <xdr:colOff>68580</xdr:colOff>
      <xdr:row>52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ENCHAPAR CON TAPACANTO PVC 0,4MM, LAS TURQUESA CON LA MISMA LAMINA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35</xdr:row>
      <xdr:rowOff>200025</xdr:rowOff>
    </xdr:from>
    <xdr:to>
      <xdr:col>6</xdr:col>
      <xdr:colOff>19049</xdr:colOff>
      <xdr:row>37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78</xdr:row>
      <xdr:rowOff>32385</xdr:rowOff>
    </xdr:from>
    <xdr:to>
      <xdr:col>6</xdr:col>
      <xdr:colOff>19050</xdr:colOff>
      <xdr:row>82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PUERTAS CORTADAS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LA MEDIDA Y ENCHAPADA CON TAPACANTO PVC 0,4MM, LAS TURQUESAS CON LA MISMA LAMINA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55</xdr:row>
      <xdr:rowOff>41910</xdr:rowOff>
    </xdr:from>
    <xdr:to>
      <xdr:col>1</xdr:col>
      <xdr:colOff>801763</xdr:colOff>
      <xdr:row>61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19" workbookViewId="0">
      <selection activeCell="F22" sqref="F22:F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1.88671875" customWidth="1"/>
    <col min="4" max="4" width="10.88671875" customWidth="1"/>
    <col min="5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7274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5" t="s">
        <v>136</v>
      </c>
      <c r="D10" s="55"/>
      <c r="E10" s="55"/>
      <c r="F10" s="56" t="s">
        <v>28</v>
      </c>
      <c r="G10" s="57">
        <v>45897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45843</v>
      </c>
      <c r="H11" s="62"/>
      <c r="I11" s="1"/>
    </row>
    <row r="12" spans="1:17" ht="16.8" x14ac:dyDescent="0.4">
      <c r="A12" s="1"/>
      <c r="B12" s="63" t="s">
        <v>130</v>
      </c>
      <c r="C12" s="107" t="s">
        <v>138</v>
      </c>
      <c r="D12" s="43"/>
      <c r="E12" s="43"/>
      <c r="F12" s="43" t="s">
        <v>30</v>
      </c>
      <c r="G12" s="64">
        <v>1612</v>
      </c>
      <c r="H12" s="65"/>
      <c r="I12" s="1"/>
    </row>
    <row r="13" spans="1:17" ht="15.6" x14ac:dyDescent="0.3">
      <c r="A13" s="1"/>
      <c r="B13" s="63" t="s">
        <v>132</v>
      </c>
      <c r="C13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135</v>
      </c>
      <c r="C14" s="108"/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6" t="s">
        <v>140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7"/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09" t="s">
        <v>131</v>
      </c>
      <c r="D17" s="69"/>
      <c r="E17" s="70"/>
      <c r="F17" s="115" t="s">
        <v>18</v>
      </c>
      <c r="G17" s="115"/>
      <c r="H17" s="116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7" t="s">
        <v>19</v>
      </c>
      <c r="C20" s="118"/>
      <c r="D20" s="118"/>
      <c r="E20" s="118"/>
      <c r="F20" s="118"/>
      <c r="G20" s="118"/>
      <c r="H20" s="119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00" t="s">
        <v>34</v>
      </c>
      <c r="D22" s="110">
        <v>3540</v>
      </c>
      <c r="E22" s="110">
        <v>700</v>
      </c>
      <c r="F22" s="100" t="s">
        <v>147</v>
      </c>
      <c r="G22" s="111">
        <v>175008</v>
      </c>
      <c r="H22" s="111">
        <f>G22*B22</f>
        <v>175008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0">
        <v>1</v>
      </c>
      <c r="C23" s="100" t="s">
        <v>141</v>
      </c>
      <c r="D23" s="110">
        <v>1980</v>
      </c>
      <c r="E23" s="110">
        <v>800</v>
      </c>
      <c r="F23" s="100" t="s">
        <v>147</v>
      </c>
      <c r="G23" s="111">
        <v>138594</v>
      </c>
      <c r="H23" s="111">
        <f t="shared" ref="H23:H28" si="0">G23*B23</f>
        <v>138594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0">
        <v>1</v>
      </c>
      <c r="C24" s="100" t="s">
        <v>141</v>
      </c>
      <c r="D24" s="110">
        <v>1850</v>
      </c>
      <c r="E24" s="110">
        <v>700</v>
      </c>
      <c r="F24" s="100" t="s">
        <v>147</v>
      </c>
      <c r="G24" s="111">
        <v>113504</v>
      </c>
      <c r="H24" s="111">
        <f t="shared" si="0"/>
        <v>113504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0">
        <v>16</v>
      </c>
      <c r="C25" s="100" t="s">
        <v>63</v>
      </c>
      <c r="D25" s="110">
        <v>575</v>
      </c>
      <c r="E25" s="110">
        <v>273</v>
      </c>
      <c r="F25" s="100" t="s">
        <v>147</v>
      </c>
      <c r="G25" s="111">
        <v>15944</v>
      </c>
      <c r="H25" s="111">
        <f t="shared" si="0"/>
        <v>255104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0">
        <v>10</v>
      </c>
      <c r="C26" s="100" t="s">
        <v>63</v>
      </c>
      <c r="D26" s="110">
        <v>168</v>
      </c>
      <c r="E26" s="110">
        <v>493</v>
      </c>
      <c r="F26" s="100" t="s">
        <v>144</v>
      </c>
      <c r="G26" s="111">
        <v>11032</v>
      </c>
      <c r="H26" s="111">
        <f t="shared" si="0"/>
        <v>110320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0">
        <v>5</v>
      </c>
      <c r="C27" s="100" t="s">
        <v>63</v>
      </c>
      <c r="D27" s="110">
        <v>338</v>
      </c>
      <c r="E27" s="110">
        <v>493</v>
      </c>
      <c r="F27" s="100" t="s">
        <v>144</v>
      </c>
      <c r="G27" s="111">
        <v>17296</v>
      </c>
      <c r="H27" s="111">
        <f t="shared" si="0"/>
        <v>86480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00">
        <v>2</v>
      </c>
      <c r="C28" s="100" t="s">
        <v>63</v>
      </c>
      <c r="D28" s="110">
        <v>680</v>
      </c>
      <c r="E28" s="110">
        <v>493</v>
      </c>
      <c r="F28" s="100" t="s">
        <v>144</v>
      </c>
      <c r="G28" s="111">
        <v>29897</v>
      </c>
      <c r="H28" s="111">
        <f t="shared" si="0"/>
        <v>59794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01"/>
      <c r="C29" s="101"/>
      <c r="D29" s="102"/>
      <c r="E29" s="102"/>
      <c r="F29" s="101"/>
      <c r="G29" s="112"/>
      <c r="H29" s="112"/>
      <c r="I29" s="1"/>
    </row>
    <row r="30" spans="1:16" ht="18" customHeight="1" thickBot="1" x14ac:dyDescent="0.35">
      <c r="A30" s="1"/>
      <c r="B30" s="101"/>
      <c r="C30" s="101"/>
      <c r="D30" s="102"/>
      <c r="E30" s="102"/>
      <c r="F30" s="101"/>
      <c r="G30" s="103"/>
      <c r="H30" s="104"/>
      <c r="I30" s="1"/>
    </row>
    <row r="31" spans="1:16" ht="15.6" x14ac:dyDescent="0.3">
      <c r="A31" s="1"/>
      <c r="B31" s="1"/>
      <c r="C31" s="1"/>
      <c r="D31" s="1"/>
      <c r="E31" s="1"/>
      <c r="F31" s="1"/>
      <c r="G31" s="75" t="s">
        <v>5</v>
      </c>
      <c r="H31" s="76">
        <f>SUM(H22:H28)</f>
        <v>938804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77" t="s">
        <v>6</v>
      </c>
      <c r="H32" s="78">
        <f>H31*19%</f>
        <v>178372.76</v>
      </c>
      <c r="I32" s="1"/>
    </row>
    <row r="33" spans="1:9" ht="16.2" thickBot="1" x14ac:dyDescent="0.35">
      <c r="A33" s="1"/>
      <c r="B33" s="1"/>
      <c r="C33" s="1"/>
      <c r="D33" s="1"/>
      <c r="E33" s="1"/>
      <c r="F33" s="1"/>
      <c r="G33" s="79" t="s">
        <v>4</v>
      </c>
      <c r="H33" s="80">
        <f>H31+H32</f>
        <v>1117176.76</v>
      </c>
      <c r="I33" s="1"/>
    </row>
    <row r="34" spans="1:9" ht="15.6" x14ac:dyDescent="0.3">
      <c r="A34" s="1"/>
      <c r="B34" s="1"/>
      <c r="C34" s="1"/>
      <c r="D34" s="1"/>
      <c r="E34" s="1"/>
      <c r="F34" s="1"/>
      <c r="G34" s="52"/>
      <c r="H34" s="96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81" t="s">
        <v>123</v>
      </c>
      <c r="C36" s="82"/>
      <c r="D36" s="83"/>
      <c r="E36" s="83"/>
      <c r="F36" s="74"/>
      <c r="G36" s="1"/>
      <c r="H36" s="1"/>
      <c r="I36" s="1"/>
    </row>
    <row r="37" spans="1:9" ht="15.6" x14ac:dyDescent="0.3">
      <c r="A37" s="1"/>
      <c r="B37" s="81" t="s">
        <v>122</v>
      </c>
      <c r="C37" s="82"/>
      <c r="D37" s="83"/>
      <c r="E37" s="83"/>
      <c r="F37" s="74"/>
      <c r="G37" s="1"/>
      <c r="H37" s="1"/>
      <c r="I37" s="1"/>
    </row>
    <row r="38" spans="1:9" ht="15.6" x14ac:dyDescent="0.3">
      <c r="A38" s="1"/>
      <c r="B38" s="1" t="s">
        <v>25</v>
      </c>
      <c r="C38" s="1"/>
      <c r="D38" s="1"/>
      <c r="E38" s="84" t="s">
        <v>26</v>
      </c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</sheetData>
  <sortState xmlns:xlrd2="http://schemas.microsoft.com/office/spreadsheetml/2017/richdata2" ref="B42">
    <sortCondition sortBy="fontColor" ref="B42" dxfId="0"/>
  </sortState>
  <mergeCells count="2">
    <mergeCell ref="F17:H17"/>
    <mergeCell ref="B20:H20"/>
  </mergeCells>
  <phoneticPr fontId="10" type="noConversion"/>
  <hyperlinks>
    <hyperlink ref="E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6"/>
  <sheetViews>
    <sheetView tabSelected="1" topLeftCell="A43" zoomScaleNormal="100" workbookViewId="0">
      <selection activeCell="A55" sqref="A55:G8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7274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ACACIA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45843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2" t="s">
        <v>146</v>
      </c>
      <c r="B14" s="25">
        <f t="shared" ref="B14" si="0">I14</f>
        <v>1</v>
      </c>
      <c r="C14" s="25"/>
      <c r="D14" s="25">
        <f t="shared" ref="D14" si="1">J14+D$13</f>
        <v>3620</v>
      </c>
      <c r="E14" s="35">
        <f>K14+E$13</f>
        <v>670</v>
      </c>
      <c r="F14" s="98" t="str">
        <f>C40</f>
        <v xml:space="preserve">CUB C/R 180° </v>
      </c>
      <c r="G14" s="1"/>
      <c r="I14" s="3">
        <f>I28</f>
        <v>1</v>
      </c>
      <c r="J14" s="4">
        <f>D40</f>
        <v>3540</v>
      </c>
      <c r="K14" s="4">
        <f>E40</f>
        <v>700</v>
      </c>
    </row>
    <row r="15" spans="1:14" ht="15.6" x14ac:dyDescent="0.3">
      <c r="A15" s="52" t="s">
        <v>9</v>
      </c>
      <c r="B15" s="37" t="s">
        <v>10</v>
      </c>
      <c r="C15" s="37" t="s">
        <v>11</v>
      </c>
      <c r="D15" s="32">
        <v>80</v>
      </c>
      <c r="E15" s="32"/>
      <c r="F15" s="37" t="s">
        <v>110</v>
      </c>
      <c r="G15" s="1"/>
    </row>
    <row r="16" spans="1:14" ht="15.6" x14ac:dyDescent="0.3">
      <c r="A16" s="95" t="s">
        <v>142</v>
      </c>
      <c r="B16" s="25">
        <f>I16</f>
        <v>1</v>
      </c>
      <c r="C16" s="25"/>
      <c r="D16" s="25">
        <f>J16+D$15</f>
        <v>2060</v>
      </c>
      <c r="E16" s="35">
        <f>K16</f>
        <v>800</v>
      </c>
      <c r="F16" s="98" t="str">
        <f>F29</f>
        <v>CUB S/R 180° TRASCARA BLANCA</v>
      </c>
      <c r="G16" s="1"/>
      <c r="I16" s="3">
        <f t="shared" ref="I16:I21" si="2">I29</f>
        <v>1</v>
      </c>
      <c r="J16" s="4">
        <f t="shared" ref="J16:K21" si="3">D41</f>
        <v>1980</v>
      </c>
      <c r="K16" s="4">
        <f t="shared" si="3"/>
        <v>800</v>
      </c>
    </row>
    <row r="17" spans="1:11" ht="15.6" x14ac:dyDescent="0.3">
      <c r="B17" s="25">
        <f t="shared" ref="B17:B21" si="4">I17</f>
        <v>1</v>
      </c>
      <c r="C17" s="25"/>
      <c r="D17" s="25">
        <f>J17+D$15</f>
        <v>1930</v>
      </c>
      <c r="E17" s="35">
        <f t="shared" ref="E17" si="5">K17</f>
        <v>700</v>
      </c>
      <c r="F17" s="98" t="str">
        <f t="shared" ref="F17:F21" si="6">F30</f>
        <v>CUB S/R 180° TRASCARA BLANCA</v>
      </c>
      <c r="G17" s="1"/>
      <c r="I17" s="3">
        <f t="shared" si="2"/>
        <v>1</v>
      </c>
      <c r="J17" s="4">
        <f t="shared" si="3"/>
        <v>1850</v>
      </c>
      <c r="K17" s="4">
        <f t="shared" si="3"/>
        <v>700</v>
      </c>
    </row>
    <row r="18" spans="1:11" ht="15.6" x14ac:dyDescent="0.3">
      <c r="A18" s="95"/>
      <c r="B18" s="25">
        <f t="shared" si="4"/>
        <v>16</v>
      </c>
      <c r="C18" s="25"/>
      <c r="D18" s="25">
        <f>J18+50</f>
        <v>625</v>
      </c>
      <c r="E18" s="35">
        <f>K18-2</f>
        <v>271</v>
      </c>
      <c r="F18" s="98" t="str">
        <f t="shared" si="6"/>
        <v>PR6</v>
      </c>
      <c r="G18" s="1"/>
      <c r="I18" s="3">
        <f t="shared" si="2"/>
        <v>16</v>
      </c>
      <c r="J18" s="4">
        <f t="shared" si="3"/>
        <v>575</v>
      </c>
      <c r="K18" s="4">
        <f t="shared" si="3"/>
        <v>273</v>
      </c>
    </row>
    <row r="19" spans="1:11" ht="15.6" x14ac:dyDescent="0.3">
      <c r="A19" s="95"/>
      <c r="B19" s="25">
        <f t="shared" si="4"/>
        <v>10</v>
      </c>
      <c r="C19" s="25"/>
      <c r="D19" s="25">
        <f t="shared" ref="D19:D21" si="7">J19+50</f>
        <v>218</v>
      </c>
      <c r="E19" s="35">
        <f t="shared" ref="E19:E21" si="8">K19-2</f>
        <v>491</v>
      </c>
      <c r="F19" s="98" t="str">
        <f t="shared" si="6"/>
        <v>PR6</v>
      </c>
      <c r="G19" s="1"/>
      <c r="I19" s="3">
        <f t="shared" si="2"/>
        <v>10</v>
      </c>
      <c r="J19" s="4">
        <f t="shared" si="3"/>
        <v>168</v>
      </c>
      <c r="K19" s="4">
        <f t="shared" si="3"/>
        <v>493</v>
      </c>
    </row>
    <row r="20" spans="1:11" ht="15.6" x14ac:dyDescent="0.3">
      <c r="A20" s="95"/>
      <c r="B20" s="25">
        <f t="shared" si="4"/>
        <v>5</v>
      </c>
      <c r="C20" s="25"/>
      <c r="D20" s="25">
        <f t="shared" si="7"/>
        <v>388</v>
      </c>
      <c r="E20" s="35">
        <f t="shared" si="8"/>
        <v>491</v>
      </c>
      <c r="F20" s="98" t="str">
        <f t="shared" si="6"/>
        <v>PR6</v>
      </c>
      <c r="G20" s="1"/>
      <c r="I20" s="3">
        <f t="shared" si="2"/>
        <v>5</v>
      </c>
      <c r="J20" s="4">
        <f t="shared" si="3"/>
        <v>338</v>
      </c>
      <c r="K20" s="4">
        <f t="shared" si="3"/>
        <v>493</v>
      </c>
    </row>
    <row r="21" spans="1:11" ht="15.6" x14ac:dyDescent="0.3">
      <c r="A21" s="95"/>
      <c r="B21" s="25">
        <f t="shared" si="4"/>
        <v>2</v>
      </c>
      <c r="C21" s="25"/>
      <c r="D21" s="25">
        <f t="shared" si="7"/>
        <v>730</v>
      </c>
      <c r="E21" s="35">
        <f t="shared" si="8"/>
        <v>491</v>
      </c>
      <c r="F21" s="98" t="str">
        <f t="shared" si="6"/>
        <v>PR6</v>
      </c>
      <c r="G21" s="1"/>
      <c r="I21" s="3">
        <f t="shared" si="2"/>
        <v>2</v>
      </c>
      <c r="J21" s="4">
        <f t="shared" si="3"/>
        <v>680</v>
      </c>
      <c r="K21" s="4">
        <f t="shared" si="3"/>
        <v>493</v>
      </c>
    </row>
    <row r="22" spans="1:11" ht="15.6" x14ac:dyDescent="0.3">
      <c r="A22" s="52"/>
      <c r="B22" s="6"/>
      <c r="C22" s="6"/>
      <c r="D22" s="6"/>
      <c r="E22" s="88"/>
      <c r="F22" s="6"/>
      <c r="G22" s="1"/>
      <c r="I22" s="89"/>
      <c r="J22" s="2"/>
      <c r="K22" s="2"/>
    </row>
    <row r="23" spans="1:11" ht="6.75" customHeight="1" x14ac:dyDescent="0.3">
      <c r="A23" s="1"/>
      <c r="B23" s="1"/>
      <c r="C23" s="1"/>
      <c r="D23" s="1"/>
      <c r="E23" s="1"/>
      <c r="F23" s="1"/>
      <c r="G23" s="1"/>
    </row>
    <row r="24" spans="1:11" ht="15.6" x14ac:dyDescent="0.3">
      <c r="A24" s="123" t="s">
        <v>14</v>
      </c>
      <c r="B24" s="123"/>
      <c r="C24" s="123"/>
      <c r="D24" s="123"/>
      <c r="E24" s="123"/>
      <c r="F24" s="123"/>
      <c r="G24" s="1"/>
    </row>
    <row r="25" spans="1:11" ht="10.5" customHeight="1" x14ac:dyDescent="0.3">
      <c r="A25" s="1"/>
      <c r="B25" s="1"/>
      <c r="C25" s="12"/>
      <c r="D25" s="1"/>
      <c r="E25" s="1"/>
      <c r="F25" s="1"/>
      <c r="G25" s="1"/>
    </row>
    <row r="26" spans="1:11" ht="15.6" x14ac:dyDescent="0.3">
      <c r="A26" s="1"/>
      <c r="B26" s="1"/>
      <c r="C26" s="1"/>
      <c r="D26" s="52" t="s">
        <v>7</v>
      </c>
      <c r="E26" s="52" t="s">
        <v>8</v>
      </c>
      <c r="F26" s="1"/>
      <c r="G26" s="1"/>
    </row>
    <row r="27" spans="1:11" ht="15.6" x14ac:dyDescent="0.3">
      <c r="A27" s="52" t="s">
        <v>9</v>
      </c>
      <c r="B27" s="36" t="s">
        <v>10</v>
      </c>
      <c r="C27" s="36" t="s">
        <v>11</v>
      </c>
      <c r="D27" s="21">
        <v>40</v>
      </c>
      <c r="E27" s="21">
        <v>70</v>
      </c>
      <c r="F27" s="36" t="s">
        <v>110</v>
      </c>
      <c r="G27" s="1"/>
      <c r="J27" s="5" t="s">
        <v>7</v>
      </c>
      <c r="K27" s="5" t="s">
        <v>8</v>
      </c>
    </row>
    <row r="28" spans="1:11" ht="15.6" x14ac:dyDescent="0.3">
      <c r="A28" s="95"/>
      <c r="B28" s="16">
        <f t="shared" ref="B28" si="9">I28</f>
        <v>1</v>
      </c>
      <c r="C28" s="16"/>
      <c r="D28" s="16">
        <f t="shared" ref="D28:D34" si="10">J28+D$27</f>
        <v>3580</v>
      </c>
      <c r="E28" s="16">
        <f>K28+150</f>
        <v>850</v>
      </c>
      <c r="F28" s="99" t="str">
        <f t="shared" ref="F28:F34" si="11">C40</f>
        <v xml:space="preserve">CUB C/R 180° </v>
      </c>
      <c r="G28" s="1"/>
      <c r="I28" s="3">
        <f t="shared" ref="I28:I34" si="12">B40</f>
        <v>1</v>
      </c>
      <c r="J28" s="4">
        <f t="shared" ref="J28:K28" si="13">D40</f>
        <v>3540</v>
      </c>
      <c r="K28" s="4">
        <f t="shared" si="13"/>
        <v>700</v>
      </c>
    </row>
    <row r="29" spans="1:11" ht="15.6" x14ac:dyDescent="0.3">
      <c r="A29" s="95"/>
      <c r="B29" s="16">
        <f t="shared" ref="B29:B34" si="14">I29</f>
        <v>1</v>
      </c>
      <c r="C29" s="16"/>
      <c r="D29" s="16">
        <f t="shared" si="10"/>
        <v>2020</v>
      </c>
      <c r="E29" s="16">
        <f>K29+60</f>
        <v>860</v>
      </c>
      <c r="F29" s="99" t="str">
        <f t="shared" si="11"/>
        <v>CUB S/R 180° TRASCARA BLANCA</v>
      </c>
      <c r="G29" s="1"/>
      <c r="I29" s="3">
        <f t="shared" si="12"/>
        <v>1</v>
      </c>
      <c r="J29" s="4">
        <f t="shared" ref="J29:K34" si="15">D41</f>
        <v>1980</v>
      </c>
      <c r="K29" s="4">
        <f t="shared" si="15"/>
        <v>800</v>
      </c>
    </row>
    <row r="30" spans="1:11" ht="15.6" x14ac:dyDescent="0.3">
      <c r="A30" s="95"/>
      <c r="B30" s="16">
        <f t="shared" si="14"/>
        <v>1</v>
      </c>
      <c r="C30" s="16"/>
      <c r="D30" s="16">
        <f t="shared" si="10"/>
        <v>1890</v>
      </c>
      <c r="E30" s="16">
        <f>K30+60</f>
        <v>760</v>
      </c>
      <c r="F30" s="99" t="str">
        <f t="shared" si="11"/>
        <v>CUB S/R 180° TRASCARA BLANCA</v>
      </c>
      <c r="G30" s="1"/>
      <c r="I30" s="3">
        <f t="shared" si="12"/>
        <v>1</v>
      </c>
      <c r="J30" s="4">
        <f t="shared" si="15"/>
        <v>1850</v>
      </c>
      <c r="K30" s="4">
        <f t="shared" si="15"/>
        <v>700</v>
      </c>
    </row>
    <row r="31" spans="1:11" ht="15.6" x14ac:dyDescent="0.3">
      <c r="A31" s="95"/>
      <c r="B31" s="16">
        <f t="shared" si="14"/>
        <v>16</v>
      </c>
      <c r="C31" s="16"/>
      <c r="D31" s="16">
        <f t="shared" si="10"/>
        <v>615</v>
      </c>
      <c r="E31" s="16">
        <f>K31+90</f>
        <v>363</v>
      </c>
      <c r="F31" s="99" t="str">
        <f t="shared" si="11"/>
        <v>PR6</v>
      </c>
      <c r="G31" s="1"/>
      <c r="I31" s="3">
        <f t="shared" si="12"/>
        <v>16</v>
      </c>
      <c r="J31" s="4">
        <f t="shared" si="15"/>
        <v>575</v>
      </c>
      <c r="K31" s="4">
        <f t="shared" si="15"/>
        <v>273</v>
      </c>
    </row>
    <row r="32" spans="1:11" ht="15.6" x14ac:dyDescent="0.3">
      <c r="A32" s="95"/>
      <c r="B32" s="16">
        <f t="shared" si="14"/>
        <v>10</v>
      </c>
      <c r="C32" s="16"/>
      <c r="D32" s="16">
        <f t="shared" si="10"/>
        <v>208</v>
      </c>
      <c r="E32" s="16">
        <f t="shared" ref="E32:E34" si="16">K32+90</f>
        <v>583</v>
      </c>
      <c r="F32" s="99" t="str">
        <f t="shared" si="11"/>
        <v>PR6</v>
      </c>
      <c r="G32" s="1"/>
      <c r="I32" s="3">
        <f t="shared" si="12"/>
        <v>10</v>
      </c>
      <c r="J32" s="4">
        <f t="shared" si="15"/>
        <v>168</v>
      </c>
      <c r="K32" s="4">
        <f t="shared" si="15"/>
        <v>493</v>
      </c>
    </row>
    <row r="33" spans="1:11" ht="15.6" x14ac:dyDescent="0.3">
      <c r="A33" s="95"/>
      <c r="B33" s="16">
        <f t="shared" si="14"/>
        <v>5</v>
      </c>
      <c r="C33" s="16"/>
      <c r="D33" s="16">
        <f t="shared" si="10"/>
        <v>378</v>
      </c>
      <c r="E33" s="16">
        <f t="shared" si="16"/>
        <v>583</v>
      </c>
      <c r="F33" s="99" t="str">
        <f t="shared" si="11"/>
        <v>PR6</v>
      </c>
      <c r="G33" s="1"/>
      <c r="I33" s="3">
        <f t="shared" si="12"/>
        <v>5</v>
      </c>
      <c r="J33" s="4">
        <f t="shared" si="15"/>
        <v>338</v>
      </c>
      <c r="K33" s="4">
        <f t="shared" si="15"/>
        <v>493</v>
      </c>
    </row>
    <row r="34" spans="1:11" ht="15.6" x14ac:dyDescent="0.3">
      <c r="A34" s="95"/>
      <c r="B34" s="16">
        <f t="shared" si="14"/>
        <v>2</v>
      </c>
      <c r="C34" s="16"/>
      <c r="D34" s="16">
        <f t="shared" si="10"/>
        <v>720</v>
      </c>
      <c r="E34" s="16">
        <f t="shared" si="16"/>
        <v>583</v>
      </c>
      <c r="F34" s="99" t="str">
        <f t="shared" si="11"/>
        <v>PR6</v>
      </c>
      <c r="G34" s="1"/>
      <c r="I34" s="3">
        <f t="shared" si="12"/>
        <v>2</v>
      </c>
      <c r="J34" s="4">
        <f t="shared" si="15"/>
        <v>680</v>
      </c>
      <c r="K34" s="4">
        <f t="shared" si="15"/>
        <v>493</v>
      </c>
    </row>
    <row r="35" spans="1:11" ht="15.6" x14ac:dyDescent="0.3">
      <c r="A35" s="95"/>
      <c r="B35" s="6"/>
      <c r="C35" s="6"/>
      <c r="D35" s="6"/>
      <c r="E35" s="6"/>
      <c r="F35" s="105"/>
      <c r="G35" s="1"/>
      <c r="I35" s="89"/>
      <c r="J35" s="2"/>
      <c r="K35" s="2"/>
    </row>
    <row r="36" spans="1:11" ht="16.2" thickBot="1" x14ac:dyDescent="0.35">
      <c r="A36" s="52"/>
      <c r="B36" s="6"/>
      <c r="C36" s="6"/>
      <c r="D36" s="6"/>
      <c r="E36" s="6"/>
      <c r="F36" s="6"/>
      <c r="G36" s="1"/>
      <c r="I36" s="2"/>
      <c r="J36" s="2"/>
      <c r="K36" s="2"/>
    </row>
    <row r="37" spans="1:11" ht="16.2" thickBot="1" x14ac:dyDescent="0.35">
      <c r="A37" s="52"/>
      <c r="B37" s="22" t="s">
        <v>107</v>
      </c>
      <c r="C37" s="23"/>
      <c r="D37" s="23"/>
      <c r="E37" s="23"/>
      <c r="F37" s="24"/>
      <c r="G37" s="1"/>
      <c r="I37" s="2"/>
      <c r="J37" s="2"/>
      <c r="K37" s="2"/>
    </row>
    <row r="38" spans="1:11" ht="10.5" customHeight="1" x14ac:dyDescent="0.3">
      <c r="A38" s="1"/>
      <c r="B38" s="1"/>
      <c r="C38" s="1"/>
      <c r="D38" s="1"/>
      <c r="E38" s="1"/>
      <c r="F38" s="1"/>
      <c r="G38" s="1"/>
    </row>
    <row r="39" spans="1:11" ht="15.6" x14ac:dyDescent="0.3">
      <c r="A39" s="52" t="s">
        <v>9</v>
      </c>
      <c r="B39" s="87" t="s">
        <v>10</v>
      </c>
      <c r="C39" s="87" t="s">
        <v>110</v>
      </c>
      <c r="D39" s="87" t="s">
        <v>7</v>
      </c>
      <c r="E39" s="87" t="s">
        <v>8</v>
      </c>
      <c r="F39" s="87" t="s">
        <v>23</v>
      </c>
      <c r="G39" s="1"/>
    </row>
    <row r="40" spans="1:11" ht="15.6" x14ac:dyDescent="0.3">
      <c r="A40" s="2" t="s">
        <v>145</v>
      </c>
      <c r="B40" s="25">
        <f>'4637'!B22</f>
        <v>1</v>
      </c>
      <c r="C40" s="98" t="str">
        <f>'4637'!C22</f>
        <v xml:space="preserve">CUB C/R 180° </v>
      </c>
      <c r="D40" s="25">
        <f>'4637'!D22</f>
        <v>3540</v>
      </c>
      <c r="E40" s="25">
        <f>'4637'!E22</f>
        <v>700</v>
      </c>
      <c r="F40" s="25" t="str">
        <f>'4637'!F22</f>
        <v>BLANCO MERINO 22191 SF</v>
      </c>
      <c r="G40" s="1"/>
    </row>
    <row r="41" spans="1:11" ht="15.6" x14ac:dyDescent="0.3">
      <c r="A41" s="95" t="s">
        <v>142</v>
      </c>
      <c r="B41" s="25">
        <f>'4637'!B23</f>
        <v>1</v>
      </c>
      <c r="C41" s="98" t="str">
        <f>'4637'!C23</f>
        <v>CUB S/R 180° TRASCARA BLANCA</v>
      </c>
      <c r="D41" s="25">
        <f>'4637'!D23</f>
        <v>1980</v>
      </c>
      <c r="E41" s="25">
        <f>'4637'!E23</f>
        <v>800</v>
      </c>
      <c r="F41" s="25" t="str">
        <f>'4637'!F23</f>
        <v>BLANCO MERINO 22191 SF</v>
      </c>
      <c r="G41" s="1"/>
    </row>
    <row r="42" spans="1:11" ht="15.6" x14ac:dyDescent="0.3">
      <c r="A42" s="95"/>
      <c r="B42" s="25">
        <f>'4637'!B24</f>
        <v>1</v>
      </c>
      <c r="C42" s="98" t="str">
        <f>'4637'!C24</f>
        <v>CUB S/R 180° TRASCARA BLANCA</v>
      </c>
      <c r="D42" s="25">
        <f>'4637'!D24</f>
        <v>1850</v>
      </c>
      <c r="E42" s="25">
        <f>'4637'!E24</f>
        <v>700</v>
      </c>
      <c r="F42" s="25" t="str">
        <f>'4637'!F24</f>
        <v>BLANCO MERINO 22191 SF</v>
      </c>
      <c r="G42" s="1"/>
    </row>
    <row r="43" spans="1:11" ht="15.6" x14ac:dyDescent="0.3">
      <c r="A43" s="95"/>
      <c r="B43" s="25">
        <f>'4637'!B25</f>
        <v>16</v>
      </c>
      <c r="C43" s="98" t="str">
        <f>'4637'!C25</f>
        <v>PR6</v>
      </c>
      <c r="D43" s="25">
        <f>'4637'!D25</f>
        <v>575</v>
      </c>
      <c r="E43" s="25">
        <f>'4637'!E25</f>
        <v>273</v>
      </c>
      <c r="F43" s="25" t="str">
        <f>'4637'!F25</f>
        <v>BLANCO MERINO 22191 SF</v>
      </c>
      <c r="G43" s="1"/>
    </row>
    <row r="44" spans="1:11" ht="15.6" x14ac:dyDescent="0.3">
      <c r="A44" s="95"/>
      <c r="B44" s="25">
        <f>'4637'!B26</f>
        <v>10</v>
      </c>
      <c r="C44" s="98" t="str">
        <f>'4637'!C26</f>
        <v>PR6</v>
      </c>
      <c r="D44" s="25">
        <f>'4637'!D26</f>
        <v>168</v>
      </c>
      <c r="E44" s="25">
        <f>'4637'!E26</f>
        <v>493</v>
      </c>
      <c r="F44" s="25" t="str">
        <f>'4637'!F26</f>
        <v>TURQUESA 2176 MT</v>
      </c>
      <c r="G44" s="1"/>
    </row>
    <row r="45" spans="1:11" ht="15.6" x14ac:dyDescent="0.3">
      <c r="A45" s="95"/>
      <c r="B45" s="25">
        <f>'4637'!B27</f>
        <v>5</v>
      </c>
      <c r="C45" s="98" t="str">
        <f>'4637'!C27</f>
        <v>PR6</v>
      </c>
      <c r="D45" s="25">
        <f>'4637'!D27</f>
        <v>338</v>
      </c>
      <c r="E45" s="25">
        <f>'4637'!E27</f>
        <v>493</v>
      </c>
      <c r="F45" s="25" t="str">
        <f>'4637'!F27</f>
        <v>TURQUESA 2176 MT</v>
      </c>
      <c r="G45" s="1"/>
    </row>
    <row r="46" spans="1:11" ht="15.6" x14ac:dyDescent="0.3">
      <c r="A46" s="95"/>
      <c r="B46" s="25">
        <f>'4637'!B28</f>
        <v>2</v>
      </c>
      <c r="C46" s="98" t="str">
        <f>'4637'!C28</f>
        <v>PR6</v>
      </c>
      <c r="D46" s="25">
        <f>'4637'!D28</f>
        <v>680</v>
      </c>
      <c r="E46" s="25">
        <f>'4637'!E28</f>
        <v>493</v>
      </c>
      <c r="F46" s="25" t="str">
        <f>'4637'!F28</f>
        <v>TURQUESA 2176 MT</v>
      </c>
      <c r="G46" s="1"/>
    </row>
    <row r="47" spans="1:11" ht="15.6" x14ac:dyDescent="0.3">
      <c r="A47" s="52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40" t="s">
        <v>27</v>
      </c>
      <c r="D57" s="14">
        <f>'4637'!G8</f>
        <v>7274</v>
      </c>
      <c r="E57" s="1"/>
      <c r="F57" s="1"/>
      <c r="G57" s="1"/>
    </row>
    <row r="58" spans="1:7" ht="17.25" customHeight="1" x14ac:dyDescent="0.3">
      <c r="A58" s="1"/>
      <c r="B58" s="1"/>
      <c r="C58" s="41" t="s">
        <v>67</v>
      </c>
      <c r="D58" s="42" t="str">
        <f>'4637'!C10</f>
        <v>CONSTRUCTORA ACACIA SPA</v>
      </c>
      <c r="E58" s="43"/>
      <c r="F58" s="43"/>
      <c r="G58" s="1"/>
    </row>
    <row r="59" spans="1:7" ht="4.5" customHeight="1" x14ac:dyDescent="0.3">
      <c r="A59" s="1"/>
      <c r="B59" s="1"/>
      <c r="C59" s="44"/>
      <c r="D59" s="45"/>
      <c r="E59" s="1"/>
      <c r="F59" s="1"/>
      <c r="G59" s="1"/>
    </row>
    <row r="60" spans="1:7" ht="15.6" x14ac:dyDescent="0.3">
      <c r="A60" s="1"/>
      <c r="B60" s="1"/>
      <c r="C60" s="46" t="str">
        <f>'4637'!F11</f>
        <v>FECHA LIMITE :</v>
      </c>
      <c r="D60" s="13">
        <f>'4637'!G11</f>
        <v>45843</v>
      </c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23" t="s">
        <v>68</v>
      </c>
      <c r="B63" s="123"/>
      <c r="C63" s="123"/>
      <c r="D63" s="123"/>
      <c r="E63" s="123"/>
      <c r="F63" s="123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75" customHeight="1" x14ac:dyDescent="0.3">
      <c r="A65" s="1"/>
      <c r="B65" s="124" t="s">
        <v>69</v>
      </c>
      <c r="C65" s="125"/>
      <c r="D65" s="126"/>
      <c r="E65" s="126"/>
      <c r="F65" s="127"/>
      <c r="G65" s="1"/>
    </row>
    <row r="66" spans="1:7" s="15" customFormat="1" ht="12.75" customHeight="1" x14ac:dyDescent="0.3">
      <c r="A66" s="1"/>
      <c r="B66" s="36" t="s">
        <v>10</v>
      </c>
      <c r="C66" s="47" t="s">
        <v>11</v>
      </c>
      <c r="D66" s="48" t="s">
        <v>7</v>
      </c>
      <c r="E66" s="48" t="s">
        <v>8</v>
      </c>
      <c r="F66" s="49" t="s">
        <v>12</v>
      </c>
      <c r="G66" s="1"/>
    </row>
    <row r="67" spans="1:7" s="15" customFormat="1" ht="15" customHeight="1" x14ac:dyDescent="0.3">
      <c r="A67" s="114" t="s">
        <v>145</v>
      </c>
      <c r="B67" s="38">
        <f>'4637'!B22</f>
        <v>1</v>
      </c>
      <c r="C67" s="97" t="str">
        <f>'4637'!C22</f>
        <v xml:space="preserve">CUB C/R 180° </v>
      </c>
      <c r="D67" s="39">
        <f>'4637'!D22</f>
        <v>3540</v>
      </c>
      <c r="E67" s="39">
        <f>'4637'!E22</f>
        <v>700</v>
      </c>
      <c r="F67" s="38" t="str">
        <f>'4637'!F22</f>
        <v>BLANCO MERINO 22191 SF</v>
      </c>
      <c r="G67" s="1"/>
    </row>
    <row r="68" spans="1:7" s="15" customFormat="1" ht="15" customHeight="1" x14ac:dyDescent="0.3">
      <c r="A68" s="95" t="s">
        <v>142</v>
      </c>
      <c r="B68" s="38">
        <f>'4637'!B23</f>
        <v>1</v>
      </c>
      <c r="C68" s="97" t="str">
        <f>'4637'!C23</f>
        <v>CUB S/R 180° TRASCARA BLANCA</v>
      </c>
      <c r="D68" s="39">
        <f>'4637'!D23</f>
        <v>1980</v>
      </c>
      <c r="E68" s="39">
        <f>'4637'!E23</f>
        <v>800</v>
      </c>
      <c r="F68" s="38" t="str">
        <f>'4637'!F23</f>
        <v>BLANCO MERINO 22191 SF</v>
      </c>
      <c r="G68" s="1"/>
    </row>
    <row r="69" spans="1:7" s="15" customFormat="1" ht="15" customHeight="1" x14ac:dyDescent="0.3">
      <c r="A69" s="95"/>
      <c r="B69" s="38">
        <f>'4637'!B24</f>
        <v>1</v>
      </c>
      <c r="C69" s="97" t="str">
        <f>'4637'!C24</f>
        <v>CUB S/R 180° TRASCARA BLANCA</v>
      </c>
      <c r="D69" s="39">
        <f>'4637'!D24</f>
        <v>1850</v>
      </c>
      <c r="E69" s="39">
        <f>'4637'!E24</f>
        <v>700</v>
      </c>
      <c r="F69" s="38" t="str">
        <f>'4637'!F24</f>
        <v>BLANCO MERINO 22191 SF</v>
      </c>
      <c r="G69" s="1"/>
    </row>
    <row r="70" spans="1:7" s="15" customFormat="1" ht="15" customHeight="1" x14ac:dyDescent="0.3">
      <c r="A70" s="95"/>
      <c r="B70" s="38">
        <f>'4637'!B25</f>
        <v>16</v>
      </c>
      <c r="C70" s="97" t="str">
        <f>'4637'!C25</f>
        <v>PR6</v>
      </c>
      <c r="D70" s="39">
        <f>'4637'!D25</f>
        <v>575</v>
      </c>
      <c r="E70" s="39">
        <f>'4637'!E25</f>
        <v>273</v>
      </c>
      <c r="F70" s="38" t="str">
        <f>'4637'!F25</f>
        <v>BLANCO MERINO 22191 SF</v>
      </c>
      <c r="G70" s="1"/>
    </row>
    <row r="71" spans="1:7" s="15" customFormat="1" ht="15" customHeight="1" x14ac:dyDescent="0.3">
      <c r="A71" s="95"/>
      <c r="B71" s="38">
        <f>'4637'!B26</f>
        <v>10</v>
      </c>
      <c r="C71" s="97" t="str">
        <f>'4637'!C26</f>
        <v>PR6</v>
      </c>
      <c r="D71" s="39">
        <f>'4637'!D26</f>
        <v>168</v>
      </c>
      <c r="E71" s="39">
        <f>'4637'!E26</f>
        <v>493</v>
      </c>
      <c r="F71" s="38" t="str">
        <f>'4637'!F26</f>
        <v>TURQUESA 2176 MT</v>
      </c>
      <c r="G71" s="1"/>
    </row>
    <row r="72" spans="1:7" s="15" customFormat="1" ht="15" customHeight="1" x14ac:dyDescent="0.3">
      <c r="A72" s="95"/>
      <c r="B72" s="38">
        <f>'4637'!B27</f>
        <v>5</v>
      </c>
      <c r="C72" s="97" t="str">
        <f>'4637'!C27</f>
        <v>PR6</v>
      </c>
      <c r="D72" s="39">
        <f>'4637'!D27</f>
        <v>338</v>
      </c>
      <c r="E72" s="39">
        <f>'4637'!E27</f>
        <v>493</v>
      </c>
      <c r="F72" s="38" t="str">
        <f>'4637'!F27</f>
        <v>TURQUESA 2176 MT</v>
      </c>
      <c r="G72" s="1"/>
    </row>
    <row r="73" spans="1:7" s="15" customFormat="1" ht="15" customHeight="1" x14ac:dyDescent="0.3">
      <c r="A73" s="95"/>
      <c r="B73" s="38">
        <f>'4637'!B28</f>
        <v>2</v>
      </c>
      <c r="C73" s="97" t="str">
        <f>'4637'!C28</f>
        <v>PR6</v>
      </c>
      <c r="D73" s="39">
        <f>'4637'!D28</f>
        <v>680</v>
      </c>
      <c r="E73" s="39">
        <f>'4637'!E28</f>
        <v>493</v>
      </c>
      <c r="F73" s="38" t="str">
        <f>'4637'!F28</f>
        <v>TURQUESA 2176 MT</v>
      </c>
      <c r="G73" s="1"/>
    </row>
    <row r="74" spans="1:7" s="15" customFormat="1" ht="15" customHeight="1" x14ac:dyDescent="0.3">
      <c r="A74" s="95"/>
      <c r="B74" s="52"/>
      <c r="C74" s="113"/>
      <c r="D74" s="52"/>
      <c r="E74" s="52"/>
      <c r="F74" s="52"/>
      <c r="G74" s="1"/>
    </row>
    <row r="75" spans="1:7" s="15" customFormat="1" ht="15" customHeight="1" x14ac:dyDescent="0.3">
      <c r="A75" s="50"/>
      <c r="B75" s="52"/>
      <c r="C75" s="52"/>
      <c r="D75" s="52"/>
      <c r="E75" s="52"/>
      <c r="F75" s="52"/>
      <c r="G75" s="1"/>
    </row>
    <row r="76" spans="1:7" ht="15.6" x14ac:dyDescent="0.3">
      <c r="A76" s="6"/>
      <c r="B76" s="6"/>
      <c r="C76" s="1"/>
      <c r="D76" s="6"/>
      <c r="E76" s="6"/>
      <c r="F76" s="44"/>
      <c r="G76" s="1"/>
    </row>
    <row r="77" spans="1:7" ht="15.6" x14ac:dyDescent="0.3">
      <c r="A77" s="6"/>
      <c r="B77" s="6"/>
      <c r="C77" s="1"/>
      <c r="D77" s="6"/>
      <c r="E77" s="6"/>
      <c r="F77" s="6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1"/>
      <c r="B80" s="1"/>
      <c r="C80" s="1"/>
      <c r="D80" s="1"/>
      <c r="E80" s="1"/>
      <c r="F80" s="1"/>
      <c r="G80" s="1"/>
    </row>
    <row r="81" spans="1:7" ht="15" customHeight="1" x14ac:dyDescent="0.3">
      <c r="A81" s="1"/>
      <c r="B81" s="1"/>
      <c r="C81" s="1"/>
      <c r="D81" s="1"/>
      <c r="E81" s="1"/>
      <c r="F81" s="1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6"/>
      <c r="B83" s="5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x14ac:dyDescent="0.3">
      <c r="B85" s="20"/>
      <c r="C85" s="20"/>
      <c r="D85" s="20"/>
      <c r="E85" s="20"/>
      <c r="F85" s="20"/>
    </row>
    <row r="86" spans="1:7" x14ac:dyDescent="0.3">
      <c r="B86" s="20"/>
      <c r="C86" s="20"/>
      <c r="E86" s="20"/>
      <c r="F86" s="20"/>
    </row>
  </sheetData>
  <mergeCells count="6">
    <mergeCell ref="M3:N3"/>
    <mergeCell ref="A24:F24"/>
    <mergeCell ref="A10:F10"/>
    <mergeCell ref="A63:F63"/>
    <mergeCell ref="B65:F6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2025-08-29T12:52:38Z</cp:lastPrinted>
  <dcterms:created xsi:type="dcterms:W3CDTF">2013-03-19T12:54:14Z</dcterms:created>
  <dcterms:modified xsi:type="dcterms:W3CDTF">2025-08-29T12:53:04Z</dcterms:modified>
</cp:coreProperties>
</file>