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8 AGOSTO 2025\"/>
    </mc:Choice>
  </mc:AlternateContent>
  <xr:revisionPtr revIDLastSave="0" documentId="13_ncr:1_{FA5BE2D2-93D0-437B-9B05-DCFA08F2CC9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3" l="1"/>
  <c r="F27" i="3" s="1"/>
  <c r="E50" i="3"/>
  <c r="E27" i="3" s="1"/>
  <c r="D50" i="3"/>
  <c r="D27" i="3" s="1"/>
  <c r="C50" i="3"/>
  <c r="C27" i="3" s="1"/>
  <c r="B50" i="3"/>
  <c r="B27" i="3" s="1"/>
  <c r="H21" i="4"/>
  <c r="H24" i="4" l="1"/>
  <c r="H25" i="4" s="1"/>
  <c r="H26" i="4" s="1"/>
  <c r="I21" i="3" l="1"/>
  <c r="J21" i="3"/>
  <c r="K21" i="3"/>
  <c r="E21" i="3" s="1"/>
  <c r="F21" i="3"/>
  <c r="D5" i="3"/>
  <c r="K14" i="3" l="1"/>
  <c r="E14" i="3" s="1"/>
  <c r="I14" i="3"/>
  <c r="F14" i="3"/>
  <c r="J14" i="3"/>
  <c r="D14" i="3" s="1"/>
  <c r="D21" i="3" l="1"/>
  <c r="B21" i="3"/>
  <c r="N5" i="3" l="1"/>
  <c r="M5" i="3" l="1"/>
  <c r="L5" i="3"/>
  <c r="K5" i="3"/>
  <c r="C40" i="3" l="1"/>
  <c r="C7" i="3"/>
  <c r="D39" i="3"/>
  <c r="D40" i="3"/>
  <c r="D7" i="3"/>
  <c r="D38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<sst xmlns="http://schemas.openxmlformats.org/spreadsheetml/2006/main" count="243" uniqueCount="140">
  <si>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</si>
  <si>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</si>
  <si>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</si>
  <si>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</si>
  <si>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</si>
  <si>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</si>
  <si>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</si>
  <si>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</si>
  <si>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</si>
  <si>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</si>
  <si>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</si>
  <si>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</si>
  <si>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</si>
  <si>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</si>
  <si>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</si>
  <si>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</si>
  <si>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</si>
  <si>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</si>
  <si>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</si>
  <si>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</si>
  <si>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</si>
  <si>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</si>
  <si>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</si>
  <si>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</si>
  <si>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</si>
  <si>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</si>
  <si>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</si>
  <si>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</si>
  <si>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</si>
  <si>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</si>
  <si>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</si>
  <si>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</si>
  <si>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</si>
  <si>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</si>
  <si>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</si>
  <si>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</si>
  <si>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</si>
  <si>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</si>
  <si>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</si>
  <si>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</si>
  <si>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</si>
  <si>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</si>
  <si>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</si>
  <si>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</si>
  <si>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</si>
  <si>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</si>
  <si>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</si>
  <si>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</si>
  <si>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</si>
  <si>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</si>
  <si>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</si>
  <si>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</si>
  <si>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</si>
  <si>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</si>
  <si>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</si>
  <si>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</si>
  <si>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</si>
  <si>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</si>
  <si>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</si>
  <si>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</si>
  <si>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</si>
  <si>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</si>
  <si>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</si>
  <si>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</si>
  <si>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</si>
  <si>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</si>
  <si>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</si>
  <si>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</si>
  <si>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</si>
  <si>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</si>
  <si>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</si>
  <si>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</si>
  <si>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</si>
  <si>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</si>
  <si>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</si>
  <si>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</si>
  <si>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</si>
  <si>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</si>
  <si>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</si>
  <si>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</si>
  <si>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</si>
  <si>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</si>
  <si>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</si>
  <si>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</si>
  <si>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</si>
  <si>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</si>
  <si>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</si>
  <si>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</si>
  <si>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</si>
  <si>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</si>
  <si>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</si>
  <si>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</si>
  <si>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</si>
  <si>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</si>
  <si>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</si>
  <si>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</si>
  <si>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</si>
  <si>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</si>
  <si>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</si>
  <si>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</si>
  <si>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</si>
  <si>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</si>
  <si>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</si>
  <si>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</si>
  <si>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</si>
  <si>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</si>
  <si>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</si>
  <si>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</si>
  <si>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</si>
  <si>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</si>
  <si>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</si>
  <si>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</si>
  <si>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</si>
  <si>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</si>
  <si>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</si>
  <si>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</si>
  <si>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</si>
  <si>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</si>
  <si>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</si>
  <si>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</si>
  <si>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</si>
  <si>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</si>
  <si>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</si>
  <si>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</si>
  <si>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</si>
  <si>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</si>
  <si>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</si>
  <si>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</si>
  <si>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</si>
  <si>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</si>
  <si>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</si>
  <si>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</si>
  <si>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</si>
  <si>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</si>
  <si>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</si>
  <si>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CECILIA VELASQUEZ</t>
  </si>
  <si>
    <t>CLASICC 3111 BR</t>
  </si>
  <si>
    <t>+569 8228 4128</t>
  </si>
  <si>
    <t>CUB MESA 2 LADOS</t>
  </si>
  <si>
    <t>N° 11603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</si>
</sst>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42" fontId="3" fillId="0" borderId="1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$ 22.663.-</a:t>
          </a:r>
        </a:p>
        <a:p>
          <a:pPr algn="l"/>
          <a:r>
            <a:rPr lang="es-CL" sz="900" b="1" i="1" baseline="0"/>
            <a:t> 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6</xdr:col>
      <xdr:colOff>15240</xdr:colOff>
      <xdr:row>17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2392680</xdr:colOff>
      <xdr:row>46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5</xdr:col>
      <xdr:colOff>2392680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CUBIERTA SANDWICH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2 PLANCHAS DE 18mm ENCHAPADA TAMBIEN POR ABAJO.</a:t>
          </a:r>
          <a:endParaRPr lang="es-CL">
            <a:effectLst/>
          </a:endParaRPr>
        </a:p>
        <a:p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CUBIERTA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ENTREGA CORTADA A LA MEDIDA Y ENCHAPADA EN LOS COSTADOS.</a:t>
          </a:r>
          <a:endParaRPr lang="es-CL">
            <a:effectLst/>
          </a:endParaRPr>
        </a:p>
        <a:p>
          <a:endParaRPr lang="es-CL">
            <a:effectLst/>
          </a:endParaRP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5</xdr:col>
      <xdr:colOff>2392680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CUBIERTA SANDWICH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2 PLANCHAS DE 18mm ENCHAPADA TAMBIEN POR ABAJO.</a:t>
          </a:r>
          <a:endParaRPr lang="es-CL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CUBIERTA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ENTREGA CORTADA A LA MEDIDA Y ENCHAPADA EN LOS COSTADOS.</a:t>
          </a:r>
          <a:endParaRPr lang="es-CL">
            <a:effectLst/>
          </a:endParaRPr>
        </a:p>
        <a:p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41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4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6.4414062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139</v>
      </c>
      <c r="E8" s="1"/>
      <c r="F8" s="91" t="s">
        <v>27</v>
      </c>
      <c r="G8" s="92">
        <v>7256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135</v>
      </c>
      <c r="D10" s="54"/>
      <c r="E10" s="54"/>
      <c r="F10" s="55" t="s">
        <v>28</v>
      </c>
      <c r="G10" s="56">
        <v>45888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04"/>
      <c r="D11" s="59"/>
      <c r="E11" s="59"/>
      <c r="F11" s="59" t="s">
        <v>124</v>
      </c>
      <c r="G11" s="60">
        <v>45894</v>
      </c>
      <c r="H11" s="61"/>
      <c r="I11" s="1"/>
    </row>
    <row r="12" spans="1:17" ht="16.8" x14ac:dyDescent="0.4">
      <c r="A12" s="1"/>
      <c r="B12" s="62" t="s">
        <v>129</v>
      </c>
      <c r="C12" s="101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20" t="s">
        <v>137</v>
      </c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2"/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3" t="s">
        <v>134</v>
      </c>
      <c r="D16" s="68"/>
      <c r="E16" s="69"/>
      <c r="F16" s="121" t="s">
        <v>18</v>
      </c>
      <c r="G16" s="121"/>
      <c r="H16" s="12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3" t="s">
        <v>19</v>
      </c>
      <c r="C19" s="124"/>
      <c r="D19" s="124"/>
      <c r="E19" s="124"/>
      <c r="F19" s="124"/>
      <c r="G19" s="124"/>
      <c r="H19" s="125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5.6" x14ac:dyDescent="0.3">
      <c r="A21" s="1"/>
      <c r="B21" s="114">
        <v>1</v>
      </c>
      <c r="C21" s="115" t="s">
        <v>138</v>
      </c>
      <c r="D21" s="115">
        <v>1000</v>
      </c>
      <c r="E21" s="115">
        <v>265</v>
      </c>
      <c r="F21" s="115" t="s">
        <v>136</v>
      </c>
      <c r="G21" s="116">
        <v>38090</v>
      </c>
      <c r="H21" s="117">
        <f>G21*B21</f>
        <v>38090</v>
      </c>
      <c r="I21" s="1"/>
    </row>
    <row r="22" spans="1:16" ht="18" customHeight="1" x14ac:dyDescent="0.3">
      <c r="A22" s="1"/>
      <c r="B22" s="94"/>
      <c r="C22" s="94"/>
      <c r="D22" s="94"/>
      <c r="E22" s="94"/>
      <c r="F22" s="95"/>
      <c r="G22" s="96"/>
      <c r="H22" s="96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SUM(H21:H21)</f>
        <v>38090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H24*0.19</f>
        <v>7237.1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9" t="s">
        <v>4</v>
      </c>
      <c r="H26" s="80">
        <f>H24+H25</f>
        <v>45327.1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1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1" t="s">
        <v>123</v>
      </c>
      <c r="C29" s="82"/>
      <c r="D29" s="83"/>
      <c r="E29" s="83"/>
      <c r="F29" s="73"/>
      <c r="G29" s="1"/>
      <c r="H29" s="1"/>
      <c r="I29" s="1"/>
    </row>
    <row r="30" spans="1:16" ht="15.6" x14ac:dyDescent="0.3">
      <c r="A30" s="1"/>
      <c r="B30" s="81" t="s">
        <v>122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4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31</v>
      </c>
      <c r="C2" s="126"/>
      <c r="D2" s="126"/>
      <c r="E2" s="18"/>
      <c r="G2" s="126" t="s">
        <v>70</v>
      </c>
      <c r="H2" s="126"/>
      <c r="I2" s="126"/>
      <c r="P2" s="127" t="s">
        <v>58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7" t="s">
        <v>58</v>
      </c>
      <c r="M8" s="127"/>
      <c r="N8" s="12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topLeftCell="A42" zoomScaleNormal="100" workbookViewId="0">
      <selection activeCell="F36" sqref="A36:F6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8" t="s">
        <v>61</v>
      </c>
      <c r="L3" s="128"/>
      <c r="M3" s="128" t="s">
        <v>14</v>
      </c>
      <c r="N3" s="128"/>
    </row>
    <row r="4" spans="1:14" ht="15.75" customHeight="1" x14ac:dyDescent="0.3">
      <c r="A4" s="1"/>
      <c r="B4" s="1"/>
      <c r="C4" s="40" t="s">
        <v>27</v>
      </c>
      <c r="D4" s="14">
        <f>'4637'!G8</f>
        <v>7256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CECILIA VELASQUEZ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45894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9" t="s">
        <v>61</v>
      </c>
      <c r="B10" s="129"/>
      <c r="C10" s="129"/>
      <c r="D10" s="129"/>
      <c r="E10" s="129"/>
      <c r="F10" s="12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131</v>
      </c>
      <c r="B14" s="25">
        <v>2</v>
      </c>
      <c r="C14" s="16"/>
      <c r="D14" s="25">
        <f>J14+D$13</f>
        <v>1050</v>
      </c>
      <c r="E14" s="35">
        <f>K14+$E$13</f>
        <v>265</v>
      </c>
      <c r="F14" s="99" t="str">
        <f>F27</f>
        <v>CLASICC 3111 BR</v>
      </c>
      <c r="G14" s="1"/>
      <c r="I14" s="3">
        <f>B27</f>
        <v>1</v>
      </c>
      <c r="J14" s="4">
        <f>D27</f>
        <v>1000</v>
      </c>
      <c r="K14" s="4">
        <f>E27</f>
        <v>265</v>
      </c>
    </row>
    <row r="15" spans="1:14" x14ac:dyDescent="0.3">
      <c r="A15" s="93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9" t="s">
        <v>14</v>
      </c>
      <c r="B17" s="129"/>
      <c r="C17" s="129"/>
      <c r="D17" s="129"/>
      <c r="E17" s="129"/>
      <c r="F17" s="12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6" t="s">
        <v>10</v>
      </c>
      <c r="C20" s="36" t="s">
        <v>11</v>
      </c>
      <c r="D20" s="21">
        <v>40</v>
      </c>
      <c r="E20" s="21">
        <v>100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36">
        <f t="shared" ref="B21" si="0">I21</f>
        <v>1</v>
      </c>
      <c r="C21" s="136"/>
      <c r="D21" s="136">
        <f>J21+D$20</f>
        <v>1040</v>
      </c>
      <c r="E21" s="136">
        <f>K21+$E$20</f>
        <v>365</v>
      </c>
      <c r="F21" s="137" t="str">
        <f>F27</f>
        <v>CLASICC 3111 BR</v>
      </c>
      <c r="G21" s="1"/>
      <c r="I21" s="3">
        <f>B27</f>
        <v>1</v>
      </c>
      <c r="J21" s="4">
        <f>D27</f>
        <v>1000</v>
      </c>
      <c r="K21" s="4">
        <f>E27</f>
        <v>265</v>
      </c>
    </row>
    <row r="22" spans="1:11" ht="15.6" x14ac:dyDescent="0.3">
      <c r="A22" s="93"/>
      <c r="B22" s="25">
        <v>1</v>
      </c>
      <c r="C22" s="25"/>
      <c r="D22" s="25">
        <v>1040</v>
      </c>
      <c r="E22" s="25">
        <v>300</v>
      </c>
      <c r="F22" s="99"/>
      <c r="G22" s="1"/>
      <c r="I22" s="134"/>
      <c r="J22" s="135"/>
      <c r="K22" s="135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7" t="s">
        <v>10</v>
      </c>
      <c r="C26" s="87" t="s">
        <v>110</v>
      </c>
      <c r="D26" s="87" t="s">
        <v>7</v>
      </c>
      <c r="E26" s="87" t="s">
        <v>8</v>
      </c>
      <c r="F26" s="87" t="s">
        <v>23</v>
      </c>
      <c r="G26" s="1"/>
    </row>
    <row r="27" spans="1:11" ht="15.6" x14ac:dyDescent="0.3">
      <c r="A27" s="93" t="s">
        <v>131</v>
      </c>
      <c r="B27" s="25">
        <f>B50</f>
        <v>1</v>
      </c>
      <c r="C27" s="25" t="str">
        <f t="shared" ref="C27:F27" si="1">C50</f>
        <v>CUB MESA 2 LADOS</v>
      </c>
      <c r="D27" s="25">
        <f t="shared" si="1"/>
        <v>1000</v>
      </c>
      <c r="E27" s="25">
        <f t="shared" si="1"/>
        <v>265</v>
      </c>
      <c r="F27" s="25" t="str">
        <f t="shared" si="1"/>
        <v>CLASICC 3111 BR</v>
      </c>
      <c r="G27" s="1"/>
    </row>
    <row r="28" spans="1:11" ht="15.6" x14ac:dyDescent="0.3">
      <c r="A28" s="93"/>
      <c r="B28" s="6"/>
      <c r="C28" s="118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6.2" thickBot="1" x14ac:dyDescent="0.35">
      <c r="A37" s="1"/>
      <c r="B37" s="1"/>
      <c r="G37" s="1"/>
    </row>
    <row r="38" spans="1:7" ht="15.6" x14ac:dyDescent="0.3">
      <c r="A38" s="1"/>
      <c r="B38" s="1"/>
      <c r="C38" s="105" t="s">
        <v>27</v>
      </c>
      <c r="D38" s="106">
        <f>'4637'!G8</f>
        <v>7256</v>
      </c>
      <c r="E38" s="107"/>
      <c r="F38" s="108"/>
      <c r="G38" s="1"/>
    </row>
    <row r="39" spans="1:7" ht="15.6" x14ac:dyDescent="0.3">
      <c r="A39" s="1"/>
      <c r="B39" s="1"/>
      <c r="C39" s="109" t="s">
        <v>67</v>
      </c>
      <c r="D39" s="42" t="str">
        <f>'4637'!C10</f>
        <v>CECILIA VELASQUEZ</v>
      </c>
      <c r="E39" s="43"/>
      <c r="F39" s="64"/>
      <c r="G39" s="1"/>
    </row>
    <row r="40" spans="1:7" ht="16.2" thickBot="1" x14ac:dyDescent="0.35">
      <c r="A40" s="1"/>
      <c r="B40" s="1"/>
      <c r="C40" s="110" t="str">
        <f>'4637'!F11</f>
        <v>FECHA LIMITE :</v>
      </c>
      <c r="D40" s="111">
        <f>'4637'!G11</f>
        <v>45894</v>
      </c>
      <c r="E40" s="112"/>
      <c r="F40" s="113"/>
      <c r="G40" s="1"/>
    </row>
    <row r="41" spans="1:7" ht="15.6" x14ac:dyDescent="0.3">
      <c r="A41" s="1"/>
      <c r="B41" s="1"/>
      <c r="G41" s="1"/>
    </row>
    <row r="42" spans="1:7" ht="17.25" customHeight="1" x14ac:dyDescent="0.3">
      <c r="A42" s="1"/>
      <c r="B42" s="1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9" t="s">
        <v>68</v>
      </c>
      <c r="B46" s="129"/>
      <c r="C46" s="129"/>
      <c r="D46" s="129"/>
      <c r="E46" s="129"/>
      <c r="F46" s="129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30" t="s">
        <v>69</v>
      </c>
      <c r="C48" s="131"/>
      <c r="D48" s="132"/>
      <c r="E48" s="132"/>
      <c r="F48" s="133"/>
      <c r="G48" s="1"/>
    </row>
    <row r="49" spans="1:7" s="15" customFormat="1" ht="12.75" customHeight="1" x14ac:dyDescent="0.3">
      <c r="A49" s="1"/>
      <c r="B49" s="36" t="s">
        <v>10</v>
      </c>
      <c r="C49" s="46" t="s">
        <v>11</v>
      </c>
      <c r="D49" s="47" t="s">
        <v>7</v>
      </c>
      <c r="E49" s="47" t="s">
        <v>8</v>
      </c>
      <c r="F49" s="48" t="s">
        <v>12</v>
      </c>
      <c r="G49" s="1"/>
    </row>
    <row r="50" spans="1:7" s="15" customFormat="1" ht="15" customHeight="1" x14ac:dyDescent="0.3">
      <c r="A50" s="93" t="s">
        <v>131</v>
      </c>
      <c r="B50" s="38">
        <f>'4637'!B21</f>
        <v>1</v>
      </c>
      <c r="C50" s="98" t="str">
        <f>'4637'!C21</f>
        <v>CUB MESA 2 LADOS</v>
      </c>
      <c r="D50" s="39">
        <f>'4637'!D21</f>
        <v>1000</v>
      </c>
      <c r="E50" s="39">
        <f>'4637'!E21</f>
        <v>265</v>
      </c>
      <c r="F50" s="100" t="str">
        <f>'4637'!F21</f>
        <v>CLASICC 3111 BR</v>
      </c>
      <c r="G50" s="1"/>
    </row>
    <row r="51" spans="1:7" s="15" customFormat="1" ht="15" customHeight="1" x14ac:dyDescent="0.3">
      <c r="A51" s="93"/>
      <c r="B51" s="51"/>
      <c r="C51" s="119"/>
      <c r="D51" s="51"/>
      <c r="E51" s="51"/>
      <c r="F51" s="94"/>
      <c r="G51" s="1"/>
    </row>
    <row r="52" spans="1:7" s="15" customFormat="1" ht="15" customHeight="1" x14ac:dyDescent="0.3">
      <c r="A52" s="49"/>
      <c r="B52" s="51"/>
      <c r="C52" s="51"/>
      <c r="D52" s="51"/>
      <c r="E52" s="51"/>
      <c r="F52" s="51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0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7:F17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2025-08-21T13:42:24Z</cp:lastPrinted>
  <dcterms:created xsi:type="dcterms:W3CDTF">2013-03-19T12:54:14Z</dcterms:created>
  <dcterms:modified xsi:type="dcterms:W3CDTF">2025-08-21T13:42:26Z</dcterms:modified>
</cp:coreProperties>
</file>