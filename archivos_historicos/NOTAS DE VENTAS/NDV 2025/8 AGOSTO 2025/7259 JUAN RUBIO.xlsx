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8 AGOSTO 2025\"/>
    </mc:Choice>
  </mc:AlternateContent>
  <xr:revisionPtr revIDLastSave="0" documentId="13_ncr:1_{AD9965B7-10F7-4F6A-B3CF-5FB7C3608B5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'4637'!$A$1:$H$32</definedName>
    <definedName name="_xlnm.Print_Area" localSheetId="2">CUBIERTA!$A$1:$F$38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3" l="1"/>
  <c r="F16" i="3"/>
  <c r="H28" i="4" l="1"/>
  <c r="H27" i="4"/>
  <c r="H26" i="4"/>
  <c r="D54" i="3"/>
  <c r="D31" i="3" s="1"/>
  <c r="J24" i="3" s="1"/>
  <c r="D24" i="3" s="1"/>
  <c r="E54" i="3"/>
  <c r="E31" i="3" s="1"/>
  <c r="K24" i="3" s="1"/>
  <c r="E24" i="3" s="1"/>
  <c r="D55" i="3"/>
  <c r="D32" i="3" s="1"/>
  <c r="J25" i="3" s="1"/>
  <c r="D25" i="3" s="1"/>
  <c r="E55" i="3"/>
  <c r="E32" i="3" s="1"/>
  <c r="K25" i="3" s="1"/>
  <c r="E53" i="3"/>
  <c r="D53" i="3"/>
  <c r="B54" i="3"/>
  <c r="B31" i="3" s="1"/>
  <c r="I24" i="3" s="1"/>
  <c r="B24" i="3" s="1"/>
  <c r="C54" i="3"/>
  <c r="C31" i="3" s="1"/>
  <c r="F54" i="3"/>
  <c r="F31" i="3" s="1"/>
  <c r="F24" i="3" s="1"/>
  <c r="B55" i="3"/>
  <c r="B32" i="3" s="1"/>
  <c r="I25" i="3" s="1"/>
  <c r="B25" i="3" s="1"/>
  <c r="C55" i="3"/>
  <c r="C32" i="3" s="1"/>
  <c r="F55" i="3"/>
  <c r="F32" i="3" s="1"/>
  <c r="F25" i="3" s="1"/>
  <c r="I16" i="3" l="1"/>
  <c r="B16" i="3" s="1"/>
  <c r="K15" i="3"/>
  <c r="E15" i="3" s="1"/>
  <c r="K16" i="3"/>
  <c r="J15" i="3"/>
  <c r="D15" i="3" s="1"/>
  <c r="J16" i="3"/>
  <c r="D16" i="3" s="1"/>
  <c r="I15" i="3"/>
  <c r="B15" i="3" s="1"/>
  <c r="F53" i="3"/>
  <c r="F30" i="3" s="1"/>
  <c r="E30" i="3"/>
  <c r="D30" i="3"/>
  <c r="C53" i="3"/>
  <c r="C30" i="3" s="1"/>
  <c r="B53" i="3"/>
  <c r="B30" i="3" s="1"/>
  <c r="I23" i="3" l="1"/>
  <c r="J23" i="3"/>
  <c r="D23" i="3" s="1"/>
  <c r="K23" i="3"/>
  <c r="E23" i="3" s="1"/>
  <c r="F23" i="3"/>
  <c r="D5" i="3"/>
  <c r="K14" i="3" l="1"/>
  <c r="E14" i="3" s="1"/>
  <c r="I14" i="3"/>
  <c r="F14" i="3"/>
  <c r="J14" i="3"/>
  <c r="D14" i="3" s="1"/>
  <c r="B23" i="3" l="1"/>
  <c r="B14" i="3"/>
  <c r="N5" i="3" l="1"/>
  <c r="M5" i="3" l="1"/>
  <c r="L5" i="3"/>
  <c r="K5" i="3"/>
  <c r="C44" i="3" l="1"/>
  <c r="C7" i="3"/>
  <c r="D43" i="3"/>
  <c r="D44" i="3"/>
  <c r="D7" i="3"/>
  <c r="D42" i="3"/>
  <c r="D4" i="3"/>
</calcChain>
</file>

<file path=xl/sharedStrings.xml><?xml version="1.0" encoding="utf-8"?>
<sst xmlns="http://schemas.openxmlformats.org/spreadsheetml/2006/main" count="246" uniqueCount="140">
  <si>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</si>
  <si>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</si>
  <si>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</si>
  <si>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</si>
  <si>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</si>
  <si>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</si>
  <si>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</si>
  <si>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</si>
  <si>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</si>
  <si>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</si>
  <si>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</si>
  <si>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</si>
  <si>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</si>
  <si>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</si>
  <si>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</si>
  <si>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</si>
  <si>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</si>
  <si>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</si>
  <si>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</si>
  <si>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</si>
  <si>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</si>
  <si>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</si>
  <si>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</si>
  <si>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</si>
  <si>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</si>
  <si>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</si>
  <si>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</si>
  <si>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</si>
  <si>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</si>
  <si>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</si>
  <si>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</si>
  <si>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</si>
  <si>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</si>
  <si>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</si>
  <si>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</si>
  <si>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</si>
  <si>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</si>
  <si>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</si>
  <si>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</si>
  <si>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</si>
  <si>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</si>
  <si>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</si>
  <si>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</si>
  <si>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</si>
  <si>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</si>
  <si>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</si>
  <si>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</si>
  <si>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</si>
  <si>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</si>
  <si>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</si>
  <si>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</si>
  <si>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</si>
  <si>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</si>
  <si>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</si>
  <si>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</si>
  <si>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</si>
  <si>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</si>
  <si>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</si>
  <si>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</si>
  <si>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</si>
  <si>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</si>
  <si>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</si>
  <si>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</si>
  <si>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</si>
  <si>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</si>
  <si>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</si>
  <si>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</si>
  <si>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</si>
  <si>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</si>
  <si>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</si>
  <si>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</si>
  <si>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</si>
  <si>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</si>
  <si>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</si>
  <si>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</si>
  <si>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</si>
  <si>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</si>
  <si>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</si>
  <si>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</si>
  <si>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</si>
  <si>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</si>
  <si>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</si>
  <si>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</si>
  <si>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</si>
  <si>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</si>
  <si>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</si>
  <si>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</si>
  <si>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</si>
  <si>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</si>
  <si>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</si>
  <si>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</si>
  <si>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</si>
  <si>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</si>
  <si>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</si>
  <si>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</si>
  <si>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</si>
  <si>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</si>
  <si>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</si>
  <si>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</si>
  <si>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</si>
  <si>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</si>
  <si>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</si>
  <si>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</si>
  <si>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</si>
  <si>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</si>
  <si>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</si>
  <si>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</si>
  <si>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</si>
  <si>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</si>
  <si>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</si>
  <si>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</si>
  <si>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</si>
  <si>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</si>
  <si>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</si>
  <si>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</si>
  <si>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</si>
  <si>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</si>
  <si>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</si>
  <si>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</si>
  <si>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</si>
  <si>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</si>
  <si>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</si>
  <si>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</si>
  <si>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</si>
  <si>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</si>
  <si>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</si>
  <si>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</si>
  <si>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</si>
  <si>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</si>
  <si>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</si>
  <si>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CONTACTO:</t>
  </si>
  <si>
    <t>MDF18MM</t>
  </si>
  <si>
    <t>NO</t>
  </si>
  <si>
    <t>CONTADO</t>
  </si>
  <si>
    <t>SANTIAGO</t>
  </si>
  <si>
    <t>N° 11571</t>
  </si>
  <si>
    <t>GRANITINO NEGRO BR</t>
  </si>
  <si>
    <t>JUAN RUBIO</t>
  </si>
  <si>
    <t>CUB CON RESPALDO R8</t>
  </si>
  <si>
    <t>CUB SIN RESPALDO 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</si>
</sst>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4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8" fillId="0" borderId="0" xfId="0" applyFont="1"/>
    <xf numFmtId="0" fontId="18" fillId="3" borderId="0" xfId="0" applyFont="1" applyFill="1"/>
    <xf numFmtId="0" fontId="19" fillId="0" borderId="9" xfId="2" applyFont="1" applyFill="1" applyBorder="1" applyAlignment="1">
      <alignment horizontal="left"/>
    </xf>
    <xf numFmtId="0" fontId="0" fillId="0" borderId="0" xfId="0" applyAlignment="1">
      <alignment horizontal="left"/>
    </xf>
    <xf numFmtId="0" fontId="11" fillId="0" borderId="3" xfId="0" applyFont="1" applyBorder="1" applyAlignment="1">
      <alignment horizontal="left" indent="1"/>
    </xf>
    <xf numFmtId="0" fontId="1" fillId="0" borderId="4" xfId="0" applyFont="1" applyBorder="1" applyAlignment="1">
      <alignment horizontal="left"/>
    </xf>
    <xf numFmtId="0" fontId="3" fillId="0" borderId="4" xfId="0" applyFont="1" applyBorder="1"/>
    <xf numFmtId="0" fontId="3" fillId="0" borderId="5" xfId="0" applyFont="1" applyBorder="1"/>
    <xf numFmtId="0" fontId="11" fillId="3" borderId="6" xfId="0" applyFont="1" applyFill="1" applyBorder="1" applyAlignment="1">
      <alignment horizontal="left" indent="1"/>
    </xf>
    <xf numFmtId="14" fontId="11" fillId="0" borderId="8" xfId="0" applyNumberFormat="1" applyFont="1" applyBorder="1" applyAlignment="1">
      <alignment horizontal="left" indent="1"/>
    </xf>
    <xf numFmtId="14" fontId="1" fillId="0" borderId="9" xfId="0" applyNumberFormat="1" applyFont="1" applyBorder="1" applyAlignment="1">
      <alignment horizontal="left" wrapText="1" shrinkToFit="1"/>
    </xf>
    <xf numFmtId="0" fontId="3" fillId="0" borderId="9" xfId="0" applyFont="1" applyBorder="1"/>
    <xf numFmtId="0" fontId="3" fillId="0" borderId="10" xfId="0" applyFont="1" applyBorder="1"/>
    <xf numFmtId="0" fontId="20" fillId="0" borderId="0" xfId="0" quotePrefix="1" applyFont="1"/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166" fontId="3" fillId="0" borderId="22" xfId="1" applyNumberFormat="1" applyFont="1" applyFill="1" applyBorder="1" applyAlignment="1">
      <alignment horizontal="center" vertical="center"/>
    </xf>
    <xf numFmtId="166" fontId="3" fillId="0" borderId="35" xfId="1" applyNumberFormat="1" applyFont="1" applyFill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1" fontId="15" fillId="0" borderId="22" xfId="0" applyNumberFormat="1" applyFont="1" applyBorder="1" applyAlignment="1">
      <alignment horizontal="center" vertical="center"/>
    </xf>
    <xf numFmtId="1" fontId="15" fillId="0" borderId="33" xfId="0" applyNumberFormat="1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25</xdr:row>
      <xdr:rowOff>9525</xdr:rowOff>
    </xdr:from>
    <xdr:to>
      <xdr:col>5</xdr:col>
      <xdr:colOff>1390650</xdr:colOff>
      <xdr:row>28</xdr:row>
      <xdr:rowOff>15240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9550" y="5541645"/>
          <a:ext cx="59055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47625</xdr:rowOff>
    </xdr:from>
    <xdr:to>
      <xdr:col>5</xdr:col>
      <xdr:colOff>2392680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882140" y="1076325"/>
          <a:ext cx="6781800" cy="19621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17</xdr:row>
      <xdr:rowOff>76200</xdr:rowOff>
    </xdr:from>
    <xdr:to>
      <xdr:col>6</xdr:col>
      <xdr:colOff>15240</xdr:colOff>
      <xdr:row>19</xdr:row>
      <xdr:rowOff>22860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3497580"/>
          <a:ext cx="8534400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2392680</xdr:colOff>
      <xdr:row>10</xdr:row>
      <xdr:rowOff>7620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1649730"/>
          <a:ext cx="8492490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47</xdr:row>
      <xdr:rowOff>171450</xdr:rowOff>
    </xdr:from>
    <xdr:to>
      <xdr:col>5</xdr:col>
      <xdr:colOff>2392680</xdr:colOff>
      <xdr:row>49</xdr:row>
      <xdr:rowOff>15240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582150"/>
          <a:ext cx="8502015" cy="24003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56</xdr:row>
      <xdr:rowOff>0</xdr:rowOff>
    </xdr:from>
    <xdr:to>
      <xdr:col>2</xdr:col>
      <xdr:colOff>38100</xdr:colOff>
      <xdr:row>57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56</xdr:row>
      <xdr:rowOff>0</xdr:rowOff>
    </xdr:from>
    <xdr:to>
      <xdr:col>2</xdr:col>
      <xdr:colOff>1019175</xdr:colOff>
      <xdr:row>56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56</xdr:row>
      <xdr:rowOff>0</xdr:rowOff>
    </xdr:from>
    <xdr:to>
      <xdr:col>3</xdr:col>
      <xdr:colOff>352425</xdr:colOff>
      <xdr:row>57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56</xdr:row>
      <xdr:rowOff>0</xdr:rowOff>
    </xdr:from>
    <xdr:to>
      <xdr:col>4</xdr:col>
      <xdr:colOff>257175</xdr:colOff>
      <xdr:row>57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56</xdr:row>
      <xdr:rowOff>0</xdr:rowOff>
    </xdr:from>
    <xdr:to>
      <xdr:col>5</xdr:col>
      <xdr:colOff>447675</xdr:colOff>
      <xdr:row>56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56</xdr:row>
      <xdr:rowOff>0</xdr:rowOff>
    </xdr:from>
    <xdr:to>
      <xdr:col>6</xdr:col>
      <xdr:colOff>0</xdr:colOff>
      <xdr:row>56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56</xdr:row>
      <xdr:rowOff>190500</xdr:rowOff>
    </xdr:from>
    <xdr:to>
      <xdr:col>2</xdr:col>
      <xdr:colOff>304800</xdr:colOff>
      <xdr:row>58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56</xdr:row>
      <xdr:rowOff>190500</xdr:rowOff>
    </xdr:from>
    <xdr:to>
      <xdr:col>2</xdr:col>
      <xdr:colOff>1276350</xdr:colOff>
      <xdr:row>58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56</xdr:row>
      <xdr:rowOff>190500</xdr:rowOff>
    </xdr:from>
    <xdr:to>
      <xdr:col>3</xdr:col>
      <xdr:colOff>619125</xdr:colOff>
      <xdr:row>58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56</xdr:row>
      <xdr:rowOff>190500</xdr:rowOff>
    </xdr:from>
    <xdr:to>
      <xdr:col>4</xdr:col>
      <xdr:colOff>523875</xdr:colOff>
      <xdr:row>58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56</xdr:row>
      <xdr:rowOff>190500</xdr:rowOff>
    </xdr:from>
    <xdr:to>
      <xdr:col>5</xdr:col>
      <xdr:colOff>723900</xdr:colOff>
      <xdr:row>58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56</xdr:row>
      <xdr:rowOff>190500</xdr:rowOff>
    </xdr:from>
    <xdr:to>
      <xdr:col>6</xdr:col>
      <xdr:colOff>0</xdr:colOff>
      <xdr:row>58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33</xdr:row>
      <xdr:rowOff>15239</xdr:rowOff>
    </xdr:from>
    <xdr:to>
      <xdr:col>5</xdr:col>
      <xdr:colOff>2392680</xdr:colOff>
      <xdr:row>37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979919"/>
          <a:ext cx="827151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 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CUBIERTA DE 2,42 VA CORTADA A LA MEDIDA Y ENCHAPADA EN EL COSTADO</a:t>
          </a:r>
          <a:r>
            <a:rPr lang="es-C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IZQ MIRANDOLA DESDE EL FRENTE. CUBIERTA DE 0,66 VA CORTADA A LA MEDIDA Y ENCHAPADA EN EL LADO DER MIRANDOLA DESDE EL FRENTE.</a:t>
          </a:r>
          <a:endParaRPr lang="es-CL">
            <a:effectLst/>
          </a:endParaRPr>
        </a:p>
        <a:p>
          <a:r>
            <a:rPr lang="es-C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CUBIERTA SIN RESPALDO VA ENCHAPADA EN EL COSTADO DERECHO MIRANDOLA DESDE EL FRENTE Y EN LA PARTE TRASERA.</a:t>
          </a:r>
          <a:endParaRPr lang="es-CL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25</xdr:row>
      <xdr:rowOff>200025</xdr:rowOff>
    </xdr:from>
    <xdr:to>
      <xdr:col>6</xdr:col>
      <xdr:colOff>19049</xdr:colOff>
      <xdr:row>27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59</xdr:row>
      <xdr:rowOff>32385</xdr:rowOff>
    </xdr:from>
    <xdr:to>
      <xdr:col>5</xdr:col>
      <xdr:colOff>2392680</xdr:colOff>
      <xdr:row>63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73455" y="12140565"/>
          <a:ext cx="769048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CUBIERTA DE 2,42 VA CORTADA A LA MEDIDA Y ENCHAPADA EN EL COSTADO</a:t>
          </a:r>
          <a:r>
            <a:rPr lang="es-C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IZQ MIRANDOLA DESDE EL FRENTE. CUBIERTA DE 0,66 VA CORTADA A LA MEDIDA Y ENCHAPADA EN EL LADO DER MIRANDOLA DESDE EL FRENTE.</a:t>
          </a:r>
          <a:endParaRPr lang="es-CL">
            <a:effectLst/>
          </a:endParaRPr>
        </a:p>
        <a:p>
          <a:r>
            <a:rPr lang="es-C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CUBIERTA SIN RESPALDO VA ENCHAPADA EN EL COSTADO DERECHO MIRANDOLA DESDE EL FRENTE Y EN LA PARTE TRASERA.</a:t>
          </a:r>
          <a:endParaRPr lang="es-CL">
            <a:effectLst/>
          </a:endParaRPr>
        </a:p>
        <a:p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40</xdr:row>
      <xdr:rowOff>41910</xdr:rowOff>
    </xdr:from>
    <xdr:to>
      <xdr:col>1</xdr:col>
      <xdr:colOff>801763</xdr:colOff>
      <xdr:row>45</xdr:row>
      <xdr:rowOff>190500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5"/>
  <sheetViews>
    <sheetView workbookViewId="0">
      <selection activeCell="I15" sqref="I15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41" customWidth="1"/>
    <col min="4" max="5" width="9.109375" customWidth="1"/>
    <col min="6" max="6" width="33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8" t="s">
        <v>16</v>
      </c>
      <c r="C8" s="89"/>
      <c r="D8" s="90" t="s">
        <v>135</v>
      </c>
      <c r="E8" s="1"/>
      <c r="F8" s="91" t="s">
        <v>27</v>
      </c>
      <c r="G8" s="92">
        <v>7259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128</v>
      </c>
      <c r="C10" s="85" t="s">
        <v>137</v>
      </c>
      <c r="D10" s="54"/>
      <c r="E10" s="54"/>
      <c r="F10" s="55" t="s">
        <v>28</v>
      </c>
      <c r="G10" s="56">
        <v>45880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8" t="s">
        <v>2</v>
      </c>
      <c r="C11" s="105"/>
      <c r="D11" s="59"/>
      <c r="E11" s="59"/>
      <c r="F11" s="59" t="s">
        <v>124</v>
      </c>
      <c r="G11" s="60">
        <v>45883</v>
      </c>
      <c r="H11" s="61"/>
      <c r="I11" s="1"/>
    </row>
    <row r="12" spans="1:17" ht="16.8" x14ac:dyDescent="0.4">
      <c r="A12" s="1"/>
      <c r="B12" s="62" t="s">
        <v>129</v>
      </c>
      <c r="C12" s="102"/>
      <c r="D12" s="43"/>
      <c r="E12" s="43"/>
      <c r="F12" s="43" t="s">
        <v>30</v>
      </c>
      <c r="G12" s="63"/>
      <c r="H12" s="64"/>
      <c r="I12" s="1"/>
    </row>
    <row r="13" spans="1:17" ht="15.6" x14ac:dyDescent="0.3">
      <c r="A13" s="1"/>
      <c r="B13" s="62" t="s">
        <v>130</v>
      </c>
      <c r="D13" s="43"/>
      <c r="E13" s="43"/>
      <c r="F13" s="43" t="s">
        <v>127</v>
      </c>
      <c r="G13" s="63"/>
      <c r="H13" s="64"/>
      <c r="I13" s="1"/>
    </row>
    <row r="14" spans="1:17" ht="15.6" x14ac:dyDescent="0.3">
      <c r="A14" s="1"/>
      <c r="B14" s="58" t="s">
        <v>17</v>
      </c>
      <c r="C14" s="115"/>
      <c r="D14" s="65"/>
      <c r="E14" s="59"/>
      <c r="F14" s="59" t="s">
        <v>29</v>
      </c>
      <c r="G14" s="59" t="s">
        <v>132</v>
      </c>
      <c r="H14" s="61"/>
      <c r="I14" s="1"/>
    </row>
    <row r="15" spans="1:17" ht="16.8" x14ac:dyDescent="0.4">
      <c r="A15" s="1"/>
      <c r="B15" s="62" t="s">
        <v>1</v>
      </c>
      <c r="C15" s="103"/>
      <c r="D15" s="43"/>
      <c r="E15" s="43"/>
      <c r="F15" s="66" t="s">
        <v>75</v>
      </c>
      <c r="G15" s="66" t="s">
        <v>133</v>
      </c>
      <c r="H15" s="64"/>
      <c r="I15" s="1"/>
    </row>
    <row r="16" spans="1:17" ht="16.2" thickBot="1" x14ac:dyDescent="0.35">
      <c r="A16" s="1"/>
      <c r="B16" s="67" t="s">
        <v>3</v>
      </c>
      <c r="C16" s="104" t="s">
        <v>134</v>
      </c>
      <c r="D16" s="68"/>
      <c r="E16" s="69"/>
      <c r="F16" s="131" t="s">
        <v>18</v>
      </c>
      <c r="G16" s="131"/>
      <c r="H16" s="132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33" t="s">
        <v>19</v>
      </c>
      <c r="C19" s="134"/>
      <c r="D19" s="134"/>
      <c r="E19" s="134"/>
      <c r="F19" s="134"/>
      <c r="G19" s="134"/>
      <c r="H19" s="135"/>
      <c r="I19" s="1"/>
    </row>
    <row r="20" spans="1:16" ht="16.2" thickBot="1" x14ac:dyDescent="0.35">
      <c r="A20" s="1"/>
      <c r="B20" s="70" t="s">
        <v>20</v>
      </c>
      <c r="C20" s="71" t="s">
        <v>21</v>
      </c>
      <c r="D20" s="71" t="s">
        <v>22</v>
      </c>
      <c r="E20" s="71" t="s">
        <v>8</v>
      </c>
      <c r="F20" s="72" t="s">
        <v>23</v>
      </c>
      <c r="G20" s="70" t="s">
        <v>24</v>
      </c>
      <c r="H20" s="72" t="s">
        <v>4</v>
      </c>
      <c r="I20" s="1"/>
    </row>
    <row r="21" spans="1:16" ht="15.6" x14ac:dyDescent="0.3">
      <c r="A21" s="1"/>
      <c r="B21" s="116">
        <v>1</v>
      </c>
      <c r="C21" s="117" t="s">
        <v>138</v>
      </c>
      <c r="D21" s="128">
        <v>2420</v>
      </c>
      <c r="E21" s="128">
        <v>500</v>
      </c>
      <c r="F21" s="117" t="s">
        <v>136</v>
      </c>
      <c r="G21" s="118">
        <v>81110.011560133993</v>
      </c>
      <c r="H21" s="119">
        <v>81110.011560133993</v>
      </c>
      <c r="I21" s="1"/>
    </row>
    <row r="22" spans="1:16" ht="15.6" x14ac:dyDescent="0.3">
      <c r="A22" s="1"/>
      <c r="B22" s="124">
        <v>1</v>
      </c>
      <c r="C22" s="125" t="s">
        <v>138</v>
      </c>
      <c r="D22" s="129">
        <v>650</v>
      </c>
      <c r="E22" s="129">
        <v>500</v>
      </c>
      <c r="F22" s="125" t="s">
        <v>136</v>
      </c>
      <c r="G22" s="126">
        <v>23100.123375559124</v>
      </c>
      <c r="H22" s="127">
        <v>23100.123375559124</v>
      </c>
      <c r="I22" s="1"/>
    </row>
    <row r="23" spans="1:16" ht="16.2" thickBot="1" x14ac:dyDescent="0.35">
      <c r="A23" s="1"/>
      <c r="B23" s="120">
        <v>1</v>
      </c>
      <c r="C23" s="121" t="s">
        <v>139</v>
      </c>
      <c r="D23" s="130">
        <v>1495</v>
      </c>
      <c r="E23" s="130">
        <v>370</v>
      </c>
      <c r="F23" s="121" t="s">
        <v>136</v>
      </c>
      <c r="G23" s="122">
        <v>38668.428064306878</v>
      </c>
      <c r="H23" s="123">
        <v>38668.428064306878</v>
      </c>
      <c r="I23" s="1"/>
    </row>
    <row r="24" spans="1:16" ht="18" customHeight="1" x14ac:dyDescent="0.3">
      <c r="A24" s="1"/>
      <c r="B24" s="94"/>
      <c r="C24" s="94"/>
      <c r="D24" s="94"/>
      <c r="E24" s="94"/>
      <c r="F24" s="95"/>
      <c r="G24" s="96"/>
      <c r="H24" s="96"/>
      <c r="I24" s="1"/>
      <c r="K24" s="17"/>
      <c r="L24" s="26"/>
      <c r="M24" s="17"/>
      <c r="N24" s="17"/>
      <c r="O24" s="26"/>
      <c r="P24" s="33"/>
    </row>
    <row r="25" spans="1:16" ht="8.25" customHeight="1" thickBot="1" x14ac:dyDescent="0.35">
      <c r="A25" s="1"/>
      <c r="B25" s="73"/>
      <c r="C25" s="73"/>
      <c r="D25" s="73"/>
      <c r="E25" s="73"/>
      <c r="F25" s="73"/>
      <c r="G25" s="74"/>
      <c r="H25" s="74"/>
      <c r="I25" s="1"/>
    </row>
    <row r="26" spans="1:16" ht="15.6" x14ac:dyDescent="0.3">
      <c r="A26" s="1"/>
      <c r="B26" s="1"/>
      <c r="C26" s="1"/>
      <c r="D26" s="1"/>
      <c r="E26" s="1"/>
      <c r="F26" s="1"/>
      <c r="G26" s="75" t="s">
        <v>5</v>
      </c>
      <c r="H26" s="76">
        <f>SUM(H21:H23)</f>
        <v>142878.56299999999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77" t="s">
        <v>6</v>
      </c>
      <c r="H27" s="78">
        <f>H26*0.19</f>
        <v>27146.92697</v>
      </c>
      <c r="I27" s="1"/>
    </row>
    <row r="28" spans="1:16" ht="16.2" thickBot="1" x14ac:dyDescent="0.35">
      <c r="A28" s="1"/>
      <c r="B28" s="1"/>
      <c r="C28" s="1"/>
      <c r="D28" s="1"/>
      <c r="E28" s="1"/>
      <c r="F28" s="1"/>
      <c r="G28" s="79" t="s">
        <v>4</v>
      </c>
      <c r="H28" s="80">
        <f>H26+H27</f>
        <v>170025.48997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51"/>
      <c r="H29" s="97"/>
      <c r="I29" s="1"/>
    </row>
    <row r="30" spans="1:16" ht="15.6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16" ht="15.6" x14ac:dyDescent="0.3">
      <c r="A31" s="1"/>
      <c r="B31" s="81" t="s">
        <v>123</v>
      </c>
      <c r="C31" s="82"/>
      <c r="D31" s="83"/>
      <c r="E31" s="83"/>
      <c r="F31" s="73"/>
      <c r="G31" s="1"/>
      <c r="H31" s="1"/>
      <c r="I31" s="1"/>
    </row>
    <row r="32" spans="1:16" ht="15.6" x14ac:dyDescent="0.3">
      <c r="A32" s="1"/>
      <c r="B32" s="81" t="s">
        <v>122</v>
      </c>
      <c r="C32" s="82"/>
      <c r="D32" s="83"/>
      <c r="E32" s="83"/>
      <c r="F32" s="73"/>
      <c r="G32" s="1"/>
      <c r="H32" s="1"/>
      <c r="I32" s="1"/>
    </row>
    <row r="33" spans="1:9" ht="15.6" x14ac:dyDescent="0.3">
      <c r="A33" s="1"/>
      <c r="B33" s="1" t="s">
        <v>25</v>
      </c>
      <c r="C33" s="1"/>
      <c r="D33" s="1"/>
      <c r="E33" s="84" t="s">
        <v>26</v>
      </c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</sheetData>
  <sortState xmlns:xlrd2="http://schemas.microsoft.com/office/spreadsheetml/2017/richdata2" ref="B37">
    <sortCondition sortBy="fontColor" ref="B37" dxfId="0"/>
  </sortState>
  <mergeCells count="2">
    <mergeCell ref="F16:H16"/>
    <mergeCell ref="B19:H19"/>
  </mergeCells>
  <phoneticPr fontId="10" type="noConversion"/>
  <hyperlinks>
    <hyperlink ref="E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11"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6" t="s">
        <v>31</v>
      </c>
      <c r="C2" s="136"/>
      <c r="D2" s="136"/>
      <c r="E2" s="18"/>
      <c r="G2" s="136" t="s">
        <v>70</v>
      </c>
      <c r="H2" s="136"/>
      <c r="I2" s="136"/>
      <c r="P2" s="137" t="s">
        <v>58</v>
      </c>
      <c r="Q2" s="137"/>
      <c r="R2" s="137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37" t="s">
        <v>58</v>
      </c>
      <c r="M8" s="137"/>
      <c r="N8" s="137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126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7"/>
  <sheetViews>
    <sheetView tabSelected="1" zoomScaleNormal="100" workbookViewId="0">
      <selection activeCell="C30" sqref="C30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125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38" t="s">
        <v>61</v>
      </c>
      <c r="L3" s="138"/>
      <c r="M3" s="138" t="s">
        <v>14</v>
      </c>
      <c r="N3" s="138"/>
    </row>
    <row r="4" spans="1:14" ht="15.75" customHeight="1" x14ac:dyDescent="0.3">
      <c r="A4" s="1"/>
      <c r="B4" s="1"/>
      <c r="C4" s="40" t="s">
        <v>27</v>
      </c>
      <c r="D4" s="14">
        <f>'4637'!G8</f>
        <v>7259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JUAN RUBIO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6" t="str">
        <f>'4637'!F11</f>
        <v>FECHA LIMITE :</v>
      </c>
      <c r="D7" s="13">
        <f>'4637'!G11</f>
        <v>45883</v>
      </c>
      <c r="E7" s="1"/>
      <c r="F7" s="1"/>
      <c r="G7" s="1"/>
    </row>
    <row r="8" spans="1:14" ht="15.6" x14ac:dyDescent="0.3">
      <c r="A8" s="1"/>
      <c r="B8" s="1"/>
      <c r="C8" s="52"/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39" t="s">
        <v>61</v>
      </c>
      <c r="B10" s="139"/>
      <c r="C10" s="139"/>
      <c r="D10" s="139"/>
      <c r="E10" s="139"/>
      <c r="F10" s="139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3" t="s">
        <v>131</v>
      </c>
      <c r="B14" s="25">
        <f>I14</f>
        <v>1</v>
      </c>
      <c r="C14" s="16"/>
      <c r="D14" s="25">
        <f>J14+D$13</f>
        <v>2470</v>
      </c>
      <c r="E14" s="35">
        <f>K14+$E$13</f>
        <v>470</v>
      </c>
      <c r="F14" s="99" t="str">
        <f>F30</f>
        <v>GRANITINO NEGRO BR</v>
      </c>
      <c r="G14" s="1"/>
      <c r="I14" s="3">
        <f t="shared" ref="I14:I16" si="0">B30</f>
        <v>1</v>
      </c>
      <c r="J14" s="4">
        <f>D30</f>
        <v>2420</v>
      </c>
      <c r="K14" s="4">
        <f>E30</f>
        <v>500</v>
      </c>
    </row>
    <row r="15" spans="1:14" ht="15.6" x14ac:dyDescent="0.3">
      <c r="A15" s="93"/>
      <c r="B15" s="25">
        <f>I15</f>
        <v>1</v>
      </c>
      <c r="C15" s="16"/>
      <c r="D15" s="25">
        <f t="shared" ref="D15:D16" si="1">J15+D$13</f>
        <v>700</v>
      </c>
      <c r="E15" s="35">
        <f t="shared" ref="E15" si="2">K15+$E$13</f>
        <v>470</v>
      </c>
      <c r="F15" s="99" t="str">
        <f t="shared" ref="F15:F16" si="3">F31</f>
        <v>GRANITINO NEGRO BR</v>
      </c>
      <c r="G15" s="1"/>
      <c r="I15" s="3">
        <f t="shared" si="0"/>
        <v>1</v>
      </c>
      <c r="J15" s="4">
        <f t="shared" ref="J15:K15" si="4">D31</f>
        <v>650</v>
      </c>
      <c r="K15" s="4">
        <f t="shared" si="4"/>
        <v>500</v>
      </c>
    </row>
    <row r="16" spans="1:14" ht="15.6" x14ac:dyDescent="0.3">
      <c r="A16" s="93"/>
      <c r="B16" s="25">
        <f t="shared" ref="B16" si="5">I16</f>
        <v>1</v>
      </c>
      <c r="C16" s="16"/>
      <c r="D16" s="25">
        <f t="shared" si="1"/>
        <v>1545</v>
      </c>
      <c r="E16" s="35">
        <v>370</v>
      </c>
      <c r="F16" s="99" t="str">
        <f t="shared" si="3"/>
        <v>GRANITINO NEGRO BR</v>
      </c>
      <c r="G16" s="1"/>
      <c r="I16" s="3">
        <f t="shared" si="0"/>
        <v>1</v>
      </c>
      <c r="J16" s="4">
        <f t="shared" ref="J16:K16" si="6">D32</f>
        <v>1495</v>
      </c>
      <c r="K16" s="4">
        <f t="shared" si="6"/>
        <v>370</v>
      </c>
    </row>
    <row r="17" spans="1:11" x14ac:dyDescent="0.3">
      <c r="A17" s="93"/>
    </row>
    <row r="18" spans="1:11" ht="6.75" customHeight="1" x14ac:dyDescent="0.3">
      <c r="A18" s="1"/>
      <c r="B18" s="1"/>
      <c r="C18" s="1"/>
      <c r="D18" s="1"/>
      <c r="E18" s="1"/>
      <c r="F18" s="1"/>
      <c r="G18" s="1"/>
    </row>
    <row r="19" spans="1:11" ht="15.6" x14ac:dyDescent="0.3">
      <c r="A19" s="139" t="s">
        <v>14</v>
      </c>
      <c r="B19" s="139"/>
      <c r="C19" s="139"/>
      <c r="D19" s="139"/>
      <c r="E19" s="139"/>
      <c r="F19" s="139"/>
      <c r="G19" s="1"/>
    </row>
    <row r="20" spans="1:11" ht="10.5" customHeight="1" x14ac:dyDescent="0.3">
      <c r="A20" s="1"/>
      <c r="B20" s="1"/>
      <c r="C20" s="12"/>
      <c r="D20" s="1"/>
      <c r="E20" s="1"/>
      <c r="F20" s="1"/>
      <c r="G20" s="1"/>
    </row>
    <row r="21" spans="1:11" ht="15.6" x14ac:dyDescent="0.3">
      <c r="A21" s="1"/>
      <c r="B21" s="1"/>
      <c r="C21" s="1"/>
      <c r="D21" s="51" t="s">
        <v>7</v>
      </c>
      <c r="E21" s="51" t="s">
        <v>8</v>
      </c>
      <c r="F21" s="1"/>
      <c r="G21" s="1"/>
    </row>
    <row r="22" spans="1:11" ht="15.6" x14ac:dyDescent="0.3">
      <c r="A22" s="51" t="s">
        <v>9</v>
      </c>
      <c r="B22" s="36" t="s">
        <v>10</v>
      </c>
      <c r="C22" s="36" t="s">
        <v>11</v>
      </c>
      <c r="D22" s="21">
        <v>40</v>
      </c>
      <c r="E22" s="21">
        <v>130</v>
      </c>
      <c r="F22" s="36" t="s">
        <v>110</v>
      </c>
      <c r="G22" s="1"/>
      <c r="J22" s="5" t="s">
        <v>7</v>
      </c>
      <c r="K22" s="5" t="s">
        <v>8</v>
      </c>
    </row>
    <row r="23" spans="1:11" ht="15.6" x14ac:dyDescent="0.3">
      <c r="A23" s="93"/>
      <c r="B23" s="16">
        <f t="shared" ref="B23" si="7">I23</f>
        <v>1</v>
      </c>
      <c r="C23" s="16"/>
      <c r="D23" s="16">
        <f>J23+D$22</f>
        <v>2460</v>
      </c>
      <c r="E23" s="16">
        <f>K23+$E$22</f>
        <v>630</v>
      </c>
      <c r="F23" s="100" t="str">
        <f t="shared" ref="F23:F25" si="8">F30</f>
        <v>GRANITINO NEGRO BR</v>
      </c>
      <c r="G23" s="1"/>
      <c r="I23" s="3">
        <f>B30</f>
        <v>1</v>
      </c>
      <c r="J23" s="4">
        <f>D30</f>
        <v>2420</v>
      </c>
      <c r="K23" s="4">
        <f>E30</f>
        <v>500</v>
      </c>
    </row>
    <row r="24" spans="1:11" ht="15.6" x14ac:dyDescent="0.3">
      <c r="A24" s="93"/>
      <c r="B24" s="16">
        <f t="shared" ref="B24:B25" si="9">I24</f>
        <v>1</v>
      </c>
      <c r="C24" s="16"/>
      <c r="D24" s="16">
        <f>J24+D$22</f>
        <v>690</v>
      </c>
      <c r="E24" s="16">
        <f>K24+$E$22</f>
        <v>630</v>
      </c>
      <c r="F24" s="100" t="str">
        <f t="shared" si="8"/>
        <v>GRANITINO NEGRO BR</v>
      </c>
      <c r="G24" s="1"/>
      <c r="I24" s="3">
        <f t="shared" ref="I24:I25" si="10">B31</f>
        <v>1</v>
      </c>
      <c r="J24" s="4">
        <f t="shared" ref="J24:K24" si="11">D31</f>
        <v>650</v>
      </c>
      <c r="K24" s="4">
        <f t="shared" si="11"/>
        <v>500</v>
      </c>
    </row>
    <row r="25" spans="1:11" ht="15.6" x14ac:dyDescent="0.3">
      <c r="A25" s="93"/>
      <c r="B25" s="16">
        <f t="shared" si="9"/>
        <v>1</v>
      </c>
      <c r="C25" s="16"/>
      <c r="D25" s="16">
        <f>J25+D$22</f>
        <v>1535</v>
      </c>
      <c r="E25" s="16">
        <v>430</v>
      </c>
      <c r="F25" s="100" t="str">
        <f t="shared" si="8"/>
        <v>GRANITINO NEGRO BR</v>
      </c>
      <c r="G25" s="1"/>
      <c r="I25" s="3">
        <f t="shared" si="10"/>
        <v>1</v>
      </c>
      <c r="J25" s="4">
        <f t="shared" ref="J25:K25" si="12">D32</f>
        <v>1495</v>
      </c>
      <c r="K25" s="4">
        <f t="shared" si="12"/>
        <v>370</v>
      </c>
    </row>
    <row r="26" spans="1:11" ht="16.2" thickBot="1" x14ac:dyDescent="0.35">
      <c r="A26" s="51"/>
      <c r="B26" s="6"/>
      <c r="C26" s="6"/>
      <c r="D26" s="6"/>
      <c r="E26" s="6"/>
      <c r="F26" s="6"/>
      <c r="G26" s="1"/>
      <c r="I26" s="2"/>
      <c r="J26" s="2"/>
      <c r="K26" s="2"/>
    </row>
    <row r="27" spans="1:11" ht="16.2" thickBot="1" x14ac:dyDescent="0.35">
      <c r="A27" s="51"/>
      <c r="B27" s="22" t="s">
        <v>107</v>
      </c>
      <c r="C27" s="23"/>
      <c r="D27" s="23"/>
      <c r="E27" s="23"/>
      <c r="F27" s="24"/>
      <c r="G27" s="1"/>
      <c r="I27" s="2"/>
      <c r="J27" s="2"/>
      <c r="K27" s="2"/>
    </row>
    <row r="28" spans="1:11" ht="10.5" customHeight="1" x14ac:dyDescent="0.3">
      <c r="A28" s="1"/>
      <c r="B28" s="1"/>
      <c r="C28" s="1"/>
      <c r="D28" s="1"/>
      <c r="E28" s="1"/>
      <c r="F28" s="1"/>
      <c r="G28" s="1"/>
    </row>
    <row r="29" spans="1:11" ht="15.6" x14ac:dyDescent="0.3">
      <c r="A29" s="51" t="s">
        <v>9</v>
      </c>
      <c r="B29" s="87" t="s">
        <v>10</v>
      </c>
      <c r="C29" s="87" t="s">
        <v>110</v>
      </c>
      <c r="D29" s="87" t="s">
        <v>7</v>
      </c>
      <c r="E29" s="87" t="s">
        <v>8</v>
      </c>
      <c r="F29" s="87" t="s">
        <v>23</v>
      </c>
      <c r="G29" s="1"/>
      <c r="J29">
        <v>300</v>
      </c>
    </row>
    <row r="30" spans="1:11" ht="15.6" x14ac:dyDescent="0.3">
      <c r="A30" s="93" t="s">
        <v>131</v>
      </c>
      <c r="B30" s="25">
        <f>B53</f>
        <v>1</v>
      </c>
      <c r="C30" s="99" t="str">
        <f t="shared" ref="C30:F30" si="13">C53</f>
        <v>CUB CON RESPALDO R8</v>
      </c>
      <c r="D30" s="25">
        <f t="shared" si="13"/>
        <v>2420</v>
      </c>
      <c r="E30" s="25">
        <f t="shared" si="13"/>
        <v>500</v>
      </c>
      <c r="F30" s="25" t="str">
        <f t="shared" si="13"/>
        <v>GRANITINO NEGRO BR</v>
      </c>
      <c r="G30" s="1"/>
      <c r="J30">
        <v>12</v>
      </c>
    </row>
    <row r="31" spans="1:11" ht="15.6" x14ac:dyDescent="0.3">
      <c r="A31" s="93"/>
      <c r="B31" s="25">
        <f t="shared" ref="B31:F31" si="14">B54</f>
        <v>1</v>
      </c>
      <c r="C31" s="99" t="str">
        <f t="shared" si="14"/>
        <v>CUB CON RESPALDO R8</v>
      </c>
      <c r="D31" s="25">
        <f t="shared" si="14"/>
        <v>650</v>
      </c>
      <c r="E31" s="25">
        <f t="shared" si="14"/>
        <v>500</v>
      </c>
      <c r="F31" s="25" t="str">
        <f t="shared" si="14"/>
        <v>GRANITINO NEGRO BR</v>
      </c>
      <c r="G31" s="1"/>
    </row>
    <row r="32" spans="1:11" ht="15.6" x14ac:dyDescent="0.3">
      <c r="A32" s="93"/>
      <c r="B32" s="25">
        <f t="shared" ref="B32:F32" si="15">B55</f>
        <v>1</v>
      </c>
      <c r="C32" s="99" t="str">
        <f t="shared" si="15"/>
        <v>CUB SIN RESPALDO R8</v>
      </c>
      <c r="D32" s="25">
        <f t="shared" si="15"/>
        <v>1495</v>
      </c>
      <c r="E32" s="25">
        <f t="shared" si="15"/>
        <v>370</v>
      </c>
      <c r="F32" s="25" t="str">
        <f t="shared" si="15"/>
        <v>GRANITINO NEGRO BR</v>
      </c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6.2" thickBot="1" x14ac:dyDescent="0.35">
      <c r="A41" s="1"/>
      <c r="B41" s="1"/>
      <c r="G41" s="1"/>
    </row>
    <row r="42" spans="1:7" ht="15.6" x14ac:dyDescent="0.3">
      <c r="A42" s="1"/>
      <c r="B42" s="1"/>
      <c r="C42" s="106" t="s">
        <v>27</v>
      </c>
      <c r="D42" s="107">
        <f>'4637'!G8</f>
        <v>7259</v>
      </c>
      <c r="E42" s="108"/>
      <c r="F42" s="109"/>
      <c r="G42" s="1"/>
    </row>
    <row r="43" spans="1:7" ht="15.6" x14ac:dyDescent="0.3">
      <c r="A43" s="1"/>
      <c r="B43" s="1"/>
      <c r="C43" s="110" t="s">
        <v>67</v>
      </c>
      <c r="D43" s="42" t="str">
        <f>'4637'!C10</f>
        <v>JUAN RUBIO</v>
      </c>
      <c r="E43" s="43"/>
      <c r="F43" s="64"/>
      <c r="G43" s="1"/>
    </row>
    <row r="44" spans="1:7" ht="16.2" thickBot="1" x14ac:dyDescent="0.35">
      <c r="A44" s="1"/>
      <c r="B44" s="1"/>
      <c r="C44" s="111" t="str">
        <f>'4637'!F11</f>
        <v>FECHA LIMITE :</v>
      </c>
      <c r="D44" s="112">
        <f>'4637'!G11</f>
        <v>45883</v>
      </c>
      <c r="E44" s="113"/>
      <c r="F44" s="114"/>
      <c r="G44" s="1"/>
    </row>
    <row r="45" spans="1:7" ht="15.6" x14ac:dyDescent="0.3">
      <c r="A45" s="1"/>
      <c r="B45" s="1"/>
      <c r="G45" s="1"/>
    </row>
    <row r="46" spans="1:7" ht="17.25" customHeight="1" x14ac:dyDescent="0.3">
      <c r="A46" s="1"/>
      <c r="B46" s="1"/>
      <c r="G46" s="1"/>
    </row>
    <row r="47" spans="1:7" ht="4.5" customHeight="1" x14ac:dyDescent="0.3">
      <c r="A47" s="1"/>
      <c r="B47" s="1"/>
      <c r="C47" s="44"/>
      <c r="D47" s="45"/>
      <c r="E47" s="1"/>
      <c r="F47" s="1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6" x14ac:dyDescent="0.3">
      <c r="A49" s="139" t="s">
        <v>68</v>
      </c>
      <c r="B49" s="139"/>
      <c r="C49" s="139"/>
      <c r="D49" s="139"/>
      <c r="E49" s="139"/>
      <c r="F49" s="139"/>
      <c r="G49" s="1"/>
    </row>
    <row r="50" spans="1:7" ht="15.6" x14ac:dyDescent="0.3">
      <c r="A50" s="1"/>
      <c r="B50" s="1"/>
      <c r="C50" s="1"/>
      <c r="D50" s="1"/>
      <c r="E50" s="1"/>
      <c r="F50" s="1"/>
      <c r="G50" s="1"/>
    </row>
    <row r="51" spans="1:7" ht="15.75" customHeight="1" x14ac:dyDescent="0.3">
      <c r="A51" s="1"/>
      <c r="B51" s="140" t="s">
        <v>69</v>
      </c>
      <c r="C51" s="141"/>
      <c r="D51" s="142"/>
      <c r="E51" s="142"/>
      <c r="F51" s="143"/>
      <c r="G51" s="1"/>
    </row>
    <row r="52" spans="1:7" s="15" customFormat="1" ht="12.75" customHeight="1" x14ac:dyDescent="0.3">
      <c r="A52" s="1"/>
      <c r="B52" s="36" t="s">
        <v>10</v>
      </c>
      <c r="C52" s="46" t="s">
        <v>11</v>
      </c>
      <c r="D52" s="47" t="s">
        <v>7</v>
      </c>
      <c r="E52" s="47" t="s">
        <v>8</v>
      </c>
      <c r="F52" s="48" t="s">
        <v>12</v>
      </c>
      <c r="G52" s="1"/>
    </row>
    <row r="53" spans="1:7" s="15" customFormat="1" ht="15" customHeight="1" x14ac:dyDescent="0.3">
      <c r="A53" s="93" t="s">
        <v>131</v>
      </c>
      <c r="B53" s="38">
        <f>'4637'!B21</f>
        <v>1</v>
      </c>
      <c r="C53" s="98" t="str">
        <f>'4637'!C21</f>
        <v>CUB CON RESPALDO R8</v>
      </c>
      <c r="D53" s="39">
        <f>'4637'!D21</f>
        <v>2420</v>
      </c>
      <c r="E53" s="39">
        <f>'4637'!E21</f>
        <v>500</v>
      </c>
      <c r="F53" s="101" t="str">
        <f>'4637'!F21</f>
        <v>GRANITINO NEGRO BR</v>
      </c>
      <c r="G53" s="1"/>
    </row>
    <row r="54" spans="1:7" s="15" customFormat="1" ht="15" customHeight="1" x14ac:dyDescent="0.3">
      <c r="A54" s="93"/>
      <c r="B54" s="38">
        <f>'4637'!B22</f>
        <v>1</v>
      </c>
      <c r="C54" s="98" t="str">
        <f>'4637'!C22</f>
        <v>CUB CON RESPALDO R8</v>
      </c>
      <c r="D54" s="39">
        <f>'4637'!D22</f>
        <v>650</v>
      </c>
      <c r="E54" s="39">
        <f>'4637'!E22</f>
        <v>500</v>
      </c>
      <c r="F54" s="101" t="str">
        <f>'4637'!F22</f>
        <v>GRANITINO NEGRO BR</v>
      </c>
      <c r="G54" s="1"/>
    </row>
    <row r="55" spans="1:7" s="15" customFormat="1" ht="15" customHeight="1" x14ac:dyDescent="0.3">
      <c r="A55" s="93"/>
      <c r="B55" s="38">
        <f>'4637'!B23</f>
        <v>1</v>
      </c>
      <c r="C55" s="98" t="str">
        <f>'4637'!C23</f>
        <v>CUB SIN RESPALDO R8</v>
      </c>
      <c r="D55" s="39">
        <f>'4637'!D23</f>
        <v>1495</v>
      </c>
      <c r="E55" s="39">
        <f>'4637'!E23</f>
        <v>370</v>
      </c>
      <c r="F55" s="101" t="str">
        <f>'4637'!F23</f>
        <v>GRANITINO NEGRO BR</v>
      </c>
      <c r="G55" s="1"/>
    </row>
    <row r="56" spans="1:7" s="15" customFormat="1" ht="15" customHeight="1" x14ac:dyDescent="0.3">
      <c r="A56" s="49"/>
      <c r="B56" s="51"/>
      <c r="C56" s="51"/>
      <c r="D56" s="51"/>
      <c r="E56" s="51"/>
      <c r="F56" s="51"/>
      <c r="G56" s="1"/>
    </row>
    <row r="57" spans="1:7" ht="15.6" x14ac:dyDescent="0.3">
      <c r="A57" s="6"/>
      <c r="B57" s="6"/>
      <c r="C57" s="1"/>
      <c r="D57" s="6"/>
      <c r="E57" s="6"/>
      <c r="F57" s="44"/>
      <c r="G57" s="1"/>
    </row>
    <row r="58" spans="1:7" ht="15.6" x14ac:dyDescent="0.3">
      <c r="A58" s="6"/>
      <c r="B58" s="6"/>
      <c r="C58" s="1"/>
      <c r="D58" s="6"/>
      <c r="E58" s="6"/>
      <c r="F58" s="6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" customHeight="1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ht="15.6" x14ac:dyDescent="0.3">
      <c r="A64" s="6"/>
      <c r="B64" s="50"/>
      <c r="C64" s="1"/>
      <c r="D64" s="1"/>
      <c r="E64" s="1"/>
      <c r="F64" s="1"/>
      <c r="G64" s="1"/>
    </row>
    <row r="65" spans="1:7" ht="15.6" x14ac:dyDescent="0.3">
      <c r="A65" s="1"/>
      <c r="B65" s="1"/>
      <c r="C65" s="1"/>
      <c r="D65" s="1"/>
      <c r="E65" s="1"/>
      <c r="F65" s="1"/>
      <c r="G65" s="1"/>
    </row>
    <row r="66" spans="1:7" x14ac:dyDescent="0.3">
      <c r="B66" s="20"/>
      <c r="C66" s="20"/>
      <c r="D66" s="20"/>
      <c r="E66" s="20"/>
      <c r="F66" s="20"/>
    </row>
    <row r="67" spans="1:7" x14ac:dyDescent="0.3">
      <c r="B67" s="20"/>
      <c r="C67" s="20"/>
      <c r="E67" s="20"/>
      <c r="F67" s="20"/>
    </row>
  </sheetData>
  <mergeCells count="6">
    <mergeCell ref="M3:N3"/>
    <mergeCell ref="A19:F19"/>
    <mergeCell ref="A10:F10"/>
    <mergeCell ref="A49:F49"/>
    <mergeCell ref="B51:F51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2025-08-13T20:56:12Z</cp:lastPrinted>
  <dcterms:created xsi:type="dcterms:W3CDTF">2013-03-19T12:54:14Z</dcterms:created>
  <dcterms:modified xsi:type="dcterms:W3CDTF">2025-08-14T13:03:29Z</dcterms:modified>
</cp:coreProperties>
</file>