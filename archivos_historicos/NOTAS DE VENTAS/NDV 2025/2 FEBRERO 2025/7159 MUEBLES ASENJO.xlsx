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F49AC115-00DA-46D8-984A-D6A6F75CB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H21" i="4"/>
  <c r="J22" i="3" l="1"/>
  <c r="D22" i="3" s="1"/>
  <c r="K14" i="3"/>
  <c r="E14" i="3" s="1"/>
  <c r="B22" i="3"/>
  <c r="I14" i="3"/>
  <c r="B14" i="3" s="1"/>
  <c r="F22" i="3"/>
  <c r="H25" i="4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<sst xmlns="http://schemas.openxmlformats.org/spreadsheetml/2006/main" count="247" uniqueCount="145">
  <si>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</si>
  <si>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</si>
  <si>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</si>
  <si>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</si>
  <si>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</si>
  <si>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</si>
  <si>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</si>
  <si>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</si>
  <si>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</si>
  <si>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</si>
  <si>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</si>
  <si>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</si>
  <si>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</si>
  <si>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</si>
  <si>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</si>
  <si>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</si>
  <si>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</si>
  <si>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</si>
  <si>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</si>
  <si>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</si>
  <si>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</si>
  <si>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</si>
  <si>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</si>
  <si>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</si>
  <si>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</si>
  <si>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</si>
  <si>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</si>
  <si>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</si>
  <si>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</si>
  <si>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</si>
  <si>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</si>
  <si>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</si>
  <si>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</si>
  <si>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</si>
  <si>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</si>
  <si>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</si>
  <si>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</si>
  <si>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</si>
  <si>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</si>
  <si>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</si>
  <si>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</si>
  <si>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</si>
  <si>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</si>
  <si>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</si>
  <si>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</si>
  <si>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</si>
  <si>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</si>
  <si>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</si>
  <si>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</si>
  <si>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</si>
  <si>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</si>
  <si>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</si>
  <si>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</si>
  <si>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</si>
  <si>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</si>
  <si>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</si>
  <si>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</si>
  <si>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</si>
  <si>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</si>
  <si>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</si>
  <si>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</si>
  <si>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</si>
  <si>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</si>
  <si>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</si>
  <si>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</si>
  <si>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</si>
  <si>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</si>
  <si>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</si>
  <si>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</si>
  <si>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</si>
  <si>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</si>
  <si>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</si>
  <si>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</si>
  <si>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</si>
  <si>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</si>
  <si>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</si>
  <si>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</si>
  <si>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</si>
  <si>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</si>
  <si>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</si>
  <si>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</si>
  <si>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</si>
  <si>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</si>
  <si>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</si>
  <si>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</si>
  <si>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</si>
  <si>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</si>
  <si>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</si>
  <si>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</si>
  <si>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</si>
  <si>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</si>
  <si>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</si>
  <si>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</si>
  <si>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</si>
  <si>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</si>
  <si>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</si>
  <si>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</si>
  <si>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</si>
  <si>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</si>
  <si>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</si>
  <si>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</si>
  <si>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</si>
  <si>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</si>
  <si>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</si>
  <si>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</si>
  <si>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</si>
  <si>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</si>
  <si>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</si>
  <si>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</si>
  <si>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</si>
  <si>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</si>
  <si>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</si>
  <si>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</si>
  <si>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</si>
  <si>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</si>
  <si>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</si>
  <si>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</si>
  <si>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</si>
  <si>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</si>
  <si>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</si>
  <si>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</si>
  <si>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</si>
  <si>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</si>
  <si>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</si>
  <si>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</si>
  <si>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</si>
  <si>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</si>
  <si>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</si>
  <si>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</si>
  <si>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</si>
  <si>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</si>
  <si>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</si>
  <si>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</si>
  <si>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</si>
  <si>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</si>
  <si>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</si>
  <si>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</si>
  <si>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</si>
  <si>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</si>
  <si>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</si>
  <si>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</si>
  <si>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</si>
  <si>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CUB MESA 180° 2L</t>
  </si>
  <si>
    <t>BLANCO 2114 MT</t>
  </si>
  <si>
    <t>N° 11270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</si>
</sst>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7159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45691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22756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10</v>
      </c>
      <c r="C21" s="106" t="s">
        <v>142</v>
      </c>
      <c r="D21" s="112">
        <v>2400</v>
      </c>
      <c r="E21" s="112">
        <v>800</v>
      </c>
      <c r="F21" s="106" t="s">
        <v>143</v>
      </c>
      <c r="G21" s="109">
        <v>99649</v>
      </c>
      <c r="H21" s="107">
        <f t="shared" ref="H21" si="0">G21*B21</f>
        <v>996490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110"/>
      <c r="D22" s="111"/>
      <c r="E22" s="111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996490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189333.1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1185823.1000000001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25" zoomScaleNormal="100" workbookViewId="0">
      <selection activeCell="A37" sqref="A37:F6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7159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10</v>
      </c>
      <c r="C14" s="25"/>
      <c r="D14" s="25">
        <f t="shared" ref="D14" si="1">J14+D$13</f>
        <v>2480</v>
      </c>
      <c r="E14" s="35">
        <f>K14</f>
        <v>800</v>
      </c>
      <c r="F14" s="103" t="str">
        <f>C28</f>
        <v>CUB MESA 180° 2L</v>
      </c>
      <c r="G14" s="1"/>
      <c r="I14" s="3">
        <f>I22</f>
        <v>10</v>
      </c>
      <c r="J14" s="4">
        <f>D28</f>
        <v>2400</v>
      </c>
      <c r="K14" s="4">
        <f>E28</f>
        <v>800</v>
      </c>
    </row>
    <row r="15" spans="1:14" ht="15.6" x14ac:dyDescent="0.3">
      <c r="A15" s="96"/>
      <c r="B15" s="6"/>
      <c r="C15" s="6"/>
      <c r="D15" s="6"/>
      <c r="E15" s="89"/>
      <c r="F15" s="113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10</v>
      </c>
      <c r="C22" s="16"/>
      <c r="D22" s="16">
        <f>J22+D$21</f>
        <v>2440</v>
      </c>
      <c r="E22" s="16">
        <f>K22+E$21</f>
        <v>960</v>
      </c>
      <c r="F22" s="104" t="str">
        <f>C28</f>
        <v>CUB MESA 180° 2L</v>
      </c>
      <c r="G22" s="1"/>
      <c r="I22" s="3">
        <f>B28</f>
        <v>10</v>
      </c>
      <c r="J22" s="4">
        <f t="shared" ref="J22:K22" si="3">D28</f>
        <v>2400</v>
      </c>
      <c r="K22" s="4">
        <f t="shared" si="3"/>
        <v>800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134</v>
      </c>
      <c r="B28" s="25">
        <f>'4637'!B21</f>
        <v>10</v>
      </c>
      <c r="C28" s="103" t="str">
        <f>'4637'!C21</f>
        <v>CUB MESA 180° 2L</v>
      </c>
      <c r="D28" s="25">
        <f>'4637'!D21</f>
        <v>2400</v>
      </c>
      <c r="E28" s="25">
        <f>'4637'!E21</f>
        <v>800</v>
      </c>
      <c r="F28" s="25" t="str">
        <f>'4637'!F21</f>
        <v>BLANCO 2114 MT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7159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2" t="s">
        <v>68</v>
      </c>
      <c r="B45" s="122"/>
      <c r="C45" s="122"/>
      <c r="D45" s="122"/>
      <c r="E45" s="122"/>
      <c r="F45" s="122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3" t="s">
        <v>69</v>
      </c>
      <c r="C47" s="124"/>
      <c r="D47" s="125"/>
      <c r="E47" s="125"/>
      <c r="F47" s="126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10</v>
      </c>
      <c r="C49" s="102" t="str">
        <f>'4637'!C21</f>
        <v>CUB MESA 180° 2L</v>
      </c>
      <c r="D49" s="39">
        <f>'4637'!D21</f>
        <v>2400</v>
      </c>
      <c r="E49" s="39">
        <f>'4637'!E21</f>
        <v>800</v>
      </c>
      <c r="F49" s="38" t="str">
        <f>'4637'!F21</f>
        <v>BLANCO 2114 MT</v>
      </c>
      <c r="G49" s="1"/>
    </row>
    <row r="50" spans="1:7" s="15" customFormat="1" ht="15" customHeight="1" x14ac:dyDescent="0.3">
      <c r="A50" s="96"/>
      <c r="B50" s="52"/>
      <c r="C50" s="108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2025-02-03T12:22:43Z</cp:lastPrinted>
  <dcterms:created xsi:type="dcterms:W3CDTF">2013-03-19T12:54:14Z</dcterms:created>
  <dcterms:modified xsi:type="dcterms:W3CDTF">2025-02-03T12:26:33Z</dcterms:modified>
</cp:coreProperties>
</file>