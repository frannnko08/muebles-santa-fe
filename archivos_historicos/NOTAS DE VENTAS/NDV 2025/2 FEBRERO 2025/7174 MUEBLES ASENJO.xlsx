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42D7B745-A652-4D77-B885-7FBDA8DE1C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CUBIERTA!$A$40:$F$64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4" i="3"/>
  <c r="F15" i="3"/>
  <c r="I15" i="3"/>
  <c r="B15" i="3" s="1"/>
  <c r="J15" i="3"/>
  <c r="D15" i="3" s="1"/>
  <c r="K15" i="3"/>
  <c r="F23" i="3"/>
  <c r="I23" i="3"/>
  <c r="B23" i="3" s="1"/>
  <c r="J23" i="3"/>
  <c r="D23" i="3" s="1"/>
  <c r="K23" i="3"/>
  <c r="E23" i="3" s="1"/>
  <c r="B31" i="3"/>
  <c r="C31" i="3"/>
  <c r="D31" i="3"/>
  <c r="E31" i="3"/>
  <c r="F31" i="3"/>
  <c r="B53" i="3"/>
  <c r="C53" i="3"/>
  <c r="D53" i="3"/>
  <c r="E53" i="3"/>
  <c r="F53" i="3"/>
  <c r="H22" i="4"/>
  <c r="H21" i="4"/>
  <c r="B30" i="3" l="1"/>
  <c r="I22" i="3" s="1"/>
  <c r="C30" i="3"/>
  <c r="F14" i="3" s="1"/>
  <c r="D30" i="3"/>
  <c r="J14" i="3" s="1"/>
  <c r="D14" i="3" s="1"/>
  <c r="E30" i="3"/>
  <c r="K22" i="3" s="1"/>
  <c r="E22" i="3" s="1"/>
  <c r="F30" i="3"/>
  <c r="B52" i="3"/>
  <c r="C52" i="3"/>
  <c r="D52" i="3"/>
  <c r="E52" i="3"/>
  <c r="F52" i="3"/>
  <c r="J22" i="3" l="1"/>
  <c r="D22" i="3" s="1"/>
  <c r="K14" i="3"/>
  <c r="B22" i="3"/>
  <c r="I14" i="3"/>
  <c r="B14" i="3" s="1"/>
  <c r="F22" i="3"/>
  <c r="H26" i="4"/>
  <c r="H27" i="4" l="1"/>
  <c r="H28" i="4" l="1"/>
  <c r="N5" i="3" l="1"/>
  <c r="M5" i="3" l="1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<sst xmlns="http://schemas.openxmlformats.org/spreadsheetml/2006/main" count="250" uniqueCount="146">
  <si>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</si>
  <si>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</si>
  <si>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</si>
  <si>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</si>
  <si>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</si>
  <si>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</si>
  <si>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</si>
  <si>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</si>
  <si>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</si>
  <si>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</si>
  <si>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</si>
  <si>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</si>
  <si>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</si>
  <si>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</si>
  <si>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</si>
  <si>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</si>
  <si>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</si>
  <si>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</si>
  <si>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</si>
  <si>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</si>
  <si>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</si>
  <si>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</si>
  <si>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</si>
  <si>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</si>
  <si>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</si>
  <si>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</si>
  <si>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</si>
  <si>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</si>
  <si>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</si>
  <si>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</si>
  <si>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</si>
  <si>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</si>
  <si>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</si>
  <si>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</si>
  <si>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</si>
  <si>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</si>
  <si>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</si>
  <si>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</si>
  <si>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</si>
  <si>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</si>
  <si>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</si>
  <si>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</si>
  <si>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</si>
  <si>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</si>
  <si>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</si>
  <si>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</si>
  <si>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</si>
  <si>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</si>
  <si>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</si>
  <si>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</si>
  <si>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</si>
  <si>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</si>
  <si>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</si>
  <si>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</si>
  <si>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</si>
  <si>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</si>
  <si>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</si>
  <si>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</si>
  <si>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</si>
  <si>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</si>
  <si>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</si>
  <si>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</si>
  <si>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</si>
  <si>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</si>
  <si>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</si>
  <si>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</si>
  <si>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</si>
  <si>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</si>
  <si>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</si>
  <si>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</si>
  <si>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</si>
  <si>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</si>
  <si>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</si>
  <si>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</si>
  <si>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</si>
  <si>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</si>
  <si>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</si>
  <si>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</si>
  <si>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</si>
  <si>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</si>
  <si>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</si>
  <si>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</si>
  <si>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</si>
  <si>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</si>
  <si>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</si>
  <si>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</si>
  <si>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</si>
  <si>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</si>
  <si>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</si>
  <si>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</si>
  <si>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</si>
  <si>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</si>
  <si>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</si>
  <si>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</si>
  <si>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</si>
  <si>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</si>
  <si>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</si>
  <si>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</si>
  <si>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</si>
  <si>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</si>
  <si>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</si>
  <si>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</si>
  <si>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</si>
  <si>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</si>
  <si>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</si>
  <si>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</si>
  <si>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</si>
  <si>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</si>
  <si>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</si>
  <si>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</si>
  <si>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</si>
  <si>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</si>
  <si>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</si>
  <si>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</si>
  <si>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</si>
  <si>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</si>
  <si>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</si>
  <si>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</si>
  <si>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</si>
  <si>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</si>
  <si>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</si>
  <si>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</si>
  <si>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</si>
  <si>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</si>
  <si>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</si>
  <si>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</si>
  <si>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</si>
  <si>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</si>
  <si>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</si>
  <si>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</si>
  <si>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</si>
  <si>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</si>
  <si>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</si>
  <si>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</si>
  <si>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</si>
  <si>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</si>
  <si>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</si>
  <si>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</si>
  <si>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</si>
  <si>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</si>
  <si>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</si>
  <si>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</si>
  <si>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N° 11296</t>
  </si>
  <si>
    <t>CUB C/R R8</t>
  </si>
  <si>
    <t>WHITE ASWOOD 10159 SF</t>
  </si>
  <si>
    <t>puede ser al largo del sustrato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</si>
</sst>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46</xdr:row>
      <xdr:rowOff>171450</xdr:rowOff>
    </xdr:from>
    <xdr:to>
      <xdr:col>5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38100</xdr:rowOff>
    </xdr:from>
    <xdr:to>
      <xdr:col>6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6</xdr:col>
      <xdr:colOff>68580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19050</xdr:colOff>
      <xdr:row>62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40</xdr:row>
      <xdr:rowOff>41910</xdr:rowOff>
    </xdr:from>
    <xdr:to>
      <xdr:col>1</xdr:col>
      <xdr:colOff>801763</xdr:colOff>
      <xdr:row>46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topLeftCell="A6" workbookViewId="0">
      <selection activeCell="G13" sqref="G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7174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45715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45722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22863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143</v>
      </c>
      <c r="D21" s="111">
        <v>2400</v>
      </c>
      <c r="E21" s="111">
        <v>600</v>
      </c>
      <c r="F21" s="106" t="s">
        <v>144</v>
      </c>
      <c r="G21" s="108">
        <v>109250</v>
      </c>
      <c r="H21" s="108">
        <f>G21*B21</f>
        <v>109250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1</v>
      </c>
      <c r="C22" s="106" t="s">
        <v>143</v>
      </c>
      <c r="D22" s="111">
        <v>1850</v>
      </c>
      <c r="E22" s="111">
        <v>600</v>
      </c>
      <c r="F22" s="106" t="s">
        <v>144</v>
      </c>
      <c r="G22" s="108">
        <v>94425</v>
      </c>
      <c r="H22" s="108">
        <f>G22*B22</f>
        <v>94425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109"/>
      <c r="D23" s="110"/>
      <c r="E23" s="110"/>
      <c r="F23" s="97"/>
      <c r="G23" s="75"/>
      <c r="H23" s="99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7"/>
      <c r="C24" s="97"/>
      <c r="D24" s="97"/>
      <c r="E24" s="97"/>
      <c r="F24" s="98"/>
      <c r="G24" s="99"/>
      <c r="H24" s="99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203675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38698.25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242373.25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100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zoomScaleNormal="100" workbookViewId="0">
      <selection activeCell="G12" sqref="G1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7174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45722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 t="s">
        <v>145</v>
      </c>
      <c r="D14" s="25">
        <f t="shared" ref="D14" si="1">J14+D$13</f>
        <v>2480</v>
      </c>
      <c r="E14" s="35">
        <f>K14+E$13</f>
        <v>570</v>
      </c>
      <c r="F14" s="103" t="str">
        <f>C30</f>
        <v>CUB C/R R8</v>
      </c>
      <c r="G14" s="1"/>
      <c r="I14" s="3">
        <f>I22</f>
        <v>1</v>
      </c>
      <c r="J14" s="4">
        <f>D30</f>
        <v>2400</v>
      </c>
      <c r="K14" s="4">
        <f>E30</f>
        <v>600</v>
      </c>
    </row>
    <row r="15" spans="1:14" ht="15.6" x14ac:dyDescent="0.3">
      <c r="A15" s="96"/>
      <c r="B15" s="25">
        <f t="shared" ref="B15" si="2">I15</f>
        <v>1</v>
      </c>
      <c r="C15" s="25"/>
      <c r="D15" s="25">
        <f t="shared" ref="D15" si="3">J15+D$13</f>
        <v>1930</v>
      </c>
      <c r="E15" s="35">
        <f>K15+E$13</f>
        <v>570</v>
      </c>
      <c r="F15" s="103" t="str">
        <f>C31</f>
        <v>CUB C/R R8</v>
      </c>
      <c r="G15" s="1"/>
      <c r="I15" s="3">
        <f>I23</f>
        <v>1</v>
      </c>
      <c r="J15" s="4">
        <f>D31</f>
        <v>1850</v>
      </c>
      <c r="K15" s="4">
        <f>E31</f>
        <v>600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1" t="s">
        <v>14</v>
      </c>
      <c r="B18" s="121"/>
      <c r="C18" s="121"/>
      <c r="D18" s="121"/>
      <c r="E18" s="121"/>
      <c r="F18" s="121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140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4">I22</f>
        <v>1</v>
      </c>
      <c r="C22" s="16"/>
      <c r="D22" s="16">
        <f>J22+D$21</f>
        <v>2440</v>
      </c>
      <c r="E22" s="16">
        <f>K22+E$21</f>
        <v>740</v>
      </c>
      <c r="F22" s="104" t="str">
        <f>C30</f>
        <v>CUB C/R R8</v>
      </c>
      <c r="G22" s="1"/>
      <c r="I22" s="3">
        <f>B30</f>
        <v>1</v>
      </c>
      <c r="J22" s="4">
        <f t="shared" ref="J22:K22" si="5">D30</f>
        <v>2400</v>
      </c>
      <c r="K22" s="4">
        <f t="shared" si="5"/>
        <v>600</v>
      </c>
    </row>
    <row r="23" spans="1:11" ht="15.6" x14ac:dyDescent="0.3">
      <c r="A23" s="96"/>
      <c r="B23" s="16">
        <f t="shared" ref="B23" si="6">I23</f>
        <v>1</v>
      </c>
      <c r="C23" s="16"/>
      <c r="D23" s="16">
        <f>J23+D$21</f>
        <v>1890</v>
      </c>
      <c r="E23" s="16">
        <f>K23+E$21</f>
        <v>740</v>
      </c>
      <c r="F23" s="104" t="str">
        <f>C31</f>
        <v>CUB C/R R8</v>
      </c>
      <c r="G23" s="1"/>
      <c r="I23" s="3">
        <f>B31</f>
        <v>1</v>
      </c>
      <c r="J23" s="4">
        <f t="shared" ref="J23" si="7">D31</f>
        <v>1850</v>
      </c>
      <c r="K23" s="4">
        <f t="shared" ref="K23" si="8">E31</f>
        <v>600</v>
      </c>
    </row>
    <row r="24" spans="1:11" ht="15.6" x14ac:dyDescent="0.3">
      <c r="A24" s="96"/>
      <c r="B24" s="6"/>
      <c r="C24" s="6"/>
      <c r="D24" s="6"/>
      <c r="E24" s="6"/>
      <c r="F24" s="112"/>
      <c r="G24" s="1"/>
      <c r="I24" s="90"/>
      <c r="J24" s="2"/>
      <c r="K24" s="2"/>
    </row>
    <row r="25" spans="1:11" ht="15.6" x14ac:dyDescent="0.3">
      <c r="A25" s="96"/>
      <c r="B25" s="6"/>
      <c r="C25" s="6"/>
      <c r="D25" s="6"/>
      <c r="E25" s="6"/>
      <c r="F25" s="6"/>
      <c r="G25" s="1"/>
      <c r="I25" s="90"/>
      <c r="J25" s="2"/>
      <c r="K25" s="2"/>
    </row>
    <row r="26" spans="1:11" ht="16.2" thickBot="1" x14ac:dyDescent="0.35">
      <c r="A26" s="52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52"/>
      <c r="B27" s="22" t="s">
        <v>107</v>
      </c>
      <c r="C27" s="23"/>
      <c r="D27" s="23"/>
      <c r="E27" s="23"/>
      <c r="F27" s="24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52" t="s">
        <v>9</v>
      </c>
      <c r="B29" s="88" t="s">
        <v>10</v>
      </c>
      <c r="C29" s="88" t="s">
        <v>110</v>
      </c>
      <c r="D29" s="88" t="s">
        <v>7</v>
      </c>
      <c r="E29" s="88" t="s">
        <v>8</v>
      </c>
      <c r="F29" s="88" t="s">
        <v>23</v>
      </c>
      <c r="G29" s="1"/>
    </row>
    <row r="30" spans="1:11" ht="15.6" x14ac:dyDescent="0.3">
      <c r="A30" s="96" t="s">
        <v>134</v>
      </c>
      <c r="B30" s="25">
        <f>'4637'!B21</f>
        <v>1</v>
      </c>
      <c r="C30" s="103" t="str">
        <f>'4637'!C21</f>
        <v>CUB C/R R8</v>
      </c>
      <c r="D30" s="25">
        <f>'4637'!D21</f>
        <v>2400</v>
      </c>
      <c r="E30" s="25">
        <f>'4637'!E21</f>
        <v>600</v>
      </c>
      <c r="F30" s="25" t="str">
        <f>'4637'!F21</f>
        <v>WHITE ASWOOD 10159 SF</v>
      </c>
      <c r="G30" s="1"/>
    </row>
    <row r="31" spans="1:11" ht="15.6" x14ac:dyDescent="0.3">
      <c r="A31" s="96"/>
      <c r="B31" s="25">
        <f>'4637'!B22</f>
        <v>1</v>
      </c>
      <c r="C31" s="103" t="str">
        <f>'4637'!C22</f>
        <v>CUB C/R R8</v>
      </c>
      <c r="D31" s="25">
        <f>'4637'!D22</f>
        <v>1850</v>
      </c>
      <c r="E31" s="25">
        <f>'4637'!E22</f>
        <v>600</v>
      </c>
      <c r="F31" s="25" t="str">
        <f>'4637'!F22</f>
        <v>WHITE ASWOOD 10159 SF</v>
      </c>
      <c r="G31" s="1"/>
    </row>
    <row r="32" spans="1:11" ht="15.6" x14ac:dyDescent="0.3">
      <c r="A32" s="52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40" t="s">
        <v>27</v>
      </c>
      <c r="D42" s="14">
        <f>'4637'!G8</f>
        <v>7174</v>
      </c>
      <c r="E42" s="1"/>
      <c r="F42" s="1"/>
      <c r="G42" s="1"/>
    </row>
    <row r="43" spans="1:7" ht="17.25" customHeight="1" x14ac:dyDescent="0.3">
      <c r="A43" s="1"/>
      <c r="B43" s="1"/>
      <c r="C43" s="41" t="s">
        <v>67</v>
      </c>
      <c r="D43" s="42" t="str">
        <f>'4637'!C10</f>
        <v>MUEBLES ASENJO LTDA.</v>
      </c>
      <c r="E43" s="43"/>
      <c r="F43" s="43"/>
      <c r="G43" s="1"/>
    </row>
    <row r="44" spans="1:7" ht="4.5" customHeight="1" x14ac:dyDescent="0.3">
      <c r="A44" s="1"/>
      <c r="B44" s="1"/>
      <c r="C44" s="44"/>
      <c r="D44" s="45"/>
      <c r="E44" s="1"/>
      <c r="F44" s="1"/>
      <c r="G44" s="1"/>
    </row>
    <row r="45" spans="1:7" ht="15.6" x14ac:dyDescent="0.3">
      <c r="A45" s="1"/>
      <c r="B45" s="1"/>
      <c r="C45" s="46" t="str">
        <f>'4637'!F11</f>
        <v>FECHA LIMITE :</v>
      </c>
      <c r="D45" s="13">
        <f>'4637'!G11</f>
        <v>45722</v>
      </c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21" t="s">
        <v>68</v>
      </c>
      <c r="B48" s="121"/>
      <c r="C48" s="121"/>
      <c r="D48" s="121"/>
      <c r="E48" s="121"/>
      <c r="F48" s="12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22" t="s">
        <v>69</v>
      </c>
      <c r="C50" s="123"/>
      <c r="D50" s="124"/>
      <c r="E50" s="124"/>
      <c r="F50" s="125"/>
      <c r="G50" s="1"/>
    </row>
    <row r="51" spans="1:7" s="15" customFormat="1" ht="12.75" customHeight="1" x14ac:dyDescent="0.3">
      <c r="A51" s="1"/>
      <c r="B51" s="36" t="s">
        <v>10</v>
      </c>
      <c r="C51" s="47" t="s">
        <v>11</v>
      </c>
      <c r="D51" s="48" t="s">
        <v>7</v>
      </c>
      <c r="E51" s="48" t="s">
        <v>8</v>
      </c>
      <c r="F51" s="49" t="s">
        <v>12</v>
      </c>
      <c r="G51" s="1"/>
    </row>
    <row r="52" spans="1:7" s="15" customFormat="1" ht="15" customHeight="1" x14ac:dyDescent="0.3">
      <c r="A52" s="96"/>
      <c r="B52" s="38">
        <f>'4637'!B21</f>
        <v>1</v>
      </c>
      <c r="C52" s="102" t="str">
        <f>'4637'!C21</f>
        <v>CUB C/R R8</v>
      </c>
      <c r="D52" s="39">
        <f>'4637'!D21</f>
        <v>2400</v>
      </c>
      <c r="E52" s="39">
        <f>'4637'!E21</f>
        <v>600</v>
      </c>
      <c r="F52" s="38" t="str">
        <f>'4637'!F21</f>
        <v>WHITE ASWOOD 10159 SF</v>
      </c>
      <c r="G52" s="1"/>
    </row>
    <row r="53" spans="1:7" s="15" customFormat="1" ht="15" customHeight="1" x14ac:dyDescent="0.3">
      <c r="A53" s="96"/>
      <c r="B53" s="38">
        <f>'4637'!B22</f>
        <v>1</v>
      </c>
      <c r="C53" s="102" t="str">
        <f>'4637'!C22</f>
        <v>CUB C/R R8</v>
      </c>
      <c r="D53" s="39">
        <f>'4637'!D22</f>
        <v>1850</v>
      </c>
      <c r="E53" s="39">
        <f>'4637'!E22</f>
        <v>600</v>
      </c>
      <c r="F53" s="38" t="str">
        <f>'4637'!F22</f>
        <v>WHITE ASWOOD 10159 SF</v>
      </c>
      <c r="G53" s="1"/>
    </row>
    <row r="54" spans="1:7" s="15" customFormat="1" ht="15" customHeight="1" x14ac:dyDescent="0.3">
      <c r="A54" s="96"/>
      <c r="B54" s="52"/>
      <c r="C54" s="107"/>
      <c r="D54" s="52"/>
      <c r="E54" s="52"/>
      <c r="F54" s="52"/>
      <c r="G54" s="1"/>
    </row>
    <row r="55" spans="1:7" s="15" customFormat="1" ht="15" customHeight="1" x14ac:dyDescent="0.3">
      <c r="A55" s="50"/>
      <c r="B55" s="52"/>
      <c r="C55" s="52"/>
      <c r="D55" s="52"/>
      <c r="E55" s="52"/>
      <c r="F55" s="52"/>
      <c r="G55" s="1"/>
    </row>
    <row r="56" spans="1:7" ht="15.6" x14ac:dyDescent="0.3">
      <c r="A56" s="6"/>
      <c r="B56" s="6"/>
      <c r="C56" s="1"/>
      <c r="D56" s="6"/>
      <c r="E56" s="6"/>
      <c r="F56" s="44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5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20"/>
      <c r="C65" s="20"/>
      <c r="D65" s="20"/>
      <c r="E65" s="20"/>
      <c r="F65" s="20"/>
    </row>
    <row r="66" spans="2:6" x14ac:dyDescent="0.3">
      <c r="B66" s="20"/>
      <c r="C66" s="20"/>
      <c r="E66" s="20"/>
      <c r="F66" s="20"/>
    </row>
  </sheetData>
  <mergeCells count="6">
    <mergeCell ref="M3:N3"/>
    <mergeCell ref="A18:F18"/>
    <mergeCell ref="A10:F10"/>
    <mergeCell ref="A48:F48"/>
    <mergeCell ref="B50:F50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2025-02-03T12:22:43Z</cp:lastPrinted>
  <dcterms:created xsi:type="dcterms:W3CDTF">2013-03-19T12:54:14Z</dcterms:created>
  <dcterms:modified xsi:type="dcterms:W3CDTF">2025-02-28T13:36:21Z</dcterms:modified>
</cp:coreProperties>
</file>