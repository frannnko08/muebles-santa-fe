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C4073B6D-A366-4754-9AB8-B900CB5A58D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CUBIERTA!$A$37:$F$58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4" i="4"/>
  <c r="H21" i="4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J22" i="3" l="1"/>
  <c r="D22" i="3" s="1"/>
  <c r="K14" i="3"/>
  <c r="E14" i="3" s="1"/>
  <c r="B22" i="3"/>
  <c r="I14" i="3"/>
  <c r="B14" i="3" s="1"/>
  <c r="F22" i="3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<sst xmlns="http://schemas.openxmlformats.org/spreadsheetml/2006/main" count="246" uniqueCount="144">
  <si>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</si>
  <si>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</si>
  <si>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</si>
  <si>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</si>
  <si>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</si>
  <si>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</si>
  <si>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</si>
  <si>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</si>
  <si>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</si>
  <si>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</si>
  <si>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</si>
  <si>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</si>
  <si>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</si>
  <si>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</si>
  <si>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</si>
  <si>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</si>
  <si>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</si>
  <si>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</si>
  <si>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</si>
  <si>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</si>
  <si>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</si>
  <si>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</si>
  <si>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</si>
  <si>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</si>
  <si>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</si>
  <si>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</si>
  <si>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</si>
  <si>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</si>
  <si>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</si>
  <si>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</si>
  <si>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</si>
  <si>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</si>
  <si>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</si>
  <si>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</si>
  <si>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</si>
  <si>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</si>
  <si>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</si>
  <si>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</si>
  <si>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</si>
  <si>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</si>
  <si>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</si>
  <si>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</si>
  <si>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</si>
  <si>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</si>
  <si>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</si>
  <si>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</si>
  <si>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</si>
  <si>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</si>
  <si>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</si>
  <si>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</si>
  <si>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</si>
  <si>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</si>
  <si>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</si>
  <si>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</si>
  <si>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</si>
  <si>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</si>
  <si>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</si>
  <si>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</si>
  <si>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</si>
  <si>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</si>
  <si>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</si>
  <si>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</si>
  <si>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</si>
  <si>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</si>
  <si>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</si>
  <si>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</si>
  <si>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</si>
  <si>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</si>
  <si>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</si>
  <si>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</si>
  <si>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</si>
  <si>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</si>
  <si>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</si>
  <si>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</si>
  <si>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</si>
  <si>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</si>
  <si>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</si>
  <si>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</si>
  <si>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</si>
  <si>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</si>
  <si>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</si>
  <si>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</si>
  <si>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</si>
  <si>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</si>
  <si>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</si>
  <si>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</si>
  <si>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</si>
  <si>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</si>
  <si>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</si>
  <si>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</si>
  <si>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</si>
  <si>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</si>
  <si>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</si>
  <si>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</si>
  <si>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</si>
  <si>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</si>
  <si>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</si>
  <si>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</si>
  <si>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</si>
  <si>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</si>
  <si>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</si>
  <si>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</si>
  <si>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</si>
  <si>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</si>
  <si>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</si>
  <si>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</si>
  <si>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</si>
  <si>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</si>
  <si>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</si>
  <si>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</si>
  <si>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</si>
  <si>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</si>
  <si>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</si>
  <si>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</si>
  <si>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</si>
  <si>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</si>
  <si>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</si>
  <si>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</si>
  <si>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</si>
  <si>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</si>
  <si>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</si>
  <si>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</si>
  <si>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</si>
  <si>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</si>
  <si>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</si>
  <si>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</si>
  <si>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</si>
  <si>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</si>
  <si>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</si>
  <si>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</si>
  <si>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</si>
  <si>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</si>
  <si>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</si>
  <si>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</si>
  <si>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CONTADO</t>
  </si>
  <si>
    <t>SANTIAGO</t>
  </si>
  <si>
    <t>CORTAR SEGÚN DESARROLLO</t>
  </si>
  <si>
    <t>N° 11282</t>
  </si>
  <si>
    <t>SI</t>
  </si>
  <si>
    <t>F.DONOSO</t>
  </si>
  <si>
    <t>JOSE LUIS RODRIGUEZ</t>
  </si>
  <si>
    <t>+569 62302329</t>
  </si>
  <si>
    <t>CUB C/R 180°</t>
  </si>
  <si>
    <t>CLOUD TERRAZO 4001 GLT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</si>
</sst>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9" fillId="0" borderId="0" xfId="0" applyFont="1"/>
    <xf numFmtId="0" fontId="19" fillId="3" borderId="0" xfId="0" applyFont="1" applyFill="1"/>
    <xf numFmtId="0" fontId="18" fillId="0" borderId="0" xfId="0" quotePrefix="1" applyFont="1"/>
    <xf numFmtId="166" fontId="3" fillId="0" borderId="2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$ 110.000.-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82105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6" workbookViewId="0">
      <selection activeCell="K23" sqref="K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109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7163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140</v>
      </c>
      <c r="D10" s="55"/>
      <c r="E10" s="55"/>
      <c r="F10" s="56" t="s">
        <v>28</v>
      </c>
      <c r="G10" s="57">
        <v>45698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7"/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131</v>
      </c>
      <c r="C12" s="108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D13" s="43"/>
      <c r="E13" s="43"/>
      <c r="F13" s="43" t="s">
        <v>128</v>
      </c>
      <c r="G13" s="64" t="s">
        <v>139</v>
      </c>
      <c r="H13" s="65"/>
      <c r="I13" s="1"/>
    </row>
    <row r="14" spans="1:17" ht="15.6" x14ac:dyDescent="0.3">
      <c r="A14" s="1"/>
      <c r="B14" s="59" t="s">
        <v>17</v>
      </c>
      <c r="C14" s="109" t="s">
        <v>141</v>
      </c>
      <c r="D14" s="66"/>
      <c r="E14" s="60"/>
      <c r="F14" s="60" t="s">
        <v>29</v>
      </c>
      <c r="G14" s="60" t="s">
        <v>138</v>
      </c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134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135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04" t="s">
        <v>142</v>
      </c>
      <c r="D21" s="105">
        <v>2700</v>
      </c>
      <c r="E21" s="105">
        <v>600</v>
      </c>
      <c r="F21" s="104" t="s">
        <v>143</v>
      </c>
      <c r="G21" s="111">
        <v>169174</v>
      </c>
      <c r="H21" s="110">
        <f>G21*B21</f>
        <v>169174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169174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32143.06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201317.06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37" zoomScaleNormal="100" workbookViewId="0">
      <selection activeCell="A37" sqref="A37:F5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7163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JOSE LUIS RODRIGUEZ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 t="s">
        <v>136</v>
      </c>
      <c r="D14" s="25">
        <f>J14+D$13</f>
        <v>2780</v>
      </c>
      <c r="E14" s="35">
        <f>K14+E$13</f>
        <v>570</v>
      </c>
      <c r="F14" s="102" t="str">
        <f>C28</f>
        <v>CUB C/R 180°</v>
      </c>
      <c r="G14" s="1"/>
      <c r="I14" s="3">
        <f>I22</f>
        <v>1</v>
      </c>
      <c r="J14" s="4">
        <f>D28</f>
        <v>2700</v>
      </c>
      <c r="K14" s="4">
        <f>E28</f>
        <v>600</v>
      </c>
    </row>
    <row r="15" spans="1:14" ht="15.6" x14ac:dyDescent="0.3">
      <c r="A15" s="96"/>
      <c r="B15" s="6"/>
      <c r="C15" s="6"/>
      <c r="D15" s="6"/>
      <c r="E15" s="89"/>
      <c r="F15" s="106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150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1">I22</f>
        <v>1</v>
      </c>
      <c r="C22" s="16"/>
      <c r="D22" s="16">
        <f>J22+D$21</f>
        <v>2740</v>
      </c>
      <c r="E22" s="16">
        <f>K22+E$21</f>
        <v>750</v>
      </c>
      <c r="F22" s="103" t="str">
        <f>C28</f>
        <v>CUB C/R 180°</v>
      </c>
      <c r="G22" s="1"/>
      <c r="I22" s="3">
        <f>B28</f>
        <v>1</v>
      </c>
      <c r="J22" s="4">
        <f t="shared" ref="J22:K22" si="2">D28</f>
        <v>2700</v>
      </c>
      <c r="K22" s="4">
        <f t="shared" si="2"/>
        <v>600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133</v>
      </c>
      <c r="B28" s="25">
        <f>'4637'!B21</f>
        <v>1</v>
      </c>
      <c r="C28" s="102" t="str">
        <f>'4637'!C21</f>
        <v>CUB C/R 180°</v>
      </c>
      <c r="D28" s="25">
        <f>'4637'!D21</f>
        <v>2700</v>
      </c>
      <c r="E28" s="25">
        <f>'4637'!E21</f>
        <v>600</v>
      </c>
      <c r="F28" s="25" t="str">
        <f>'4637'!F21</f>
        <v>CLOUD TERRAZO 4001 GLT</v>
      </c>
      <c r="G28" s="1"/>
    </row>
    <row r="29" spans="1:11" ht="15.6" x14ac:dyDescent="0.3">
      <c r="A29" s="52"/>
      <c r="B29" s="6"/>
      <c r="C29" s="106"/>
      <c r="D29" s="6"/>
      <c r="E29" s="6"/>
      <c r="F29" s="6"/>
      <c r="G29" s="1"/>
    </row>
    <row r="30" spans="1:11" ht="15.6" x14ac:dyDescent="0.3">
      <c r="A30" s="52"/>
      <c r="B30" s="6"/>
      <c r="C30" s="10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7163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JOSE LUIS RODRIGUEZ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1" t="str">
        <f>'4637'!C21</f>
        <v>CUB C/R 180°</v>
      </c>
      <c r="D49" s="39">
        <f>'4637'!D21</f>
        <v>2700</v>
      </c>
      <c r="E49" s="39">
        <f>'4637'!E21</f>
        <v>600</v>
      </c>
      <c r="F49" s="38" t="str">
        <f>'4637'!F21</f>
        <v>CLOUD TERRAZO 4001 GLT</v>
      </c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2025-02-10T22:03:27Z</cp:lastPrinted>
  <dcterms:created xsi:type="dcterms:W3CDTF">2013-03-19T12:54:14Z</dcterms:created>
  <dcterms:modified xsi:type="dcterms:W3CDTF">2025-02-10T22:03:33Z</dcterms:modified>
</cp:coreProperties>
</file>