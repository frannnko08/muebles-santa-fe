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2 FEBRERO 2025\"/>
    </mc:Choice>
  </mc:AlternateContent>
  <xr:revisionPtr revIDLastSave="0" documentId="13_ncr:1_{44FE838E-5C11-4C3C-BC9C-51A571B3093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CUBIERTA!$A$37:$G$61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3" l="1"/>
  <c r="I22" i="3" s="1"/>
  <c r="C28" i="3"/>
  <c r="F14" i="3" s="1"/>
  <c r="D28" i="3"/>
  <c r="J14" i="3" s="1"/>
  <c r="D14" i="3" s="1"/>
  <c r="E28" i="3"/>
  <c r="K22" i="3" s="1"/>
  <c r="E22" i="3" s="1"/>
  <c r="F28" i="3"/>
  <c r="B49" i="3"/>
  <c r="C49" i="3"/>
  <c r="D49" i="3"/>
  <c r="E49" i="3"/>
  <c r="F49" i="3"/>
  <c r="H21" i="4"/>
  <c r="J22" i="3" l="1"/>
  <c r="D22" i="3" s="1"/>
  <c r="K14" i="3"/>
  <c r="E14" i="3" s="1"/>
  <c r="B22" i="3"/>
  <c r="I14" i="3"/>
  <c r="B14" i="3" s="1"/>
  <c r="F22" i="3"/>
  <c r="H25" i="4"/>
  <c r="H26" i="4" l="1"/>
  <c r="H27" i="4" l="1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<sst xmlns="http://schemas.openxmlformats.org/spreadsheetml/2006/main" count="247" uniqueCount="145">
  <si>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</si>
  <si>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</si>
  <si>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</si>
  <si>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</si>
  <si>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</si>
  <si>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</si>
  <si>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</si>
  <si>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</si>
  <si>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</si>
  <si>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</si>
  <si>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</si>
  <si>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</si>
  <si>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</si>
  <si>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</si>
  <si>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</si>
  <si>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</si>
  <si>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</si>
  <si>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</si>
  <si>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</si>
  <si>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</si>
  <si>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</si>
  <si>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</si>
  <si>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</si>
  <si>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</si>
  <si>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</si>
  <si>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</si>
  <si>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</si>
  <si>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</si>
  <si>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</si>
  <si>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</si>
  <si>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</si>
  <si>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</si>
  <si>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</si>
  <si>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</si>
  <si>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</si>
  <si>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</si>
  <si>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</si>
  <si>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</si>
  <si>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</si>
  <si>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</si>
  <si>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</si>
  <si>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</si>
  <si>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</si>
  <si>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</si>
  <si>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</si>
  <si>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</si>
  <si>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</si>
  <si>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</si>
  <si>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</si>
  <si>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</si>
  <si>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</si>
  <si>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</si>
  <si>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</si>
  <si>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</si>
  <si>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</si>
  <si>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</si>
  <si>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</si>
  <si>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</si>
  <si>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</si>
  <si>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</si>
  <si>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</si>
  <si>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</si>
  <si>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</si>
  <si>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</si>
  <si>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</si>
  <si>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</si>
  <si>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</si>
  <si>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</si>
  <si>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</si>
  <si>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</si>
  <si>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</si>
  <si>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</si>
  <si>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</si>
  <si>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</si>
  <si>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</si>
  <si>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</si>
  <si>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</si>
  <si>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</si>
  <si>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</si>
  <si>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</si>
  <si>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</si>
  <si>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</si>
  <si>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</si>
  <si>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</si>
  <si>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</si>
  <si>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</si>
  <si>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</si>
  <si>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</si>
  <si>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</si>
  <si>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</si>
  <si>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</si>
  <si>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</si>
  <si>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</si>
  <si>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</si>
  <si>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</si>
  <si>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</si>
  <si>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</si>
  <si>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</si>
  <si>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</si>
  <si>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</si>
  <si>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</si>
  <si>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</si>
  <si>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</si>
  <si>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</si>
  <si>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</si>
  <si>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</si>
  <si>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</si>
  <si>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</si>
  <si>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</si>
  <si>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</si>
  <si>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</si>
  <si>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</si>
  <si>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</si>
  <si>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</si>
  <si>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</si>
  <si>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</si>
  <si>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</si>
  <si>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</si>
  <si>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</si>
  <si>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</si>
  <si>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</si>
  <si>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</si>
  <si>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</si>
  <si>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</si>
  <si>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</si>
  <si>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</si>
  <si>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</si>
  <si>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</si>
  <si>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</si>
  <si>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</si>
  <si>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</si>
  <si>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</si>
  <si>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</si>
  <si>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</si>
  <si>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</si>
  <si>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</si>
  <si>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</si>
  <si>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</si>
  <si>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</si>
  <si>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</si>
  <si>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</si>
  <si>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</si>
  <si>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CUB MESA 180° 2L</t>
  </si>
  <si>
    <t>BLANCO 2114 MT</t>
  </si>
  <si>
    <t>N° 11272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</si>
</sst>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166" fontId="3" fillId="0" borderId="2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41910</xdr:rowOff>
    </xdr:from>
    <xdr:to>
      <xdr:col>1</xdr:col>
      <xdr:colOff>801763</xdr:colOff>
      <xdr:row>43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5"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144</v>
      </c>
      <c r="E8" s="1"/>
      <c r="F8" s="94" t="s">
        <v>27</v>
      </c>
      <c r="G8" s="95">
        <v>7178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135</v>
      </c>
      <c r="D10" s="55"/>
      <c r="E10" s="55"/>
      <c r="F10" s="56" t="s">
        <v>28</v>
      </c>
      <c r="G10" s="57">
        <v>45715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136</v>
      </c>
      <c r="D11" s="60"/>
      <c r="E11" s="60"/>
      <c r="F11" s="60" t="s">
        <v>124</v>
      </c>
      <c r="G11" s="61"/>
      <c r="H11" s="62"/>
      <c r="I11" s="1"/>
    </row>
    <row r="12" spans="1:17" ht="16.2" thickBot="1" x14ac:dyDescent="0.35">
      <c r="A12" s="1"/>
      <c r="B12" s="63" t="s">
        <v>131</v>
      </c>
      <c r="C12" t="s">
        <v>137</v>
      </c>
      <c r="D12" s="43"/>
      <c r="E12" s="43"/>
      <c r="F12" s="43" t="s">
        <v>30</v>
      </c>
      <c r="G12" s="64">
        <v>22768</v>
      </c>
      <c r="H12" s="65"/>
      <c r="I12" s="1"/>
    </row>
    <row r="13" spans="1:17" ht="15.6" x14ac:dyDescent="0.3">
      <c r="A13" s="1"/>
      <c r="B13" s="63" t="s">
        <v>133</v>
      </c>
      <c r="C13" s="86" t="s">
        <v>139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141</v>
      </c>
      <c r="H14" s="62"/>
      <c r="I14" s="1"/>
    </row>
    <row r="15" spans="1:17" ht="15.6" x14ac:dyDescent="0.3">
      <c r="A15" s="1"/>
      <c r="B15" s="63" t="s">
        <v>1</v>
      </c>
      <c r="C15" s="101" t="s">
        <v>138</v>
      </c>
      <c r="D15" s="43"/>
      <c r="E15" s="43"/>
      <c r="F15" s="67" t="s">
        <v>75</v>
      </c>
      <c r="G15" s="67" t="s">
        <v>140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132</v>
      </c>
      <c r="D16" s="69"/>
      <c r="E16" s="70"/>
      <c r="F16" s="114" t="s">
        <v>18</v>
      </c>
      <c r="G16" s="114"/>
      <c r="H16" s="115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6" t="s">
        <v>19</v>
      </c>
      <c r="C19" s="117"/>
      <c r="D19" s="117"/>
      <c r="E19" s="117"/>
      <c r="F19" s="117"/>
      <c r="G19" s="117"/>
      <c r="H19" s="118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6">
        <v>1</v>
      </c>
      <c r="C21" s="106" t="s">
        <v>142</v>
      </c>
      <c r="D21" s="112">
        <v>2000</v>
      </c>
      <c r="E21" s="112">
        <v>900</v>
      </c>
      <c r="F21" s="106" t="s">
        <v>143</v>
      </c>
      <c r="G21" s="109">
        <v>98944</v>
      </c>
      <c r="H21" s="107">
        <f t="shared" ref="H21" si="0">G21*B21</f>
        <v>98944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110"/>
      <c r="D22" s="111"/>
      <c r="E22" s="111"/>
      <c r="F22" s="97"/>
      <c r="G22" s="75"/>
      <c r="H22" s="99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98944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18799.36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117743.36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9" t="s">
        <v>31</v>
      </c>
      <c r="C2" s="119"/>
      <c r="D2" s="119"/>
      <c r="E2" s="18"/>
      <c r="G2" s="119" t="s">
        <v>70</v>
      </c>
      <c r="H2" s="119"/>
      <c r="I2" s="119"/>
      <c r="P2" s="120" t="s">
        <v>58</v>
      </c>
      <c r="Q2" s="120"/>
      <c r="R2" s="120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0" t="s">
        <v>58</v>
      </c>
      <c r="M8" s="120"/>
      <c r="N8" s="12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abSelected="1" zoomScaleNormal="100" workbookViewId="0">
      <selection activeCell="A37" sqref="A37:G61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1" t="s">
        <v>61</v>
      </c>
      <c r="L3" s="121"/>
      <c r="M3" s="121" t="s">
        <v>14</v>
      </c>
      <c r="N3" s="121"/>
    </row>
    <row r="4" spans="1:14" ht="15.75" customHeight="1" x14ac:dyDescent="0.3">
      <c r="A4" s="1"/>
      <c r="B4" s="1"/>
      <c r="C4" s="40" t="s">
        <v>27</v>
      </c>
      <c r="D4" s="14">
        <f>'4637'!G8</f>
        <v>7178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2" t="s">
        <v>61</v>
      </c>
      <c r="B10" s="122"/>
      <c r="C10" s="122"/>
      <c r="D10" s="122"/>
      <c r="E10" s="122"/>
      <c r="F10" s="12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</v>
      </c>
      <c r="C14" s="25"/>
      <c r="D14" s="25">
        <f t="shared" ref="D14" si="1">J14+D$13</f>
        <v>2080</v>
      </c>
      <c r="E14" s="35">
        <f>K14</f>
        <v>900</v>
      </c>
      <c r="F14" s="103" t="str">
        <f>C28</f>
        <v>CUB MESA 180° 2L</v>
      </c>
      <c r="G14" s="1"/>
      <c r="I14" s="3">
        <f>I22</f>
        <v>1</v>
      </c>
      <c r="J14" s="4">
        <f>D28</f>
        <v>2000</v>
      </c>
      <c r="K14" s="4">
        <f>E28</f>
        <v>900</v>
      </c>
    </row>
    <row r="15" spans="1:14" ht="15.6" x14ac:dyDescent="0.3">
      <c r="A15" s="96"/>
      <c r="B15" s="6"/>
      <c r="C15" s="6"/>
      <c r="D15" s="6"/>
      <c r="E15" s="89"/>
      <c r="F15" s="113"/>
      <c r="G15" s="1"/>
      <c r="I15" s="90"/>
      <c r="J15" s="2"/>
      <c r="K15" s="2"/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2" t="s">
        <v>14</v>
      </c>
      <c r="B18" s="122"/>
      <c r="C18" s="122"/>
      <c r="D18" s="122"/>
      <c r="E18" s="122"/>
      <c r="F18" s="122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160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 t="s">
        <v>130</v>
      </c>
      <c r="B22" s="16">
        <f t="shared" ref="B22" si="2">I22</f>
        <v>1</v>
      </c>
      <c r="C22" s="16"/>
      <c r="D22" s="16">
        <f>J22+D$21</f>
        <v>2040</v>
      </c>
      <c r="E22" s="16">
        <f>K22+E$21</f>
        <v>1060</v>
      </c>
      <c r="F22" s="104" t="str">
        <f>C28</f>
        <v>CUB MESA 180° 2L</v>
      </c>
      <c r="G22" s="1"/>
      <c r="I22" s="3">
        <f>B28</f>
        <v>1</v>
      </c>
      <c r="J22" s="4">
        <f t="shared" ref="J22:K22" si="3">D28</f>
        <v>2000</v>
      </c>
      <c r="K22" s="4">
        <f t="shared" si="3"/>
        <v>900</v>
      </c>
    </row>
    <row r="23" spans="1:11" ht="15.6" x14ac:dyDescent="0.3">
      <c r="A23" s="96"/>
      <c r="B23" s="6"/>
      <c r="C23" s="6"/>
      <c r="D23" s="6"/>
      <c r="E23" s="6"/>
      <c r="F23" s="6"/>
      <c r="G23" s="1"/>
      <c r="I23" s="90"/>
      <c r="J23" s="2"/>
      <c r="K23" s="2"/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</row>
    <row r="28" spans="1:11" ht="15.6" x14ac:dyDescent="0.3">
      <c r="A28" s="96" t="s">
        <v>134</v>
      </c>
      <c r="B28" s="25">
        <f>'4637'!B21</f>
        <v>1</v>
      </c>
      <c r="C28" s="103" t="str">
        <f>'4637'!C21</f>
        <v>CUB MESA 180° 2L</v>
      </c>
      <c r="D28" s="25">
        <f>'4637'!D21</f>
        <v>2000</v>
      </c>
      <c r="E28" s="25">
        <f>'4637'!E21</f>
        <v>900</v>
      </c>
      <c r="F28" s="25" t="str">
        <f>'4637'!F21</f>
        <v>BLANCO 2114 MT</v>
      </c>
      <c r="G28" s="1"/>
    </row>
    <row r="29" spans="1:11" ht="15.6" x14ac:dyDescent="0.3">
      <c r="A29" s="52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'4637'!G8</f>
        <v>7178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MUEBLES ASENJO LTDA.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0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2" t="s">
        <v>68</v>
      </c>
      <c r="B45" s="122"/>
      <c r="C45" s="122"/>
      <c r="D45" s="122"/>
      <c r="E45" s="122"/>
      <c r="F45" s="122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3" t="s">
        <v>69</v>
      </c>
      <c r="C47" s="124"/>
      <c r="D47" s="125"/>
      <c r="E47" s="125"/>
      <c r="F47" s="126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96"/>
      <c r="B49" s="38">
        <f>'4637'!B21</f>
        <v>1</v>
      </c>
      <c r="C49" s="102" t="str">
        <f>'4637'!C21</f>
        <v>CUB MESA 180° 2L</v>
      </c>
      <c r="D49" s="39">
        <f>'4637'!D21</f>
        <v>2000</v>
      </c>
      <c r="E49" s="39">
        <f>'4637'!E21</f>
        <v>900</v>
      </c>
      <c r="F49" s="38" t="str">
        <f>'4637'!F21</f>
        <v>BLANCO 2114 MT</v>
      </c>
      <c r="G49" s="1"/>
    </row>
    <row r="50" spans="1:7" s="15" customFormat="1" ht="15" customHeight="1" x14ac:dyDescent="0.3">
      <c r="A50" s="96"/>
      <c r="B50" s="52"/>
      <c r="C50" s="108"/>
      <c r="D50" s="52"/>
      <c r="E50" s="52"/>
      <c r="F50" s="52"/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8:F18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2025-02-03T16:07:38Z</cp:lastPrinted>
  <dcterms:created xsi:type="dcterms:W3CDTF">2013-03-19T12:54:14Z</dcterms:created>
  <dcterms:modified xsi:type="dcterms:W3CDTF">2025-02-27T21:32:08Z</dcterms:modified>
</cp:coreProperties>
</file>