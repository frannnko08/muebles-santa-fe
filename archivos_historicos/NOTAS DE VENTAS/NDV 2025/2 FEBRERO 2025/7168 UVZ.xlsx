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CDC4A24F-E514-46AA-BCF2-AC49D82FE8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CUBIERTA!$A$39:$F$64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14" i="3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H22" i="4"/>
  <c r="H21" i="4"/>
  <c r="B29" i="3"/>
  <c r="I22" i="3" s="1"/>
  <c r="C29" i="3"/>
  <c r="F14" i="3" s="1"/>
  <c r="D29" i="3"/>
  <c r="J14" i="3" s="1"/>
  <c r="D14" i="3" s="1"/>
  <c r="E29" i="3"/>
  <c r="K22" i="3" s="1"/>
  <c r="F29" i="3"/>
  <c r="B51" i="3"/>
  <c r="C51" i="3"/>
  <c r="D51" i="3"/>
  <c r="E51" i="3"/>
  <c r="F51" i="3"/>
  <c r="K15" i="3" l="1"/>
  <c r="E15" i="3" s="1"/>
  <c r="J15" i="3"/>
  <c r="D15" i="3" s="1"/>
  <c r="I15" i="3"/>
  <c r="B15" i="3" s="1"/>
  <c r="F15" i="3"/>
  <c r="J22" i="3"/>
  <c r="D22" i="3" s="1"/>
  <c r="K14" i="3"/>
  <c r="B22" i="3"/>
  <c r="I14" i="3"/>
  <c r="B14" i="3" s="1"/>
  <c r="F22" i="3"/>
  <c r="H26" i="4"/>
  <c r="H27" i="4" l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<sst xmlns="http://schemas.openxmlformats.org/spreadsheetml/2006/main" count="252" uniqueCount="147">
  <si>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</si>
  <si>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</si>
  <si>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</si>
  <si>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</si>
  <si>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</si>
  <si>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</si>
  <si>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</si>
  <si>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</si>
  <si>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</si>
  <si>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</si>
  <si>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</si>
  <si>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</si>
  <si>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</si>
  <si>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</si>
  <si>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</si>
  <si>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</si>
  <si>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</si>
  <si>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</si>
  <si>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</si>
  <si>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</si>
  <si>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</si>
  <si>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</si>
  <si>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</si>
  <si>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</si>
  <si>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</si>
  <si>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</si>
  <si>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</si>
  <si>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</si>
  <si>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</si>
  <si>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</si>
  <si>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</si>
  <si>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</si>
  <si>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</si>
  <si>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</si>
  <si>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</si>
  <si>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</si>
  <si>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</si>
  <si>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</si>
  <si>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</si>
  <si>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</si>
  <si>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</si>
  <si>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</si>
  <si>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</si>
  <si>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</si>
  <si>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</si>
  <si>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</si>
  <si>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</si>
  <si>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</si>
  <si>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</si>
  <si>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</si>
  <si>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</si>
  <si>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</si>
  <si>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</si>
  <si>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</si>
  <si>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</si>
  <si>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</si>
  <si>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</si>
  <si>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</si>
  <si>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</si>
  <si>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</si>
  <si>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</si>
  <si>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</si>
  <si>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</si>
  <si>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</si>
  <si>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</si>
  <si>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</si>
  <si>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</si>
  <si>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</si>
  <si>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</si>
  <si>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</si>
  <si>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</si>
  <si>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</si>
  <si>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</si>
  <si>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</si>
  <si>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</si>
  <si>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</si>
  <si>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</si>
  <si>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</si>
  <si>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</si>
  <si>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</si>
  <si>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</si>
  <si>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</si>
  <si>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</si>
  <si>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</si>
  <si>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</si>
  <si>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</si>
  <si>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</si>
  <si>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</si>
  <si>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</si>
  <si>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</si>
  <si>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</si>
  <si>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</si>
  <si>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</si>
  <si>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</si>
  <si>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</si>
  <si>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</si>
  <si>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</si>
  <si>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</si>
  <si>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</si>
  <si>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</si>
  <si>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</si>
  <si>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</si>
  <si>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</si>
  <si>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</si>
  <si>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</si>
  <si>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</si>
  <si>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</si>
  <si>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</si>
  <si>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</si>
  <si>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</si>
  <si>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</si>
  <si>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</si>
  <si>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</si>
  <si>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</si>
  <si>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</si>
  <si>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</si>
  <si>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</si>
  <si>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</si>
  <si>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</si>
  <si>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</si>
  <si>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</si>
  <si>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</si>
  <si>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</si>
  <si>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</si>
  <si>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</si>
  <si>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</si>
  <si>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</si>
  <si>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</si>
  <si>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</si>
  <si>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</si>
  <si>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</si>
  <si>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</si>
  <si>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</si>
  <si>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</si>
  <si>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</si>
  <si>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77.018.060-0</t>
  </si>
  <si>
    <t>NO</t>
  </si>
  <si>
    <t>CUB C/R R8</t>
  </si>
  <si>
    <t>GALAXIA GRAFITO 0491 MT</t>
  </si>
  <si>
    <t>CONTADO</t>
  </si>
  <si>
    <t>UVZ MOBILIARIO SPA</t>
  </si>
  <si>
    <t>ACONDICIONAMIENTO DE EDIFICIOS</t>
  </si>
  <si>
    <t>RAMON SALINAS</t>
  </si>
  <si>
    <t>+569 42714183</t>
  </si>
  <si>
    <t>TOTORAL 300 QUILICURA</t>
  </si>
  <si>
    <t>N° 11291</t>
  </si>
  <si>
    <t>CORTAR RESPALDO 38MM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</si>
</sst>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155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0" borderId="0" xfId="0" applyFont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$ 155.160.-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OBSERVACIONES:RESPALDO DE 5 CMS SOBRE LA BASE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OBSERVACIONES:RESPALDO DE 5 CMS SOBRE LA BASE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workbookViewId="0">
      <selection activeCell="J27" sqref="J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145</v>
      </c>
      <c r="E8" s="1"/>
      <c r="F8" s="94" t="s">
        <v>27</v>
      </c>
      <c r="G8" s="95">
        <v>7168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45706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135</v>
      </c>
      <c r="D11" s="60"/>
      <c r="E11" s="60"/>
      <c r="F11" s="60" t="s">
        <v>124</v>
      </c>
      <c r="G11" s="61">
        <v>45713</v>
      </c>
      <c r="H11" s="62"/>
      <c r="I11" s="1"/>
    </row>
    <row r="12" spans="1:17" ht="16.2" thickBot="1" x14ac:dyDescent="0.35">
      <c r="A12" s="1"/>
      <c r="B12" s="63" t="s">
        <v>131</v>
      </c>
      <c r="C12" t="s">
        <v>141</v>
      </c>
      <c r="D12" s="43"/>
      <c r="E12" s="43"/>
      <c r="F12" s="43" t="s">
        <v>30</v>
      </c>
      <c r="G12" s="64">
        <v>7973</v>
      </c>
      <c r="H12" s="65"/>
      <c r="I12" s="1"/>
    </row>
    <row r="13" spans="1:17" ht="15.6" x14ac:dyDescent="0.3">
      <c r="A13" s="1"/>
      <c r="B13" s="63" t="s">
        <v>133</v>
      </c>
      <c r="C13" s="86" t="s">
        <v>142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4" t="s">
        <v>143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 t="s">
        <v>144</v>
      </c>
      <c r="D15" s="43"/>
      <c r="E15" s="43"/>
      <c r="F15" s="67" t="s">
        <v>75</v>
      </c>
      <c r="G15" s="67" t="s">
        <v>139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137</v>
      </c>
      <c r="D21" s="108">
        <v>3350</v>
      </c>
      <c r="E21" s="108">
        <v>450</v>
      </c>
      <c r="F21" s="105" t="s">
        <v>138</v>
      </c>
      <c r="G21" s="107">
        <v>184044</v>
      </c>
      <c r="H21" s="107">
        <f>G21*B21</f>
        <v>184044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137</v>
      </c>
      <c r="D22" s="108">
        <v>1350</v>
      </c>
      <c r="E22" s="108">
        <v>450</v>
      </c>
      <c r="F22" s="105" t="s">
        <v>138</v>
      </c>
      <c r="G22" s="107">
        <v>76730</v>
      </c>
      <c r="H22" s="107">
        <f t="shared" ref="H22" si="0">G22*B22</f>
        <v>76730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109"/>
      <c r="E23" s="109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260774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49547.06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310321.06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topLeftCell="A27" zoomScaleNormal="100" workbookViewId="0">
      <selection activeCell="A39" sqref="A39:F6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7168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UVZ MOBILIARIO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45713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146</v>
      </c>
      <c r="D14" s="25">
        <f t="shared" ref="D14" si="1">J14+D$13</f>
        <v>3430</v>
      </c>
      <c r="E14" s="35">
        <f>K14+E$13</f>
        <v>420</v>
      </c>
      <c r="F14" s="103" t="str">
        <f t="shared" ref="F14:F15" si="2">C29</f>
        <v>CUB C/R R8</v>
      </c>
      <c r="G14" s="1"/>
      <c r="I14" s="3">
        <f t="shared" ref="I14:I15" si="3">I22</f>
        <v>1</v>
      </c>
      <c r="J14" s="4">
        <f>D29</f>
        <v>3350</v>
      </c>
      <c r="K14" s="4">
        <f>E29</f>
        <v>450</v>
      </c>
    </row>
    <row r="15" spans="1:14" ht="15.6" x14ac:dyDescent="0.3">
      <c r="A15" s="96"/>
      <c r="B15" s="25">
        <f t="shared" ref="B15" si="4">I15</f>
        <v>1</v>
      </c>
      <c r="C15" s="25" t="s">
        <v>146</v>
      </c>
      <c r="D15" s="25">
        <f t="shared" ref="D15" si="5">J15+D$13</f>
        <v>1430</v>
      </c>
      <c r="E15" s="35">
        <f>K15+E$13</f>
        <v>420</v>
      </c>
      <c r="F15" s="103" t="str">
        <f t="shared" si="2"/>
        <v>CUB C/R R8</v>
      </c>
      <c r="G15" s="1"/>
      <c r="I15" s="3">
        <f t="shared" si="3"/>
        <v>1</v>
      </c>
      <c r="J15" s="4">
        <f t="shared" ref="J15:K15" si="6">D30</f>
        <v>1350</v>
      </c>
      <c r="K15" s="4">
        <f t="shared" si="6"/>
        <v>450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7">I22</f>
        <v>1</v>
      </c>
      <c r="C22" s="16"/>
      <c r="D22" s="16">
        <f>J22+D$21</f>
        <v>3390</v>
      </c>
      <c r="E22" s="16">
        <f>K22+E$21</f>
        <v>580</v>
      </c>
      <c r="F22" s="104" t="str">
        <f t="shared" ref="F22:F23" si="8">C29</f>
        <v>CUB C/R R8</v>
      </c>
      <c r="G22" s="1"/>
      <c r="I22" s="3">
        <f t="shared" ref="I22:I23" si="9">B29</f>
        <v>1</v>
      </c>
      <c r="J22" s="4">
        <f t="shared" ref="J22:K22" si="10">D29</f>
        <v>3350</v>
      </c>
      <c r="K22" s="4">
        <f t="shared" si="10"/>
        <v>450</v>
      </c>
    </row>
    <row r="23" spans="1:11" ht="15.6" x14ac:dyDescent="0.3">
      <c r="A23" s="96"/>
      <c r="B23" s="16">
        <f t="shared" ref="B23" si="11">I23</f>
        <v>1</v>
      </c>
      <c r="C23" s="16"/>
      <c r="D23" s="16">
        <f>J23+D$21</f>
        <v>1390</v>
      </c>
      <c r="E23" s="16">
        <f>K23+E$21</f>
        <v>580</v>
      </c>
      <c r="F23" s="104" t="str">
        <f t="shared" si="8"/>
        <v>CUB C/R R8</v>
      </c>
      <c r="G23" s="1"/>
      <c r="I23" s="3">
        <f t="shared" si="9"/>
        <v>1</v>
      </c>
      <c r="J23" s="4">
        <f t="shared" ref="J23:K23" si="12">D30</f>
        <v>1350</v>
      </c>
      <c r="K23" s="4">
        <f t="shared" si="12"/>
        <v>450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3" t="str">
        <f>'4637'!C21</f>
        <v>CUB C/R R8</v>
      </c>
      <c r="D29" s="25">
        <f>'4637'!D21</f>
        <v>3350</v>
      </c>
      <c r="E29" s="25">
        <f>'4637'!E21</f>
        <v>450</v>
      </c>
      <c r="F29" s="25" t="str">
        <f>'4637'!F21</f>
        <v>GALAXIA GRAFITO 0491 MT</v>
      </c>
      <c r="G29" s="1"/>
    </row>
    <row r="30" spans="1:11" ht="15.6" x14ac:dyDescent="0.3">
      <c r="A30" s="96"/>
      <c r="B30" s="25">
        <f>'4637'!B22</f>
        <v>1</v>
      </c>
      <c r="C30" s="103" t="str">
        <f>'4637'!C22</f>
        <v>CUB C/R R8</v>
      </c>
      <c r="D30" s="25">
        <f>'4637'!D22</f>
        <v>1350</v>
      </c>
      <c r="E30" s="25">
        <f>'4637'!E22</f>
        <v>450</v>
      </c>
      <c r="F30" s="25" t="str">
        <f>'4637'!F22</f>
        <v>GALAXIA GRAFITO 0491 MT</v>
      </c>
      <c r="G30" s="1"/>
    </row>
    <row r="31" spans="1:11" ht="15.6" x14ac:dyDescent="0.3">
      <c r="A31" s="52"/>
      <c r="B31" s="6"/>
      <c r="C31" s="110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7168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UVZ MOBILIARIO SPA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45713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9" t="s">
        <v>68</v>
      </c>
      <c r="B47" s="119"/>
      <c r="C47" s="119"/>
      <c r="D47" s="119"/>
      <c r="E47" s="119"/>
      <c r="F47" s="119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0" t="s">
        <v>69</v>
      </c>
      <c r="C49" s="121"/>
      <c r="D49" s="122"/>
      <c r="E49" s="122"/>
      <c r="F49" s="123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C/R R8</v>
      </c>
      <c r="D51" s="39">
        <f>'4637'!D21</f>
        <v>3350</v>
      </c>
      <c r="E51" s="39">
        <f>'4637'!E21</f>
        <v>450</v>
      </c>
      <c r="F51" s="38" t="str">
        <f>'4637'!F21</f>
        <v>GALAXIA GRAFITO 0491 MT</v>
      </c>
      <c r="G51" s="1"/>
    </row>
    <row r="52" spans="1:7" s="15" customFormat="1" ht="15" customHeight="1" x14ac:dyDescent="0.3">
      <c r="A52" s="96"/>
      <c r="B52" s="38">
        <f>'4637'!B22</f>
        <v>1</v>
      </c>
      <c r="C52" s="102" t="str">
        <f>'4637'!C22</f>
        <v>CUB C/R R8</v>
      </c>
      <c r="D52" s="39">
        <f>'4637'!D22</f>
        <v>1350</v>
      </c>
      <c r="E52" s="39">
        <f>'4637'!E22</f>
        <v>450</v>
      </c>
      <c r="F52" s="38" t="str">
        <f>'4637'!F22</f>
        <v>GALAXIA GRAFITO 0491 MT</v>
      </c>
      <c r="G52" s="1"/>
    </row>
    <row r="53" spans="1:7" s="15" customFormat="1" ht="15" customHeight="1" x14ac:dyDescent="0.3">
      <c r="A53" s="96"/>
      <c r="B53" s="52"/>
      <c r="C53" s="106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2025-02-18T15:13:51Z</cp:lastPrinted>
  <dcterms:created xsi:type="dcterms:W3CDTF">2013-03-19T12:54:14Z</dcterms:created>
  <dcterms:modified xsi:type="dcterms:W3CDTF">2025-02-18T15:15:33Z</dcterms:modified>
</cp:coreProperties>
</file>