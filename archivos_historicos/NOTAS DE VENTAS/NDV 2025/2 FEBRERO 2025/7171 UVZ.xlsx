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245E618F-211C-4603-896A-A69B84D8B2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CUBIERTA!$A$39:$F$62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K15" i="3" l="1"/>
  <c r="E15" i="3" s="1"/>
  <c r="J15" i="3"/>
  <c r="D15" i="3" s="1"/>
  <c r="I15" i="3"/>
  <c r="B15" i="3" s="1"/>
  <c r="F15" i="3"/>
  <c r="J22" i="3"/>
  <c r="D22" i="3" s="1"/>
  <c r="K14" i="3"/>
  <c r="E14" i="3" s="1"/>
  <c r="B22" i="3"/>
  <c r="I14" i="3"/>
  <c r="B14" i="3" s="1"/>
  <c r="F22" i="3"/>
  <c r="H26" i="4"/>
  <c r="H27" i="4" l="1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<sst xmlns="http://schemas.openxmlformats.org/spreadsheetml/2006/main" count="250" uniqueCount="146">
  <si>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</si>
  <si>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</si>
  <si>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</si>
  <si>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</si>
  <si>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</si>
  <si>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</si>
  <si>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</si>
  <si>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</si>
  <si>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</si>
  <si>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</si>
  <si>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</si>
  <si>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</si>
  <si>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</si>
  <si>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</si>
  <si>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</si>
  <si>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</si>
  <si>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</si>
  <si>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</si>
  <si>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</si>
  <si>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</si>
  <si>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</si>
  <si>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</si>
  <si>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</si>
  <si>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</si>
  <si>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</si>
  <si>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</si>
  <si>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</si>
  <si>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</si>
  <si>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</si>
  <si>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</si>
  <si>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</si>
  <si>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</si>
  <si>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</si>
  <si>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</si>
  <si>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</si>
  <si>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</si>
  <si>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</si>
  <si>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</si>
  <si>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</si>
  <si>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</si>
  <si>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</si>
  <si>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</si>
  <si>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</si>
  <si>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</si>
  <si>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</si>
  <si>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</si>
  <si>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</si>
  <si>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</si>
  <si>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</si>
  <si>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</si>
  <si>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</si>
  <si>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</si>
  <si>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</si>
  <si>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</si>
  <si>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</si>
  <si>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</si>
  <si>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</si>
  <si>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</si>
  <si>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</si>
  <si>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</si>
  <si>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</si>
  <si>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</si>
  <si>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</si>
  <si>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</si>
  <si>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</si>
  <si>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</si>
  <si>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</si>
  <si>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</si>
  <si>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</si>
  <si>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</si>
  <si>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</si>
  <si>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</si>
  <si>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</si>
  <si>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</si>
  <si>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</si>
  <si>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</si>
  <si>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</si>
  <si>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</si>
  <si>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</si>
  <si>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</si>
  <si>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</si>
  <si>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</si>
  <si>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</si>
  <si>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</si>
  <si>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</si>
  <si>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</si>
  <si>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</si>
  <si>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</si>
  <si>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</si>
  <si>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</si>
  <si>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</si>
  <si>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</si>
  <si>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</si>
  <si>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</si>
  <si>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</si>
  <si>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</si>
  <si>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</si>
  <si>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</si>
  <si>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</si>
  <si>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</si>
  <si>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</si>
  <si>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</si>
  <si>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</si>
  <si>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</si>
  <si>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</si>
  <si>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</si>
  <si>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</si>
  <si>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</si>
  <si>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</si>
  <si>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</si>
  <si>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</si>
  <si>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</si>
  <si>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</si>
  <si>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</si>
  <si>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</si>
  <si>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</si>
  <si>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</si>
  <si>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</si>
  <si>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</si>
  <si>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</si>
  <si>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</si>
  <si>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</si>
  <si>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</si>
  <si>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</si>
  <si>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</si>
  <si>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</si>
  <si>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</si>
  <si>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</si>
  <si>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</si>
  <si>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</si>
  <si>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</si>
  <si>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</si>
  <si>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</si>
  <si>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</si>
  <si>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</si>
  <si>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77.018.060-0</t>
  </si>
  <si>
    <t>NO</t>
  </si>
  <si>
    <t>GALAXIA GRAFITO 0491 MT</t>
  </si>
  <si>
    <t>CONTADO</t>
  </si>
  <si>
    <t>UVZ MOBILIARIO SPA</t>
  </si>
  <si>
    <t>ACONDICIONAMIENTO DE EDIFICIOS</t>
  </si>
  <si>
    <t>RAMON SALINAS</t>
  </si>
  <si>
    <t>+569 42714183</t>
  </si>
  <si>
    <t>TOTORAL 300 QUILICURA</t>
  </si>
  <si>
    <t>N° 11301</t>
  </si>
  <si>
    <t>CUB S/R R8 FRENTE 5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</si>
</sst>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1155C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0" applyFont="1" applyAlignment="1">
      <alignment horizont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 241.258.-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FALDON 5 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OBSERVACIONES:FALDON 5 CMS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6" workbookViewId="0">
      <selection activeCell="M17" sqref="M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7171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139</v>
      </c>
      <c r="D10" s="55"/>
      <c r="E10" s="55"/>
      <c r="F10" s="56" t="s">
        <v>28</v>
      </c>
      <c r="G10" s="57">
        <v>45706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135</v>
      </c>
      <c r="D11" s="60"/>
      <c r="E11" s="60"/>
      <c r="F11" s="60" t="s">
        <v>124</v>
      </c>
      <c r="G11" s="61">
        <v>45713</v>
      </c>
      <c r="H11" s="62"/>
      <c r="I11" s="1"/>
    </row>
    <row r="12" spans="1:17" ht="16.2" thickBot="1" x14ac:dyDescent="0.35">
      <c r="A12" s="1"/>
      <c r="B12" s="63" t="s">
        <v>131</v>
      </c>
      <c r="C12" t="s">
        <v>140</v>
      </c>
      <c r="D12" s="43"/>
      <c r="E12" s="43"/>
      <c r="F12" s="43" t="s">
        <v>30</v>
      </c>
      <c r="G12" s="64">
        <v>7999</v>
      </c>
      <c r="H12" s="65"/>
      <c r="I12" s="1"/>
    </row>
    <row r="13" spans="1:17" ht="15.6" x14ac:dyDescent="0.3">
      <c r="A13" s="1"/>
      <c r="B13" s="63" t="s">
        <v>133</v>
      </c>
      <c r="C13" s="86" t="s">
        <v>141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8" t="s">
        <v>142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101" t="s">
        <v>143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9">
        <v>2</v>
      </c>
      <c r="C21" s="110" t="s">
        <v>145</v>
      </c>
      <c r="D21" s="113">
        <v>2490</v>
      </c>
      <c r="E21" s="113">
        <v>600</v>
      </c>
      <c r="F21" s="110" t="s">
        <v>137</v>
      </c>
      <c r="G21" s="111">
        <v>153246</v>
      </c>
      <c r="H21" s="112">
        <f t="shared" ref="H21:H22" si="0">G21*B21</f>
        <v>306492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9">
        <v>1</v>
      </c>
      <c r="C22" s="110" t="s">
        <v>145</v>
      </c>
      <c r="D22" s="113">
        <v>1580</v>
      </c>
      <c r="E22" s="113">
        <v>600</v>
      </c>
      <c r="F22" s="110" t="s">
        <v>137</v>
      </c>
      <c r="G22" s="111">
        <v>98984</v>
      </c>
      <c r="H22" s="112">
        <f t="shared" si="0"/>
        <v>98984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106"/>
      <c r="E23" s="106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405476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77040.44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482516.44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opLeftCell="A27" zoomScaleNormal="100" workbookViewId="0">
      <selection activeCell="A39" sqref="A39:F6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7171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UVZ MOBILIARIO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45713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/>
      <c r="D14" s="25">
        <f t="shared" ref="D14" si="1">J14+D$13</f>
        <v>2570</v>
      </c>
      <c r="E14" s="35">
        <f>K14+E$13</f>
        <v>600</v>
      </c>
      <c r="F14" s="103" t="str">
        <f t="shared" ref="F14:F15" si="2">C29</f>
        <v>CUB S/R R8 FRENTE 5 CMS</v>
      </c>
      <c r="G14" s="1"/>
      <c r="I14" s="3">
        <f t="shared" ref="I14:I15" si="3">I22</f>
        <v>2</v>
      </c>
      <c r="J14" s="4">
        <f>D29</f>
        <v>2490</v>
      </c>
      <c r="K14" s="4">
        <f>E29</f>
        <v>600</v>
      </c>
    </row>
    <row r="15" spans="1:14" ht="15.6" x14ac:dyDescent="0.3">
      <c r="A15" s="96"/>
      <c r="B15" s="25">
        <f t="shared" ref="B15" si="4">I15</f>
        <v>1</v>
      </c>
      <c r="C15" s="25"/>
      <c r="D15" s="25">
        <f t="shared" ref="D15" si="5">J15+D$13</f>
        <v>1660</v>
      </c>
      <c r="E15" s="35">
        <f>K15+E$13</f>
        <v>600</v>
      </c>
      <c r="F15" s="103" t="str">
        <f t="shared" si="2"/>
        <v>CUB S/R R8 FRENTE 5 CMS</v>
      </c>
      <c r="G15" s="1"/>
      <c r="I15" s="3">
        <f t="shared" si="3"/>
        <v>1</v>
      </c>
      <c r="J15" s="4">
        <f t="shared" ref="J15:K15" si="6">D30</f>
        <v>1580</v>
      </c>
      <c r="K15" s="4">
        <f t="shared" si="6"/>
        <v>600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2" t="s">
        <v>14</v>
      </c>
      <c r="B18" s="122"/>
      <c r="C18" s="122"/>
      <c r="D18" s="122"/>
      <c r="E18" s="122"/>
      <c r="F18" s="12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70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7">I22</f>
        <v>2</v>
      </c>
      <c r="C22" s="16"/>
      <c r="D22" s="16">
        <f>J22+D$21</f>
        <v>2530</v>
      </c>
      <c r="E22" s="16">
        <f>K22+E$21</f>
        <v>670</v>
      </c>
      <c r="F22" s="104" t="str">
        <f t="shared" ref="F22:F23" si="8">C29</f>
        <v>CUB S/R R8 FRENTE 5 CMS</v>
      </c>
      <c r="G22" s="1"/>
      <c r="I22" s="3">
        <f t="shared" ref="I22:I23" si="9">B29</f>
        <v>2</v>
      </c>
      <c r="J22" s="4">
        <f t="shared" ref="J22:K22" si="10">D29</f>
        <v>2490</v>
      </c>
      <c r="K22" s="4">
        <f t="shared" si="10"/>
        <v>600</v>
      </c>
    </row>
    <row r="23" spans="1:11" ht="15.6" x14ac:dyDescent="0.3">
      <c r="A23" s="96"/>
      <c r="B23" s="16">
        <f t="shared" ref="B23" si="11">I23</f>
        <v>1</v>
      </c>
      <c r="C23" s="16"/>
      <c r="D23" s="16">
        <f>J23+D$21</f>
        <v>1620</v>
      </c>
      <c r="E23" s="16">
        <f>K23+E$21</f>
        <v>670</v>
      </c>
      <c r="F23" s="104" t="str">
        <f t="shared" si="8"/>
        <v>CUB S/R R8 FRENTE 5 CMS</v>
      </c>
      <c r="G23" s="1"/>
      <c r="I23" s="3">
        <f t="shared" si="9"/>
        <v>1</v>
      </c>
      <c r="J23" s="4">
        <f t="shared" ref="J23:K23" si="12">D30</f>
        <v>1580</v>
      </c>
      <c r="K23" s="4">
        <f t="shared" si="12"/>
        <v>600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2</v>
      </c>
      <c r="C29" s="103" t="str">
        <f>'4637'!C21</f>
        <v>CUB S/R R8 FRENTE 5 CMS</v>
      </c>
      <c r="D29" s="25">
        <f>'4637'!D21</f>
        <v>2490</v>
      </c>
      <c r="E29" s="25">
        <f>'4637'!E21</f>
        <v>600</v>
      </c>
      <c r="F29" s="25" t="str">
        <f>'4637'!F21</f>
        <v>GALAXIA GRAFITO 0491 MT</v>
      </c>
      <c r="G29" s="1"/>
    </row>
    <row r="30" spans="1:11" ht="15.6" x14ac:dyDescent="0.3">
      <c r="A30" s="96"/>
      <c r="B30" s="25">
        <f>'4637'!B22</f>
        <v>1</v>
      </c>
      <c r="C30" s="103" t="str">
        <f>'4637'!C22</f>
        <v>CUB S/R R8 FRENTE 5 CMS</v>
      </c>
      <c r="D30" s="25">
        <f>'4637'!D22</f>
        <v>1580</v>
      </c>
      <c r="E30" s="25">
        <f>'4637'!E22</f>
        <v>600</v>
      </c>
      <c r="F30" s="25" t="str">
        <f>'4637'!F22</f>
        <v>GALAXIA GRAFITO 0491 MT</v>
      </c>
      <c r="G30" s="1"/>
    </row>
    <row r="31" spans="1:11" ht="15.6" x14ac:dyDescent="0.3">
      <c r="A31" s="52"/>
      <c r="B31" s="6"/>
      <c r="C31" s="107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7171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UVZ MOBILIARIO SPA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45713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2" t="s">
        <v>68</v>
      </c>
      <c r="B47" s="122"/>
      <c r="C47" s="122"/>
      <c r="D47" s="122"/>
      <c r="E47" s="122"/>
      <c r="F47" s="122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3" t="s">
        <v>69</v>
      </c>
      <c r="C49" s="124"/>
      <c r="D49" s="125"/>
      <c r="E49" s="125"/>
      <c r="F49" s="126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2</v>
      </c>
      <c r="C51" s="102" t="str">
        <f>'4637'!C21</f>
        <v>CUB S/R R8 FRENTE 5 CMS</v>
      </c>
      <c r="D51" s="39">
        <f>'4637'!D21</f>
        <v>2490</v>
      </c>
      <c r="E51" s="39">
        <f>'4637'!E21</f>
        <v>600</v>
      </c>
      <c r="F51" s="38" t="str">
        <f>'4637'!F21</f>
        <v>GALAXIA GRAFITO 0491 MT</v>
      </c>
      <c r="G51" s="1"/>
    </row>
    <row r="52" spans="1:7" s="15" customFormat="1" ht="15" customHeight="1" x14ac:dyDescent="0.3">
      <c r="A52" s="96"/>
      <c r="B52" s="38">
        <f>'4637'!B22</f>
        <v>1</v>
      </c>
      <c r="C52" s="102" t="str">
        <f>'4637'!C22</f>
        <v>CUB S/R R8 FRENTE 5 CMS</v>
      </c>
      <c r="D52" s="39">
        <f>'4637'!D22</f>
        <v>1580</v>
      </c>
      <c r="E52" s="39">
        <f>'4637'!E22</f>
        <v>600</v>
      </c>
      <c r="F52" s="38" t="str">
        <f>'4637'!F22</f>
        <v>GALAXIA GRAFITO 0491 MT</v>
      </c>
      <c r="G52" s="1"/>
    </row>
    <row r="53" spans="1:7" s="15" customFormat="1" ht="15" customHeight="1" x14ac:dyDescent="0.3">
      <c r="A53" s="96"/>
      <c r="B53" s="52"/>
      <c r="C53" s="105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2025-02-26T17:44:51Z</cp:lastPrinted>
  <dcterms:created xsi:type="dcterms:W3CDTF">2013-03-19T12:54:14Z</dcterms:created>
  <dcterms:modified xsi:type="dcterms:W3CDTF">2025-02-26T17:48:03Z</dcterms:modified>
</cp:coreProperties>
</file>