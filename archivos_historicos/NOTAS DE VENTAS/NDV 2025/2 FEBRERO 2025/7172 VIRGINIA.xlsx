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5\"/>
    </mc:Choice>
  </mc:AlternateContent>
  <xr:revisionPtr revIDLastSave="0" documentId="13_ncr:1_{CAA86117-211B-4B58-A79A-67336490B9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CUBIERTA!$A$36:$F$58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/>
  <c r="I21" i="3" s="1"/>
  <c r="C27" i="3"/>
  <c r="F14" i="3" s="1"/>
  <c r="D27" i="3"/>
  <c r="J14" i="3" s="1"/>
  <c r="D14" i="3" s="1"/>
  <c r="E27" i="3"/>
  <c r="K21" i="3" s="1"/>
  <c r="E21" i="3" s="1"/>
  <c r="F27" i="3"/>
  <c r="B48" i="3"/>
  <c r="C48" i="3"/>
  <c r="D48" i="3"/>
  <c r="E48" i="3"/>
  <c r="F48" i="3"/>
  <c r="J21" i="3" l="1"/>
  <c r="D21" i="3" s="1"/>
  <c r="K14" i="3"/>
  <c r="E14" i="3" s="1"/>
  <c r="B21" i="3"/>
  <c r="I14" i="3"/>
  <c r="B14" i="3" s="1"/>
  <c r="F21" i="3"/>
  <c r="H25" i="4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<sst xmlns="http://schemas.openxmlformats.org/spreadsheetml/2006/main" count="243" uniqueCount="141">
  <si>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</si>
  <si>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</si>
  <si>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</si>
  <si>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</si>
  <si>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</si>
  <si>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</si>
  <si>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</si>
  <si>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</si>
  <si>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</si>
  <si>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</si>
  <si>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</si>
  <si>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</si>
  <si>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</si>
  <si>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</si>
  <si>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</si>
  <si>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</si>
  <si>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</si>
  <si>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</si>
  <si>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</si>
  <si>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</si>
  <si>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</si>
  <si>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</si>
  <si>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</si>
  <si>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</si>
  <si>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</si>
  <si>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</si>
  <si>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</si>
  <si>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</si>
  <si>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</si>
  <si>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</si>
  <si>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</si>
  <si>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</si>
  <si>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</si>
  <si>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</si>
  <si>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</si>
  <si>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</si>
  <si>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</si>
  <si>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</si>
  <si>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</si>
  <si>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</si>
  <si>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</si>
  <si>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</si>
  <si>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</si>
  <si>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</si>
  <si>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</si>
  <si>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</si>
  <si>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</si>
  <si>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</si>
  <si>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</si>
  <si>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</si>
  <si>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</si>
  <si>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</si>
  <si>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</si>
  <si>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</si>
  <si>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</si>
  <si>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</si>
  <si>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</si>
  <si>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</si>
  <si>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</si>
  <si>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</si>
  <si>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</si>
  <si>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</si>
  <si>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</si>
  <si>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</si>
  <si>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</si>
  <si>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</si>
  <si>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</si>
  <si>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</si>
  <si>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</si>
  <si>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</si>
  <si>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</si>
  <si>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</si>
  <si>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</si>
  <si>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</si>
  <si>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</si>
  <si>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</si>
  <si>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</si>
  <si>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</si>
  <si>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</si>
  <si>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</si>
  <si>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</si>
  <si>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</si>
  <si>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</si>
  <si>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</si>
  <si>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</si>
  <si>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</si>
  <si>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</si>
  <si>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</si>
  <si>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</si>
  <si>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</si>
  <si>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</si>
  <si>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</si>
  <si>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</si>
  <si>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</si>
  <si>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</si>
  <si>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</si>
  <si>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</si>
  <si>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</si>
  <si>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</si>
  <si>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</si>
  <si>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</si>
  <si>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</si>
  <si>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</si>
  <si>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</si>
  <si>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</si>
  <si>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</si>
  <si>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</si>
  <si>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</si>
  <si>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</si>
  <si>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</si>
  <si>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</si>
  <si>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</si>
  <si>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</si>
  <si>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</si>
  <si>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</si>
  <si>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</si>
  <si>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</si>
  <si>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</si>
  <si>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</si>
  <si>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</si>
  <si>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</si>
  <si>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</si>
  <si>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</si>
  <si>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</si>
  <si>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</si>
  <si>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</si>
  <si>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</si>
  <si>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</si>
  <si>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</si>
  <si>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</si>
  <si>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</si>
  <si>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</si>
  <si>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</si>
  <si>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</si>
  <si>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</si>
  <si>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NO</t>
  </si>
  <si>
    <t>CONTADO</t>
  </si>
  <si>
    <t>CUB C/R R8</t>
  </si>
  <si>
    <t>VIRGINIA</t>
  </si>
  <si>
    <t>NEGRO BR</t>
  </si>
  <si>
    <t>N° 11300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</si>
</sst>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1155C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0" applyFont="1" applyAlignment="1">
      <alignment horizont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24</xdr:row>
      <xdr:rowOff>7620</xdr:rowOff>
    </xdr:from>
    <xdr:to>
      <xdr:col>5</xdr:col>
      <xdr:colOff>1394460</xdr:colOff>
      <xdr:row>26</xdr:row>
      <xdr:rowOff>198120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0025" y="4914900"/>
          <a:ext cx="5194935" cy="5867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$45.000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34290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24765</xdr:colOff>
      <xdr:row>53</xdr:row>
      <xdr:rowOff>34290</xdr:rowOff>
    </xdr:from>
    <xdr:to>
      <xdr:col>6</xdr:col>
      <xdr:colOff>22860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46785" y="10245090"/>
          <a:ext cx="7503795" cy="9029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148590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796048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workbookViewId="0">
      <selection activeCell="I34" sqref="A1:I34"/>
    </sheetView>
  </sheetViews>
  <sheetFormatPr baseColWidth="10" defaultRowHeight="15" x14ac:dyDescent="0.25"/>
  <cols>
    <col min="1" max="1" width="2.85546875" customWidth="1"/>
    <col min="2" max="2" width="11.28515625" customWidth="1"/>
    <col min="3" max="3" width="27.5703125" customWidth="1"/>
    <col min="4" max="5" width="9.140625" customWidth="1"/>
    <col min="6" max="6" width="27.42578125" customWidth="1"/>
    <col min="7" max="8" width="13" customWidth="1"/>
  </cols>
  <sheetData>
    <row r="1" spans="1:17" ht="15.75" x14ac:dyDescent="0.25">
      <c r="A1" s="1"/>
      <c r="B1" s="1"/>
      <c r="C1" s="1"/>
      <c r="D1" s="1"/>
      <c r="E1" s="1"/>
      <c r="F1" s="1"/>
      <c r="G1" s="1"/>
      <c r="H1" s="1"/>
      <c r="I1" s="1"/>
    </row>
    <row r="2" spans="1:17" ht="15.75" x14ac:dyDescent="0.25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75" x14ac:dyDescent="0.25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75" x14ac:dyDescent="0.25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75" x14ac:dyDescent="0.25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75" x14ac:dyDescent="0.25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5" thickBot="1" x14ac:dyDescent="0.3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5" thickBot="1" x14ac:dyDescent="0.3">
      <c r="A8" s="1"/>
      <c r="B8" s="91" t="s">
        <v>16</v>
      </c>
      <c r="C8" s="92"/>
      <c r="D8" s="93" t="s">
        <v>140</v>
      </c>
      <c r="E8" s="1"/>
      <c r="F8" s="94" t="s">
        <v>27</v>
      </c>
      <c r="G8" s="95">
        <v>7172</v>
      </c>
      <c r="H8" s="1"/>
      <c r="I8" s="1"/>
    </row>
    <row r="9" spans="1:17" ht="16.5" thickBot="1" x14ac:dyDescent="0.3">
      <c r="A9" s="1"/>
      <c r="B9" s="1"/>
      <c r="C9" s="1"/>
      <c r="D9" s="1"/>
      <c r="E9" s="1"/>
      <c r="F9" s="1"/>
      <c r="G9" s="1"/>
      <c r="H9" s="1"/>
      <c r="I9" s="1"/>
    </row>
    <row r="10" spans="1:17" ht="16.5" thickBot="1" x14ac:dyDescent="0.3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45714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5" thickBot="1" x14ac:dyDescent="0.3">
      <c r="A11" s="1"/>
      <c r="B11" s="59" t="s">
        <v>2</v>
      </c>
      <c r="C11" s="1"/>
      <c r="D11" s="60"/>
      <c r="E11" s="60"/>
      <c r="F11" s="60" t="s">
        <v>124</v>
      </c>
      <c r="G11" s="61"/>
      <c r="H11" s="62"/>
      <c r="I11" s="1"/>
    </row>
    <row r="12" spans="1:17" ht="16.5" thickBot="1" x14ac:dyDescent="0.3">
      <c r="A12" s="1"/>
      <c r="B12" s="63" t="s">
        <v>131</v>
      </c>
      <c r="D12" s="43"/>
      <c r="E12" s="43"/>
      <c r="F12" s="43" t="s">
        <v>30</v>
      </c>
      <c r="G12" s="64"/>
      <c r="H12" s="65"/>
      <c r="I12" s="1"/>
    </row>
    <row r="13" spans="1:17" ht="15.75" x14ac:dyDescent="0.25">
      <c r="A13" s="1"/>
      <c r="B13" s="63" t="s">
        <v>133</v>
      </c>
      <c r="C13" s="86"/>
      <c r="D13" s="43"/>
      <c r="E13" s="43"/>
      <c r="F13" s="43" t="s">
        <v>128</v>
      </c>
      <c r="G13" s="64"/>
      <c r="H13" s="65"/>
      <c r="I13" s="1"/>
    </row>
    <row r="14" spans="1:17" ht="15.75" x14ac:dyDescent="0.25">
      <c r="A14" s="1"/>
      <c r="B14" s="59" t="s">
        <v>17</v>
      </c>
      <c r="C14" s="108"/>
      <c r="D14" s="66"/>
      <c r="E14" s="60"/>
      <c r="F14" s="60" t="s">
        <v>29</v>
      </c>
      <c r="G14" s="60" t="s">
        <v>135</v>
      </c>
      <c r="H14" s="62"/>
      <c r="I14" s="1"/>
    </row>
    <row r="15" spans="1:17" ht="15.75" x14ac:dyDescent="0.25">
      <c r="A15" s="1"/>
      <c r="B15" s="63" t="s">
        <v>1</v>
      </c>
      <c r="C15" s="101"/>
      <c r="D15" s="43"/>
      <c r="E15" s="43"/>
      <c r="F15" s="67" t="s">
        <v>75</v>
      </c>
      <c r="G15" s="67" t="s">
        <v>136</v>
      </c>
      <c r="H15" s="65"/>
      <c r="I15" s="1"/>
    </row>
    <row r="16" spans="1:17" ht="16.5" thickBot="1" x14ac:dyDescent="0.3">
      <c r="A16" s="1"/>
      <c r="B16" s="68" t="s">
        <v>3</v>
      </c>
      <c r="C16" s="69" t="s">
        <v>132</v>
      </c>
      <c r="D16" s="69"/>
      <c r="E16" s="70"/>
      <c r="F16" s="114" t="s">
        <v>18</v>
      </c>
      <c r="G16" s="114"/>
      <c r="H16" s="115"/>
      <c r="I16" s="1"/>
    </row>
    <row r="17" spans="1:16" ht="15.75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16" ht="16.5" thickBot="1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6" ht="16.5" thickBot="1" x14ac:dyDescent="0.3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6.5" thickBot="1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25">
      <c r="A21" s="1"/>
      <c r="B21" s="109">
        <v>1</v>
      </c>
      <c r="C21" s="110" t="s">
        <v>137</v>
      </c>
      <c r="D21" s="113">
        <v>1950</v>
      </c>
      <c r="E21" s="113">
        <v>420</v>
      </c>
      <c r="F21" s="110" t="s">
        <v>139</v>
      </c>
      <c r="G21" s="111">
        <v>76078</v>
      </c>
      <c r="H21" s="112">
        <f t="shared" ref="H21" si="0">G21*B21</f>
        <v>76078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25">
      <c r="A22" s="1"/>
      <c r="B22" s="97"/>
      <c r="C22" s="97"/>
      <c r="D22" s="106"/>
      <c r="E22" s="106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25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75" x14ac:dyDescent="0.25">
      <c r="A25" s="1"/>
      <c r="B25" s="1"/>
      <c r="C25" s="1"/>
      <c r="D25" s="1"/>
      <c r="E25" s="1"/>
      <c r="F25" s="1"/>
      <c r="G25" s="76" t="s">
        <v>5</v>
      </c>
      <c r="H25" s="77">
        <f>SUM(H21:H24)</f>
        <v>76078</v>
      </c>
      <c r="I25" s="1"/>
    </row>
    <row r="26" spans="1:16" ht="15.75" x14ac:dyDescent="0.25">
      <c r="A26" s="1"/>
      <c r="B26" s="1"/>
      <c r="C26" s="1"/>
      <c r="D26" s="1"/>
      <c r="E26" s="1"/>
      <c r="F26" s="1"/>
      <c r="G26" s="78" t="s">
        <v>6</v>
      </c>
      <c r="H26" s="79">
        <f>H25*19%</f>
        <v>14454.82</v>
      </c>
      <c r="I26" s="1"/>
    </row>
    <row r="27" spans="1:16" ht="16.5" thickBot="1" x14ac:dyDescent="0.3">
      <c r="A27" s="1"/>
      <c r="B27" s="1"/>
      <c r="C27" s="1"/>
      <c r="D27" s="1"/>
      <c r="E27" s="1"/>
      <c r="F27" s="1"/>
      <c r="G27" s="80" t="s">
        <v>4</v>
      </c>
      <c r="H27" s="81">
        <f>H25+H26</f>
        <v>90532.82</v>
      </c>
      <c r="I27" s="1"/>
    </row>
    <row r="28" spans="1:16" ht="15.75" x14ac:dyDescent="0.25">
      <c r="A28" s="1"/>
      <c r="B28" s="1"/>
      <c r="C28" s="1"/>
      <c r="D28" s="1"/>
      <c r="E28" s="1"/>
      <c r="F28" s="1"/>
      <c r="G28" s="52"/>
      <c r="H28" s="100"/>
      <c r="I28" s="1"/>
    </row>
    <row r="29" spans="1:16" ht="15.75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16" ht="15.75" x14ac:dyDescent="0.25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75" x14ac:dyDescent="0.25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75" x14ac:dyDescent="0.25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75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5.75" x14ac:dyDescent="0.25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5" x14ac:dyDescent="0.25"/>
  <cols>
    <col min="4" max="4" width="33.85546875" bestFit="1" customWidth="1"/>
    <col min="5" max="5" width="6.140625" customWidth="1"/>
    <col min="9" max="9" width="33.85546875" bestFit="1" customWidth="1"/>
  </cols>
  <sheetData>
    <row r="2" spans="2:18" x14ac:dyDescent="0.25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25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25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25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25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25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25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25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25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25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25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25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25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25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25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25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25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25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25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25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25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25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25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25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25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25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25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25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25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25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25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25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25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25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25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25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25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zoomScaleNormal="100" workbookViewId="0">
      <selection activeCell="G35" sqref="A2:G35"/>
    </sheetView>
  </sheetViews>
  <sheetFormatPr baseColWidth="10" defaultRowHeight="15" x14ac:dyDescent="0.25"/>
  <cols>
    <col min="1" max="1" width="13.85546875" customWidth="1"/>
    <col min="2" max="2" width="13.5703125" customWidth="1"/>
    <col min="3" max="3" width="35.28515625" customWidth="1"/>
    <col min="4" max="4" width="16" customWidth="1"/>
    <col min="5" max="5" width="12.7109375" bestFit="1" customWidth="1"/>
    <col min="6" max="6" width="35" customWidth="1"/>
    <col min="9" max="9" width="5.42578125" customWidth="1"/>
    <col min="10" max="10" width="9.28515625" customWidth="1"/>
    <col min="11" max="11" width="8.7109375" customWidth="1"/>
  </cols>
  <sheetData>
    <row r="1" spans="1:14" ht="15.75" x14ac:dyDescent="0.25">
      <c r="A1" s="1"/>
      <c r="B1" s="1"/>
      <c r="C1" s="1"/>
      <c r="D1" s="1"/>
      <c r="E1" s="1"/>
      <c r="F1" s="1"/>
      <c r="G1" s="1"/>
    </row>
    <row r="2" spans="1:14" ht="16.5" customHeight="1" x14ac:dyDescent="0.25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75" x14ac:dyDescent="0.25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25">
      <c r="A4" s="1"/>
      <c r="B4" s="1"/>
      <c r="C4" s="40" t="s">
        <v>27</v>
      </c>
      <c r="D4" s="14">
        <f>'4637'!G8</f>
        <v>7172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25">
      <c r="A5" s="1"/>
      <c r="B5" s="1"/>
      <c r="C5" s="41" t="s">
        <v>67</v>
      </c>
      <c r="D5" s="42" t="str">
        <f>'4637'!C10</f>
        <v>VIRGINIA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25">
      <c r="A6" s="1"/>
      <c r="B6" s="1"/>
      <c r="C6" s="44"/>
      <c r="D6" s="45"/>
      <c r="E6" s="1"/>
      <c r="F6" s="1"/>
      <c r="G6" s="1"/>
    </row>
    <row r="7" spans="1:14" ht="15.75" x14ac:dyDescent="0.25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75" x14ac:dyDescent="0.25">
      <c r="A8" s="1"/>
      <c r="B8" s="1"/>
      <c r="C8" s="53" t="s">
        <v>125</v>
      </c>
      <c r="D8" s="1"/>
      <c r="E8" s="1"/>
      <c r="F8" s="1"/>
      <c r="G8" s="1"/>
    </row>
    <row r="9" spans="1:14" ht="15.75" x14ac:dyDescent="0.25">
      <c r="A9" s="1"/>
      <c r="B9" s="1"/>
      <c r="C9" s="1"/>
      <c r="D9" s="1"/>
      <c r="E9" s="1"/>
      <c r="F9" s="1"/>
      <c r="G9" s="1"/>
    </row>
    <row r="10" spans="1:14" ht="15" customHeight="1" x14ac:dyDescent="0.25">
      <c r="A10" s="122" t="s">
        <v>61</v>
      </c>
      <c r="B10" s="122"/>
      <c r="C10" s="122"/>
      <c r="D10" s="122"/>
      <c r="E10" s="122"/>
      <c r="F10" s="122"/>
      <c r="G10" s="1"/>
    </row>
    <row r="11" spans="1:14" ht="15.75" x14ac:dyDescent="0.25">
      <c r="A11" s="1"/>
      <c r="B11" s="1"/>
      <c r="C11" s="12"/>
      <c r="D11" s="1"/>
      <c r="E11" s="1"/>
      <c r="F11" s="1"/>
      <c r="G11" s="1"/>
    </row>
    <row r="12" spans="1:14" ht="15.75" x14ac:dyDescent="0.25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75" x14ac:dyDescent="0.25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75" x14ac:dyDescent="0.25">
      <c r="A14" s="96" t="s">
        <v>130</v>
      </c>
      <c r="B14" s="25">
        <f t="shared" ref="B14" si="0">I14</f>
        <v>1</v>
      </c>
      <c r="C14" s="25"/>
      <c r="D14" s="25">
        <f t="shared" ref="D14" si="1">J14+D$13</f>
        <v>2000</v>
      </c>
      <c r="E14" s="35">
        <f>K14+E$13</f>
        <v>390</v>
      </c>
      <c r="F14" s="103" t="str">
        <f>C27</f>
        <v>CUB C/R R8</v>
      </c>
      <c r="G14" s="1"/>
      <c r="I14" s="3">
        <f>I21</f>
        <v>1</v>
      </c>
      <c r="J14" s="4">
        <f>D27</f>
        <v>1950</v>
      </c>
      <c r="K14" s="4">
        <f>E27</f>
        <v>420</v>
      </c>
    </row>
    <row r="15" spans="1:14" ht="15.75" x14ac:dyDescent="0.25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25">
      <c r="A16" s="1"/>
      <c r="B16" s="1"/>
      <c r="C16" s="1"/>
      <c r="D16" s="1"/>
      <c r="E16" s="1"/>
      <c r="F16" s="1"/>
      <c r="G16" s="1"/>
    </row>
    <row r="17" spans="1:11" ht="15.75" x14ac:dyDescent="0.25">
      <c r="A17" s="122" t="s">
        <v>14</v>
      </c>
      <c r="B17" s="122"/>
      <c r="C17" s="122"/>
      <c r="D17" s="122"/>
      <c r="E17" s="122"/>
      <c r="F17" s="122"/>
      <c r="G17" s="1"/>
    </row>
    <row r="18" spans="1:11" ht="10.5" customHeight="1" x14ac:dyDescent="0.25">
      <c r="A18" s="1"/>
      <c r="B18" s="1"/>
      <c r="C18" s="12"/>
      <c r="D18" s="1"/>
      <c r="E18" s="1"/>
      <c r="F18" s="1"/>
      <c r="G18" s="1"/>
    </row>
    <row r="19" spans="1:11" ht="15.75" x14ac:dyDescent="0.25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75" x14ac:dyDescent="0.25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75" x14ac:dyDescent="0.25">
      <c r="A21" s="96" t="s">
        <v>130</v>
      </c>
      <c r="B21" s="16">
        <f t="shared" ref="B21" si="2">I21</f>
        <v>1</v>
      </c>
      <c r="C21" s="16"/>
      <c r="D21" s="16">
        <f>J21+D$20</f>
        <v>1990</v>
      </c>
      <c r="E21" s="16">
        <f>K21+E$20</f>
        <v>550</v>
      </c>
      <c r="F21" s="104" t="str">
        <f>C27</f>
        <v>CUB C/R R8</v>
      </c>
      <c r="G21" s="1"/>
      <c r="I21" s="3">
        <f>B27</f>
        <v>1</v>
      </c>
      <c r="J21" s="4">
        <f t="shared" ref="J21:K21" si="3">D27</f>
        <v>1950</v>
      </c>
      <c r="K21" s="4">
        <f t="shared" si="3"/>
        <v>420</v>
      </c>
    </row>
    <row r="22" spans="1:11" ht="15.75" x14ac:dyDescent="0.25">
      <c r="A22" s="96"/>
      <c r="B22" s="6"/>
      <c r="C22" s="6"/>
      <c r="D22" s="6"/>
      <c r="E22" s="6"/>
      <c r="F22" s="6"/>
      <c r="G22" s="1"/>
      <c r="I22" s="90"/>
      <c r="J22" s="2"/>
      <c r="K22" s="2"/>
    </row>
    <row r="23" spans="1:11" ht="16.5" thickBot="1" x14ac:dyDescent="0.3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5" thickBot="1" x14ac:dyDescent="0.3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25">
      <c r="A25" s="1"/>
      <c r="B25" s="1"/>
      <c r="C25" s="1"/>
      <c r="D25" s="1"/>
      <c r="E25" s="1"/>
      <c r="F25" s="1"/>
      <c r="G25" s="1"/>
    </row>
    <row r="26" spans="1:11" ht="15.75" x14ac:dyDescent="0.25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75" x14ac:dyDescent="0.25">
      <c r="A27" s="96" t="s">
        <v>134</v>
      </c>
      <c r="B27" s="25">
        <f>'4637'!B21</f>
        <v>1</v>
      </c>
      <c r="C27" s="103" t="str">
        <f>'4637'!C21</f>
        <v>CUB C/R R8</v>
      </c>
      <c r="D27" s="25">
        <f>'4637'!D21</f>
        <v>1950</v>
      </c>
      <c r="E27" s="25">
        <f>'4637'!E21</f>
        <v>420</v>
      </c>
      <c r="F27" s="25" t="str">
        <f>'4637'!F21</f>
        <v>NEGRO BR</v>
      </c>
      <c r="G27" s="1"/>
    </row>
    <row r="28" spans="1:11" ht="15.75" x14ac:dyDescent="0.25">
      <c r="A28" s="52"/>
      <c r="B28" s="6"/>
      <c r="C28" s="107"/>
      <c r="D28" s="6"/>
      <c r="E28" s="6"/>
      <c r="F28" s="6"/>
      <c r="G28" s="1"/>
    </row>
    <row r="29" spans="1:11" ht="15.75" x14ac:dyDescent="0.25">
      <c r="A29" s="1"/>
      <c r="B29" s="6"/>
      <c r="C29" s="6"/>
      <c r="D29" s="6"/>
      <c r="E29" s="6"/>
      <c r="F29" s="6"/>
      <c r="G29" s="1"/>
    </row>
    <row r="30" spans="1:11" ht="15.75" x14ac:dyDescent="0.25">
      <c r="A30" s="1"/>
      <c r="B30" s="6"/>
      <c r="C30" s="6"/>
      <c r="D30" s="6"/>
      <c r="E30" s="6"/>
      <c r="F30" s="6"/>
      <c r="G30" s="1"/>
    </row>
    <row r="31" spans="1:11" ht="15.75" x14ac:dyDescent="0.25">
      <c r="A31" s="1"/>
      <c r="B31" s="6"/>
      <c r="C31" s="6"/>
      <c r="D31" s="6"/>
      <c r="E31" s="6"/>
      <c r="F31" s="6"/>
      <c r="G31" s="1"/>
    </row>
    <row r="32" spans="1:11" ht="15.75" x14ac:dyDescent="0.25">
      <c r="A32" s="1"/>
      <c r="B32" s="6"/>
      <c r="C32" s="6"/>
      <c r="D32" s="6"/>
      <c r="E32" s="6"/>
      <c r="F32" s="6"/>
      <c r="G32" s="1"/>
    </row>
    <row r="33" spans="1:7" ht="15.75" x14ac:dyDescent="0.25">
      <c r="A33" s="1"/>
      <c r="B33" s="6"/>
      <c r="C33" s="6"/>
      <c r="D33" s="6"/>
      <c r="E33" s="6"/>
      <c r="F33" s="6"/>
      <c r="G33" s="1"/>
    </row>
    <row r="34" spans="1:7" ht="15.75" x14ac:dyDescent="0.25">
      <c r="A34" s="1"/>
      <c r="B34" s="6"/>
      <c r="C34" s="6"/>
      <c r="D34" s="6"/>
      <c r="E34" s="6"/>
      <c r="F34" s="6"/>
      <c r="G34" s="1"/>
    </row>
    <row r="35" spans="1:7" ht="15.75" x14ac:dyDescent="0.25">
      <c r="A35" s="1"/>
      <c r="B35" s="6"/>
      <c r="C35" s="6"/>
      <c r="D35" s="6"/>
      <c r="E35" s="6"/>
      <c r="F35" s="6"/>
      <c r="G35" s="1"/>
    </row>
    <row r="36" spans="1:7" ht="15.75" x14ac:dyDescent="0.25">
      <c r="A36" s="1"/>
      <c r="B36" s="6"/>
      <c r="C36" s="6"/>
      <c r="D36" s="6"/>
      <c r="E36" s="6"/>
      <c r="F36" s="6"/>
      <c r="G36" s="1"/>
    </row>
    <row r="37" spans="1:7" ht="15.75" x14ac:dyDescent="0.25">
      <c r="A37" s="1"/>
      <c r="B37" s="1"/>
      <c r="C37" s="1"/>
      <c r="D37" s="1"/>
      <c r="E37" s="1"/>
      <c r="F37" s="1"/>
      <c r="G37" s="1"/>
    </row>
    <row r="38" spans="1:7" ht="15.75" x14ac:dyDescent="0.25">
      <c r="A38" s="1"/>
      <c r="B38" s="1"/>
      <c r="C38" s="40" t="s">
        <v>27</v>
      </c>
      <c r="D38" s="14">
        <f>'4637'!G8</f>
        <v>7172</v>
      </c>
      <c r="E38" s="1"/>
      <c r="F38" s="1"/>
      <c r="G38" s="1"/>
    </row>
    <row r="39" spans="1:7" ht="17.25" customHeight="1" x14ac:dyDescent="0.25">
      <c r="A39" s="1"/>
      <c r="B39" s="1"/>
      <c r="C39" s="41" t="s">
        <v>67</v>
      </c>
      <c r="D39" s="42" t="str">
        <f>'4637'!C10</f>
        <v>VIRGINIA</v>
      </c>
      <c r="E39" s="43"/>
      <c r="F39" s="43"/>
      <c r="G39" s="1"/>
    </row>
    <row r="40" spans="1:7" ht="4.5" customHeight="1" x14ac:dyDescent="0.25">
      <c r="A40" s="1"/>
      <c r="B40" s="1"/>
      <c r="C40" s="44"/>
      <c r="D40" s="45"/>
      <c r="E40" s="1"/>
      <c r="F40" s="1"/>
      <c r="G40" s="1"/>
    </row>
    <row r="41" spans="1:7" ht="15.75" x14ac:dyDescent="0.25">
      <c r="A41" s="1"/>
      <c r="B41" s="1"/>
      <c r="C41" s="46" t="str">
        <f>'4637'!F11</f>
        <v>FECHA LIMITE :</v>
      </c>
      <c r="D41" s="13">
        <f>'4637'!G11</f>
        <v>0</v>
      </c>
      <c r="E41" s="1"/>
      <c r="F41" s="1"/>
      <c r="G41" s="1"/>
    </row>
    <row r="42" spans="1:7" ht="15.75" x14ac:dyDescent="0.25">
      <c r="A42" s="1"/>
      <c r="B42" s="1"/>
      <c r="C42" s="1"/>
      <c r="D42" s="1"/>
      <c r="E42" s="1"/>
      <c r="F42" s="1"/>
      <c r="G42" s="1"/>
    </row>
    <row r="43" spans="1:7" ht="15.75" x14ac:dyDescent="0.25">
      <c r="A43" s="1"/>
      <c r="B43" s="1"/>
      <c r="C43" s="1"/>
      <c r="D43" s="1"/>
      <c r="E43" s="1"/>
      <c r="F43" s="1"/>
      <c r="G43" s="1"/>
    </row>
    <row r="44" spans="1:7" ht="15.75" x14ac:dyDescent="0.25">
      <c r="A44" s="122" t="s">
        <v>68</v>
      </c>
      <c r="B44" s="122"/>
      <c r="C44" s="122"/>
      <c r="D44" s="122"/>
      <c r="E44" s="122"/>
      <c r="F44" s="122"/>
      <c r="G44" s="1"/>
    </row>
    <row r="45" spans="1:7" ht="15.75" x14ac:dyDescent="0.25">
      <c r="A45" s="1"/>
      <c r="B45" s="1"/>
      <c r="C45" s="1"/>
      <c r="D45" s="1"/>
      <c r="E45" s="1"/>
      <c r="F45" s="1"/>
      <c r="G45" s="1"/>
    </row>
    <row r="46" spans="1:7" ht="15.75" customHeight="1" x14ac:dyDescent="0.25">
      <c r="A46" s="1"/>
      <c r="B46" s="123" t="s">
        <v>69</v>
      </c>
      <c r="C46" s="124"/>
      <c r="D46" s="125"/>
      <c r="E46" s="125"/>
      <c r="F46" s="126"/>
      <c r="G46" s="1"/>
    </row>
    <row r="47" spans="1:7" s="15" customFormat="1" ht="12.75" customHeight="1" x14ac:dyDescent="0.25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25">
      <c r="A48" s="96"/>
      <c r="B48" s="38">
        <f>'4637'!B21</f>
        <v>1</v>
      </c>
      <c r="C48" s="102" t="str">
        <f>'4637'!C21</f>
        <v>CUB C/R R8</v>
      </c>
      <c r="D48" s="39">
        <f>'4637'!D21</f>
        <v>1950</v>
      </c>
      <c r="E48" s="39">
        <f>'4637'!E21</f>
        <v>420</v>
      </c>
      <c r="F48" s="38" t="str">
        <f>'4637'!F21</f>
        <v>NEGRO BR</v>
      </c>
      <c r="G48" s="1"/>
    </row>
    <row r="49" spans="1:7" s="15" customFormat="1" ht="15" customHeight="1" x14ac:dyDescent="0.25">
      <c r="A49" s="96"/>
      <c r="B49" s="52"/>
      <c r="C49" s="105"/>
      <c r="D49" s="52"/>
      <c r="E49" s="52"/>
      <c r="F49" s="52"/>
      <c r="G49" s="1"/>
    </row>
    <row r="50" spans="1:7" s="15" customFormat="1" ht="15" customHeight="1" x14ac:dyDescent="0.25">
      <c r="A50" s="50"/>
      <c r="B50" s="52"/>
      <c r="C50" s="52"/>
      <c r="D50" s="52"/>
      <c r="E50" s="52"/>
      <c r="F50" s="52"/>
      <c r="G50" s="1"/>
    </row>
    <row r="51" spans="1:7" ht="15.75" x14ac:dyDescent="0.25">
      <c r="A51" s="6"/>
      <c r="B51" s="6"/>
      <c r="C51" s="1"/>
      <c r="D51" s="6"/>
      <c r="E51" s="6"/>
      <c r="F51" s="44"/>
      <c r="G51" s="1"/>
    </row>
    <row r="52" spans="1:7" ht="15.75" x14ac:dyDescent="0.25">
      <c r="A52" s="6"/>
      <c r="B52" s="6"/>
      <c r="C52" s="1"/>
      <c r="D52" s="6"/>
      <c r="E52" s="6"/>
      <c r="F52" s="6"/>
      <c r="G52" s="1"/>
    </row>
    <row r="53" spans="1:7" ht="15.75" x14ac:dyDescent="0.25">
      <c r="A53" s="1"/>
      <c r="B53" s="1"/>
      <c r="C53" s="1"/>
      <c r="D53" s="1"/>
      <c r="E53" s="1"/>
      <c r="F53" s="1"/>
      <c r="G53" s="1"/>
    </row>
    <row r="54" spans="1:7" ht="15.75" x14ac:dyDescent="0.25">
      <c r="A54" s="1"/>
      <c r="B54" s="1"/>
      <c r="C54" s="1"/>
      <c r="D54" s="1"/>
      <c r="E54" s="1"/>
      <c r="F54" s="1"/>
      <c r="G54" s="1"/>
    </row>
    <row r="55" spans="1:7" ht="15.75" x14ac:dyDescent="0.25">
      <c r="A55" s="1"/>
      <c r="B55" s="1"/>
      <c r="C55" s="1"/>
      <c r="D55" s="1"/>
      <c r="E55" s="1"/>
      <c r="F55" s="1"/>
      <c r="G55" s="1"/>
    </row>
    <row r="56" spans="1:7" ht="15" customHeight="1" x14ac:dyDescent="0.25">
      <c r="A56" s="1"/>
      <c r="B56" s="1"/>
      <c r="C56" s="1"/>
      <c r="D56" s="1"/>
      <c r="E56" s="1"/>
      <c r="F56" s="1"/>
      <c r="G56" s="1"/>
    </row>
    <row r="57" spans="1:7" ht="15.75" x14ac:dyDescent="0.25">
      <c r="A57" s="1"/>
      <c r="B57" s="1"/>
      <c r="C57" s="1"/>
      <c r="D57" s="1"/>
      <c r="E57" s="1"/>
      <c r="F57" s="1"/>
      <c r="G57" s="1"/>
    </row>
    <row r="58" spans="1:7" ht="15.75" x14ac:dyDescent="0.25">
      <c r="A58" s="6"/>
      <c r="B58" s="51"/>
      <c r="C58" s="1"/>
      <c r="D58" s="1"/>
      <c r="E58" s="1"/>
      <c r="F58" s="1"/>
      <c r="G58" s="1"/>
    </row>
    <row r="59" spans="1:7" ht="15.75" x14ac:dyDescent="0.25">
      <c r="A59" s="1"/>
      <c r="B59" s="1"/>
      <c r="C59" s="1"/>
      <c r="D59" s="1"/>
      <c r="E59" s="1"/>
      <c r="F59" s="1"/>
      <c r="G59" s="1"/>
    </row>
    <row r="60" spans="1:7" x14ac:dyDescent="0.25">
      <c r="B60" s="20"/>
      <c r="C60" s="20"/>
      <c r="D60" s="20"/>
      <c r="E60" s="20"/>
      <c r="F60" s="20"/>
    </row>
    <row r="61" spans="1:7" x14ac:dyDescent="0.25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2025-02-26T14:01:17Z</cp:lastPrinted>
  <dcterms:created xsi:type="dcterms:W3CDTF">2013-03-19T12:54:14Z</dcterms:created>
  <dcterms:modified xsi:type="dcterms:W3CDTF">2025-02-26T14:01:31Z</dcterms:modified>
</cp:coreProperties>
</file>