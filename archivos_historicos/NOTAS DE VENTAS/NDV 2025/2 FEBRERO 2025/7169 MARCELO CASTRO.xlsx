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2 FEBRERO 2025\"/>
    </mc:Choice>
  </mc:AlternateContent>
  <xr:revisionPtr revIDLastSave="0" documentId="13_ncr:1_{F9092FC4-6012-413F-8D6E-0087DED844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CUBIERTA!$A$1:$F$39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4" l="1"/>
  <c r="H21" i="4"/>
  <c r="B30" i="3"/>
  <c r="I23" i="3" s="1"/>
  <c r="B23" i="3" s="1"/>
  <c r="C30" i="3"/>
  <c r="F23" i="3" s="1"/>
  <c r="D30" i="3"/>
  <c r="J23" i="3" s="1"/>
  <c r="D23" i="3" s="1"/>
  <c r="E30" i="3"/>
  <c r="K23" i="3" s="1"/>
  <c r="E23" i="3" s="1"/>
  <c r="F30" i="3"/>
  <c r="B52" i="3"/>
  <c r="C52" i="3"/>
  <c r="D52" i="3"/>
  <c r="E52" i="3"/>
  <c r="F52" i="3"/>
  <c r="B29" i="3"/>
  <c r="I22" i="3" s="1"/>
  <c r="C29" i="3"/>
  <c r="F14" i="3" s="1"/>
  <c r="D29" i="3"/>
  <c r="J14" i="3" s="1"/>
  <c r="D14" i="3" s="1"/>
  <c r="E29" i="3"/>
  <c r="K22" i="3" s="1"/>
  <c r="E22" i="3" s="1"/>
  <c r="F29" i="3"/>
  <c r="B51" i="3"/>
  <c r="C51" i="3"/>
  <c r="D51" i="3"/>
  <c r="E51" i="3"/>
  <c r="F51" i="3"/>
  <c r="K15" i="3" l="1"/>
  <c r="E15" i="3" s="1"/>
  <c r="J15" i="3"/>
  <c r="D15" i="3" s="1"/>
  <c r="I15" i="3"/>
  <c r="B15" i="3" s="1"/>
  <c r="F15" i="3"/>
  <c r="J22" i="3"/>
  <c r="D22" i="3" s="1"/>
  <c r="K14" i="3"/>
  <c r="E14" i="3" s="1"/>
  <c r="B22" i="3"/>
  <c r="I14" i="3"/>
  <c r="B14" i="3" s="1"/>
  <c r="F22" i="3"/>
  <c r="H26" i="4"/>
  <c r="H27" i="4" l="1"/>
  <c r="H28" i="4" l="1"/>
  <c r="N5" i="3" l="1"/>
  <c r="M5" i="3" l="1"/>
  <c r="L5" i="3"/>
  <c r="K5" i="3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<sst xmlns="http://schemas.openxmlformats.org/spreadsheetml/2006/main" count="250" uniqueCount="145">
  <si>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</si>
  <si>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</si>
  <si>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</si>
  <si>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</si>
  <si>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</si>
  <si>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</si>
  <si>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</si>
  <si>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</si>
  <si>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</si>
  <si>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</si>
  <si>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</si>
  <si>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</si>
  <si>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</si>
  <si>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</si>
  <si>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</si>
  <si>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</si>
  <si>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</si>
  <si>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</si>
  <si>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</si>
  <si>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</si>
  <si>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</si>
  <si>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</si>
  <si>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</si>
  <si>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</si>
  <si>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</si>
  <si>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</si>
  <si>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</si>
  <si>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</si>
  <si>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</si>
  <si>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</si>
  <si>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</si>
  <si>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</si>
  <si>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</si>
  <si>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</si>
  <si>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</si>
  <si>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</si>
  <si>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</si>
  <si>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</si>
  <si>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</si>
  <si>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</si>
  <si>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</si>
  <si>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</si>
  <si>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</si>
  <si>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</si>
  <si>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</si>
  <si>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</si>
  <si>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</si>
  <si>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</si>
  <si>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</si>
  <si>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</si>
  <si>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</si>
  <si>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</si>
  <si>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</si>
  <si>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</si>
  <si>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</si>
  <si>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</si>
  <si>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</si>
  <si>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</si>
  <si>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</si>
  <si>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</si>
  <si>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</si>
  <si>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</si>
  <si>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</si>
  <si>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</si>
  <si>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</si>
  <si>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</si>
  <si>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</si>
  <si>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</si>
  <si>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</si>
  <si>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</si>
  <si>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</si>
  <si>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</si>
  <si>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</si>
  <si>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</si>
  <si>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</si>
  <si>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</si>
  <si>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</si>
  <si>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</si>
  <si>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</si>
  <si>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</si>
  <si>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</si>
  <si>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</si>
  <si>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</si>
  <si>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</si>
  <si>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</si>
  <si>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</si>
  <si>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</si>
  <si>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</si>
  <si>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</si>
  <si>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</si>
  <si>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</si>
  <si>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</si>
  <si>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</si>
  <si>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</si>
  <si>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</si>
  <si>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</si>
  <si>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</si>
  <si>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</si>
  <si>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</si>
  <si>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</si>
  <si>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</si>
  <si>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</si>
  <si>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</si>
  <si>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</si>
  <si>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</si>
  <si>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</si>
  <si>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</si>
  <si>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</si>
  <si>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</si>
  <si>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</si>
  <si>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</si>
  <si>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</si>
  <si>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</si>
  <si>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</si>
  <si>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</si>
  <si>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</si>
  <si>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</si>
  <si>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</si>
  <si>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</si>
  <si>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</si>
  <si>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</si>
  <si>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</si>
  <si>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</si>
  <si>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</si>
  <si>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</si>
  <si>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</si>
  <si>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</si>
  <si>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</si>
  <si>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</si>
  <si>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</si>
  <si>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</si>
  <si>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</si>
  <si>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</si>
  <si>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</si>
  <si>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</si>
  <si>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CONTADO</t>
  </si>
  <si>
    <t>CORTAR RESPALDO 38MM</t>
  </si>
  <si>
    <t>N° 11295</t>
  </si>
  <si>
    <t>569 7137 9100</t>
  </si>
  <si>
    <t>BLANCO OPACO</t>
  </si>
  <si>
    <t>CUB C/R F/E R8</t>
  </si>
  <si>
    <t>DISEÑO Y PRODUCCION MUEBLES Y ARTICULOS PUBLICITARIOS</t>
  </si>
  <si>
    <t>76.870.721-9</t>
  </si>
  <si>
    <t>MARCELO EDUARDO CASTRO ARANCIBIA DISEÑO Y PRODUCCION E.IR.L.</t>
  </si>
  <si>
    <t>FACTORDISENOEIRL@GMAIL.COM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</si>
</sst>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8" fillId="3" borderId="0" xfId="0" quotePrefix="1" applyFont="1" applyFill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6" fillId="0" borderId="0" xfId="2"/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PAGADA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38100</xdr:colOff>
      <xdr:row>55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54</xdr:row>
      <xdr:rowOff>0</xdr:rowOff>
    </xdr:from>
    <xdr:to>
      <xdr:col>2</xdr:col>
      <xdr:colOff>1019175</xdr:colOff>
      <xdr:row>54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0</xdr:rowOff>
    </xdr:from>
    <xdr:to>
      <xdr:col>3</xdr:col>
      <xdr:colOff>352425</xdr:colOff>
      <xdr:row>55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0</xdr:rowOff>
    </xdr:from>
    <xdr:to>
      <xdr:col>4</xdr:col>
      <xdr:colOff>257175</xdr:colOff>
      <xdr:row>55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0</xdr:rowOff>
    </xdr:from>
    <xdr:to>
      <xdr:col>5</xdr:col>
      <xdr:colOff>447675</xdr:colOff>
      <xdr:row>54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0</xdr:rowOff>
    </xdr:from>
    <xdr:to>
      <xdr:col>6</xdr:col>
      <xdr:colOff>0</xdr:colOff>
      <xdr:row>54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54</xdr:row>
      <xdr:rowOff>190500</xdr:rowOff>
    </xdr:from>
    <xdr:to>
      <xdr:col>2</xdr:col>
      <xdr:colOff>304800</xdr:colOff>
      <xdr:row>56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54</xdr:row>
      <xdr:rowOff>190500</xdr:rowOff>
    </xdr:from>
    <xdr:to>
      <xdr:col>2</xdr:col>
      <xdr:colOff>1276350</xdr:colOff>
      <xdr:row>56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190500</xdr:rowOff>
    </xdr:from>
    <xdr:to>
      <xdr:col>3</xdr:col>
      <xdr:colOff>619125</xdr:colOff>
      <xdr:row>56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190500</xdr:rowOff>
    </xdr:from>
    <xdr:to>
      <xdr:col>4</xdr:col>
      <xdr:colOff>523875</xdr:colOff>
      <xdr:row>56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190500</xdr:rowOff>
    </xdr:from>
    <xdr:to>
      <xdr:col>5</xdr:col>
      <xdr:colOff>723900</xdr:colOff>
      <xdr:row>56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190500</xdr:rowOff>
    </xdr:from>
    <xdr:to>
      <xdr:col>6</xdr:col>
      <xdr:colOff>0</xdr:colOff>
      <xdr:row>56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6</xdr:col>
      <xdr:colOff>68580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57</xdr:row>
      <xdr:rowOff>32385</xdr:rowOff>
    </xdr:from>
    <xdr:to>
      <xdr:col>6</xdr:col>
      <xdr:colOff>19050</xdr:colOff>
      <xdr:row>61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39</xdr:row>
      <xdr:rowOff>41910</xdr:rowOff>
    </xdr:from>
    <xdr:to>
      <xdr:col>1</xdr:col>
      <xdr:colOff>801763</xdr:colOff>
      <xdr:row>45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FACTORDISENOEIRL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abSelected="1" workbookViewId="0">
      <selection activeCell="C18" sqref="C1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1.88671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137</v>
      </c>
      <c r="E8" s="1"/>
      <c r="F8" s="94" t="s">
        <v>27</v>
      </c>
      <c r="G8" s="95">
        <v>7169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143</v>
      </c>
      <c r="D10" s="55"/>
      <c r="E10" s="55"/>
      <c r="F10" s="56" t="s">
        <v>28</v>
      </c>
      <c r="G10" s="57">
        <v>45706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142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131</v>
      </c>
      <c r="C12" s="15" t="s">
        <v>141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133</v>
      </c>
      <c r="C13" s="86"/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11" t="s">
        <v>138</v>
      </c>
      <c r="D14" s="66"/>
      <c r="E14" s="60"/>
      <c r="F14" s="60" t="s">
        <v>29</v>
      </c>
      <c r="G14" s="60"/>
      <c r="H14" s="62"/>
      <c r="I14" s="1"/>
    </row>
    <row r="15" spans="1:17" ht="15.6" x14ac:dyDescent="0.3">
      <c r="A15" s="1"/>
      <c r="B15" s="63" t="s">
        <v>1</v>
      </c>
      <c r="C15" s="101"/>
      <c r="D15" s="43"/>
      <c r="E15" s="43"/>
      <c r="F15" s="67" t="s">
        <v>75</v>
      </c>
      <c r="G15" s="67" t="s">
        <v>135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25" t="s">
        <v>144</v>
      </c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5">
        <v>1</v>
      </c>
      <c r="C21" s="105" t="s">
        <v>140</v>
      </c>
      <c r="D21" s="108">
        <v>1063</v>
      </c>
      <c r="E21" s="108">
        <v>565</v>
      </c>
      <c r="F21" s="105" t="s">
        <v>139</v>
      </c>
      <c r="G21" s="107">
        <v>50557</v>
      </c>
      <c r="H21" s="107">
        <f t="shared" ref="H21:H22" si="0">G21*B21</f>
        <v>50557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5">
        <v>1</v>
      </c>
      <c r="C22" s="105" t="s">
        <v>140</v>
      </c>
      <c r="D22" s="108">
        <v>1295</v>
      </c>
      <c r="E22" s="108">
        <v>700</v>
      </c>
      <c r="F22" s="105" t="s">
        <v>139</v>
      </c>
      <c r="G22" s="107">
        <v>75493</v>
      </c>
      <c r="H22" s="107">
        <f t="shared" si="0"/>
        <v>75493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109"/>
      <c r="E23" s="109"/>
      <c r="F23" s="97"/>
      <c r="G23" s="75"/>
      <c r="H23" s="99"/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7"/>
      <c r="C24" s="97"/>
      <c r="D24" s="97"/>
      <c r="E24" s="97"/>
      <c r="F24" s="98"/>
      <c r="G24" s="99"/>
      <c r="H24" s="99"/>
      <c r="I24" s="1"/>
      <c r="K24" s="17"/>
      <c r="L24" s="26"/>
      <c r="M24" s="17"/>
      <c r="N24" s="17"/>
      <c r="O24" s="26"/>
      <c r="P24" s="33"/>
    </row>
    <row r="25" spans="1:16" ht="8.25" customHeight="1" thickBot="1" x14ac:dyDescent="0.35">
      <c r="A25" s="1"/>
      <c r="B25" s="74"/>
      <c r="C25" s="74"/>
      <c r="D25" s="74"/>
      <c r="E25" s="74"/>
      <c r="F25" s="74"/>
      <c r="G25" s="75"/>
      <c r="H25" s="75"/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5</v>
      </c>
      <c r="H26" s="77">
        <f>SUM(H21:H25)</f>
        <v>126050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8" t="s">
        <v>6</v>
      </c>
      <c r="H27" s="79">
        <f>H26*19%</f>
        <v>23949.5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80" t="s">
        <v>4</v>
      </c>
      <c r="H28" s="81">
        <f>H26+H27</f>
        <v>149999.5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2"/>
      <c r="H29" s="100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82" t="s">
        <v>123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82" t="s">
        <v>122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5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0"/>
  </sortState>
  <mergeCells count="2">
    <mergeCell ref="F16:H16"/>
    <mergeCell ref="B19:H19"/>
  </mergeCells>
  <phoneticPr fontId="10" type="noConversion"/>
  <hyperlinks>
    <hyperlink ref="E33" r:id="rId1" xr:uid="{00000000-0004-0000-0000-000000000000}"/>
    <hyperlink ref="C17" r:id="rId2" xr:uid="{AE6233C8-1075-4E80-87BA-7D685E564B10}"/>
  </hyperlinks>
  <pageMargins left="0.70866141732283472" right="0.70866141732283472" top="0.74803149606299213" bottom="0.74803149606299213" header="0.31496062992125984" footer="0.31496062992125984"/>
  <pageSetup paperSize="9" scale="75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5"/>
  <sheetViews>
    <sheetView zoomScaleNormal="100" workbookViewId="0">
      <selection sqref="A1:F39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40" t="s">
        <v>27</v>
      </c>
      <c r="D4" s="14">
        <f>'4637'!G8</f>
        <v>7169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MARCELO EDUARDO CASTRO ARANCIBIA DISEÑO Y PRODUCCION E.IR.L.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 t="s">
        <v>136</v>
      </c>
      <c r="D14" s="25">
        <f t="shared" ref="D14" si="1">J14+D$13</f>
        <v>1143</v>
      </c>
      <c r="E14" s="35">
        <f>K14+E$13</f>
        <v>535</v>
      </c>
      <c r="F14" s="103" t="str">
        <f t="shared" ref="F14:F15" si="2">C29</f>
        <v>CUB C/R F/E R8</v>
      </c>
      <c r="G14" s="1"/>
      <c r="I14" s="3">
        <f t="shared" ref="I14:I15" si="3">I22</f>
        <v>1</v>
      </c>
      <c r="J14" s="4">
        <f>D29</f>
        <v>1063</v>
      </c>
      <c r="K14" s="4">
        <f>E29</f>
        <v>565</v>
      </c>
    </row>
    <row r="15" spans="1:14" ht="15.6" x14ac:dyDescent="0.3">
      <c r="A15" s="96"/>
      <c r="B15" s="25">
        <f t="shared" ref="B15" si="4">I15</f>
        <v>1</v>
      </c>
      <c r="C15" s="25" t="s">
        <v>136</v>
      </c>
      <c r="D15" s="25">
        <f t="shared" ref="D15" si="5">J15+D$13</f>
        <v>1375</v>
      </c>
      <c r="E15" s="35">
        <f>K15+E$13</f>
        <v>670</v>
      </c>
      <c r="F15" s="103" t="str">
        <f t="shared" si="2"/>
        <v>CUB C/R F/E R8</v>
      </c>
      <c r="G15" s="1"/>
      <c r="I15" s="3">
        <f t="shared" si="3"/>
        <v>1</v>
      </c>
      <c r="J15" s="4">
        <f t="shared" ref="J15:K15" si="6">D30</f>
        <v>1295</v>
      </c>
      <c r="K15" s="4">
        <f t="shared" si="6"/>
        <v>700</v>
      </c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0" t="s">
        <v>14</v>
      </c>
      <c r="B18" s="120"/>
      <c r="C18" s="120"/>
      <c r="D18" s="120"/>
      <c r="E18" s="120"/>
      <c r="F18" s="120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150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130</v>
      </c>
      <c r="B22" s="16">
        <f t="shared" ref="B22" si="7">I22</f>
        <v>1</v>
      </c>
      <c r="C22" s="16"/>
      <c r="D22" s="16">
        <f>J22+D$21</f>
        <v>1103</v>
      </c>
      <c r="E22" s="16">
        <f>K22+E$21</f>
        <v>715</v>
      </c>
      <c r="F22" s="104" t="str">
        <f t="shared" ref="F22:F23" si="8">C29</f>
        <v>CUB C/R F/E R8</v>
      </c>
      <c r="G22" s="1"/>
      <c r="I22" s="3">
        <f t="shared" ref="I22:I23" si="9">B29</f>
        <v>1</v>
      </c>
      <c r="J22" s="4">
        <f t="shared" ref="J22:K22" si="10">D29</f>
        <v>1063</v>
      </c>
      <c r="K22" s="4">
        <f t="shared" si="10"/>
        <v>565</v>
      </c>
    </row>
    <row r="23" spans="1:11" ht="15.6" x14ac:dyDescent="0.3">
      <c r="A23" s="96"/>
      <c r="B23" s="16">
        <f t="shared" ref="B23" si="11">I23</f>
        <v>1</v>
      </c>
      <c r="C23" s="16"/>
      <c r="D23" s="16">
        <f>J23+D$21</f>
        <v>1335</v>
      </c>
      <c r="E23" s="16">
        <f>K23+E$21</f>
        <v>850</v>
      </c>
      <c r="F23" s="104" t="str">
        <f t="shared" si="8"/>
        <v>CUB C/R F/E R8</v>
      </c>
      <c r="G23" s="1"/>
      <c r="I23" s="3">
        <f t="shared" si="9"/>
        <v>1</v>
      </c>
      <c r="J23" s="4">
        <f t="shared" ref="J23:K23" si="12">D30</f>
        <v>1295</v>
      </c>
      <c r="K23" s="4">
        <f t="shared" si="12"/>
        <v>700</v>
      </c>
    </row>
    <row r="24" spans="1:11" ht="15.6" x14ac:dyDescent="0.3">
      <c r="A24" s="96"/>
      <c r="B24" s="6"/>
      <c r="C24" s="6"/>
      <c r="D24" s="6"/>
      <c r="E24" s="6"/>
      <c r="F24" s="6"/>
      <c r="G24" s="1"/>
      <c r="I24" s="90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8" t="s">
        <v>10</v>
      </c>
      <c r="C28" s="88" t="s">
        <v>110</v>
      </c>
      <c r="D28" s="88" t="s">
        <v>7</v>
      </c>
      <c r="E28" s="88" t="s">
        <v>8</v>
      </c>
      <c r="F28" s="88" t="s">
        <v>23</v>
      </c>
      <c r="G28" s="1"/>
    </row>
    <row r="29" spans="1:11" ht="15.6" x14ac:dyDescent="0.3">
      <c r="A29" s="96" t="s">
        <v>134</v>
      </c>
      <c r="B29" s="25">
        <f>'4637'!B21</f>
        <v>1</v>
      </c>
      <c r="C29" s="103" t="str">
        <f>'4637'!C21</f>
        <v>CUB C/R F/E R8</v>
      </c>
      <c r="D29" s="25">
        <f>'4637'!D21</f>
        <v>1063</v>
      </c>
      <c r="E29" s="25">
        <f>'4637'!E21</f>
        <v>565</v>
      </c>
      <c r="F29" s="25" t="str">
        <f>'4637'!F21</f>
        <v>BLANCO OPACO</v>
      </c>
      <c r="G29" s="1"/>
    </row>
    <row r="30" spans="1:11" ht="15.6" x14ac:dyDescent="0.3">
      <c r="A30" s="96"/>
      <c r="B30" s="25">
        <f>'4637'!B22</f>
        <v>1</v>
      </c>
      <c r="C30" s="103" t="str">
        <f>'4637'!C22</f>
        <v>CUB C/R F/E R8</v>
      </c>
      <c r="D30" s="25">
        <f>'4637'!D22</f>
        <v>1295</v>
      </c>
      <c r="E30" s="25">
        <f>'4637'!E22</f>
        <v>700</v>
      </c>
      <c r="F30" s="25" t="str">
        <f>'4637'!F22</f>
        <v>BLANCO OPACO</v>
      </c>
      <c r="G30" s="1"/>
    </row>
    <row r="31" spans="1:11" ht="15.6" x14ac:dyDescent="0.3">
      <c r="A31" s="52"/>
      <c r="B31" s="6"/>
      <c r="C31" s="110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40" t="s">
        <v>27</v>
      </c>
      <c r="D41" s="14">
        <f>'4637'!G8</f>
        <v>7169</v>
      </c>
      <c r="E41" s="1"/>
      <c r="F41" s="1"/>
      <c r="G41" s="1"/>
    </row>
    <row r="42" spans="1:7" ht="17.25" customHeight="1" x14ac:dyDescent="0.3">
      <c r="A42" s="1"/>
      <c r="B42" s="1"/>
      <c r="C42" s="41" t="s">
        <v>67</v>
      </c>
      <c r="D42" s="42" t="str">
        <f>'4637'!C10</f>
        <v>MARCELO EDUARDO CASTRO ARANCIBIA DISEÑO Y PRODUCCION E.IR.L.</v>
      </c>
      <c r="E42" s="43"/>
      <c r="F42" s="43"/>
      <c r="G42" s="1"/>
    </row>
    <row r="43" spans="1:7" ht="4.5" customHeight="1" x14ac:dyDescent="0.3">
      <c r="A43" s="1"/>
      <c r="B43" s="1"/>
      <c r="C43" s="44"/>
      <c r="D43" s="45"/>
      <c r="E43" s="1"/>
      <c r="F43" s="1"/>
      <c r="G43" s="1"/>
    </row>
    <row r="44" spans="1:7" ht="15.6" x14ac:dyDescent="0.3">
      <c r="A44" s="1"/>
      <c r="B44" s="1"/>
      <c r="C44" s="46" t="str">
        <f>'4637'!F11</f>
        <v>FECHA LIMITE :</v>
      </c>
      <c r="D44" s="13">
        <f>'4637'!G11</f>
        <v>0</v>
      </c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20" t="s">
        <v>68</v>
      </c>
      <c r="B47" s="120"/>
      <c r="C47" s="120"/>
      <c r="D47" s="120"/>
      <c r="E47" s="120"/>
      <c r="F47" s="120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75" customHeight="1" x14ac:dyDescent="0.3">
      <c r="A49" s="1"/>
      <c r="B49" s="121" t="s">
        <v>69</v>
      </c>
      <c r="C49" s="122"/>
      <c r="D49" s="123"/>
      <c r="E49" s="123"/>
      <c r="F49" s="124"/>
      <c r="G49" s="1"/>
    </row>
    <row r="50" spans="1:7" s="15" customFormat="1" ht="12.75" customHeight="1" x14ac:dyDescent="0.3">
      <c r="A50" s="1"/>
      <c r="B50" s="36" t="s">
        <v>10</v>
      </c>
      <c r="C50" s="47" t="s">
        <v>11</v>
      </c>
      <c r="D50" s="48" t="s">
        <v>7</v>
      </c>
      <c r="E50" s="48" t="s">
        <v>8</v>
      </c>
      <c r="F50" s="49" t="s">
        <v>12</v>
      </c>
      <c r="G50" s="1"/>
    </row>
    <row r="51" spans="1:7" s="15" customFormat="1" ht="15" customHeight="1" x14ac:dyDescent="0.3">
      <c r="A51" s="96"/>
      <c r="B51" s="38">
        <f>'4637'!B21</f>
        <v>1</v>
      </c>
      <c r="C51" s="102" t="str">
        <f>'4637'!C21</f>
        <v>CUB C/R F/E R8</v>
      </c>
      <c r="D51" s="39">
        <f>'4637'!D21</f>
        <v>1063</v>
      </c>
      <c r="E51" s="39">
        <f>'4637'!E21</f>
        <v>565</v>
      </c>
      <c r="F51" s="38" t="str">
        <f>'4637'!F21</f>
        <v>BLANCO OPACO</v>
      </c>
      <c r="G51" s="1"/>
    </row>
    <row r="52" spans="1:7" s="15" customFormat="1" ht="15" customHeight="1" x14ac:dyDescent="0.3">
      <c r="A52" s="96"/>
      <c r="B52" s="38">
        <f>'4637'!B22</f>
        <v>1</v>
      </c>
      <c r="C52" s="102" t="str">
        <f>'4637'!C22</f>
        <v>CUB C/R F/E R8</v>
      </c>
      <c r="D52" s="39">
        <f>'4637'!D22</f>
        <v>1295</v>
      </c>
      <c r="E52" s="39">
        <f>'4637'!E22</f>
        <v>700</v>
      </c>
      <c r="F52" s="38" t="str">
        <f>'4637'!F22</f>
        <v>BLANCO OPACO</v>
      </c>
      <c r="G52" s="1"/>
    </row>
    <row r="53" spans="1:7" s="15" customFormat="1" ht="15" customHeight="1" x14ac:dyDescent="0.3">
      <c r="A53" s="96"/>
      <c r="B53" s="52"/>
      <c r="C53" s="106"/>
      <c r="D53" s="52"/>
      <c r="E53" s="52"/>
      <c r="F53" s="52"/>
      <c r="G53" s="1"/>
    </row>
    <row r="54" spans="1:7" s="15" customFormat="1" ht="15" customHeight="1" x14ac:dyDescent="0.3">
      <c r="A54" s="50"/>
      <c r="B54" s="52"/>
      <c r="C54" s="52"/>
      <c r="D54" s="52"/>
      <c r="E54" s="52"/>
      <c r="F54" s="52"/>
      <c r="G54" s="1"/>
    </row>
    <row r="55" spans="1:7" ht="15.6" x14ac:dyDescent="0.3">
      <c r="A55" s="6"/>
      <c r="B55" s="6"/>
      <c r="C55" s="1"/>
      <c r="D55" s="6"/>
      <c r="E55" s="6"/>
      <c r="F55" s="44"/>
      <c r="G55" s="1"/>
    </row>
    <row r="56" spans="1:7" ht="15.6" x14ac:dyDescent="0.3">
      <c r="A56" s="6"/>
      <c r="B56" s="6"/>
      <c r="C56" s="1"/>
      <c r="D56" s="6"/>
      <c r="E56" s="6"/>
      <c r="F56" s="6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" customHeight="1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6"/>
      <c r="B62" s="5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x14ac:dyDescent="0.3">
      <c r="B64" s="20"/>
      <c r="C64" s="20"/>
      <c r="D64" s="20"/>
      <c r="E64" s="20"/>
      <c r="F64" s="20"/>
    </row>
    <row r="65" spans="2:6" x14ac:dyDescent="0.3">
      <c r="B65" s="20"/>
      <c r="C65" s="20"/>
      <c r="E65" s="20"/>
      <c r="F65" s="20"/>
    </row>
  </sheetData>
  <mergeCells count="6">
    <mergeCell ref="M3:N3"/>
    <mergeCell ref="A18:F18"/>
    <mergeCell ref="A10:F10"/>
    <mergeCell ref="A47:F47"/>
    <mergeCell ref="B49:F49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2025-02-20T11:44:16Z</cp:lastPrinted>
  <dcterms:created xsi:type="dcterms:W3CDTF">2013-03-19T12:54:14Z</dcterms:created>
  <dcterms:modified xsi:type="dcterms:W3CDTF">2025-02-24T17:41:15Z</dcterms:modified>
</cp:coreProperties>
</file>