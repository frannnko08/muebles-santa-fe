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F20E5F4F-6984-4709-8F71-F79C497F30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H25" i="4" l="1"/>
  <c r="H26" i="4" s="1"/>
  <c r="J22" i="3"/>
  <c r="D22" i="3" s="1"/>
  <c r="K14" i="3"/>
  <c r="E14" i="3" s="1"/>
  <c r="B22" i="3"/>
  <c r="I14" i="3"/>
  <c r="B14" i="3" s="1"/>
  <c r="F22" i="3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<sst xmlns="http://schemas.openxmlformats.org/spreadsheetml/2006/main" count="246" uniqueCount="143">
  <si>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</si>
  <si>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</si>
  <si>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</si>
  <si>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</si>
  <si>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</si>
  <si>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</si>
  <si>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</si>
  <si>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</si>
  <si>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</si>
  <si>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</si>
  <si>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</si>
  <si>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</si>
  <si>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</si>
  <si>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</si>
  <si>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</si>
  <si>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</si>
  <si>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</si>
  <si>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</si>
  <si>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</si>
  <si>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</si>
  <si>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</si>
  <si>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</si>
  <si>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</si>
  <si>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</si>
  <si>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</si>
  <si>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</si>
  <si>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</si>
  <si>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</si>
  <si>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</si>
  <si>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</si>
  <si>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</si>
  <si>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</si>
  <si>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</si>
  <si>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</si>
  <si>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</si>
  <si>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</si>
  <si>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</si>
  <si>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</si>
  <si>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</si>
  <si>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</si>
  <si>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</si>
  <si>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</si>
  <si>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</si>
  <si>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</si>
  <si>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</si>
  <si>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</si>
  <si>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</si>
  <si>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</si>
  <si>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</si>
  <si>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</si>
  <si>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</si>
  <si>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</si>
  <si>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</si>
  <si>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</si>
  <si>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</si>
  <si>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</si>
  <si>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</si>
  <si>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</si>
  <si>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</si>
  <si>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</si>
  <si>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</si>
  <si>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</si>
  <si>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</si>
  <si>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</si>
  <si>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</si>
  <si>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</si>
  <si>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</si>
  <si>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</si>
  <si>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</si>
  <si>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</si>
  <si>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</si>
  <si>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</si>
  <si>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</si>
  <si>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</si>
  <si>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</si>
  <si>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</si>
  <si>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</si>
  <si>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</si>
  <si>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</si>
  <si>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</si>
  <si>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</si>
  <si>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</si>
  <si>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</si>
  <si>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</si>
  <si>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</si>
  <si>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</si>
  <si>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</si>
  <si>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</si>
  <si>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</si>
  <si>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</si>
  <si>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</si>
  <si>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</si>
  <si>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</si>
  <si>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</si>
  <si>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</si>
  <si>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</si>
  <si>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</si>
  <si>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</si>
  <si>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</si>
  <si>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</si>
  <si>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</si>
  <si>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</si>
  <si>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</si>
  <si>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</si>
  <si>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</si>
  <si>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</si>
  <si>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</si>
  <si>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</si>
  <si>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</si>
  <si>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</si>
  <si>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</si>
  <si>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</si>
  <si>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</si>
  <si>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</si>
  <si>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</si>
  <si>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</si>
  <si>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</si>
  <si>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</si>
  <si>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</si>
  <si>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</si>
  <si>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</si>
  <si>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</si>
  <si>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</si>
  <si>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</si>
  <si>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</si>
  <si>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</si>
  <si>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</si>
  <si>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</si>
  <si>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</si>
  <si>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</si>
  <si>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</si>
  <si>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</si>
  <si>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</si>
  <si>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</si>
  <si>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CONTADO</t>
  </si>
  <si>
    <t>SANTIAGO</t>
  </si>
  <si>
    <t>SI</t>
  </si>
  <si>
    <t>F.DONOSO</t>
  </si>
  <si>
    <t>MARCO X</t>
  </si>
  <si>
    <t>569 5011 3891</t>
  </si>
  <si>
    <t>NEGRO BRILLO MERINO</t>
  </si>
  <si>
    <t>INSTALACION</t>
  </si>
  <si>
    <t>N° 11281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</si>
</sst>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0" borderId="0" xfId="0" applyFont="1"/>
    <xf numFmtId="0" fontId="19" fillId="3" borderId="0" xfId="0" applyFont="1" applyFill="1"/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8" fillId="3" borderId="0" xfId="0" quotePrefix="1" applyFont="1" applyFill="1"/>
    <xf numFmtId="41" fontId="3" fillId="0" borderId="2" xfId="4" applyFont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$ 127.011.-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 PARA INSTALACION, LLEVA DESFONDADO Y TERMINACION LADO IZQUIERO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CUBIERTA PARA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INSTALACION, LLEVA DESFONDADOS Y TERMINACION LADO IZQUIERDO CON REGRUESO DE 15MM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82105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109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7164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45698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7"/>
      <c r="D11" s="60"/>
      <c r="E11" s="60"/>
      <c r="F11" s="60" t="s">
        <v>124</v>
      </c>
      <c r="G11" s="61">
        <v>45700</v>
      </c>
      <c r="H11" s="62"/>
      <c r="I11" s="1"/>
    </row>
    <row r="12" spans="1:17" ht="16.8" x14ac:dyDescent="0.4">
      <c r="A12" s="1"/>
      <c r="B12" s="63" t="s">
        <v>131</v>
      </c>
      <c r="C12" s="108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 t="s">
        <v>137</v>
      </c>
      <c r="H13" s="65"/>
      <c r="I13" s="1"/>
    </row>
    <row r="14" spans="1:17" ht="15.6" x14ac:dyDescent="0.3">
      <c r="A14" s="1"/>
      <c r="B14" s="59" t="s">
        <v>17</v>
      </c>
      <c r="C14" s="123" t="s">
        <v>139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134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135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04" t="s">
        <v>127</v>
      </c>
      <c r="D21" s="105">
        <v>1900</v>
      </c>
      <c r="E21" s="105">
        <v>550</v>
      </c>
      <c r="F21" s="104" t="s">
        <v>140</v>
      </c>
      <c r="G21" s="124">
        <v>90765</v>
      </c>
      <c r="H21" s="109">
        <f>G21*B21</f>
        <v>90765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1</v>
      </c>
      <c r="C22" s="104" t="s">
        <v>141</v>
      </c>
      <c r="D22" s="105"/>
      <c r="E22" s="105"/>
      <c r="F22" s="104"/>
      <c r="G22" s="124">
        <v>100000</v>
      </c>
      <c r="H22" s="109">
        <f>G22*B22</f>
        <v>100000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190765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36245.35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227010.35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9" zoomScaleNormal="100" workbookViewId="0">
      <selection sqref="A1:G3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7164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MARCO X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45700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>J14+D$13</f>
        <v>1980</v>
      </c>
      <c r="E14" s="35">
        <f>K14+E$13</f>
        <v>520</v>
      </c>
      <c r="F14" s="102" t="str">
        <f>C28</f>
        <v>CUB C/R R6</v>
      </c>
      <c r="G14" s="1"/>
      <c r="I14" s="3">
        <f>I22</f>
        <v>1</v>
      </c>
      <c r="J14" s="4">
        <f>D28</f>
        <v>1900</v>
      </c>
      <c r="K14" s="4">
        <f>E28</f>
        <v>550</v>
      </c>
    </row>
    <row r="15" spans="1:14" ht="15.6" x14ac:dyDescent="0.3">
      <c r="A15" s="96"/>
      <c r="B15" s="6"/>
      <c r="C15" s="6"/>
      <c r="D15" s="6"/>
      <c r="E15" s="89"/>
      <c r="F15" s="106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1">I22</f>
        <v>1</v>
      </c>
      <c r="C22" s="16"/>
      <c r="D22" s="16">
        <f>J22+D$21</f>
        <v>1940</v>
      </c>
      <c r="E22" s="16">
        <f>K22+E$21</f>
        <v>680</v>
      </c>
      <c r="F22" s="103" t="str">
        <f>C28</f>
        <v>CUB C/R R6</v>
      </c>
      <c r="G22" s="1"/>
      <c r="I22" s="3">
        <f>B28</f>
        <v>1</v>
      </c>
      <c r="J22" s="4">
        <f t="shared" ref="J22:K22" si="2">D28</f>
        <v>1900</v>
      </c>
      <c r="K22" s="4">
        <f t="shared" si="2"/>
        <v>550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133</v>
      </c>
      <c r="B28" s="25">
        <f>'4637'!B21</f>
        <v>1</v>
      </c>
      <c r="C28" s="102" t="str">
        <f>'4637'!C21</f>
        <v>CUB C/R R6</v>
      </c>
      <c r="D28" s="25">
        <f>'4637'!D21</f>
        <v>1900</v>
      </c>
      <c r="E28" s="25">
        <f>'4637'!E21</f>
        <v>550</v>
      </c>
      <c r="F28" s="25" t="str">
        <f>'4637'!F21</f>
        <v>NEGRO BRILLO MERINO</v>
      </c>
      <c r="G28" s="1"/>
    </row>
    <row r="29" spans="1:11" ht="15.6" x14ac:dyDescent="0.3">
      <c r="A29" s="52"/>
      <c r="B29" s="6"/>
      <c r="C29" s="106"/>
      <c r="D29" s="6"/>
      <c r="E29" s="6"/>
      <c r="F29" s="6"/>
      <c r="G29" s="1"/>
    </row>
    <row r="30" spans="1:11" ht="15.6" x14ac:dyDescent="0.3">
      <c r="A30" s="52"/>
      <c r="B30" s="6"/>
      <c r="C30" s="10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7164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MARCO X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45700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8" t="s">
        <v>68</v>
      </c>
      <c r="B45" s="118"/>
      <c r="C45" s="118"/>
      <c r="D45" s="118"/>
      <c r="E45" s="118"/>
      <c r="F45" s="118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9" t="s">
        <v>69</v>
      </c>
      <c r="C47" s="120"/>
      <c r="D47" s="121"/>
      <c r="E47" s="121"/>
      <c r="F47" s="122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1" t="str">
        <f>'4637'!C21</f>
        <v>CUB C/R R6</v>
      </c>
      <c r="D49" s="39">
        <f>'4637'!D21</f>
        <v>1900</v>
      </c>
      <c r="E49" s="39">
        <f>'4637'!E21</f>
        <v>550</v>
      </c>
      <c r="F49" s="38" t="str">
        <f>'4637'!F21</f>
        <v>NEGRO BRILLO MERINO</v>
      </c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2025-02-10T22:12:01Z</cp:lastPrinted>
  <dcterms:created xsi:type="dcterms:W3CDTF">2013-03-19T12:54:14Z</dcterms:created>
  <dcterms:modified xsi:type="dcterms:W3CDTF">2025-02-10T22:12:06Z</dcterms:modified>
</cp:coreProperties>
</file>