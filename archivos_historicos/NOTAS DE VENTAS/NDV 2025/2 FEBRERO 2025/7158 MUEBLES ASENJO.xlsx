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8DDAFC8B-043B-4C27-BC91-BB21312C00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CUBIERTA!$A$40:$G$64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I24" i="3" s="1"/>
  <c r="C31" i="3"/>
  <c r="F15" i="3" s="1"/>
  <c r="D31" i="3"/>
  <c r="J15" i="3" s="1"/>
  <c r="D15" i="3" s="1"/>
  <c r="E31" i="3"/>
  <c r="K15" i="3" s="1"/>
  <c r="E15" i="3" s="1"/>
  <c r="F31" i="3"/>
  <c r="B53" i="3"/>
  <c r="C53" i="3"/>
  <c r="D53" i="3"/>
  <c r="E53" i="3"/>
  <c r="F53" i="3"/>
  <c r="H22" i="4"/>
  <c r="B30" i="3"/>
  <c r="I23" i="3" s="1"/>
  <c r="C30" i="3"/>
  <c r="F14" i="3" s="1"/>
  <c r="D30" i="3"/>
  <c r="J14" i="3" s="1"/>
  <c r="D14" i="3" s="1"/>
  <c r="E30" i="3"/>
  <c r="K23" i="3" s="1"/>
  <c r="E23" i="3" s="1"/>
  <c r="F30" i="3"/>
  <c r="B52" i="3"/>
  <c r="C52" i="3"/>
  <c r="D52" i="3"/>
  <c r="E52" i="3"/>
  <c r="F52" i="3"/>
  <c r="H21" i="4"/>
  <c r="F24" i="3" l="1"/>
  <c r="B24" i="3"/>
  <c r="I15" i="3"/>
  <c r="B15" i="3" s="1"/>
  <c r="K24" i="3"/>
  <c r="E24" i="3" s="1"/>
  <c r="J24" i="3"/>
  <c r="D24" i="3" s="1"/>
  <c r="J23" i="3"/>
  <c r="D23" i="3" s="1"/>
  <c r="K14" i="3"/>
  <c r="E14" i="3" s="1"/>
  <c r="B23" i="3"/>
  <c r="I14" i="3"/>
  <c r="B14" i="3" s="1"/>
  <c r="F23" i="3"/>
  <c r="H26" i="4"/>
  <c r="H27" i="4" l="1"/>
  <c r="H28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<sst xmlns="http://schemas.openxmlformats.org/spreadsheetml/2006/main" count="249" uniqueCount="145">
  <si>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</si>
  <si>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</si>
  <si>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</si>
  <si>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</si>
  <si>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</si>
  <si>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</si>
  <si>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</si>
  <si>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</si>
  <si>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</si>
  <si>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</si>
  <si>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</si>
  <si>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</si>
  <si>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</si>
  <si>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</si>
  <si>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</si>
  <si>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</si>
  <si>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</si>
  <si>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</si>
  <si>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</si>
  <si>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</si>
  <si>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</si>
  <si>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</si>
  <si>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</si>
  <si>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</si>
  <si>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</si>
  <si>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</si>
  <si>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</si>
  <si>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</si>
  <si>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</si>
  <si>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</si>
  <si>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</si>
  <si>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</si>
  <si>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</si>
  <si>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</si>
  <si>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</si>
  <si>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</si>
  <si>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</si>
  <si>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</si>
  <si>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</si>
  <si>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</si>
  <si>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</si>
  <si>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</si>
  <si>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</si>
  <si>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</si>
  <si>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</si>
  <si>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</si>
  <si>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</si>
  <si>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</si>
  <si>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</si>
  <si>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</si>
  <si>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</si>
  <si>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</si>
  <si>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</si>
  <si>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</si>
  <si>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</si>
  <si>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</si>
  <si>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</si>
  <si>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</si>
  <si>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</si>
  <si>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</si>
  <si>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</si>
  <si>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</si>
  <si>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</si>
  <si>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</si>
  <si>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</si>
  <si>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</si>
  <si>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</si>
  <si>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</si>
  <si>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</si>
  <si>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</si>
  <si>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</si>
  <si>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</si>
  <si>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</si>
  <si>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</si>
  <si>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</si>
  <si>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</si>
  <si>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</si>
  <si>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</si>
  <si>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</si>
  <si>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</si>
  <si>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</si>
  <si>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</si>
  <si>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</si>
  <si>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</si>
  <si>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</si>
  <si>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</si>
  <si>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</si>
  <si>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</si>
  <si>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</si>
  <si>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</si>
  <si>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</si>
  <si>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</si>
  <si>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</si>
  <si>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</si>
  <si>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</si>
  <si>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</si>
  <si>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</si>
  <si>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</si>
  <si>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</si>
  <si>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</si>
  <si>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</si>
  <si>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</si>
  <si>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</si>
  <si>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</si>
  <si>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</si>
  <si>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</si>
  <si>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</si>
  <si>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</si>
  <si>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</si>
  <si>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</si>
  <si>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</si>
  <si>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</si>
  <si>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</si>
  <si>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</si>
  <si>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</si>
  <si>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</si>
  <si>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</si>
  <si>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</si>
  <si>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</si>
  <si>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</si>
  <si>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</si>
  <si>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</si>
  <si>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</si>
  <si>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</si>
  <si>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</si>
  <si>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</si>
  <si>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</si>
  <si>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</si>
  <si>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</si>
  <si>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</si>
  <si>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</si>
  <si>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</si>
  <si>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</si>
  <si>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</si>
  <si>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</si>
  <si>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</si>
  <si>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</si>
  <si>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</si>
  <si>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</si>
  <si>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</si>
  <si>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</si>
  <si>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</si>
  <si>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11228</t>
  </si>
  <si>
    <t>CUB C/R R8</t>
  </si>
  <si>
    <t>BLANCO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</si>
</sst>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7158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45691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22739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143</v>
      </c>
      <c r="D21" s="112">
        <v>1400</v>
      </c>
      <c r="E21" s="112">
        <v>560</v>
      </c>
      <c r="F21" s="106" t="s">
        <v>144</v>
      </c>
      <c r="G21" s="109">
        <v>47516</v>
      </c>
      <c r="H21" s="107">
        <f t="shared" ref="H21" si="0">G21*B21</f>
        <v>47516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143</v>
      </c>
      <c r="D22" s="112">
        <v>2500</v>
      </c>
      <c r="E22" s="112">
        <v>560</v>
      </c>
      <c r="F22" s="106" t="s">
        <v>144</v>
      </c>
      <c r="G22" s="109">
        <v>79622</v>
      </c>
      <c r="H22" s="107">
        <f t="shared" ref="H22" si="1">G22*B22</f>
        <v>79622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110"/>
      <c r="D23" s="111"/>
      <c r="E23" s="111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127138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24156.22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151294.22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28" zoomScaleNormal="100" workbookViewId="0">
      <selection activeCell="L41" sqref="L4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7158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1480</v>
      </c>
      <c r="E14" s="35">
        <f>K14</f>
        <v>560</v>
      </c>
      <c r="F14" s="103" t="str">
        <f>C30</f>
        <v>CUB C/R R8</v>
      </c>
      <c r="G14" s="1"/>
      <c r="I14" s="3">
        <f>I23</f>
        <v>1</v>
      </c>
      <c r="J14" s="4">
        <f>D30</f>
        <v>1400</v>
      </c>
      <c r="K14" s="4">
        <f>E30</f>
        <v>560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2580</v>
      </c>
      <c r="E15" s="35">
        <f>K15</f>
        <v>560</v>
      </c>
      <c r="F15" s="103" t="str">
        <f>C31</f>
        <v>CUB C/R R8</v>
      </c>
      <c r="G15" s="1"/>
      <c r="I15" s="3">
        <f>I24</f>
        <v>1</v>
      </c>
      <c r="J15" s="4">
        <f>D31</f>
        <v>2500</v>
      </c>
      <c r="K15" s="4">
        <f>E31</f>
        <v>560</v>
      </c>
    </row>
    <row r="16" spans="1:14" ht="15.6" x14ac:dyDescent="0.3">
      <c r="A16" s="96"/>
      <c r="B16" s="6"/>
      <c r="C16" s="6"/>
      <c r="D16" s="6"/>
      <c r="E16" s="89"/>
      <c r="F16" s="113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2" t="s">
        <v>14</v>
      </c>
      <c r="B19" s="122"/>
      <c r="C19" s="122"/>
      <c r="D19" s="122"/>
      <c r="E19" s="122"/>
      <c r="F19" s="122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140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4">I23</f>
        <v>1</v>
      </c>
      <c r="C23" s="16"/>
      <c r="D23" s="16">
        <f>J23+D$22</f>
        <v>1440</v>
      </c>
      <c r="E23" s="16">
        <f>K23+E$22</f>
        <v>700</v>
      </c>
      <c r="F23" s="104" t="str">
        <f>C30</f>
        <v>CUB C/R R8</v>
      </c>
      <c r="G23" s="1"/>
      <c r="I23" s="3">
        <f>B30</f>
        <v>1</v>
      </c>
      <c r="J23" s="4">
        <f t="shared" ref="J23:K23" si="5">D30</f>
        <v>1400</v>
      </c>
      <c r="K23" s="4">
        <f t="shared" si="5"/>
        <v>560</v>
      </c>
    </row>
    <row r="24" spans="1:11" ht="15.6" x14ac:dyDescent="0.3">
      <c r="A24" s="96"/>
      <c r="B24" s="16">
        <f t="shared" ref="B24" si="6">I24</f>
        <v>1</v>
      </c>
      <c r="C24" s="16"/>
      <c r="D24" s="16">
        <f>J24+D$22</f>
        <v>2540</v>
      </c>
      <c r="E24" s="16">
        <f>K24+E$22</f>
        <v>700</v>
      </c>
      <c r="F24" s="104" t="str">
        <f>C31</f>
        <v>CUB C/R R8</v>
      </c>
      <c r="G24" s="1"/>
      <c r="I24" s="3">
        <f>B31</f>
        <v>1</v>
      </c>
      <c r="J24" s="4">
        <f t="shared" ref="J24" si="7">D31</f>
        <v>2500</v>
      </c>
      <c r="K24" s="4">
        <f t="shared" ref="K24" si="8">E31</f>
        <v>560</v>
      </c>
    </row>
    <row r="25" spans="1:11" ht="15.6" x14ac:dyDescent="0.3">
      <c r="A25" s="96"/>
      <c r="B25" s="6"/>
      <c r="C25" s="6"/>
      <c r="D25" s="6"/>
      <c r="E25" s="6"/>
      <c r="F25" s="6"/>
      <c r="G25" s="1"/>
      <c r="I25" s="90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6" t="s">
        <v>134</v>
      </c>
      <c r="B30" s="25">
        <f>'4637'!B21</f>
        <v>1</v>
      </c>
      <c r="C30" s="103" t="str">
        <f>'4637'!C21</f>
        <v>CUB C/R R8</v>
      </c>
      <c r="D30" s="25">
        <f>'4637'!D21</f>
        <v>1400</v>
      </c>
      <c r="E30" s="25">
        <f>'4637'!E21</f>
        <v>560</v>
      </c>
      <c r="F30" s="25" t="str">
        <f>'4637'!F21</f>
        <v>BLANCO MERINO</v>
      </c>
      <c r="G30" s="1"/>
    </row>
    <row r="31" spans="1:11" ht="15.6" x14ac:dyDescent="0.3">
      <c r="A31" s="96"/>
      <c r="B31" s="25">
        <f>'4637'!B22</f>
        <v>1</v>
      </c>
      <c r="C31" s="103" t="str">
        <f>'4637'!C22</f>
        <v>CUB C/R R8</v>
      </c>
      <c r="D31" s="25">
        <f>'4637'!D22</f>
        <v>2500</v>
      </c>
      <c r="E31" s="25">
        <f>'4637'!E22</f>
        <v>560</v>
      </c>
      <c r="F31" s="25" t="str">
        <f>'4637'!F22</f>
        <v>BLANCO MERINO</v>
      </c>
      <c r="G31" s="1"/>
    </row>
    <row r="32" spans="1:11" ht="15.6" x14ac:dyDescent="0.3">
      <c r="A32" s="52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7158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MUEBLES ASENJO LTDA.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0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2" t="s">
        <v>68</v>
      </c>
      <c r="B48" s="122"/>
      <c r="C48" s="122"/>
      <c r="D48" s="122"/>
      <c r="E48" s="122"/>
      <c r="F48" s="122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3" t="s">
        <v>69</v>
      </c>
      <c r="C50" s="124"/>
      <c r="D50" s="125"/>
      <c r="E50" s="125"/>
      <c r="F50" s="126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/>
      <c r="B52" s="38">
        <f>'4637'!B21</f>
        <v>1</v>
      </c>
      <c r="C52" s="102" t="str">
        <f>'4637'!C21</f>
        <v>CUB C/R R8</v>
      </c>
      <c r="D52" s="39">
        <f>'4637'!D21</f>
        <v>1400</v>
      </c>
      <c r="E52" s="39">
        <f>'4637'!E21</f>
        <v>560</v>
      </c>
      <c r="F52" s="38" t="str">
        <f>'4637'!F21</f>
        <v>BLANCO MERINO</v>
      </c>
      <c r="G52" s="1"/>
    </row>
    <row r="53" spans="1:7" s="15" customFormat="1" ht="15" customHeight="1" x14ac:dyDescent="0.3">
      <c r="A53" s="96"/>
      <c r="B53" s="38">
        <f>'4637'!B22</f>
        <v>1</v>
      </c>
      <c r="C53" s="102" t="str">
        <f>'4637'!C22</f>
        <v>CUB C/R R8</v>
      </c>
      <c r="D53" s="39">
        <f>'4637'!D22</f>
        <v>2500</v>
      </c>
      <c r="E53" s="39">
        <f>'4637'!E22</f>
        <v>560</v>
      </c>
      <c r="F53" s="38" t="str">
        <f>'4637'!F22</f>
        <v>BLANCO MERINO</v>
      </c>
      <c r="G53" s="1"/>
    </row>
    <row r="54" spans="1:7" s="15" customFormat="1" ht="15" customHeight="1" x14ac:dyDescent="0.3">
      <c r="A54" s="96"/>
      <c r="B54" s="52"/>
      <c r="C54" s="108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2025-02-03T12:19:27Z</cp:lastPrinted>
  <dcterms:created xsi:type="dcterms:W3CDTF">2013-03-19T12:54:14Z</dcterms:created>
  <dcterms:modified xsi:type="dcterms:W3CDTF">2025-02-03T12:20:12Z</dcterms:modified>
</cp:coreProperties>
</file>