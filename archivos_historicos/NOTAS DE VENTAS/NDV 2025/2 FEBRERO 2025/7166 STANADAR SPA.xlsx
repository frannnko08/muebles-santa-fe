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BCBEDF14-22F6-4AE6-AF45-0DF8473CF2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H25" i="4" s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<sst xmlns="http://schemas.openxmlformats.org/spreadsheetml/2006/main" count="247" uniqueCount="145">
  <si>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</si>
  <si>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</si>
  <si>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</si>
  <si>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</si>
  <si>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</si>
  <si>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</si>
  <si>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</si>
  <si>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</si>
  <si>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</si>
  <si>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</si>
  <si>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</si>
  <si>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</si>
  <si>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</si>
  <si>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</si>
  <si>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</si>
  <si>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</si>
  <si>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</si>
  <si>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</si>
  <si>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</si>
  <si>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</si>
  <si>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</si>
  <si>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</si>
  <si>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</si>
  <si>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</si>
  <si>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</si>
  <si>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</si>
  <si>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</si>
  <si>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</si>
  <si>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</si>
  <si>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</si>
  <si>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</si>
  <si>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</si>
  <si>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</si>
  <si>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</si>
  <si>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</si>
  <si>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</si>
  <si>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</si>
  <si>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</si>
  <si>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</si>
  <si>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</si>
  <si>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</si>
  <si>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</si>
  <si>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</si>
  <si>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</si>
  <si>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</si>
  <si>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</si>
  <si>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</si>
  <si>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</si>
  <si>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</si>
  <si>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</si>
  <si>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</si>
  <si>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</si>
  <si>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</si>
  <si>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</si>
  <si>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</si>
  <si>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</si>
  <si>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</si>
  <si>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</si>
  <si>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</si>
  <si>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</si>
  <si>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</si>
  <si>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</si>
  <si>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</si>
  <si>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</si>
  <si>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</si>
  <si>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</si>
  <si>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</si>
  <si>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</si>
  <si>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</si>
  <si>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</si>
  <si>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</si>
  <si>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</si>
  <si>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</si>
  <si>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</si>
  <si>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</si>
  <si>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</si>
  <si>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</si>
  <si>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</si>
  <si>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</si>
  <si>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</si>
  <si>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</si>
  <si>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</si>
  <si>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</si>
  <si>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</si>
  <si>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</si>
  <si>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</si>
  <si>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</si>
  <si>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</si>
  <si>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</si>
  <si>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</si>
  <si>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</si>
  <si>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</si>
  <si>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</si>
  <si>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</si>
  <si>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</si>
  <si>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</si>
  <si>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</si>
  <si>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</si>
  <si>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</si>
  <si>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</si>
  <si>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</si>
  <si>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</si>
  <si>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</si>
  <si>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</si>
  <si>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</si>
  <si>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</si>
  <si>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</si>
  <si>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</si>
  <si>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</si>
  <si>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</si>
  <si>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</si>
  <si>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</si>
  <si>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</si>
  <si>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</si>
  <si>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</si>
  <si>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</si>
  <si>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</si>
  <si>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</si>
  <si>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</si>
  <si>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</si>
  <si>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</si>
  <si>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</si>
  <si>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</si>
  <si>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</si>
  <si>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</si>
  <si>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</si>
  <si>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</si>
  <si>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</si>
  <si>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</si>
  <si>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</si>
  <si>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</si>
  <si>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</si>
  <si>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</si>
  <si>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</si>
  <si>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CONTADO</t>
  </si>
  <si>
    <t>SANTIAGO</t>
  </si>
  <si>
    <t>CORTAR SEGÚN DESARROLLO</t>
  </si>
  <si>
    <t>SI</t>
  </si>
  <si>
    <t>F.DONOSO</t>
  </si>
  <si>
    <t>N° 11288</t>
  </si>
  <si>
    <t>ESTÁNDAR SPA</t>
  </si>
  <si>
    <t>76.761.179-K</t>
  </si>
  <si>
    <t>CUB MESA 180° 4L</t>
  </si>
  <si>
    <t>BLANCO BRILLO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</si>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</sst>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applyFont="1"/>
    <xf numFmtId="0" fontId="19" fillId="3" borderId="0" xfId="0" applyFont="1" applyFill="1"/>
    <xf numFmtId="0" fontId="18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9" fillId="0" borderId="32" xfId="0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DESPUNTAR Y ENCHAPAR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DESPUNTAR Y ENCHAPAR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2105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N13" sqref="N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109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139</v>
      </c>
      <c r="E8" s="1"/>
      <c r="F8" s="94" t="s">
        <v>27</v>
      </c>
      <c r="G8" s="95">
        <v>7166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45702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7" t="s">
        <v>141</v>
      </c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131</v>
      </c>
      <c r="C12" s="108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 t="s">
        <v>138</v>
      </c>
      <c r="H13" s="65"/>
      <c r="I13" s="1"/>
    </row>
    <row r="14" spans="1:17" ht="15.6" x14ac:dyDescent="0.3">
      <c r="A14" s="1"/>
      <c r="B14" s="59" t="s">
        <v>17</v>
      </c>
      <c r="C14" s="109"/>
      <c r="D14" s="66"/>
      <c r="E14" s="60"/>
      <c r="F14" s="60" t="s">
        <v>29</v>
      </c>
      <c r="G14" s="60" t="s">
        <v>137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135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142</v>
      </c>
      <c r="D21" s="105">
        <v>760</v>
      </c>
      <c r="E21" s="105">
        <v>510</v>
      </c>
      <c r="F21" s="104" t="s">
        <v>143</v>
      </c>
      <c r="G21" s="111">
        <v>38516</v>
      </c>
      <c r="H21" s="110">
        <f>G21*B21</f>
        <v>38516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38516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7318.04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45834.04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9" zoomScaleNormal="100" workbookViewId="0">
      <selection activeCell="G27" sqref="G27:H2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7166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ESTÁNDAR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/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136</v>
      </c>
      <c r="D14" s="25">
        <f>J14+D$13</f>
        <v>760</v>
      </c>
      <c r="E14" s="35">
        <f>K14+E$13</f>
        <v>510</v>
      </c>
      <c r="F14" s="102" t="str">
        <f>C28</f>
        <v>CUB MESA 180° 4L</v>
      </c>
      <c r="G14" s="1"/>
      <c r="I14" s="3">
        <f>I22</f>
        <v>1</v>
      </c>
      <c r="J14" s="4">
        <f>D28</f>
        <v>760</v>
      </c>
      <c r="K14" s="4">
        <f>E28</f>
        <v>510</v>
      </c>
    </row>
    <row r="15" spans="1:14" ht="15.6" x14ac:dyDescent="0.3">
      <c r="A15" s="96"/>
      <c r="B15" s="6"/>
      <c r="C15" s="6"/>
      <c r="D15" s="6"/>
      <c r="E15" s="89"/>
      <c r="F15" s="106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150</v>
      </c>
      <c r="E21" s="21">
        <v>150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1">I22</f>
        <v>1</v>
      </c>
      <c r="C22" s="16"/>
      <c r="D22" s="16">
        <f>J22+D$21</f>
        <v>910</v>
      </c>
      <c r="E22" s="16">
        <f>K22+E$21</f>
        <v>660</v>
      </c>
      <c r="F22" s="103" t="str">
        <f>C28</f>
        <v>CUB MESA 180° 4L</v>
      </c>
      <c r="G22" s="1"/>
      <c r="I22" s="3">
        <f>B28</f>
        <v>1</v>
      </c>
      <c r="J22" s="4">
        <f t="shared" ref="J22:K22" si="2">D28</f>
        <v>760</v>
      </c>
      <c r="K22" s="4">
        <f t="shared" si="2"/>
        <v>510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  <c r="H27" s="125" t="s">
        <v>144</v>
      </c>
    </row>
    <row r="28" spans="1:11" ht="15.6" x14ac:dyDescent="0.3">
      <c r="A28" s="96" t="s">
        <v>133</v>
      </c>
      <c r="B28" s="25">
        <f>'4637'!B21</f>
        <v>1</v>
      </c>
      <c r="C28" s="102" t="str">
        <f>'4637'!C21</f>
        <v>CUB MESA 180° 4L</v>
      </c>
      <c r="D28" s="25">
        <f>'4637'!D21</f>
        <v>760</v>
      </c>
      <c r="E28" s="25">
        <f>'4637'!E21</f>
        <v>510</v>
      </c>
      <c r="F28" s="25" t="str">
        <f>'4637'!F21</f>
        <v>BLANCO BRILLO</v>
      </c>
      <c r="G28" s="1"/>
    </row>
    <row r="29" spans="1:11" ht="15.6" x14ac:dyDescent="0.3">
      <c r="A29" s="52"/>
      <c r="B29" s="6"/>
      <c r="C29" s="106"/>
      <c r="D29" s="6"/>
      <c r="E29" s="6"/>
      <c r="F29" s="6"/>
      <c r="G29" s="1"/>
    </row>
    <row r="30" spans="1:11" ht="15.6" x14ac:dyDescent="0.3">
      <c r="A30" s="52"/>
      <c r="B30" s="6"/>
      <c r="C30" s="10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7166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ESTÁNDAR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1" t="str">
        <f>'4637'!C21</f>
        <v>CUB MESA 180° 4L</v>
      </c>
      <c r="D49" s="39">
        <f>'4637'!D21</f>
        <v>760</v>
      </c>
      <c r="E49" s="39">
        <f>'4637'!E21</f>
        <v>510</v>
      </c>
      <c r="F49" s="38" t="str">
        <f>'4637'!F21</f>
        <v>BLANCO BRILLO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2025-02-17T13:43:38Z</cp:lastPrinted>
  <dcterms:created xsi:type="dcterms:W3CDTF">2013-03-19T12:54:14Z</dcterms:created>
  <dcterms:modified xsi:type="dcterms:W3CDTF">2025-02-17T13:59:27Z</dcterms:modified>
</cp:coreProperties>
</file>