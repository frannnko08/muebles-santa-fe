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6 JUNIO 2025\"/>
    </mc:Choice>
  </mc:AlternateContent>
  <xr:revisionPtr revIDLastSave="0" documentId="13_ncr:1_{63E306CC-AB76-4577-85DF-09B3F8C3B07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CUBIERTA!$A$38:$G$64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3" l="1"/>
  <c r="C51" i="3"/>
  <c r="D51" i="3"/>
  <c r="E51" i="3"/>
  <c r="F51" i="3"/>
  <c r="B52" i="3"/>
  <c r="C52" i="3"/>
  <c r="D52" i="3"/>
  <c r="E52" i="3"/>
  <c r="F52" i="3"/>
  <c r="B53" i="3"/>
  <c r="C53" i="3"/>
  <c r="D53" i="3"/>
  <c r="E53" i="3"/>
  <c r="F53" i="3"/>
  <c r="H28" i="4"/>
  <c r="H24" i="4"/>
  <c r="H23" i="4" l="1"/>
  <c r="H22" i="4"/>
  <c r="B29" i="3" l="1"/>
  <c r="I23" i="3" s="1"/>
  <c r="C29" i="3"/>
  <c r="F14" i="3" s="1"/>
  <c r="D29" i="3"/>
  <c r="J14" i="3" s="1"/>
  <c r="D14" i="3" s="1"/>
  <c r="E29" i="3"/>
  <c r="K23" i="3" s="1"/>
  <c r="E23" i="3" s="1"/>
  <c r="F29" i="3"/>
  <c r="B50" i="3"/>
  <c r="C50" i="3"/>
  <c r="D50" i="3"/>
  <c r="E50" i="3"/>
  <c r="F50" i="3"/>
  <c r="H21" i="4"/>
  <c r="J23" i="3" l="1"/>
  <c r="D23" i="3" s="1"/>
  <c r="K14" i="3"/>
  <c r="E14" i="3" s="1"/>
  <c r="B23" i="3"/>
  <c r="I14" i="3"/>
  <c r="B14" i="3" s="1"/>
  <c r="F23" i="3"/>
  <c r="H29" i="4" l="1"/>
  <c r="H30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<sst xmlns="http://schemas.openxmlformats.org/spreadsheetml/2006/main" count="255" uniqueCount="147">
  <si>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</si>
  <si>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</si>
  <si>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</si>
  <si>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</si>
  <si>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</si>
  <si>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</si>
  <si>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</si>
  <si>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</si>
  <si>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</si>
  <si>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</si>
  <si>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</si>
  <si>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</si>
  <si>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</si>
  <si>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</si>
  <si>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</si>
  <si>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</si>
  <si>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</si>
  <si>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</si>
  <si>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</si>
  <si>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</si>
  <si>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</si>
  <si>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</si>
  <si>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</si>
  <si>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</si>
  <si>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</si>
  <si>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</si>
  <si>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</si>
  <si>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</si>
  <si>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</si>
  <si>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</si>
  <si>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</si>
  <si>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</si>
  <si>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</si>
  <si>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</si>
  <si>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</si>
  <si>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</si>
  <si>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</si>
  <si>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</si>
  <si>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</si>
  <si>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</si>
  <si>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</si>
  <si>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</si>
  <si>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</si>
  <si>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</si>
  <si>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</si>
  <si>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</si>
  <si>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</si>
  <si>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</si>
  <si>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</si>
  <si>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</si>
  <si>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</si>
  <si>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</si>
  <si>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</si>
  <si>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</si>
  <si>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</si>
  <si>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</si>
  <si>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</si>
  <si>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</si>
  <si>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</si>
  <si>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</si>
  <si>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</si>
  <si>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</si>
  <si>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</si>
  <si>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</si>
  <si>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</si>
  <si>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</si>
  <si>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</si>
  <si>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</si>
  <si>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</si>
  <si>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</si>
  <si>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</si>
  <si>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</si>
  <si>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</si>
  <si>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</si>
  <si>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</si>
  <si>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</si>
  <si>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</si>
  <si>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</si>
  <si>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</si>
  <si>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</si>
  <si>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</si>
  <si>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</si>
  <si>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</si>
  <si>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</si>
  <si>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</si>
  <si>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</si>
  <si>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</si>
  <si>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</si>
  <si>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</si>
  <si>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</si>
  <si>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</si>
  <si>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</si>
  <si>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</si>
  <si>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</si>
  <si>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</si>
  <si>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</si>
  <si>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</si>
  <si>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</si>
  <si>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</si>
  <si>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</si>
  <si>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</si>
  <si>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</si>
  <si>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</si>
  <si>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</si>
  <si>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</si>
  <si>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</si>
  <si>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</si>
  <si>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</si>
  <si>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</si>
  <si>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</si>
  <si>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</si>
  <si>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</si>
  <si>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</si>
  <si>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</si>
  <si>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</si>
  <si>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</si>
  <si>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</si>
  <si>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</si>
  <si>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</si>
  <si>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</si>
  <si>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</si>
  <si>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</si>
  <si>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</si>
  <si>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</si>
  <si>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</si>
  <si>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</si>
  <si>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</si>
  <si>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</si>
  <si>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</si>
  <si>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</si>
  <si>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</si>
  <si>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</si>
  <si>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</si>
  <si>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</si>
  <si>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</si>
  <si>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</si>
  <si>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</si>
  <si>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</si>
  <si>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</si>
  <si>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</si>
  <si>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</si>
  <si>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</si>
  <si>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URGENTE</t>
  </si>
  <si>
    <t>MEDITERRANEO 2180 MT</t>
  </si>
  <si>
    <t xml:space="preserve">N° </t>
  </si>
  <si>
    <t>BLANCO 2114 MT</t>
  </si>
  <si>
    <t>CORNISA 180° 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</si>
</sst>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8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7224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45811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 t="s">
        <v>142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36</v>
      </c>
      <c r="D21" s="109">
        <v>1200</v>
      </c>
      <c r="E21" s="109">
        <v>400</v>
      </c>
      <c r="F21" s="106" t="s">
        <v>143</v>
      </c>
      <c r="G21" s="108">
        <v>36000</v>
      </c>
      <c r="H21" s="107">
        <f t="shared" ref="H21:H24" si="0">G21*B21</f>
        <v>36000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2</v>
      </c>
      <c r="C22" s="106" t="s">
        <v>64</v>
      </c>
      <c r="D22" s="109">
        <v>2150</v>
      </c>
      <c r="E22" s="109">
        <v>363</v>
      </c>
      <c r="F22" s="106" t="s">
        <v>145</v>
      </c>
      <c r="G22" s="108">
        <v>40895</v>
      </c>
      <c r="H22" s="107">
        <f t="shared" si="0"/>
        <v>81790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>
        <v>2</v>
      </c>
      <c r="C23" s="106" t="s">
        <v>64</v>
      </c>
      <c r="D23" s="109">
        <v>700</v>
      </c>
      <c r="E23" s="109">
        <v>367</v>
      </c>
      <c r="F23" s="106" t="s">
        <v>145</v>
      </c>
      <c r="G23" s="108">
        <v>14377</v>
      </c>
      <c r="H23" s="107">
        <f t="shared" si="0"/>
        <v>28754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>
        <v>4</v>
      </c>
      <c r="C24" s="106" t="s">
        <v>146</v>
      </c>
      <c r="D24" s="109">
        <v>3000</v>
      </c>
      <c r="E24" s="109">
        <v>210</v>
      </c>
      <c r="F24" s="106" t="s">
        <v>143</v>
      </c>
      <c r="G24" s="108">
        <v>32593</v>
      </c>
      <c r="H24" s="107">
        <f t="shared" si="0"/>
        <v>130372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7"/>
      <c r="C25" s="97"/>
      <c r="D25" s="110"/>
      <c r="E25" s="110"/>
      <c r="F25" s="97"/>
      <c r="G25" s="75"/>
      <c r="H25" s="99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7"/>
      <c r="C26" s="97"/>
      <c r="D26" s="97"/>
      <c r="E26" s="97"/>
      <c r="F26" s="98"/>
      <c r="G26" s="99"/>
      <c r="H26" s="99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SUM(H21:H27)</f>
        <v>276916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52614.04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329530.03999999998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100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3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abSelected="1" topLeftCell="A26" zoomScaleNormal="100" workbookViewId="0">
      <selection activeCell="A38" sqref="A38:G6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7224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 t="str">
        <f>'4637'!G11</f>
        <v>URGENTE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>J14+D13</f>
        <v>1280</v>
      </c>
      <c r="E14" s="35">
        <f>K14+E$13</f>
        <v>400</v>
      </c>
      <c r="F14" s="103" t="str">
        <f>C29</f>
        <v>CUB MESA 180° 2 LADOS</v>
      </c>
      <c r="G14" s="1"/>
      <c r="I14" s="3">
        <f>I23</f>
        <v>1</v>
      </c>
      <c r="J14" s="4">
        <f>D29</f>
        <v>1200</v>
      </c>
      <c r="K14" s="4">
        <f>E29</f>
        <v>400</v>
      </c>
    </row>
    <row r="15" spans="1:14" ht="15.6" x14ac:dyDescent="0.3">
      <c r="A15" s="96"/>
      <c r="B15" s="6"/>
      <c r="C15" s="6"/>
      <c r="D15" s="6"/>
      <c r="E15" s="89"/>
      <c r="F15" s="111"/>
      <c r="G15" s="1"/>
      <c r="I15" s="90"/>
      <c r="J15" s="2"/>
      <c r="K15" s="2"/>
    </row>
    <row r="16" spans="1:14" ht="15.6" x14ac:dyDescent="0.3">
      <c r="A16" s="96"/>
      <c r="B16" s="6"/>
      <c r="C16" s="6"/>
      <c r="D16" s="6"/>
      <c r="E16" s="89"/>
      <c r="F16" s="111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0" t="s">
        <v>14</v>
      </c>
      <c r="B19" s="120"/>
      <c r="C19" s="120"/>
      <c r="D19" s="120"/>
      <c r="E19" s="120"/>
      <c r="F19" s="120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150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130</v>
      </c>
      <c r="B23" s="16">
        <f t="shared" ref="B23" si="1">I23</f>
        <v>1</v>
      </c>
      <c r="C23" s="16"/>
      <c r="D23" s="16">
        <f t="shared" ref="D23" si="2">J23+D$22</f>
        <v>1240</v>
      </c>
      <c r="E23" s="16">
        <f>K23+E22</f>
        <v>550</v>
      </c>
      <c r="F23" s="104" t="str">
        <f>C29</f>
        <v>CUB MESA 180° 2 LADOS</v>
      </c>
      <c r="G23" s="1"/>
      <c r="I23" s="3">
        <f>B29</f>
        <v>1</v>
      </c>
      <c r="J23" s="4">
        <f t="shared" ref="J23:K23" si="3">D29</f>
        <v>1200</v>
      </c>
      <c r="K23" s="4">
        <f t="shared" si="3"/>
        <v>400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1</v>
      </c>
      <c r="C29" s="103" t="str">
        <f>'4637'!C21</f>
        <v>CUB MESA 180° 2 LADOS</v>
      </c>
      <c r="D29" s="25">
        <f>'4637'!D21</f>
        <v>1200</v>
      </c>
      <c r="E29" s="25">
        <f>'4637'!E21</f>
        <v>400</v>
      </c>
      <c r="F29" s="25" t="str">
        <f>'4637'!F21</f>
        <v>MEDITERRANEO 2180 MT</v>
      </c>
      <c r="G29" s="1"/>
    </row>
    <row r="30" spans="1:11" ht="15.6" x14ac:dyDescent="0.3">
      <c r="A30" s="96"/>
      <c r="B30" s="6"/>
      <c r="C30" s="111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7224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MUEBLES ASENJO LTDA.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 t="str">
        <f>'4637'!G11</f>
        <v>URGENTE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0" t="s">
        <v>68</v>
      </c>
      <c r="B46" s="120"/>
      <c r="C46" s="120"/>
      <c r="D46" s="120"/>
      <c r="E46" s="120"/>
      <c r="F46" s="120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1" t="s">
        <v>69</v>
      </c>
      <c r="C48" s="122"/>
      <c r="D48" s="123"/>
      <c r="E48" s="123"/>
      <c r="F48" s="124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 t="s">
        <v>134</v>
      </c>
      <c r="B50" s="38">
        <f>'4637'!B21</f>
        <v>1</v>
      </c>
      <c r="C50" s="102" t="str">
        <f>'4637'!C21</f>
        <v>CUB MESA 180° 2 LADOS</v>
      </c>
      <c r="D50" s="39">
        <f>'4637'!D21</f>
        <v>1200</v>
      </c>
      <c r="E50" s="39">
        <f>'4637'!E21</f>
        <v>400</v>
      </c>
      <c r="F50" s="38" t="str">
        <f>'4637'!F21</f>
        <v>MEDITERRANEO 2180 MT</v>
      </c>
      <c r="G50" s="1"/>
    </row>
    <row r="51" spans="1:7" s="15" customFormat="1" ht="15" customHeight="1" x14ac:dyDescent="0.3">
      <c r="A51" s="96"/>
      <c r="B51" s="38">
        <f>'4637'!B22</f>
        <v>2</v>
      </c>
      <c r="C51" s="102" t="str">
        <f>'4637'!C22</f>
        <v>PR8</v>
      </c>
      <c r="D51" s="39">
        <f>'4637'!D22</f>
        <v>2150</v>
      </c>
      <c r="E51" s="39">
        <f>'4637'!E22</f>
        <v>363</v>
      </c>
      <c r="F51" s="38" t="str">
        <f>'4637'!F22</f>
        <v>BLANCO 2114 MT</v>
      </c>
      <c r="G51" s="1"/>
    </row>
    <row r="52" spans="1:7" s="15" customFormat="1" ht="15" customHeight="1" x14ac:dyDescent="0.3">
      <c r="A52" s="96"/>
      <c r="B52" s="38">
        <f>'4637'!B23</f>
        <v>2</v>
      </c>
      <c r="C52" s="102" t="str">
        <f>'4637'!C23</f>
        <v>PR8</v>
      </c>
      <c r="D52" s="39">
        <f>'4637'!D23</f>
        <v>700</v>
      </c>
      <c r="E52" s="39">
        <f>'4637'!E23</f>
        <v>367</v>
      </c>
      <c r="F52" s="38" t="str">
        <f>'4637'!F23</f>
        <v>BLANCO 2114 MT</v>
      </c>
      <c r="G52" s="1"/>
    </row>
    <row r="53" spans="1:7" s="15" customFormat="1" ht="15" customHeight="1" x14ac:dyDescent="0.3">
      <c r="A53" s="96"/>
      <c r="B53" s="38">
        <f>'4637'!B24</f>
        <v>4</v>
      </c>
      <c r="C53" s="102" t="str">
        <f>'4637'!C24</f>
        <v>CORNISA 180° 2L</v>
      </c>
      <c r="D53" s="39">
        <f>'4637'!D24</f>
        <v>3000</v>
      </c>
      <c r="E53" s="39">
        <f>'4637'!E24</f>
        <v>210</v>
      </c>
      <c r="F53" s="38" t="str">
        <f>'4637'!F24</f>
        <v>MEDITERRANEO 2180 MT</v>
      </c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9:F19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2025-06-05T13:23:08Z</cp:lastPrinted>
  <dcterms:created xsi:type="dcterms:W3CDTF">2013-03-19T12:54:14Z</dcterms:created>
  <dcterms:modified xsi:type="dcterms:W3CDTF">2025-06-05T13:23:37Z</dcterms:modified>
</cp:coreProperties>
</file>