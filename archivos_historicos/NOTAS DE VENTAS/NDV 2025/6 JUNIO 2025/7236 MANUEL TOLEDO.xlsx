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40AEA370-5340-4D36-AC64-1CB00E5096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CUBIERTA!$A$40:$G$67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E15" i="3"/>
  <c r="F15" i="3"/>
  <c r="I15" i="3"/>
  <c r="B15" i="3" s="1"/>
  <c r="J15" i="3"/>
  <c r="K15" i="3"/>
  <c r="D23" i="3"/>
  <c r="E23" i="3"/>
  <c r="B30" i="3"/>
  <c r="C30" i="3"/>
  <c r="D30" i="3"/>
  <c r="J23" i="3" s="1"/>
  <c r="E30" i="3"/>
  <c r="K23" i="3" s="1"/>
  <c r="F30" i="3"/>
  <c r="B31" i="3"/>
  <c r="C31" i="3"/>
  <c r="D31" i="3"/>
  <c r="E31" i="3"/>
  <c r="F31" i="3"/>
  <c r="B53" i="3"/>
  <c r="C53" i="3"/>
  <c r="D53" i="3"/>
  <c r="E53" i="3"/>
  <c r="F53" i="3"/>
  <c r="B54" i="3"/>
  <c r="C54" i="3"/>
  <c r="D54" i="3"/>
  <c r="E54" i="3"/>
  <c r="F54" i="3"/>
  <c r="H23" i="4"/>
  <c r="H22" i="4"/>
  <c r="H21" i="4"/>
  <c r="F23" i="3"/>
  <c r="I23" i="3"/>
  <c r="B23" i="3" s="1"/>
  <c r="B29" i="3"/>
  <c r="I22" i="3" s="1"/>
  <c r="C29" i="3"/>
  <c r="F14" i="3" s="1"/>
  <c r="D29" i="3"/>
  <c r="J14" i="3" s="1"/>
  <c r="E29" i="3"/>
  <c r="K22" i="3" s="1"/>
  <c r="E22" i="3" s="1"/>
  <c r="F29" i="3"/>
  <c r="B52" i="3"/>
  <c r="C52" i="3"/>
  <c r="D52" i="3"/>
  <c r="E52" i="3"/>
  <c r="F52" i="3"/>
  <c r="H27" i="4"/>
  <c r="J22" i="3" l="1"/>
  <c r="D22" i="3" s="1"/>
  <c r="K14" i="3"/>
  <c r="E14" i="3" s="1"/>
  <c r="B22" i="3"/>
  <c r="I14" i="3"/>
  <c r="B14" i="3" s="1"/>
  <c r="F22" i="3"/>
  <c r="H28" i="4" l="1"/>
  <c r="H29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<sst xmlns="http://schemas.openxmlformats.org/spreadsheetml/2006/main" count="248" uniqueCount="143">
  <si>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</si>
  <si>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</si>
  <si>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</si>
  <si>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</si>
  <si>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</si>
  <si>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</si>
  <si>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</si>
  <si>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</si>
  <si>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</si>
  <si>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</si>
  <si>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</si>
  <si>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</si>
  <si>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</si>
  <si>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</si>
  <si>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</si>
  <si>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</si>
  <si>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</si>
  <si>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</si>
  <si>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</si>
  <si>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</si>
  <si>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</si>
  <si>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</si>
  <si>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</si>
  <si>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</si>
  <si>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</si>
  <si>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</si>
  <si>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</si>
  <si>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</si>
  <si>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</si>
  <si>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</si>
  <si>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</si>
  <si>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</si>
  <si>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</si>
  <si>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</si>
  <si>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</si>
  <si>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</si>
  <si>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</si>
  <si>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</si>
  <si>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</si>
  <si>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</si>
  <si>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</si>
  <si>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</si>
  <si>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</si>
  <si>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</si>
  <si>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</si>
  <si>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</si>
  <si>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</si>
  <si>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</si>
  <si>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</si>
  <si>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</si>
  <si>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</si>
  <si>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</si>
  <si>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</si>
  <si>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</si>
  <si>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</si>
  <si>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</si>
  <si>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</si>
  <si>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</si>
  <si>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</si>
  <si>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</si>
  <si>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</si>
  <si>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</si>
  <si>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</si>
  <si>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</si>
  <si>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</si>
  <si>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</si>
  <si>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</si>
  <si>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</si>
  <si>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</si>
  <si>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</si>
  <si>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</si>
  <si>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</si>
  <si>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</si>
  <si>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</si>
  <si>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</si>
  <si>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</si>
  <si>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</si>
  <si>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</si>
  <si>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</si>
  <si>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</si>
  <si>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</si>
  <si>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</si>
  <si>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</si>
  <si>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</si>
  <si>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</si>
  <si>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</si>
  <si>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</si>
  <si>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</si>
  <si>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</si>
  <si>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</si>
  <si>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</si>
  <si>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</si>
  <si>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</si>
  <si>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</si>
  <si>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</si>
  <si>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</si>
  <si>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</si>
  <si>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</si>
  <si>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</si>
  <si>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</si>
  <si>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</si>
  <si>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</si>
  <si>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</si>
  <si>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</si>
  <si>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</si>
  <si>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</si>
  <si>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</si>
  <si>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</si>
  <si>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</si>
  <si>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</si>
  <si>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</si>
  <si>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</si>
  <si>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</si>
  <si>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</si>
  <si>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</si>
  <si>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</si>
  <si>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</si>
  <si>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</si>
  <si>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</si>
  <si>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</si>
  <si>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</si>
  <si>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</si>
  <si>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</si>
  <si>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</si>
  <si>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</si>
  <si>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</si>
  <si>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</si>
  <si>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</si>
  <si>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</si>
  <si>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</si>
  <si>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</si>
  <si>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</si>
  <si>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</si>
  <si>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</si>
  <si>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</si>
  <si>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</si>
  <si>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CONTADO</t>
  </si>
  <si>
    <t>N° 11483</t>
  </si>
  <si>
    <t>MANUEL TOLEDO</t>
  </si>
  <si>
    <t>+56994303310</t>
  </si>
  <si>
    <t>ROBLE LINEAL 1467 MT</t>
  </si>
  <si>
    <t xml:space="preserve">SERVICIO DE DESFONDADO </t>
  </si>
  <si>
    <t>CUB S/R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</si>
</sst>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0" fillId="0" borderId="0" xfId="2" quotePrefix="1" applyFont="1" applyFill="1" applyBorder="1"/>
    <xf numFmtId="165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1600X300 LLEVA CORTE EN LA ESQUINA IZQUIERDA MIRANDOLA DESDE EL FRENTE Y ENCHAPADA POR ESE COSTADO. CUBIERTA DE 1600X600 VA CORTADA A LA MEDIDA Y ENCHAPADA POR EL LADO IZQUIERDO MIRANDOLA DESDE EL FRENTE Y SOBREMEDIDA EN EL OTRO COSTADO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19050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1600X300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EN LA ESQUINA IZQUIERDA MIRANDOLA DE FRENTE Y ENCHAPADA POR ESE COSTADO. CUBIERTA DE 1600X600 VA CORTADA A LA MEDIDA Y ENCHAPADA POR EL LADO IZQUIERDO MIRANDOLA DE FRENTE Y SOBRE MEDIDA EN EL OTRO LADO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0" workbookViewId="0">
      <selection activeCell="D21" sqref="D21:E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7236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45832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8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09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5" t="s">
        <v>139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6.8" x14ac:dyDescent="0.4">
      <c r="A15" s="1"/>
      <c r="B15" s="63" t="s">
        <v>1</v>
      </c>
      <c r="C15" s="109"/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110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127</v>
      </c>
      <c r="D21" s="106">
        <v>1600</v>
      </c>
      <c r="E21" s="106">
        <v>600</v>
      </c>
      <c r="F21" s="104" t="s">
        <v>140</v>
      </c>
      <c r="G21" s="105">
        <v>91239</v>
      </c>
      <c r="H21" s="105">
        <f t="shared" ref="H21:H23" si="0">G21*B21</f>
        <v>91239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142</v>
      </c>
      <c r="D22" s="106">
        <v>1600</v>
      </c>
      <c r="E22" s="106">
        <v>300</v>
      </c>
      <c r="F22" s="104" t="s">
        <v>140</v>
      </c>
      <c r="G22" s="105">
        <v>50620</v>
      </c>
      <c r="H22" s="105">
        <f t="shared" si="0"/>
        <v>50620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2</v>
      </c>
      <c r="C23" s="104" t="s">
        <v>141</v>
      </c>
      <c r="D23" s="126"/>
      <c r="E23" s="126"/>
      <c r="F23" s="104"/>
      <c r="G23" s="105">
        <v>20000</v>
      </c>
      <c r="H23" s="105">
        <f t="shared" si="0"/>
        <v>40000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111"/>
      <c r="E24" s="111"/>
      <c r="F24" s="97"/>
      <c r="G24" s="75"/>
      <c r="H24" s="99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97"/>
      <c r="E25" s="97"/>
      <c r="F25" s="98"/>
      <c r="G25" s="99"/>
      <c r="H25" s="99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181859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34553.21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216412.21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100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topLeftCell="A27" zoomScaleNormal="100" workbookViewId="0">
      <selection activeCell="A40" sqref="A40:G6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7236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MANUEL TOLEDO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J14+D$13</f>
        <v>1680</v>
      </c>
      <c r="E14" s="35">
        <f>K14+E$13</f>
        <v>570</v>
      </c>
      <c r="F14" s="102" t="str">
        <f>C29</f>
        <v>CUB C/R R6</v>
      </c>
      <c r="G14" s="1"/>
      <c r="I14" s="3">
        <f>I22</f>
        <v>1</v>
      </c>
      <c r="J14" s="4">
        <f>D29</f>
        <v>1600</v>
      </c>
      <c r="K14" s="4">
        <f>E29</f>
        <v>600</v>
      </c>
    </row>
    <row r="15" spans="1:14" ht="15.6" x14ac:dyDescent="0.3">
      <c r="A15" s="96"/>
      <c r="B15" s="25">
        <f t="shared" ref="B15" si="1">I15</f>
        <v>1</v>
      </c>
      <c r="C15" s="25"/>
      <c r="D15" s="25">
        <f>J15+D$13</f>
        <v>1680</v>
      </c>
      <c r="E15" s="35">
        <f>K15</f>
        <v>300</v>
      </c>
      <c r="F15" s="102" t="str">
        <f>C30</f>
        <v>CUB S/R R6</v>
      </c>
      <c r="G15" s="1"/>
      <c r="I15" s="3">
        <f>I23</f>
        <v>1</v>
      </c>
      <c r="J15" s="4">
        <f>D30</f>
        <v>1600</v>
      </c>
      <c r="K15" s="4">
        <f>E30</f>
        <v>300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 t="shared" ref="D22:D23" si="3">J22+D$21</f>
        <v>1640</v>
      </c>
      <c r="E22" s="16">
        <f>K22+E$21</f>
        <v>730</v>
      </c>
      <c r="F22" s="103" t="str">
        <f>C29</f>
        <v>CUB C/R R6</v>
      </c>
      <c r="G22" s="1"/>
      <c r="I22" s="3">
        <f>B29</f>
        <v>1</v>
      </c>
      <c r="J22" s="4">
        <f t="shared" ref="J22:K22" si="4">D29</f>
        <v>1600</v>
      </c>
      <c r="K22" s="4">
        <f t="shared" si="4"/>
        <v>600</v>
      </c>
    </row>
    <row r="23" spans="1:11" ht="15.6" x14ac:dyDescent="0.3">
      <c r="A23" s="96"/>
      <c r="B23" s="16">
        <f t="shared" ref="B23" si="5">I23</f>
        <v>1</v>
      </c>
      <c r="C23" s="16"/>
      <c r="D23" s="16">
        <f t="shared" si="3"/>
        <v>1640</v>
      </c>
      <c r="E23" s="16">
        <f>K23+E$21</f>
        <v>430</v>
      </c>
      <c r="F23" s="103" t="str">
        <f>C30</f>
        <v>CUB S/R R6</v>
      </c>
      <c r="G23" s="1"/>
      <c r="I23" s="3">
        <f>B30</f>
        <v>1</v>
      </c>
      <c r="J23" s="4">
        <f t="shared" ref="J23" si="6">D30</f>
        <v>1600</v>
      </c>
      <c r="K23" s="4">
        <f t="shared" ref="K23" si="7">E30</f>
        <v>300</v>
      </c>
    </row>
    <row r="24" spans="1:11" ht="15.6" x14ac:dyDescent="0.3">
      <c r="A24" s="96"/>
      <c r="B24" s="129"/>
      <c r="C24" s="129"/>
      <c r="D24" s="129"/>
      <c r="E24" s="129"/>
      <c r="F24" s="130"/>
      <c r="G24" s="1"/>
      <c r="I24" s="131"/>
      <c r="J24" s="132"/>
      <c r="K24" s="13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2" t="str">
        <f>'4637'!C21</f>
        <v>CUB C/R R6</v>
      </c>
      <c r="D29" s="25">
        <f>'4637'!D21</f>
        <v>1600</v>
      </c>
      <c r="E29" s="25">
        <f>'4637'!E21</f>
        <v>600</v>
      </c>
      <c r="F29" s="25" t="str">
        <f>'4637'!F21</f>
        <v>ROBLE LINEAL 1467 MT</v>
      </c>
      <c r="G29" s="1"/>
    </row>
    <row r="30" spans="1:11" ht="15.6" x14ac:dyDescent="0.3">
      <c r="A30" s="96"/>
      <c r="B30" s="25">
        <f>'4637'!B22</f>
        <v>1</v>
      </c>
      <c r="C30" s="102" t="str">
        <f>'4637'!C22</f>
        <v>CUB S/R R6</v>
      </c>
      <c r="D30" s="25">
        <f>'4637'!D22</f>
        <v>1600</v>
      </c>
      <c r="E30" s="25">
        <f>'4637'!E22</f>
        <v>300</v>
      </c>
      <c r="F30" s="25" t="str">
        <f>'4637'!F22</f>
        <v>ROBLE LINEAL 1467 MT</v>
      </c>
      <c r="G30" s="1"/>
    </row>
    <row r="31" spans="1:11" ht="15.6" x14ac:dyDescent="0.3">
      <c r="A31" s="96"/>
      <c r="B31" s="25">
        <f>'4637'!B23</f>
        <v>2</v>
      </c>
      <c r="C31" s="102" t="str">
        <f>'4637'!C23</f>
        <v xml:space="preserve">SERVICIO DE DESFONDADO </v>
      </c>
      <c r="D31" s="25">
        <f>'4637'!D23</f>
        <v>0</v>
      </c>
      <c r="E31" s="25">
        <f>'4637'!E23</f>
        <v>0</v>
      </c>
      <c r="F31" s="25">
        <f>'4637'!F23</f>
        <v>0</v>
      </c>
      <c r="G31" s="1"/>
    </row>
    <row r="32" spans="1:11" ht="15.6" x14ac:dyDescent="0.3">
      <c r="A32" s="96"/>
      <c r="B32" s="6"/>
      <c r="C32" s="107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7236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MANUEL TOLEDO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0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0" t="s">
        <v>68</v>
      </c>
      <c r="B48" s="120"/>
      <c r="C48" s="120"/>
      <c r="D48" s="120"/>
      <c r="E48" s="120"/>
      <c r="F48" s="120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1" t="s">
        <v>69</v>
      </c>
      <c r="C50" s="122"/>
      <c r="D50" s="123"/>
      <c r="E50" s="123"/>
      <c r="F50" s="124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 t="s">
        <v>134</v>
      </c>
      <c r="B52" s="38">
        <f>'4637'!B21</f>
        <v>1</v>
      </c>
      <c r="C52" s="101" t="str">
        <f>'4637'!C21</f>
        <v>CUB C/R R6</v>
      </c>
      <c r="D52" s="39">
        <f>'4637'!D21</f>
        <v>1600</v>
      </c>
      <c r="E52" s="39">
        <f>'4637'!E21</f>
        <v>600</v>
      </c>
      <c r="F52" s="38" t="str">
        <f>'4637'!F21</f>
        <v>ROBLE LINEAL 1467 MT</v>
      </c>
      <c r="G52" s="1"/>
    </row>
    <row r="53" spans="1:7" s="15" customFormat="1" ht="15" customHeight="1" x14ac:dyDescent="0.3">
      <c r="A53" s="96"/>
      <c r="B53" s="38">
        <f>'4637'!B22</f>
        <v>1</v>
      </c>
      <c r="C53" s="101" t="str">
        <f>'4637'!C22</f>
        <v>CUB S/R R6</v>
      </c>
      <c r="D53" s="39">
        <f>'4637'!D22</f>
        <v>1600</v>
      </c>
      <c r="E53" s="39">
        <f>'4637'!E22</f>
        <v>300</v>
      </c>
      <c r="F53" s="38" t="str">
        <f>'4637'!F22</f>
        <v>ROBLE LINEAL 1467 MT</v>
      </c>
      <c r="G53" s="1"/>
    </row>
    <row r="54" spans="1:7" s="15" customFormat="1" ht="15" customHeight="1" x14ac:dyDescent="0.3">
      <c r="A54" s="96"/>
      <c r="B54" s="38">
        <f>'4637'!B23</f>
        <v>2</v>
      </c>
      <c r="C54" s="101" t="str">
        <f>'4637'!C23</f>
        <v xml:space="preserve">SERVICIO DE DESFONDADO </v>
      </c>
      <c r="D54" s="39">
        <f>'4637'!D23</f>
        <v>0</v>
      </c>
      <c r="E54" s="39">
        <f>'4637'!E23</f>
        <v>0</v>
      </c>
      <c r="F54" s="38">
        <f>'4637'!F23</f>
        <v>0</v>
      </c>
      <c r="G54" s="1"/>
    </row>
    <row r="55" spans="1:7" s="15" customFormat="1" ht="15" customHeight="1" x14ac:dyDescent="0.3">
      <c r="A55" s="96"/>
      <c r="B55" s="127"/>
      <c r="C55" s="128"/>
      <c r="D55" s="127"/>
      <c r="E55" s="127"/>
      <c r="F55" s="127"/>
      <c r="G55" s="1"/>
    </row>
    <row r="56" spans="1:7" s="15" customFormat="1" ht="15" customHeight="1" x14ac:dyDescent="0.3">
      <c r="A56" s="50"/>
      <c r="B56" s="52"/>
      <c r="C56" s="52"/>
      <c r="D56" s="52"/>
      <c r="E56" s="52"/>
      <c r="F56" s="52"/>
      <c r="G56" s="1"/>
    </row>
    <row r="57" spans="1:7" ht="15.6" x14ac:dyDescent="0.3">
      <c r="A57" s="6"/>
      <c r="B57" s="6"/>
      <c r="C57" s="1"/>
      <c r="D57" s="6"/>
      <c r="E57" s="6"/>
      <c r="F57" s="44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8:F18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2025-06-24T21:26:25Z</cp:lastPrinted>
  <dcterms:created xsi:type="dcterms:W3CDTF">2013-03-19T12:54:14Z</dcterms:created>
  <dcterms:modified xsi:type="dcterms:W3CDTF">2025-06-24T21:26:37Z</dcterms:modified>
</cp:coreProperties>
</file>