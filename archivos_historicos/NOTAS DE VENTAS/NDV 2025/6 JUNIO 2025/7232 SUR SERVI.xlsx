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D89C6493-20BD-443E-883E-5F384A3DC06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CUBIERTA!$A$38:$G$61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I23" i="3"/>
  <c r="B23" i="3" s="1"/>
  <c r="J23" i="3"/>
  <c r="K23" i="3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50" i="3"/>
  <c r="C50" i="3"/>
  <c r="D50" i="3"/>
  <c r="E50" i="3"/>
  <c r="F50" i="3"/>
  <c r="H21" i="4"/>
  <c r="H25" i="4" s="1"/>
  <c r="J22" i="3" l="1"/>
  <c r="D22" i="3" s="1"/>
  <c r="K14" i="3"/>
  <c r="E14" i="3" s="1"/>
  <c r="B22" i="3"/>
  <c r="I14" i="3"/>
  <c r="B14" i="3" s="1"/>
  <c r="F22" i="3"/>
  <c r="H26" i="4" l="1"/>
  <c r="H27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<sst xmlns="http://schemas.openxmlformats.org/spreadsheetml/2006/main" count="253" uniqueCount="147">
  <si>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</si>
  <si>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</si>
  <si>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</si>
  <si>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</si>
  <si>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</si>
  <si>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</si>
  <si>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</si>
  <si>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</si>
  <si>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</si>
  <si>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</si>
  <si>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</si>
  <si>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</si>
  <si>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</si>
  <si>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</si>
  <si>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</si>
  <si>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</si>
  <si>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</si>
  <si>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</si>
  <si>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</si>
  <si>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</si>
  <si>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</si>
  <si>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</si>
  <si>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</si>
  <si>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</si>
  <si>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</si>
  <si>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</si>
  <si>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</si>
  <si>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</si>
  <si>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</si>
  <si>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</si>
  <si>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</si>
  <si>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</si>
  <si>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</si>
  <si>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</si>
  <si>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</si>
  <si>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</si>
  <si>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</si>
  <si>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</si>
  <si>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</si>
  <si>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</si>
  <si>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</si>
  <si>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</si>
  <si>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</si>
  <si>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</si>
  <si>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</si>
  <si>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</si>
  <si>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</si>
  <si>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</si>
  <si>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</si>
  <si>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</si>
  <si>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</si>
  <si>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</si>
  <si>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</si>
  <si>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</si>
  <si>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</si>
  <si>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</si>
  <si>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</si>
  <si>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</si>
  <si>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</si>
  <si>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</si>
  <si>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</si>
  <si>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</si>
  <si>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</si>
  <si>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</si>
  <si>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</si>
  <si>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</si>
  <si>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</si>
  <si>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</si>
  <si>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</si>
  <si>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</si>
  <si>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</si>
  <si>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</si>
  <si>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</si>
  <si>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</si>
  <si>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</si>
  <si>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</si>
  <si>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</si>
  <si>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</si>
  <si>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</si>
  <si>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</si>
  <si>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</si>
  <si>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</si>
  <si>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</si>
  <si>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</si>
  <si>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</si>
  <si>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</si>
  <si>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</si>
  <si>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</si>
  <si>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</si>
  <si>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</si>
  <si>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</si>
  <si>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</si>
  <si>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</si>
  <si>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</si>
  <si>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</si>
  <si>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</si>
  <si>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</si>
  <si>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</si>
  <si>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</si>
  <si>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</si>
  <si>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</si>
  <si>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</si>
  <si>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</si>
  <si>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</si>
  <si>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</si>
  <si>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</si>
  <si>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</si>
  <si>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</si>
  <si>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</si>
  <si>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</si>
  <si>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</si>
  <si>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</si>
  <si>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</si>
  <si>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</si>
  <si>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</si>
  <si>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</si>
  <si>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</si>
  <si>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</si>
  <si>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</si>
  <si>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</si>
  <si>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</si>
  <si>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</si>
  <si>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</si>
  <si>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</si>
  <si>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</si>
  <si>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</si>
  <si>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</si>
  <si>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</si>
  <si>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</si>
  <si>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</si>
  <si>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</si>
  <si>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</si>
  <si>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</si>
  <si>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</si>
  <si>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</si>
  <si>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NO</t>
  </si>
  <si>
    <t>CUB C/R R8</t>
  </si>
  <si>
    <t>SUR-SERVI SPA</t>
  </si>
  <si>
    <t>76.738.950-7</t>
  </si>
  <si>
    <t>FCA. DE MUEBLES</t>
  </si>
  <si>
    <t>EDUARDO COLLAO</t>
  </si>
  <si>
    <t>56988078074</t>
  </si>
  <si>
    <t>PEDRO MIRA 560, SAN MIGUEL</t>
  </si>
  <si>
    <t>CONTADO</t>
  </si>
  <si>
    <t>N° 11476</t>
  </si>
  <si>
    <t>HAYA 1750 MT</t>
  </si>
  <si>
    <t>ZOCALO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</si>
</sst>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8" fillId="0" borderId="0" xfId="0" applyFont="1"/>
    <xf numFmtId="0" fontId="18" fillId="3" borderId="0" xfId="0" applyFont="1" applyFill="1"/>
    <xf numFmtId="0" fontId="19" fillId="0" borderId="0" xfId="0" quotePrefix="1" applyFont="1"/>
    <xf numFmtId="0" fontId="20" fillId="0" borderId="9" xfId="2" applyFont="1" applyFill="1" applyBorder="1" applyAlignment="1">
      <alignment horizontal="left"/>
    </xf>
    <xf numFmtId="1" fontId="15" fillId="0" borderId="0" xfId="0" applyNumberFormat="1" applyFont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$ 66.215.-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RESPALDO A 88MM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RESPALDO A 88MM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8" workbookViewId="0">
      <selection activeCell="E22" sqref="E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144</v>
      </c>
      <c r="E8" s="1"/>
      <c r="F8" s="94" t="s">
        <v>27</v>
      </c>
      <c r="G8" s="95">
        <v>7232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45826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9" t="s">
        <v>138</v>
      </c>
      <c r="D11" s="60"/>
      <c r="E11" s="60"/>
      <c r="F11" s="60" t="s">
        <v>124</v>
      </c>
      <c r="G11" s="61"/>
      <c r="H11" s="62"/>
      <c r="I11" s="1"/>
    </row>
    <row r="12" spans="1:17" ht="16.8" x14ac:dyDescent="0.4">
      <c r="A12" s="1"/>
      <c r="B12" s="63" t="s">
        <v>131</v>
      </c>
      <c r="C12" s="110" t="s">
        <v>139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t="s">
        <v>140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11" t="s">
        <v>141</v>
      </c>
      <c r="D14" s="66"/>
      <c r="E14" s="60"/>
      <c r="F14" s="60" t="s">
        <v>29</v>
      </c>
      <c r="G14" s="60" t="s">
        <v>135</v>
      </c>
      <c r="H14" s="62"/>
      <c r="I14" s="1"/>
    </row>
    <row r="15" spans="1:17" ht="16.8" x14ac:dyDescent="0.4">
      <c r="A15" s="1"/>
      <c r="B15" s="63" t="s">
        <v>1</v>
      </c>
      <c r="C15" s="110" t="s">
        <v>142</v>
      </c>
      <c r="D15" s="43"/>
      <c r="E15" s="43"/>
      <c r="F15" s="67" t="s">
        <v>75</v>
      </c>
      <c r="G15" s="67" t="s">
        <v>143</v>
      </c>
      <c r="H15" s="65"/>
      <c r="I15" s="1"/>
    </row>
    <row r="16" spans="1:17" ht="16.2" thickBot="1" x14ac:dyDescent="0.35">
      <c r="A16" s="1"/>
      <c r="B16" s="68" t="s">
        <v>3</v>
      </c>
      <c r="C16" s="112" t="s">
        <v>132</v>
      </c>
      <c r="D16" s="69"/>
      <c r="E16" s="70"/>
      <c r="F16" s="117" t="s">
        <v>18</v>
      </c>
      <c r="G16" s="117"/>
      <c r="H16" s="11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9" t="s">
        <v>19</v>
      </c>
      <c r="C19" s="120"/>
      <c r="D19" s="120"/>
      <c r="E19" s="120"/>
      <c r="F19" s="120"/>
      <c r="G19" s="120"/>
      <c r="H19" s="121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</v>
      </c>
      <c r="C21" s="104" t="s">
        <v>136</v>
      </c>
      <c r="D21" s="107">
        <v>1750</v>
      </c>
      <c r="E21" s="107">
        <v>625</v>
      </c>
      <c r="F21" s="104" t="s">
        <v>145</v>
      </c>
      <c r="G21" s="106">
        <v>132431</v>
      </c>
      <c r="H21" s="105">
        <f t="shared" ref="H21" si="0">G21*B21</f>
        <v>132431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113"/>
      <c r="E22" s="113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132431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25161.89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157592.89000000001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8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topLeftCell="A26" zoomScaleNormal="100" workbookViewId="0">
      <selection activeCell="A38" sqref="A38:G6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4" t="s">
        <v>61</v>
      </c>
      <c r="L3" s="124"/>
      <c r="M3" s="124" t="s">
        <v>14</v>
      </c>
      <c r="N3" s="124"/>
    </row>
    <row r="4" spans="1:14" ht="15.75" customHeight="1" x14ac:dyDescent="0.3">
      <c r="A4" s="1"/>
      <c r="B4" s="1"/>
      <c r="C4" s="40" t="s">
        <v>27</v>
      </c>
      <c r="D4" s="14">
        <f>'4637'!G8</f>
        <v>7232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SUR-SERVI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5" t="s">
        <v>61</v>
      </c>
      <c r="B10" s="125"/>
      <c r="C10" s="125"/>
      <c r="D10" s="125"/>
      <c r="E10" s="125"/>
      <c r="F10" s="12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>J14+D13</f>
        <v>1830</v>
      </c>
      <c r="E14" s="35">
        <f>K14+E$13</f>
        <v>595</v>
      </c>
      <c r="F14" s="102" t="str">
        <f>C28</f>
        <v>CUB C/R R8</v>
      </c>
      <c r="G14" s="1"/>
      <c r="I14" s="3">
        <f>I22</f>
        <v>1</v>
      </c>
      <c r="J14" s="4">
        <f>D28</f>
        <v>1750</v>
      </c>
      <c r="K14" s="4">
        <f>E28</f>
        <v>625</v>
      </c>
    </row>
    <row r="15" spans="1:14" ht="15.6" x14ac:dyDescent="0.3">
      <c r="A15" s="96"/>
      <c r="B15" s="6"/>
      <c r="C15" s="6"/>
      <c r="D15" s="6"/>
      <c r="E15" s="89"/>
      <c r="F15" s="108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5" t="s">
        <v>14</v>
      </c>
      <c r="B18" s="125"/>
      <c r="C18" s="125"/>
      <c r="D18" s="125"/>
      <c r="E18" s="125"/>
      <c r="F18" s="125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170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1">I22</f>
        <v>1</v>
      </c>
      <c r="C22" s="16"/>
      <c r="D22" s="16">
        <f t="shared" ref="D22" si="2">J22+D$21</f>
        <v>1790</v>
      </c>
      <c r="E22" s="16">
        <f>K22+E$21</f>
        <v>795</v>
      </c>
      <c r="F22" s="103" t="str">
        <f>C28</f>
        <v>CUB C/R R8</v>
      </c>
      <c r="G22" s="1"/>
      <c r="I22" s="3">
        <f>B28</f>
        <v>1</v>
      </c>
      <c r="J22" s="4">
        <f t="shared" ref="J22:K22" si="3">D28</f>
        <v>1750</v>
      </c>
      <c r="K22" s="4">
        <f t="shared" si="3"/>
        <v>625</v>
      </c>
    </row>
    <row r="23" spans="1:11" ht="15.6" x14ac:dyDescent="0.3">
      <c r="A23" s="96"/>
      <c r="B23" s="16">
        <f t="shared" ref="B23" si="4">I23</f>
        <v>1</v>
      </c>
      <c r="C23" s="16"/>
      <c r="D23" s="16">
        <v>1800</v>
      </c>
      <c r="E23" s="16">
        <v>110</v>
      </c>
      <c r="F23" s="103" t="str">
        <f>C29</f>
        <v>ZOCALO</v>
      </c>
      <c r="G23" s="1"/>
      <c r="I23" s="3">
        <f>B29</f>
        <v>1</v>
      </c>
      <c r="J23" s="4">
        <f t="shared" ref="J23" si="5">D29</f>
        <v>1800</v>
      </c>
      <c r="K23" s="4">
        <f t="shared" ref="K23" si="6">E29</f>
        <v>110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134</v>
      </c>
      <c r="B28" s="25">
        <f>'4637'!B21</f>
        <v>1</v>
      </c>
      <c r="C28" s="102" t="str">
        <f>'4637'!C21</f>
        <v>CUB C/R R8</v>
      </c>
      <c r="D28" s="25">
        <f>'4637'!D21</f>
        <v>1750</v>
      </c>
      <c r="E28" s="25">
        <f>'4637'!E21</f>
        <v>625</v>
      </c>
      <c r="F28" s="25" t="str">
        <f>'4637'!F21</f>
        <v>HAYA 1750 MT</v>
      </c>
      <c r="G28" s="1"/>
    </row>
    <row r="29" spans="1:11" ht="15.6" x14ac:dyDescent="0.3">
      <c r="A29" s="96"/>
      <c r="B29" s="25">
        <v>1</v>
      </c>
      <c r="C29" s="102" t="s">
        <v>146</v>
      </c>
      <c r="D29" s="25">
        <v>1800</v>
      </c>
      <c r="E29" s="25">
        <v>110</v>
      </c>
      <c r="F29" s="25" t="s">
        <v>145</v>
      </c>
      <c r="G29" s="1"/>
    </row>
    <row r="30" spans="1:11" ht="15.6" x14ac:dyDescent="0.3">
      <c r="A30" s="96"/>
      <c r="B30" s="6"/>
      <c r="C30" s="108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7232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SUR-SERVI SPA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0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5" t="s">
        <v>68</v>
      </c>
      <c r="B46" s="125"/>
      <c r="C46" s="125"/>
      <c r="D46" s="125"/>
      <c r="E46" s="125"/>
      <c r="F46" s="125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6" t="s">
        <v>69</v>
      </c>
      <c r="C48" s="127"/>
      <c r="D48" s="128"/>
      <c r="E48" s="128"/>
      <c r="F48" s="129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 t="s">
        <v>134</v>
      </c>
      <c r="B50" s="38">
        <f>'4637'!B21</f>
        <v>1</v>
      </c>
      <c r="C50" s="101" t="str">
        <f>'4637'!C21</f>
        <v>CUB C/R R8</v>
      </c>
      <c r="D50" s="39">
        <f>'4637'!D21</f>
        <v>1750</v>
      </c>
      <c r="E50" s="39">
        <f>'4637'!E21</f>
        <v>625</v>
      </c>
      <c r="F50" s="38" t="str">
        <f>'4637'!F21</f>
        <v>HAYA 1750 MT</v>
      </c>
      <c r="G50" s="1"/>
    </row>
    <row r="51" spans="1:7" s="15" customFormat="1" ht="15" customHeight="1" x14ac:dyDescent="0.3">
      <c r="A51" s="96"/>
      <c r="B51" s="114">
        <v>1</v>
      </c>
      <c r="C51" s="115" t="s">
        <v>146</v>
      </c>
      <c r="D51" s="114">
        <v>1800</v>
      </c>
      <c r="E51" s="114">
        <v>110</v>
      </c>
      <c r="F51" s="116" t="s">
        <v>145</v>
      </c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2025-06-19T20:36:00Z</cp:lastPrinted>
  <dcterms:created xsi:type="dcterms:W3CDTF">2013-03-19T12:54:14Z</dcterms:created>
  <dcterms:modified xsi:type="dcterms:W3CDTF">2025-06-19T20:37:34Z</dcterms:modified>
</cp:coreProperties>
</file>