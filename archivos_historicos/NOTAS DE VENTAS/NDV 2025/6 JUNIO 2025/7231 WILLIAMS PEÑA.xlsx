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6 JUNIO 2025\"/>
    </mc:Choice>
  </mc:AlternateContent>
  <xr:revisionPtr revIDLastSave="0" documentId="13_ncr:1_{21B94C53-CDC0-46F3-BA41-4F4C2895A3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CUBIERTA!$A$34:$G$56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C47" i="3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E21" i="3" l="1"/>
  <c r="I14" i="3"/>
  <c r="B14" i="3" s="1"/>
  <c r="J14" i="3"/>
  <c r="D14" i="3" s="1"/>
  <c r="H24" i="4" l="1"/>
  <c r="N5" i="3" l="1"/>
  <c r="M5" i="3"/>
  <c r="L5" i="3"/>
  <c r="K5" i="3"/>
  <c r="H25" i="4"/>
  <c r="H26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<sst xmlns="http://schemas.openxmlformats.org/spreadsheetml/2006/main" count="243" uniqueCount="140">
  <si>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</si>
  <si>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</si>
  <si>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</si>
  <si>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</si>
  <si>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</si>
  <si>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</si>
  <si>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</si>
  <si>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</si>
  <si>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</si>
  <si>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</si>
  <si>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</si>
  <si>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</si>
  <si>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</si>
  <si>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</si>
  <si>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</si>
  <si>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</si>
  <si>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</si>
  <si>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</si>
  <si>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</si>
  <si>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</si>
  <si>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</si>
  <si>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</si>
  <si>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</si>
  <si>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</si>
  <si>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</si>
  <si>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</si>
  <si>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</si>
  <si>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</si>
  <si>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</si>
  <si>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</si>
  <si>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</si>
  <si>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</si>
  <si>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</si>
  <si>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</si>
  <si>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</si>
  <si>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</si>
  <si>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</si>
  <si>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</si>
  <si>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</si>
  <si>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</si>
  <si>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</si>
  <si>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</si>
  <si>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</si>
  <si>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</si>
  <si>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</si>
  <si>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</si>
  <si>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</si>
  <si>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</si>
  <si>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</si>
  <si>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</si>
  <si>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</si>
  <si>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</si>
  <si>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</si>
  <si>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</si>
  <si>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</si>
  <si>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</si>
  <si>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</si>
  <si>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</si>
  <si>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</si>
  <si>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</si>
  <si>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</si>
  <si>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</si>
  <si>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</si>
  <si>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</si>
  <si>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</si>
  <si>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</si>
  <si>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</si>
  <si>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</si>
  <si>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</si>
  <si>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</si>
  <si>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</si>
  <si>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</si>
  <si>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</si>
  <si>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</si>
  <si>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</si>
  <si>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</si>
  <si>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</si>
  <si>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</si>
  <si>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</si>
  <si>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</si>
  <si>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</si>
  <si>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</si>
  <si>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</si>
  <si>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</si>
  <si>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</si>
  <si>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</si>
  <si>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</si>
  <si>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</si>
  <si>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</si>
  <si>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</si>
  <si>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</si>
  <si>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</si>
  <si>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</si>
  <si>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</si>
  <si>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</si>
  <si>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</si>
  <si>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</si>
  <si>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</si>
  <si>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</si>
  <si>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</si>
  <si>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</si>
  <si>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</si>
  <si>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</si>
  <si>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</si>
  <si>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</si>
  <si>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</si>
  <si>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</si>
  <si>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</si>
  <si>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</si>
  <si>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</si>
  <si>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</si>
  <si>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</si>
  <si>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</si>
  <si>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</si>
  <si>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</si>
  <si>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</si>
  <si>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</si>
  <si>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</si>
  <si>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</si>
  <si>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</si>
  <si>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</si>
  <si>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</si>
  <si>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</si>
  <si>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</si>
  <si>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</si>
  <si>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</si>
  <si>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</si>
  <si>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</si>
  <si>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</si>
  <si>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</si>
  <si>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</si>
  <si>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</si>
  <si>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</si>
  <si>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</si>
  <si>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</si>
  <si>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MELAMIL 18MM</t>
  </si>
  <si>
    <t>CUB CON RESPALDO 90°</t>
  </si>
  <si>
    <t>GRANITINO NEGRO BR</t>
  </si>
  <si>
    <t>WILLIAMS PEÑA</t>
  </si>
  <si>
    <t>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</si>
</sst>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6" fillId="3" borderId="4" xfId="0" applyFont="1" applyFill="1" applyBorder="1"/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31" fillId="0" borderId="0" xfId="0" applyFont="1"/>
    <xf numFmtId="0" fontId="32" fillId="3" borderId="0" xfId="0" applyFont="1" applyFill="1"/>
    <xf numFmtId="0" fontId="33" fillId="0" borderId="0" xfId="0" quotePrefix="1" applyFont="1"/>
    <xf numFmtId="0" fontId="31" fillId="3" borderId="0" xfId="0" applyFont="1" applyFill="1"/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11463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4366260"/>
          <a:ext cx="490347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CANCELADO  $ 279.980 WIX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180975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180975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180975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180975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180975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180975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50</xdr:row>
      <xdr:rowOff>175260</xdr:rowOff>
    </xdr:from>
    <xdr:to>
      <xdr:col>5</xdr:col>
      <xdr:colOff>1737360</xdr:colOff>
      <xdr:row>54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929398</xdr:colOff>
      <xdr:row>41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7086600"/>
          <a:ext cx="1586623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0"/>
  <sheetViews>
    <sheetView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7231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138</v>
      </c>
      <c r="D10" s="15"/>
      <c r="E10" s="15"/>
      <c r="F10" s="16" t="s">
        <v>31</v>
      </c>
      <c r="G10" s="17">
        <v>45824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28"/>
      <c r="D11" s="20"/>
      <c r="E11" s="20"/>
      <c r="F11" s="20" t="s">
        <v>131</v>
      </c>
      <c r="G11" s="106"/>
      <c r="H11" s="21"/>
    </row>
    <row r="12" spans="2:16" x14ac:dyDescent="0.3">
      <c r="B12" s="92" t="s">
        <v>115</v>
      </c>
      <c r="C12" s="129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30"/>
      <c r="D13" s="25"/>
      <c r="E13" s="20"/>
      <c r="F13" s="20" t="s">
        <v>32</v>
      </c>
      <c r="G13" s="20"/>
      <c r="H13" s="21"/>
    </row>
    <row r="14" spans="2:16" ht="16.8" x14ac:dyDescent="0.4">
      <c r="B14" s="92" t="s">
        <v>1</v>
      </c>
      <c r="C14" s="131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139</v>
      </c>
      <c r="D15" s="28"/>
      <c r="E15" s="29"/>
      <c r="F15" s="132" t="s">
        <v>21</v>
      </c>
      <c r="G15" s="132"/>
      <c r="H15" s="133"/>
    </row>
    <row r="17" spans="2:15" ht="15" thickBot="1" x14ac:dyDescent="0.35"/>
    <row r="18" spans="2:15" ht="15" thickBot="1" x14ac:dyDescent="0.35">
      <c r="B18" s="134" t="s">
        <v>22</v>
      </c>
      <c r="C18" s="135"/>
      <c r="D18" s="135"/>
      <c r="E18" s="135"/>
      <c r="F18" s="135"/>
      <c r="G18" s="136"/>
      <c r="H18" s="137"/>
    </row>
    <row r="19" spans="2:15" x14ac:dyDescent="0.3">
      <c r="B19" s="101" t="s">
        <v>23</v>
      </c>
      <c r="C19" s="102" t="s">
        <v>24</v>
      </c>
      <c r="D19" s="102" t="s">
        <v>25</v>
      </c>
      <c r="E19" s="102" t="s">
        <v>9</v>
      </c>
      <c r="F19" s="120" t="s">
        <v>26</v>
      </c>
      <c r="G19" s="121" t="s">
        <v>27</v>
      </c>
      <c r="H19" s="121" t="s">
        <v>4</v>
      </c>
    </row>
    <row r="20" spans="2:15" ht="15.6" x14ac:dyDescent="0.3">
      <c r="B20" s="118">
        <v>2</v>
      </c>
      <c r="C20" s="118" t="s">
        <v>136</v>
      </c>
      <c r="D20" s="119">
        <v>3000</v>
      </c>
      <c r="E20" s="119">
        <v>600</v>
      </c>
      <c r="F20" s="118" t="s">
        <v>137</v>
      </c>
      <c r="G20" s="127">
        <v>117639</v>
      </c>
      <c r="H20" s="127">
        <f>G20*B20</f>
        <v>235278</v>
      </c>
      <c r="J20" s="61"/>
      <c r="K20" s="89"/>
      <c r="L20" s="61"/>
      <c r="M20" s="61"/>
      <c r="N20" s="89"/>
      <c r="O20" s="100"/>
    </row>
    <row r="21" spans="2:15" ht="15.6" x14ac:dyDescent="0.3">
      <c r="B21" s="123"/>
      <c r="C21" s="124"/>
      <c r="D21" s="125"/>
      <c r="E21" s="125"/>
      <c r="F21" s="123"/>
      <c r="G21" s="126"/>
      <c r="H21" s="105"/>
      <c r="J21" s="61"/>
      <c r="K21" s="89"/>
      <c r="L21" s="61"/>
      <c r="M21" s="61"/>
      <c r="N21" s="89"/>
      <c r="O21" s="100"/>
    </row>
    <row r="22" spans="2:15" x14ac:dyDescent="0.3">
      <c r="B22" s="103"/>
      <c r="C22" s="103"/>
      <c r="D22" s="107"/>
      <c r="E22" s="107"/>
      <c r="F22" s="108"/>
      <c r="G22" s="104"/>
      <c r="H22" s="105"/>
      <c r="J22" s="61"/>
      <c r="K22" s="89"/>
      <c r="L22" s="61"/>
      <c r="M22" s="61"/>
      <c r="N22" s="89"/>
      <c r="O22" s="100"/>
    </row>
    <row r="23" spans="2:15" ht="8.25" customHeight="1" thickBot="1" x14ac:dyDescent="0.35">
      <c r="B23" s="61"/>
      <c r="C23" s="61"/>
      <c r="D23" s="61"/>
      <c r="E23" s="61"/>
      <c r="F23" s="61"/>
      <c r="G23" s="62"/>
      <c r="H23" s="63"/>
    </row>
    <row r="24" spans="2:15" ht="18" thickBot="1" x14ac:dyDescent="0.4">
      <c r="G24" s="30" t="s">
        <v>5</v>
      </c>
      <c r="H24" s="43">
        <f>SUM(H20:H23)</f>
        <v>235278</v>
      </c>
    </row>
    <row r="25" spans="2:15" ht="18" thickBot="1" x14ac:dyDescent="0.4">
      <c r="G25" s="40" t="s">
        <v>6</v>
      </c>
      <c r="H25" s="43">
        <f>H24*19%</f>
        <v>44702.82</v>
      </c>
    </row>
    <row r="26" spans="2:15" ht="18" thickBot="1" x14ac:dyDescent="0.4">
      <c r="G26" s="31" t="s">
        <v>4</v>
      </c>
      <c r="H26" s="43">
        <f>SUM(H24+H25)</f>
        <v>279980.82</v>
      </c>
    </row>
    <row r="28" spans="2:15" x14ac:dyDescent="0.3">
      <c r="B28" s="38" t="s">
        <v>130</v>
      </c>
      <c r="C28" s="32"/>
      <c r="D28" s="33"/>
      <c r="E28" s="33"/>
      <c r="F28" s="34"/>
    </row>
    <row r="29" spans="2:15" x14ac:dyDescent="0.3">
      <c r="B29" s="38" t="s">
        <v>129</v>
      </c>
      <c r="C29" s="39"/>
      <c r="D29" s="33"/>
      <c r="E29" s="33"/>
      <c r="F29" s="34"/>
    </row>
    <row r="30" spans="2:15" x14ac:dyDescent="0.3">
      <c r="B30" s="41" t="s">
        <v>28</v>
      </c>
      <c r="E30" s="42" t="s">
        <v>29</v>
      </c>
    </row>
  </sheetData>
  <sortState xmlns:xlrd2="http://schemas.microsoft.com/office/spreadsheetml/2017/richdata2" ref="B49">
    <sortCondition sortBy="fontColor" ref="B49" dxfId="1"/>
  </sortState>
  <mergeCells count="2">
    <mergeCell ref="F15:H15"/>
    <mergeCell ref="B18:H18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8" t="s">
        <v>34</v>
      </c>
      <c r="C2" s="138"/>
      <c r="D2" s="138"/>
      <c r="E2" s="64"/>
      <c r="G2" s="138" t="s">
        <v>73</v>
      </c>
      <c r="H2" s="138"/>
      <c r="I2" s="138"/>
      <c r="P2" s="139" t="s">
        <v>61</v>
      </c>
      <c r="Q2" s="139"/>
      <c r="R2" s="139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9" t="s">
        <v>61</v>
      </c>
      <c r="M8" s="139"/>
      <c r="N8" s="139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59"/>
  <sheetViews>
    <sheetView tabSelected="1" topLeftCell="A27" zoomScaleNormal="100" workbookViewId="0">
      <selection activeCell="G2" sqref="A2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40" t="s">
        <v>64</v>
      </c>
      <c r="L3" s="140"/>
      <c r="M3" s="140" t="s">
        <v>16</v>
      </c>
      <c r="N3" s="140"/>
    </row>
    <row r="4" spans="1:14" ht="15.75" customHeight="1" x14ac:dyDescent="0.3">
      <c r="C4" s="55" t="s">
        <v>30</v>
      </c>
      <c r="D4" s="54">
        <f>'4637'!G8</f>
        <v>7231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WILLIAMS PEÑA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10" t="str">
        <f>'4637'!F11</f>
        <v>FECHA LIMITE :</v>
      </c>
      <c r="D7" s="53">
        <f>'4637'!G11</f>
        <v>0</v>
      </c>
      <c r="E7" s="1"/>
      <c r="F7" s="1"/>
    </row>
    <row r="8" spans="1:14" x14ac:dyDescent="0.3">
      <c r="C8" s="109" t="s">
        <v>132</v>
      </c>
    </row>
    <row r="10" spans="1:14" ht="15" customHeight="1" x14ac:dyDescent="0.3">
      <c r="A10" s="141" t="s">
        <v>64</v>
      </c>
      <c r="B10" s="141"/>
      <c r="C10" s="141"/>
      <c r="D10" s="141"/>
      <c r="E10" s="141"/>
      <c r="F10" s="141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50</v>
      </c>
      <c r="E13" s="98">
        <v>-30</v>
      </c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135</v>
      </c>
      <c r="B14" s="59">
        <f>I14</f>
        <v>2</v>
      </c>
      <c r="C14" s="59"/>
      <c r="D14" s="59">
        <f t="shared" ref="D14" si="0">J14+D$13</f>
        <v>3050</v>
      </c>
      <c r="E14" s="46">
        <f>K14+E$13</f>
        <v>570</v>
      </c>
      <c r="F14" s="58" t="str">
        <f>F21</f>
        <v>CUB CON RESPALDO 90°</v>
      </c>
      <c r="I14" s="4">
        <f>I21</f>
        <v>2</v>
      </c>
      <c r="J14" s="5">
        <f>D27</f>
        <v>3000</v>
      </c>
      <c r="K14" s="5">
        <f>K21</f>
        <v>600</v>
      </c>
    </row>
    <row r="15" spans="1:14" ht="15.6" x14ac:dyDescent="0.3">
      <c r="A15" s="50"/>
      <c r="B15" s="7"/>
      <c r="C15" s="7"/>
      <c r="D15" s="7"/>
      <c r="E15" s="7"/>
      <c r="F15" s="49"/>
      <c r="I15" s="97"/>
      <c r="J15" s="3"/>
      <c r="K15" s="3"/>
    </row>
    <row r="16" spans="1:14" ht="6.75" customHeight="1" x14ac:dyDescent="0.3"/>
    <row r="17" spans="1:11" ht="15.6" x14ac:dyDescent="0.3">
      <c r="A17" s="141" t="s">
        <v>16</v>
      </c>
      <c r="B17" s="141"/>
      <c r="C17" s="141"/>
      <c r="D17" s="141"/>
      <c r="E17" s="141"/>
      <c r="F17" s="141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8" t="s">
        <v>11</v>
      </c>
      <c r="C20" s="78" t="s">
        <v>12</v>
      </c>
      <c r="D20" s="69">
        <v>40</v>
      </c>
      <c r="E20" s="69">
        <v>130</v>
      </c>
      <c r="F20" s="78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2</v>
      </c>
      <c r="C21" s="59"/>
      <c r="D21" s="59">
        <f>J21+D$20</f>
        <v>3040</v>
      </c>
      <c r="E21" s="59">
        <f>K21+E$20</f>
        <v>730</v>
      </c>
      <c r="F21" s="58" t="str">
        <f>C27</f>
        <v>CUB CON RESPALDO 90°</v>
      </c>
      <c r="G21" s="1"/>
      <c r="I21" s="4">
        <f>B27</f>
        <v>2</v>
      </c>
      <c r="J21" s="5">
        <f t="shared" ref="J21:K21" si="2">D27</f>
        <v>3000</v>
      </c>
      <c r="K21" s="5">
        <f t="shared" si="2"/>
        <v>600</v>
      </c>
    </row>
    <row r="22" spans="1:11" ht="1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7" t="s">
        <v>11</v>
      </c>
      <c r="C26" s="77" t="s">
        <v>113</v>
      </c>
      <c r="D26" s="77" t="s">
        <v>8</v>
      </c>
      <c r="E26" s="77" t="s">
        <v>9</v>
      </c>
      <c r="F26" s="77" t="s">
        <v>26</v>
      </c>
    </row>
    <row r="27" spans="1:11" ht="15.6" x14ac:dyDescent="0.3">
      <c r="A27" s="50"/>
      <c r="B27" s="74">
        <f>'4637'!B20</f>
        <v>2</v>
      </c>
      <c r="C27" s="75" t="str">
        <f>'4637'!C20</f>
        <v>CUB CON RESPALDO 90°</v>
      </c>
      <c r="D27" s="74">
        <f>'4637'!D20</f>
        <v>3000</v>
      </c>
      <c r="E27" s="74">
        <f>'4637'!E20</f>
        <v>600</v>
      </c>
      <c r="F27" s="76" t="str">
        <f>'4637'!F20</f>
        <v>GRANITINO NEGRO BR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7231</v>
      </c>
      <c r="G37" s="1"/>
    </row>
    <row r="38" spans="1:7" ht="17.25" customHeight="1" x14ac:dyDescent="0.3">
      <c r="C38" s="68" t="s">
        <v>70</v>
      </c>
      <c r="D38" s="67" t="str">
        <f>'4637'!C10</f>
        <v>WILLIAMS PEÑA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0</v>
      </c>
      <c r="E40" s="1"/>
      <c r="F40" s="1"/>
    </row>
    <row r="43" spans="1:7" x14ac:dyDescent="0.3">
      <c r="A43" s="142" t="s">
        <v>71</v>
      </c>
      <c r="B43" s="142"/>
      <c r="C43" s="142"/>
      <c r="D43" s="142"/>
      <c r="E43" s="142"/>
      <c r="F43" s="142"/>
    </row>
    <row r="45" spans="1:7" ht="9.75" customHeight="1" x14ac:dyDescent="0.3">
      <c r="B45" s="143" t="s">
        <v>72</v>
      </c>
      <c r="C45" s="144"/>
      <c r="D45" s="145"/>
      <c r="E45" s="145"/>
      <c r="F45" s="146"/>
    </row>
    <row r="46" spans="1:7" s="13" customFormat="1" ht="11.25" customHeight="1" x14ac:dyDescent="0.25">
      <c r="B46" s="112" t="s">
        <v>11</v>
      </c>
      <c r="C46" s="113" t="s">
        <v>12</v>
      </c>
      <c r="D46" s="114" t="s">
        <v>8</v>
      </c>
      <c r="E46" s="114" t="s">
        <v>9</v>
      </c>
      <c r="F46" s="115" t="s">
        <v>13</v>
      </c>
    </row>
    <row r="47" spans="1:7" s="13" customFormat="1" ht="15" customHeight="1" x14ac:dyDescent="0.3">
      <c r="A47" s="99" t="s">
        <v>135</v>
      </c>
      <c r="B47" s="116">
        <f>'4637'!B20</f>
        <v>2</v>
      </c>
      <c r="C47" s="122" t="str">
        <f>'4637'!C20</f>
        <v>CUB CON RESPALDO 90°</v>
      </c>
      <c r="D47" s="116">
        <f>'4637'!D20</f>
        <v>3000</v>
      </c>
      <c r="E47" s="116">
        <f>'4637'!E20</f>
        <v>600</v>
      </c>
      <c r="F47" s="117" t="str">
        <f>'4637'!F20</f>
        <v>GRANITINO NEGRO BR</v>
      </c>
    </row>
    <row r="48" spans="1:7" ht="15.6" x14ac:dyDescent="0.3">
      <c r="A48" s="60"/>
      <c r="B48" s="3"/>
      <c r="C48" s="41"/>
      <c r="D48" s="7"/>
      <c r="E48" s="7"/>
      <c r="F48" s="49"/>
    </row>
    <row r="49" spans="1:7" ht="15.6" x14ac:dyDescent="0.3">
      <c r="A49" s="60"/>
      <c r="B49" s="3"/>
      <c r="C49" s="41"/>
      <c r="D49" s="7"/>
      <c r="E49" s="7"/>
      <c r="F49" s="56"/>
    </row>
    <row r="50" spans="1:7" ht="15.6" x14ac:dyDescent="0.3">
      <c r="A50" s="60"/>
      <c r="B50" s="3"/>
      <c r="C50" s="41"/>
      <c r="D50" s="7"/>
      <c r="E50" s="7"/>
      <c r="F50" s="49"/>
    </row>
    <row r="51" spans="1:7" ht="15" thickBot="1" x14ac:dyDescent="0.35"/>
    <row r="52" spans="1:7" x14ac:dyDescent="0.3">
      <c r="B52" s="79" t="s">
        <v>15</v>
      </c>
      <c r="C52" s="80"/>
      <c r="D52" s="81"/>
      <c r="E52" s="81"/>
      <c r="F52" s="82"/>
    </row>
    <row r="53" spans="1:7" x14ac:dyDescent="0.3">
      <c r="B53" s="83"/>
      <c r="C53" s="84" t="s">
        <v>117</v>
      </c>
      <c r="D53" s="9"/>
      <c r="E53" s="9"/>
      <c r="F53" s="85"/>
    </row>
    <row r="54" spans="1:7" ht="15" customHeight="1" x14ac:dyDescent="0.35">
      <c r="B54" s="84" t="s">
        <v>124</v>
      </c>
      <c r="C54" s="70"/>
      <c r="D54" s="10"/>
      <c r="E54" s="10"/>
      <c r="F54" s="86"/>
    </row>
    <row r="55" spans="1:7" ht="18.600000000000001" thickBot="1" x14ac:dyDescent="0.4">
      <c r="B55" s="96" t="s">
        <v>123</v>
      </c>
      <c r="C55" s="87"/>
      <c r="D55" s="87"/>
      <c r="E55" s="87"/>
      <c r="F55" s="88"/>
    </row>
    <row r="56" spans="1:7" ht="18" x14ac:dyDescent="0.35">
      <c r="A56" s="2"/>
      <c r="B56" s="8"/>
      <c r="G56" s="1"/>
    </row>
    <row r="57" spans="1:7" x14ac:dyDescent="0.3">
      <c r="B57" s="66"/>
      <c r="C57" s="66"/>
      <c r="D57" s="66"/>
      <c r="E57" s="66"/>
      <c r="F57" s="66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E59" s="66"/>
      <c r="F59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2025-06-16T20:35:21Z</cp:lastPrinted>
  <dcterms:created xsi:type="dcterms:W3CDTF">2013-03-19T12:54:14Z</dcterms:created>
  <dcterms:modified xsi:type="dcterms:W3CDTF">2025-06-16T20:35:26Z</dcterms:modified>
</cp:coreProperties>
</file>