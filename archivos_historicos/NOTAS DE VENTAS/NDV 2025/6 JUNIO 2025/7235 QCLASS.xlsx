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849625A1-FB0E-4CC7-978F-009EDA235D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C48" i="3"/>
  <c r="F48" i="3"/>
  <c r="E48" i="3"/>
  <c r="D48" i="3"/>
  <c r="B48" i="3"/>
  <c r="B28" i="3"/>
  <c r="I22" i="3" s="1"/>
  <c r="B22" i="3" s="1"/>
  <c r="C28" i="3"/>
  <c r="F22" i="3" s="1"/>
  <c r="F14" i="3" s="1"/>
  <c r="D28" i="3"/>
  <c r="J22" i="3" s="1"/>
  <c r="D22" i="3" s="1"/>
  <c r="E28" i="3"/>
  <c r="K22" i="3" s="1"/>
  <c r="K14" i="3" s="1"/>
  <c r="E14" i="3" s="1"/>
  <c r="F28" i="3"/>
  <c r="H20" i="4"/>
  <c r="I14" i="3" l="1"/>
  <c r="J14" i="3"/>
  <c r="D14" i="3" s="1"/>
  <c r="H23" i="4" l="1"/>
  <c r="N5" i="3" l="1"/>
  <c r="M5" i="3"/>
  <c r="L5" i="3"/>
  <c r="K5" i="3"/>
  <c r="H24" i="4"/>
  <c r="H25" i="4" s="1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<sst xmlns="http://schemas.openxmlformats.org/spreadsheetml/2006/main" count="250" uniqueCount="147">
  <si>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</si>
  <si>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</si>
  <si>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</si>
  <si>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</si>
  <si>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</si>
  <si>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</si>
  <si>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</si>
  <si>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</si>
  <si>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</si>
  <si>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</si>
  <si>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</si>
  <si>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</si>
  <si>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</si>
  <si>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</si>
  <si>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</si>
  <si>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</si>
  <si>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</si>
  <si>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</si>
  <si>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</si>
  <si>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</si>
  <si>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</si>
  <si>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</si>
  <si>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</si>
  <si>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</si>
  <si>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</si>
  <si>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</si>
  <si>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</si>
  <si>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</si>
  <si>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</si>
  <si>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</si>
  <si>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</si>
  <si>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</si>
  <si>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</si>
  <si>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</si>
  <si>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</si>
  <si>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</si>
  <si>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</si>
  <si>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</si>
  <si>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</si>
  <si>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</si>
  <si>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</si>
  <si>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</si>
  <si>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</si>
  <si>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</si>
  <si>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</si>
  <si>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</si>
  <si>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</si>
  <si>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</si>
  <si>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</si>
  <si>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</si>
  <si>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</si>
  <si>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</si>
  <si>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</si>
  <si>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</si>
  <si>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</si>
  <si>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</si>
  <si>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</si>
  <si>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</si>
  <si>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</si>
  <si>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</si>
  <si>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</si>
  <si>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</si>
  <si>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</si>
  <si>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</si>
  <si>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</si>
  <si>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</si>
  <si>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</si>
  <si>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</si>
  <si>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</si>
  <si>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</si>
  <si>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</si>
  <si>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</si>
  <si>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</si>
  <si>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</si>
  <si>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</si>
  <si>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</si>
  <si>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</si>
  <si>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</si>
  <si>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</si>
  <si>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</si>
  <si>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</si>
  <si>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</si>
  <si>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</si>
  <si>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</si>
  <si>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</si>
  <si>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</si>
  <si>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</si>
  <si>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</si>
  <si>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</si>
  <si>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</si>
  <si>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</si>
  <si>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</si>
  <si>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</si>
  <si>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</si>
  <si>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</si>
  <si>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</si>
  <si>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</si>
  <si>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</si>
  <si>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</si>
  <si>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</si>
  <si>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</si>
  <si>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</si>
  <si>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</si>
  <si>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</si>
  <si>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</si>
  <si>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</si>
  <si>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</si>
  <si>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</si>
  <si>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</si>
  <si>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</si>
  <si>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</si>
  <si>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</si>
  <si>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</si>
  <si>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</si>
  <si>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</si>
  <si>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</si>
  <si>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</si>
  <si>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</si>
  <si>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</si>
  <si>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</si>
  <si>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</si>
  <si>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</si>
  <si>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</si>
  <si>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</si>
  <si>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</si>
  <si>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</si>
  <si>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</si>
  <si>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</si>
  <si>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</si>
  <si>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</si>
  <si>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</si>
  <si>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</si>
  <si>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</si>
  <si>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</si>
  <si>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</si>
  <si>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</si>
  <si>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96.913.350-4</t>
  </si>
  <si>
    <t>AV. DEL VALLE 524  OF. 802 HUECHURABA</t>
  </si>
  <si>
    <t>QCLASS S.A.</t>
  </si>
  <si>
    <t>MELAMIL 18MM</t>
  </si>
  <si>
    <t>VER DESARROLLO</t>
  </si>
  <si>
    <t>FALDON</t>
  </si>
  <si>
    <t>BANCA 35 CMS AMBOS LADOS</t>
  </si>
  <si>
    <t>BLANCO BRILLO</t>
  </si>
  <si>
    <t>+56976844745</t>
  </si>
  <si>
    <t>S-217-14</t>
  </si>
  <si>
    <t xml:space="preserve">DANIEL PERALTA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</si>
</sst>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0" fillId="0" borderId="0" xfId="2" quotePrefix="1" applyFont="1" applyFill="1" applyBorder="1"/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11458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FACTURA 1443, PAGADA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29</xdr:row>
      <xdr:rowOff>192404</xdr:rowOff>
    </xdr:from>
    <xdr:to>
      <xdr:col>6</xdr:col>
      <xdr:colOff>32385</xdr:colOff>
      <xdr:row>33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TAPACANTO PVC 50X0,4MM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52</xdr:row>
      <xdr:rowOff>175260</xdr:rowOff>
    </xdr:from>
    <xdr:to>
      <xdr:col>5</xdr:col>
      <xdr:colOff>1737360</xdr:colOff>
      <xdr:row>56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 Y ENCHAPAR CON TAPACANTO PVC 50X0,4MM BLANCO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35</xdr:row>
      <xdr:rowOff>99060</xdr:rowOff>
    </xdr:from>
    <xdr:to>
      <xdr:col>1</xdr:col>
      <xdr:colOff>929398</xdr:colOff>
      <xdr:row>42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7086600"/>
          <a:ext cx="1586623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6" workbookViewId="0">
      <selection activeCell="L24" sqref="L24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7235</v>
      </c>
    </row>
    <row r="9" spans="2:16" ht="15" thickBot="1" x14ac:dyDescent="0.35"/>
    <row r="10" spans="2:16" ht="16.2" thickBot="1" x14ac:dyDescent="0.35">
      <c r="B10" s="14" t="s">
        <v>7</v>
      </c>
      <c r="C10" s="112" t="s">
        <v>138</v>
      </c>
      <c r="D10" s="15"/>
      <c r="E10" s="15"/>
      <c r="F10" s="16" t="s">
        <v>31</v>
      </c>
      <c r="G10" s="17">
        <v>45831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1" t="s">
        <v>136</v>
      </c>
      <c r="D11" s="20"/>
      <c r="E11" s="20"/>
      <c r="F11" s="20" t="s">
        <v>131</v>
      </c>
      <c r="G11" s="106">
        <v>45841</v>
      </c>
      <c r="H11" s="21"/>
    </row>
    <row r="12" spans="2:16" x14ac:dyDescent="0.3">
      <c r="B12" s="92" t="s">
        <v>115</v>
      </c>
      <c r="C12" s="128" t="s">
        <v>146</v>
      </c>
      <c r="D12" s="22"/>
      <c r="E12" s="22"/>
      <c r="F12" s="22" t="s">
        <v>33</v>
      </c>
      <c r="G12" s="23" t="s">
        <v>145</v>
      </c>
      <c r="H12" s="24"/>
    </row>
    <row r="13" spans="2:16" x14ac:dyDescent="0.3">
      <c r="B13" s="19" t="s">
        <v>20</v>
      </c>
      <c r="C13" s="129" t="s">
        <v>144</v>
      </c>
      <c r="D13" s="25"/>
      <c r="E13" s="20"/>
      <c r="F13" s="20" t="s">
        <v>32</v>
      </c>
      <c r="G13" s="20"/>
      <c r="H13" s="21"/>
    </row>
    <row r="14" spans="2:16" x14ac:dyDescent="0.3">
      <c r="B14" s="92" t="s">
        <v>1</v>
      </c>
      <c r="C14" s="113" t="s">
        <v>137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0" t="s">
        <v>21</v>
      </c>
      <c r="G15" s="130"/>
      <c r="H15" s="131"/>
    </row>
    <row r="17" spans="2:15" ht="15" thickBot="1" x14ac:dyDescent="0.35"/>
    <row r="18" spans="2:15" ht="15" thickBot="1" x14ac:dyDescent="0.35">
      <c r="B18" s="132" t="s">
        <v>22</v>
      </c>
      <c r="C18" s="133"/>
      <c r="D18" s="133"/>
      <c r="E18" s="133"/>
      <c r="F18" s="133"/>
      <c r="G18" s="134"/>
      <c r="H18" s="135"/>
    </row>
    <row r="19" spans="2:15" x14ac:dyDescent="0.3">
      <c r="B19" s="101" t="s">
        <v>23</v>
      </c>
      <c r="C19" s="102" t="s">
        <v>24</v>
      </c>
      <c r="D19" s="102" t="s">
        <v>25</v>
      </c>
      <c r="E19" s="102" t="s">
        <v>9</v>
      </c>
      <c r="F19" s="124" t="s">
        <v>26</v>
      </c>
      <c r="G19" s="125" t="s">
        <v>27</v>
      </c>
      <c r="H19" s="125" t="s">
        <v>4</v>
      </c>
    </row>
    <row r="20" spans="2:15" ht="15.6" x14ac:dyDescent="0.3">
      <c r="B20" s="120">
        <v>3</v>
      </c>
      <c r="C20" s="122" t="s">
        <v>142</v>
      </c>
      <c r="D20" s="123">
        <v>1200</v>
      </c>
      <c r="E20" s="123">
        <v>300</v>
      </c>
      <c r="F20" s="120" t="s">
        <v>143</v>
      </c>
      <c r="G20" s="121">
        <v>128815</v>
      </c>
      <c r="H20" s="126">
        <f t="shared" ref="H20" si="0">G20*B20</f>
        <v>386445</v>
      </c>
      <c r="J20" s="61"/>
      <c r="K20" s="89"/>
      <c r="L20" s="61"/>
      <c r="M20" s="61"/>
      <c r="N20" s="89"/>
      <c r="O20" s="100"/>
    </row>
    <row r="21" spans="2:15" x14ac:dyDescent="0.3">
      <c r="B21" s="103"/>
      <c r="C21" s="103"/>
      <c r="D21" s="107"/>
      <c r="E21" s="107"/>
      <c r="F21" s="108"/>
      <c r="G21" s="104"/>
      <c r="H21" s="105"/>
      <c r="J21" s="61"/>
      <c r="K21" s="89"/>
      <c r="L21" s="61"/>
      <c r="M21" s="61"/>
      <c r="N21" s="89"/>
      <c r="O21" s="100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386445</v>
      </c>
    </row>
    <row r="24" spans="2:15" ht="18" thickBot="1" x14ac:dyDescent="0.4">
      <c r="G24" s="40" t="s">
        <v>6</v>
      </c>
      <c r="H24" s="43">
        <f>H23*19%</f>
        <v>73424.55</v>
      </c>
    </row>
    <row r="25" spans="2:15" ht="18" thickBot="1" x14ac:dyDescent="0.4">
      <c r="G25" s="31" t="s">
        <v>4</v>
      </c>
      <c r="H25" s="43">
        <f>SUM(H23+H24)</f>
        <v>459869.55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34</v>
      </c>
      <c r="C2" s="136"/>
      <c r="D2" s="136"/>
      <c r="E2" s="64"/>
      <c r="G2" s="136" t="s">
        <v>73</v>
      </c>
      <c r="H2" s="136"/>
      <c r="I2" s="136"/>
      <c r="P2" s="137" t="s">
        <v>61</v>
      </c>
      <c r="Q2" s="137"/>
      <c r="R2" s="13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3">
        <v>50</v>
      </c>
      <c r="H4" s="93">
        <v>100</v>
      </c>
      <c r="I4" s="94" t="s">
        <v>118</v>
      </c>
      <c r="J4" s="95" t="s">
        <v>112</v>
      </c>
      <c r="K4" s="95"/>
      <c r="L4" s="95"/>
      <c r="M4" s="95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3">
        <v>50</v>
      </c>
      <c r="H5" s="93"/>
      <c r="I5" s="94" t="s">
        <v>120</v>
      </c>
      <c r="J5" s="95" t="s">
        <v>122</v>
      </c>
      <c r="K5" s="95"/>
      <c r="L5" s="95"/>
      <c r="M5" s="95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7" t="s">
        <v>61</v>
      </c>
      <c r="M8" s="137"/>
      <c r="N8" s="13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5" t="s">
        <v>114</v>
      </c>
      <c r="K20" s="95"/>
      <c r="L20" s="95"/>
      <c r="M20" s="95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3"/>
      <c r="H22" s="93"/>
      <c r="I22" s="94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90">
        <v>40</v>
      </c>
      <c r="C36" s="90">
        <v>90</v>
      </c>
      <c r="D36" s="91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90">
        <v>40</v>
      </c>
      <c r="C37" s="90">
        <v>90</v>
      </c>
      <c r="D37" s="91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1"/>
  <sheetViews>
    <sheetView tabSelected="1" topLeftCell="A22" zoomScaleNormal="100" workbookViewId="0">
      <selection activeCell="A35" sqref="A35:G59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8" t="s">
        <v>64</v>
      </c>
      <c r="L3" s="138"/>
      <c r="M3" s="138" t="s">
        <v>16</v>
      </c>
      <c r="N3" s="138"/>
    </row>
    <row r="4" spans="1:14" ht="15.75" customHeight="1" x14ac:dyDescent="0.3">
      <c r="C4" s="55" t="s">
        <v>30</v>
      </c>
      <c r="D4" s="54">
        <f>'4637'!G8</f>
        <v>7235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QCLASS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10" t="str">
        <f>'4637'!F11</f>
        <v>FECHA LIMITE :</v>
      </c>
      <c r="D7" s="53">
        <f>'4637'!G11</f>
        <v>45841</v>
      </c>
      <c r="E7" s="1"/>
      <c r="F7" s="1"/>
    </row>
    <row r="8" spans="1:14" x14ac:dyDescent="0.3">
      <c r="C8" s="109" t="s">
        <v>132</v>
      </c>
    </row>
    <row r="10" spans="1:14" ht="15" customHeight="1" x14ac:dyDescent="0.3">
      <c r="A10" s="139" t="s">
        <v>64</v>
      </c>
      <c r="B10" s="139"/>
      <c r="C10" s="139"/>
      <c r="D10" s="139"/>
      <c r="E10" s="139"/>
      <c r="F10" s="13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8" t="s">
        <v>11</v>
      </c>
      <c r="C13" s="78" t="s">
        <v>12</v>
      </c>
      <c r="D13" s="98">
        <v>50</v>
      </c>
      <c r="E13" s="98"/>
      <c r="F13" s="78" t="s">
        <v>113</v>
      </c>
      <c r="J13" s="6" t="s">
        <v>8</v>
      </c>
      <c r="K13" s="6" t="s">
        <v>9</v>
      </c>
    </row>
    <row r="14" spans="1:14" ht="15.6" x14ac:dyDescent="0.3">
      <c r="A14" s="50" t="s">
        <v>139</v>
      </c>
      <c r="B14" s="59">
        <v>2</v>
      </c>
      <c r="C14" s="59"/>
      <c r="D14" s="59">
        <f t="shared" ref="D14" si="0">J14+D$13</f>
        <v>1250</v>
      </c>
      <c r="E14" s="46">
        <f>K14</f>
        <v>300</v>
      </c>
      <c r="F14" s="58" t="str">
        <f>F22</f>
        <v>BANCA 35 CMS AMBOS LADOS</v>
      </c>
      <c r="I14" s="4">
        <f>I22</f>
        <v>3</v>
      </c>
      <c r="J14" s="5">
        <f>D28</f>
        <v>1200</v>
      </c>
      <c r="K14" s="5">
        <f>K22</f>
        <v>300</v>
      </c>
    </row>
    <row r="15" spans="1:14" ht="15.6" x14ac:dyDescent="0.3">
      <c r="A15" s="50"/>
      <c r="B15" s="59">
        <v>2</v>
      </c>
      <c r="C15" s="59"/>
      <c r="D15" s="59">
        <f t="shared" ref="D15" si="1">J15+D$13</f>
        <v>1250</v>
      </c>
      <c r="E15" s="46">
        <f>K15</f>
        <v>332</v>
      </c>
      <c r="F15" s="58" t="s">
        <v>141</v>
      </c>
      <c r="I15" s="4">
        <v>4</v>
      </c>
      <c r="J15" s="5">
        <v>1200</v>
      </c>
      <c r="K15" s="5">
        <v>332</v>
      </c>
    </row>
    <row r="16" spans="1:14" ht="15.6" x14ac:dyDescent="0.3">
      <c r="A16" s="50"/>
      <c r="B16" s="7"/>
      <c r="C16" s="7"/>
      <c r="D16" s="7"/>
      <c r="E16" s="7"/>
      <c r="F16" s="49"/>
      <c r="I16" s="97"/>
      <c r="J16" s="3"/>
      <c r="K16" s="3"/>
    </row>
    <row r="17" spans="1:11" ht="6.75" customHeight="1" x14ac:dyDescent="0.3"/>
    <row r="18" spans="1:11" ht="15.6" x14ac:dyDescent="0.3">
      <c r="A18" s="139" t="s">
        <v>16</v>
      </c>
      <c r="B18" s="139"/>
      <c r="C18" s="139"/>
      <c r="D18" s="139"/>
      <c r="E18" s="139"/>
      <c r="F18" s="139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8" t="s">
        <v>11</v>
      </c>
      <c r="C21" s="78" t="s">
        <v>12</v>
      </c>
      <c r="D21" s="69">
        <v>40</v>
      </c>
      <c r="E21" s="69"/>
      <c r="F21" s="78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3</v>
      </c>
      <c r="C22" s="59" t="s">
        <v>140</v>
      </c>
      <c r="D22" s="59">
        <f>J22+D$21</f>
        <v>1240</v>
      </c>
      <c r="E22" s="59">
        <v>1080</v>
      </c>
      <c r="F22" s="58" t="str">
        <f>C28</f>
        <v>BANCA 35 CMS AMBOS LADOS</v>
      </c>
      <c r="G22" s="1"/>
      <c r="I22" s="4">
        <f>B28</f>
        <v>3</v>
      </c>
      <c r="J22" s="5">
        <f t="shared" ref="J22:K22" si="3">D28</f>
        <v>1200</v>
      </c>
      <c r="K22" s="5">
        <f t="shared" si="3"/>
        <v>300</v>
      </c>
    </row>
    <row r="23" spans="1:11" ht="6.75" customHeight="1" x14ac:dyDescent="0.3">
      <c r="G23" s="1"/>
      <c r="I23" s="3"/>
      <c r="J23" s="3"/>
      <c r="K23" s="3"/>
    </row>
    <row r="24" spans="1:11" ht="16.2" thickBot="1" x14ac:dyDescent="0.35">
      <c r="A24" s="50"/>
      <c r="B24" s="7"/>
      <c r="C24" s="7"/>
      <c r="D24" s="7"/>
      <c r="E24" s="7"/>
      <c r="F24" s="49"/>
      <c r="I24" s="3"/>
      <c r="J24" s="3"/>
      <c r="K24" s="3"/>
    </row>
    <row r="25" spans="1:11" ht="16.2" thickBot="1" x14ac:dyDescent="0.35">
      <c r="A25" s="50"/>
      <c r="B25" s="71" t="s">
        <v>110</v>
      </c>
      <c r="C25" s="72"/>
      <c r="D25" s="72"/>
      <c r="E25" s="72"/>
      <c r="F25" s="73"/>
      <c r="I25" s="3"/>
      <c r="J25" s="3"/>
      <c r="K25" s="3"/>
    </row>
    <row r="26" spans="1:11" ht="10.5" customHeight="1" x14ac:dyDescent="0.3"/>
    <row r="27" spans="1:11" x14ac:dyDescent="0.3">
      <c r="A27" s="50" t="s">
        <v>10</v>
      </c>
      <c r="B27" s="77" t="s">
        <v>11</v>
      </c>
      <c r="C27" s="77" t="s">
        <v>113</v>
      </c>
      <c r="D27" s="77" t="s">
        <v>8</v>
      </c>
      <c r="E27" s="77" t="s">
        <v>9</v>
      </c>
      <c r="F27" s="77" t="s">
        <v>26</v>
      </c>
    </row>
    <row r="28" spans="1:11" ht="15.6" x14ac:dyDescent="0.3">
      <c r="A28" s="50"/>
      <c r="B28" s="74">
        <f>'4637'!B20</f>
        <v>3</v>
      </c>
      <c r="C28" s="75" t="str">
        <f>'4637'!C20</f>
        <v>BANCA 35 CMS AMBOS LADOS</v>
      </c>
      <c r="D28" s="74">
        <f>'4637'!D20</f>
        <v>1200</v>
      </c>
      <c r="E28" s="74">
        <f>'4637'!E20</f>
        <v>300</v>
      </c>
      <c r="F28" s="76" t="str">
        <f>'4637'!F20</f>
        <v>BLANCO BRILLO</v>
      </c>
    </row>
    <row r="29" spans="1:11" ht="15.6" x14ac:dyDescent="0.3">
      <c r="A29" s="50"/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G37" s="1"/>
    </row>
    <row r="38" spans="1:7" ht="15.6" x14ac:dyDescent="0.3">
      <c r="C38" s="55" t="s">
        <v>30</v>
      </c>
      <c r="D38" s="54">
        <f>'4637'!G8</f>
        <v>7235</v>
      </c>
      <c r="G38" s="1"/>
    </row>
    <row r="39" spans="1:7" ht="17.25" customHeight="1" x14ac:dyDescent="0.3">
      <c r="C39" s="68" t="s">
        <v>70</v>
      </c>
      <c r="D39" s="67" t="str">
        <f>'4637'!C10</f>
        <v>QCLASS S.A.</v>
      </c>
      <c r="E39" s="22"/>
      <c r="F39" s="22"/>
      <c r="G39" s="1"/>
    </row>
    <row r="40" spans="1:7" ht="4.5" customHeight="1" x14ac:dyDescent="0.3">
      <c r="C40" s="56"/>
      <c r="D40" s="52"/>
      <c r="G40" s="1"/>
    </row>
    <row r="41" spans="1:7" ht="15.6" x14ac:dyDescent="0.3">
      <c r="C41" s="57" t="str">
        <f>'4637'!F11</f>
        <v>FECHA LIMITE :</v>
      </c>
      <c r="D41" s="53">
        <f>'4637'!G11</f>
        <v>45841</v>
      </c>
      <c r="E41" s="1"/>
      <c r="F41" s="1"/>
    </row>
    <row r="44" spans="1:7" x14ac:dyDescent="0.3">
      <c r="A44" s="140" t="s">
        <v>71</v>
      </c>
      <c r="B44" s="140"/>
      <c r="C44" s="140"/>
      <c r="D44" s="140"/>
      <c r="E44" s="140"/>
      <c r="F44" s="140"/>
    </row>
    <row r="46" spans="1:7" ht="9.75" customHeight="1" x14ac:dyDescent="0.3">
      <c r="B46" s="141" t="s">
        <v>72</v>
      </c>
      <c r="C46" s="142"/>
      <c r="D46" s="143"/>
      <c r="E46" s="143"/>
      <c r="F46" s="144"/>
    </row>
    <row r="47" spans="1:7" s="13" customFormat="1" ht="11.25" customHeight="1" x14ac:dyDescent="0.25">
      <c r="B47" s="114" t="s">
        <v>11</v>
      </c>
      <c r="C47" s="115" t="s">
        <v>12</v>
      </c>
      <c r="D47" s="116" t="s">
        <v>8</v>
      </c>
      <c r="E47" s="116" t="s">
        <v>9</v>
      </c>
      <c r="F47" s="117" t="s">
        <v>13</v>
      </c>
    </row>
    <row r="48" spans="1:7" s="13" customFormat="1" ht="15" customHeight="1" x14ac:dyDescent="0.3">
      <c r="A48" s="99" t="s">
        <v>139</v>
      </c>
      <c r="B48" s="118">
        <f>'4637'!B20</f>
        <v>3</v>
      </c>
      <c r="C48" s="127" t="str">
        <f>'4637'!C20</f>
        <v>BANCA 35 CMS AMBOS LADOS</v>
      </c>
      <c r="D48" s="118">
        <f>'4637'!D20</f>
        <v>1200</v>
      </c>
      <c r="E48" s="118">
        <f>'4637'!E20</f>
        <v>300</v>
      </c>
      <c r="F48" s="119" t="str">
        <f>'4637'!F20</f>
        <v>BLANCO BRILLO</v>
      </c>
    </row>
    <row r="49" spans="1:7" s="13" customFormat="1" ht="15" customHeight="1" x14ac:dyDescent="0.3">
      <c r="A49" s="99"/>
      <c r="B49" s="3"/>
      <c r="C49" s="60"/>
      <c r="D49" s="3"/>
      <c r="E49" s="3"/>
      <c r="F49" s="3"/>
    </row>
    <row r="50" spans="1:7" ht="15.6" x14ac:dyDescent="0.3">
      <c r="A50" s="60"/>
      <c r="B50" s="3"/>
      <c r="C50" s="41"/>
      <c r="D50" s="7"/>
      <c r="E50" s="7"/>
      <c r="F50" s="49"/>
    </row>
    <row r="51" spans="1:7" ht="15.6" x14ac:dyDescent="0.3">
      <c r="A51" s="60"/>
      <c r="B51" s="3"/>
      <c r="C51" s="41"/>
      <c r="D51" s="7"/>
      <c r="E51" s="7"/>
      <c r="F51" s="56"/>
    </row>
    <row r="52" spans="1:7" ht="15.6" x14ac:dyDescent="0.3">
      <c r="A52" s="60"/>
      <c r="B52" s="3"/>
      <c r="C52" s="41"/>
      <c r="D52" s="7"/>
      <c r="E52" s="7"/>
      <c r="F52" s="49"/>
    </row>
    <row r="53" spans="1:7" ht="15" thickBot="1" x14ac:dyDescent="0.35"/>
    <row r="54" spans="1:7" x14ac:dyDescent="0.3">
      <c r="B54" s="79" t="s">
        <v>15</v>
      </c>
      <c r="C54" s="80"/>
      <c r="D54" s="81"/>
      <c r="E54" s="81"/>
      <c r="F54" s="82"/>
    </row>
    <row r="55" spans="1:7" x14ac:dyDescent="0.3">
      <c r="B55" s="83"/>
      <c r="C55" s="84" t="s">
        <v>117</v>
      </c>
      <c r="D55" s="9"/>
      <c r="E55" s="9"/>
      <c r="F55" s="85"/>
    </row>
    <row r="56" spans="1:7" ht="15" customHeight="1" x14ac:dyDescent="0.35">
      <c r="B56" s="84" t="s">
        <v>124</v>
      </c>
      <c r="C56" s="70"/>
      <c r="D56" s="10"/>
      <c r="E56" s="10"/>
      <c r="F56" s="86"/>
    </row>
    <row r="57" spans="1:7" ht="18.600000000000001" thickBot="1" x14ac:dyDescent="0.4">
      <c r="B57" s="96" t="s">
        <v>123</v>
      </c>
      <c r="C57" s="87"/>
      <c r="D57" s="87"/>
      <c r="E57" s="87"/>
      <c r="F57" s="88"/>
    </row>
    <row r="58" spans="1:7" ht="18" x14ac:dyDescent="0.35">
      <c r="A58" s="2"/>
      <c r="B58" s="8"/>
      <c r="G58" s="1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D60" s="66"/>
      <c r="E60" s="66"/>
      <c r="F60" s="66"/>
    </row>
    <row r="61" spans="1:7" x14ac:dyDescent="0.3">
      <c r="B61" s="66"/>
      <c r="C61" s="66"/>
      <c r="E61" s="66"/>
      <c r="F61" s="66"/>
    </row>
  </sheetData>
  <mergeCells count="6">
    <mergeCell ref="M3:N3"/>
    <mergeCell ref="A18:F18"/>
    <mergeCell ref="A10:F10"/>
    <mergeCell ref="A44:F44"/>
    <mergeCell ref="B46:F46"/>
    <mergeCell ref="K3:L3"/>
  </mergeCells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2025-06-24T20:37:55Z</cp:lastPrinted>
  <dcterms:created xsi:type="dcterms:W3CDTF">2013-03-19T12:54:14Z</dcterms:created>
  <dcterms:modified xsi:type="dcterms:W3CDTF">2025-06-24T20:38:04Z</dcterms:modified>
</cp:coreProperties>
</file>