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6 JUNIO 2025\"/>
    </mc:Choice>
  </mc:AlternateContent>
  <xr:revisionPtr revIDLastSave="0" documentId="13_ncr:1_{C08C1628-7C03-41BC-8117-81FFD8A0D89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'4637'!$A$1:$H$28</definedName>
    <definedName name="_xlnm.Print_Area" localSheetId="2">CUBIERTA!$A$1:$G$35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E15" i="3"/>
  <c r="C48" i="3"/>
  <c r="F48" i="3"/>
  <c r="E48" i="3"/>
  <c r="D48" i="3"/>
  <c r="B48" i="3"/>
  <c r="B28" i="3"/>
  <c r="I22" i="3" s="1"/>
  <c r="B22" i="3" s="1"/>
  <c r="C28" i="3"/>
  <c r="F22" i="3" s="1"/>
  <c r="F14" i="3" s="1"/>
  <c r="D28" i="3"/>
  <c r="J22" i="3" s="1"/>
  <c r="D22" i="3" s="1"/>
  <c r="E28" i="3"/>
  <c r="K22" i="3" s="1"/>
  <c r="K14" i="3" s="1"/>
  <c r="E14" i="3" s="1"/>
  <c r="F28" i="3"/>
  <c r="H20" i="4"/>
  <c r="I14" i="3" l="1"/>
  <c r="J14" i="3"/>
  <c r="D14" i="3" s="1"/>
  <c r="H23" i="4" l="1"/>
  <c r="N5" i="3" l="1"/>
  <c r="M5" i="3"/>
  <c r="L5" i="3"/>
  <c r="K5" i="3"/>
  <c r="H24" i="4"/>
  <c r="H25" i="4" s="1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<sst xmlns="http://schemas.openxmlformats.org/spreadsheetml/2006/main" count="250" uniqueCount="147">
  <si>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</si>
  <si>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</si>
  <si>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</si>
  <si>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</si>
  <si>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</si>
  <si>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</si>
  <si>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</si>
  <si>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</si>
  <si>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</si>
  <si>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</si>
  <si>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</si>
  <si>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</si>
  <si>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</si>
  <si>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</si>
  <si>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</si>
  <si>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</si>
  <si>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</si>
  <si>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</si>
  <si>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</si>
  <si>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</si>
  <si>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</si>
  <si>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</si>
  <si>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</si>
  <si>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</si>
  <si>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</si>
  <si>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</si>
  <si>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</si>
  <si>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</si>
  <si>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</si>
  <si>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</si>
  <si>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</si>
  <si>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</si>
  <si>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</si>
  <si>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</si>
  <si>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</si>
  <si>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</si>
  <si>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</si>
  <si>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</si>
  <si>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</si>
  <si>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</si>
  <si>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</si>
  <si>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</si>
  <si>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</si>
  <si>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</si>
  <si>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</si>
  <si>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</si>
  <si>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</si>
  <si>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</si>
  <si>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</si>
  <si>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</si>
  <si>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</si>
  <si>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</si>
  <si>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</si>
  <si>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</si>
  <si>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</si>
  <si>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</si>
  <si>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</si>
  <si>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</si>
  <si>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</si>
  <si>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</si>
  <si>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</si>
  <si>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</si>
  <si>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</si>
  <si>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</si>
  <si>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</si>
  <si>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</si>
  <si>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</si>
  <si>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</si>
  <si>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</si>
  <si>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</si>
  <si>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</si>
  <si>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</si>
  <si>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</si>
  <si>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</si>
  <si>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</si>
  <si>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</si>
  <si>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</si>
  <si>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</si>
  <si>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</si>
  <si>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</si>
  <si>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</si>
  <si>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</si>
  <si>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</si>
  <si>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</si>
  <si>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</si>
  <si>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</si>
  <si>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</si>
  <si>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</si>
  <si>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</si>
  <si>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</si>
  <si>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</si>
  <si>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</si>
  <si>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</si>
  <si>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</si>
  <si>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</si>
  <si>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</si>
  <si>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</si>
  <si>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</si>
  <si>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</si>
  <si>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</si>
  <si>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</si>
  <si>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</si>
  <si>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</si>
  <si>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</si>
  <si>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</si>
  <si>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</si>
  <si>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</si>
  <si>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</si>
  <si>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</si>
  <si>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</si>
  <si>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</si>
  <si>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</si>
  <si>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</si>
  <si>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</si>
  <si>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</si>
  <si>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</si>
  <si>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</si>
  <si>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</si>
  <si>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</si>
  <si>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</si>
  <si>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</si>
  <si>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</si>
  <si>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</si>
  <si>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</si>
  <si>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</si>
  <si>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</si>
  <si>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</si>
  <si>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</si>
  <si>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</si>
  <si>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</si>
  <si>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</si>
  <si>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</si>
  <si>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</si>
  <si>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</si>
  <si>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</si>
  <si>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</si>
  <si>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96.913.350-4</t>
  </si>
  <si>
    <t>AV. DEL VALLE 524  OF. 802 HUECHURABA</t>
  </si>
  <si>
    <t>QCLASS S.A.</t>
  </si>
  <si>
    <t>MELAMIL 18MM</t>
  </si>
  <si>
    <t>VER DESARROLLO</t>
  </si>
  <si>
    <t>FALDON</t>
  </si>
  <si>
    <t>BANCA 35 CMS AMBOS LADOS</t>
  </si>
  <si>
    <t>BLANCO BRILLO</t>
  </si>
  <si>
    <t>CARLOS ARANDA</t>
  </si>
  <si>
    <t>+56976844745</t>
  </si>
  <si>
    <t>S-218-11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</si>
</sst>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u/>
      <sz val="11"/>
      <name val="Calibri"/>
      <family val="2"/>
      <scheme val="minor"/>
    </font>
    <font>
      <sz val="9"/>
      <color theme="1"/>
      <name val="Times New Roman"/>
      <family val="1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45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5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6" fillId="8" borderId="23" xfId="0" applyFont="1" applyFill="1" applyBorder="1" applyAlignment="1">
      <alignment horizontal="center" vertical="center"/>
    </xf>
    <xf numFmtId="0" fontId="6" fillId="8" borderId="24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7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9" fillId="0" borderId="0" xfId="0" applyFont="1" applyAlignment="1">
      <alignment vertical="center"/>
    </xf>
    <xf numFmtId="0" fontId="6" fillId="3" borderId="4" xfId="0" applyFont="1" applyFill="1" applyBorder="1"/>
    <xf numFmtId="0" fontId="31" fillId="0" borderId="0" xfId="0" applyFont="1" applyAlignment="1">
      <alignment vertical="center"/>
    </xf>
    <xf numFmtId="0" fontId="23" fillId="0" borderId="25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32" fillId="0" borderId="2" xfId="0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1" fontId="32" fillId="0" borderId="2" xfId="0" applyNumberFormat="1" applyFont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166" fontId="18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15" xfId="0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6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  <xf numFmtId="0" fontId="34" fillId="0" borderId="0" xfId="0" applyFont="1" applyAlignment="1">
      <alignment vertical="center"/>
    </xf>
    <xf numFmtId="0" fontId="30" fillId="0" borderId="0" xfId="2" quotePrefix="1" applyFont="1" applyFill="1" applyBorder="1"/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11450</a:t>
          </a:r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21</xdr:row>
      <xdr:rowOff>91440</xdr:rowOff>
    </xdr:from>
    <xdr:to>
      <xdr:col>5</xdr:col>
      <xdr:colOff>1337310</xdr:colOff>
      <xdr:row>24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CANCELADO  $ 306.580.-</a:t>
          </a:r>
          <a:r>
            <a:rPr lang="es-CL" sz="900" b="1" i="1" baseline="0"/>
            <a:t> 10/06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1342783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49</xdr:row>
      <xdr:rowOff>180975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49</xdr:row>
      <xdr:rowOff>180975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180975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180975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180975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180975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29</xdr:row>
      <xdr:rowOff>192404</xdr:rowOff>
    </xdr:from>
    <xdr:to>
      <xdr:col>6</xdr:col>
      <xdr:colOff>32385</xdr:colOff>
      <xdr:row>33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:CORTAR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 ENCHAPAR CON TAPACANTO PVC 50X0,4MM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52</xdr:row>
      <xdr:rowOff>175260</xdr:rowOff>
    </xdr:from>
    <xdr:to>
      <xdr:col>5</xdr:col>
      <xdr:colOff>1737360</xdr:colOff>
      <xdr:row>56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 : CORTAR Y ENCHAPAR CON TAPACANTO PVC 50X0,4MM BLANCO</a:t>
          </a:r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35</xdr:row>
      <xdr:rowOff>99060</xdr:rowOff>
    </xdr:from>
    <xdr:to>
      <xdr:col>1</xdr:col>
      <xdr:colOff>929398</xdr:colOff>
      <xdr:row>42</xdr:row>
      <xdr:rowOff>5715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7086600"/>
          <a:ext cx="1586623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794143</xdr:colOff>
      <xdr:row>8</xdr:row>
      <xdr:rowOff>13335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29"/>
  <sheetViews>
    <sheetView topLeftCell="A6" workbookViewId="0">
      <selection activeCell="M22" sqref="M22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23.109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6" t="s">
        <v>18</v>
      </c>
      <c r="C8" s="35"/>
      <c r="D8" s="37" t="s">
        <v>19</v>
      </c>
      <c r="F8" s="45" t="s">
        <v>30</v>
      </c>
      <c r="G8" s="44">
        <v>7229</v>
      </c>
    </row>
    <row r="9" spans="2:16" ht="15" thickBot="1" x14ac:dyDescent="0.35"/>
    <row r="10" spans="2:16" ht="16.2" thickBot="1" x14ac:dyDescent="0.35">
      <c r="B10" s="14" t="s">
        <v>7</v>
      </c>
      <c r="C10" s="112" t="s">
        <v>138</v>
      </c>
      <c r="D10" s="15"/>
      <c r="E10" s="15"/>
      <c r="F10" s="16" t="s">
        <v>31</v>
      </c>
      <c r="G10" s="17">
        <v>45818</v>
      </c>
      <c r="H10" s="18"/>
      <c r="I10" s="1"/>
      <c r="J10" s="1"/>
      <c r="K10" s="1"/>
      <c r="L10" s="1"/>
      <c r="M10" s="1"/>
      <c r="N10" s="1"/>
      <c r="O10" s="1"/>
      <c r="P10" s="1"/>
    </row>
    <row r="11" spans="2:16" ht="16.2" thickBot="1" x14ac:dyDescent="0.35">
      <c r="B11" s="19" t="s">
        <v>2</v>
      </c>
      <c r="C11" s="111" t="s">
        <v>136</v>
      </c>
      <c r="D11" s="20"/>
      <c r="E11" s="20"/>
      <c r="F11" s="20" t="s">
        <v>131</v>
      </c>
      <c r="G11" s="106">
        <v>45826</v>
      </c>
      <c r="H11" s="21"/>
    </row>
    <row r="12" spans="2:16" x14ac:dyDescent="0.3">
      <c r="B12" s="92" t="s">
        <v>115</v>
      </c>
      <c r="C12" s="143" t="s">
        <v>144</v>
      </c>
      <c r="D12" s="22"/>
      <c r="E12" s="22"/>
      <c r="F12" s="22" t="s">
        <v>33</v>
      </c>
      <c r="G12" s="23" t="s">
        <v>146</v>
      </c>
      <c r="H12" s="24"/>
    </row>
    <row r="13" spans="2:16" x14ac:dyDescent="0.3">
      <c r="B13" s="19" t="s">
        <v>20</v>
      </c>
      <c r="C13" s="144" t="s">
        <v>145</v>
      </c>
      <c r="D13" s="25"/>
      <c r="E13" s="20"/>
      <c r="F13" s="20" t="s">
        <v>32</v>
      </c>
      <c r="G13" s="20"/>
      <c r="H13" s="21"/>
    </row>
    <row r="14" spans="2:16" x14ac:dyDescent="0.3">
      <c r="B14" s="92" t="s">
        <v>1</v>
      </c>
      <c r="C14" s="113" t="s">
        <v>137</v>
      </c>
      <c r="D14" s="22"/>
      <c r="E14" s="22"/>
      <c r="F14" s="26" t="s">
        <v>78</v>
      </c>
      <c r="G14" s="26" t="s">
        <v>134</v>
      </c>
      <c r="H14" s="24"/>
    </row>
    <row r="15" spans="2:16" ht="15" thickBot="1" x14ac:dyDescent="0.35">
      <c r="B15" s="27" t="s">
        <v>3</v>
      </c>
      <c r="C15" s="28" t="s">
        <v>135</v>
      </c>
      <c r="D15" s="28"/>
      <c r="E15" s="29"/>
      <c r="F15" s="128" t="s">
        <v>21</v>
      </c>
      <c r="G15" s="128"/>
      <c r="H15" s="129"/>
    </row>
    <row r="17" spans="2:15" ht="15" thickBot="1" x14ac:dyDescent="0.35"/>
    <row r="18" spans="2:15" ht="15" thickBot="1" x14ac:dyDescent="0.35">
      <c r="B18" s="130" t="s">
        <v>22</v>
      </c>
      <c r="C18" s="131"/>
      <c r="D18" s="131"/>
      <c r="E18" s="131"/>
      <c r="F18" s="131"/>
      <c r="G18" s="132"/>
      <c r="H18" s="133"/>
    </row>
    <row r="19" spans="2:15" x14ac:dyDescent="0.3">
      <c r="B19" s="101" t="s">
        <v>23</v>
      </c>
      <c r="C19" s="102" t="s">
        <v>24</v>
      </c>
      <c r="D19" s="102" t="s">
        <v>25</v>
      </c>
      <c r="E19" s="102" t="s">
        <v>9</v>
      </c>
      <c r="F19" s="124" t="s">
        <v>26</v>
      </c>
      <c r="G19" s="125" t="s">
        <v>27</v>
      </c>
      <c r="H19" s="125" t="s">
        <v>4</v>
      </c>
    </row>
    <row r="20" spans="2:15" ht="15.6" x14ac:dyDescent="0.3">
      <c r="B20" s="120">
        <v>2</v>
      </c>
      <c r="C20" s="122" t="s">
        <v>142</v>
      </c>
      <c r="D20" s="123">
        <v>1200</v>
      </c>
      <c r="E20" s="123">
        <v>300</v>
      </c>
      <c r="F20" s="120" t="s">
        <v>143</v>
      </c>
      <c r="G20" s="121">
        <v>128815</v>
      </c>
      <c r="H20" s="126">
        <f t="shared" ref="H20" si="0">G20*B20</f>
        <v>257630</v>
      </c>
      <c r="J20" s="61"/>
      <c r="K20" s="89"/>
      <c r="L20" s="61"/>
      <c r="M20" s="61"/>
      <c r="N20" s="89"/>
      <c r="O20" s="100"/>
    </row>
    <row r="21" spans="2:15" x14ac:dyDescent="0.3">
      <c r="B21" s="103"/>
      <c r="C21" s="103"/>
      <c r="D21" s="107"/>
      <c r="E21" s="107"/>
      <c r="F21" s="108"/>
      <c r="G21" s="104"/>
      <c r="H21" s="105"/>
      <c r="J21" s="61"/>
      <c r="K21" s="89"/>
      <c r="L21" s="61"/>
      <c r="M21" s="61"/>
      <c r="N21" s="89"/>
      <c r="O21" s="100"/>
    </row>
    <row r="22" spans="2:15" ht="8.25" customHeight="1" thickBot="1" x14ac:dyDescent="0.35">
      <c r="B22" s="61"/>
      <c r="C22" s="61"/>
      <c r="D22" s="61"/>
      <c r="E22" s="61"/>
      <c r="F22" s="61"/>
      <c r="G22" s="62"/>
      <c r="H22" s="63"/>
    </row>
    <row r="23" spans="2:15" ht="18" thickBot="1" x14ac:dyDescent="0.4">
      <c r="G23" s="30" t="s">
        <v>5</v>
      </c>
      <c r="H23" s="43">
        <f>SUM(H20:H22)</f>
        <v>257630</v>
      </c>
    </row>
    <row r="24" spans="2:15" ht="18" thickBot="1" x14ac:dyDescent="0.4">
      <c r="G24" s="40" t="s">
        <v>6</v>
      </c>
      <c r="H24" s="43">
        <f>H23*19%</f>
        <v>48949.7</v>
      </c>
    </row>
    <row r="25" spans="2:15" ht="18" thickBot="1" x14ac:dyDescent="0.4">
      <c r="G25" s="31" t="s">
        <v>4</v>
      </c>
      <c r="H25" s="43">
        <f>SUM(H23+H24)</f>
        <v>306579.7</v>
      </c>
    </row>
    <row r="27" spans="2:15" x14ac:dyDescent="0.3">
      <c r="B27" s="38" t="s">
        <v>130</v>
      </c>
      <c r="C27" s="32"/>
      <c r="D27" s="33"/>
      <c r="E27" s="33"/>
      <c r="F27" s="34"/>
    </row>
    <row r="28" spans="2:15" x14ac:dyDescent="0.3">
      <c r="B28" s="38" t="s">
        <v>129</v>
      </c>
      <c r="C28" s="39"/>
      <c r="D28" s="33"/>
      <c r="E28" s="33"/>
      <c r="F28" s="34"/>
    </row>
    <row r="29" spans="2:15" x14ac:dyDescent="0.3">
      <c r="B29" s="41" t="s">
        <v>28</v>
      </c>
      <c r="E29" s="42" t="s">
        <v>29</v>
      </c>
    </row>
  </sheetData>
  <sortState xmlns:xlrd2="http://schemas.microsoft.com/office/spreadsheetml/2017/richdata2" ref="B48">
    <sortCondition sortBy="fontColor" ref="B48" dxfId="0"/>
  </sortState>
  <mergeCells count="2">
    <mergeCell ref="F15:H15"/>
    <mergeCell ref="B18:H18"/>
  </mergeCells>
  <phoneticPr fontId="28" type="noConversion"/>
  <hyperlinks>
    <hyperlink ref="E2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8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4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4" t="s">
        <v>34</v>
      </c>
      <c r="C2" s="134"/>
      <c r="D2" s="134"/>
      <c r="E2" s="64"/>
      <c r="G2" s="134" t="s">
        <v>73</v>
      </c>
      <c r="H2" s="134"/>
      <c r="I2" s="134"/>
      <c r="P2" s="135" t="s">
        <v>61</v>
      </c>
      <c r="Q2" s="135"/>
      <c r="R2" s="135"/>
    </row>
    <row r="3" spans="2:18" x14ac:dyDescent="0.3">
      <c r="B3" s="48" t="s">
        <v>8</v>
      </c>
      <c r="C3" s="48" t="s">
        <v>9</v>
      </c>
      <c r="D3" s="48" t="s">
        <v>24</v>
      </c>
      <c r="E3" s="65"/>
      <c r="G3" s="48" t="s">
        <v>8</v>
      </c>
      <c r="H3" s="48" t="s">
        <v>9</v>
      </c>
      <c r="I3" s="48" t="s">
        <v>24</v>
      </c>
      <c r="P3" s="48" t="s">
        <v>8</v>
      </c>
      <c r="Q3" s="48" t="s">
        <v>9</v>
      </c>
      <c r="R3" s="48" t="s">
        <v>24</v>
      </c>
    </row>
    <row r="4" spans="2:18" x14ac:dyDescent="0.3">
      <c r="B4" s="46">
        <v>40</v>
      </c>
      <c r="C4" s="46">
        <v>60</v>
      </c>
      <c r="D4" s="47" t="s">
        <v>118</v>
      </c>
      <c r="E4" s="22" t="s">
        <v>104</v>
      </c>
      <c r="G4" s="93">
        <v>50</v>
      </c>
      <c r="H4" s="93">
        <v>100</v>
      </c>
      <c r="I4" s="94" t="s">
        <v>118</v>
      </c>
      <c r="J4" s="95" t="s">
        <v>112</v>
      </c>
      <c r="K4" s="95"/>
      <c r="L4" s="95"/>
      <c r="M4" s="95"/>
      <c r="P4">
        <v>50</v>
      </c>
      <c r="Q4">
        <v>-30</v>
      </c>
      <c r="R4" t="s">
        <v>35</v>
      </c>
    </row>
    <row r="5" spans="2:18" x14ac:dyDescent="0.3">
      <c r="B5" s="46">
        <v>40</v>
      </c>
      <c r="C5" s="46">
        <v>90</v>
      </c>
      <c r="D5" s="47" t="s">
        <v>119</v>
      </c>
      <c r="E5" s="22" t="s">
        <v>105</v>
      </c>
      <c r="G5" s="93">
        <v>50</v>
      </c>
      <c r="H5" s="93"/>
      <c r="I5" s="94" t="s">
        <v>120</v>
      </c>
      <c r="J5" s="95" t="s">
        <v>122</v>
      </c>
      <c r="K5" s="95"/>
      <c r="L5" s="95"/>
      <c r="M5" s="95"/>
      <c r="P5">
        <v>50</v>
      </c>
      <c r="Q5">
        <v>-30</v>
      </c>
      <c r="R5" t="s">
        <v>35</v>
      </c>
    </row>
    <row r="6" spans="2:18" x14ac:dyDescent="0.3">
      <c r="B6" s="46">
        <v>40</v>
      </c>
      <c r="C6" s="46">
        <v>100</v>
      </c>
      <c r="D6" s="47" t="s">
        <v>59</v>
      </c>
      <c r="E6" s="22" t="s">
        <v>106</v>
      </c>
      <c r="G6" s="46">
        <v>50</v>
      </c>
      <c r="H6" s="46">
        <v>100</v>
      </c>
      <c r="I6" s="47" t="s">
        <v>59</v>
      </c>
      <c r="P6">
        <v>50</v>
      </c>
      <c r="Q6">
        <v>-30</v>
      </c>
      <c r="R6" t="s">
        <v>37</v>
      </c>
    </row>
    <row r="7" spans="2:18" x14ac:dyDescent="0.3">
      <c r="B7" s="46">
        <v>40</v>
      </c>
      <c r="C7" s="46">
        <v>150</v>
      </c>
      <c r="D7" s="47" t="s">
        <v>60</v>
      </c>
      <c r="E7" s="22" t="s">
        <v>107</v>
      </c>
      <c r="G7" s="46">
        <v>50</v>
      </c>
      <c r="H7" s="46"/>
      <c r="I7" s="47" t="s">
        <v>60</v>
      </c>
      <c r="P7">
        <v>50</v>
      </c>
      <c r="Q7">
        <v>-30</v>
      </c>
      <c r="R7" t="s">
        <v>47</v>
      </c>
    </row>
    <row r="8" spans="2:18" x14ac:dyDescent="0.3">
      <c r="B8" s="46">
        <v>40</v>
      </c>
      <c r="C8" s="46">
        <v>100</v>
      </c>
      <c r="D8" s="47" t="s">
        <v>43</v>
      </c>
      <c r="E8" s="22" t="s">
        <v>108</v>
      </c>
      <c r="G8" s="46">
        <v>50</v>
      </c>
      <c r="H8" s="46">
        <v>100</v>
      </c>
      <c r="I8" s="47" t="s">
        <v>43</v>
      </c>
      <c r="L8" s="135" t="s">
        <v>61</v>
      </c>
      <c r="M8" s="135"/>
      <c r="N8" s="135"/>
      <c r="P8">
        <v>50</v>
      </c>
      <c r="Q8">
        <v>-30</v>
      </c>
      <c r="R8" t="s">
        <v>53</v>
      </c>
    </row>
    <row r="9" spans="2:18" x14ac:dyDescent="0.3">
      <c r="B9" s="46">
        <v>40</v>
      </c>
      <c r="C9" s="46">
        <v>50</v>
      </c>
      <c r="D9" s="47" t="s">
        <v>57</v>
      </c>
      <c r="E9" s="22" t="s">
        <v>79</v>
      </c>
      <c r="G9" s="46">
        <v>50</v>
      </c>
      <c r="H9" s="46">
        <v>100</v>
      </c>
      <c r="I9" s="47" t="s">
        <v>42</v>
      </c>
      <c r="L9" s="48" t="s">
        <v>8</v>
      </c>
      <c r="M9" s="48" t="s">
        <v>9</v>
      </c>
      <c r="N9" s="48" t="s">
        <v>24</v>
      </c>
      <c r="P9">
        <v>50</v>
      </c>
      <c r="Q9">
        <v>0</v>
      </c>
      <c r="R9" t="s">
        <v>48</v>
      </c>
    </row>
    <row r="10" spans="2:18" x14ac:dyDescent="0.3">
      <c r="B10" s="46">
        <v>40</v>
      </c>
      <c r="C10" s="46">
        <v>80</v>
      </c>
      <c r="D10" s="47" t="s">
        <v>58</v>
      </c>
      <c r="E10" s="22" t="s">
        <v>80</v>
      </c>
      <c r="G10" s="46">
        <v>50</v>
      </c>
      <c r="H10" s="46"/>
      <c r="I10" s="47" t="s">
        <v>44</v>
      </c>
      <c r="L10" s="46">
        <v>50</v>
      </c>
      <c r="M10" s="46">
        <v>-30</v>
      </c>
      <c r="N10" s="47" t="s">
        <v>35</v>
      </c>
      <c r="P10">
        <v>50</v>
      </c>
      <c r="Q10">
        <v>0</v>
      </c>
      <c r="R10" t="s">
        <v>36</v>
      </c>
    </row>
    <row r="11" spans="2:18" x14ac:dyDescent="0.3">
      <c r="B11" s="46">
        <v>40</v>
      </c>
      <c r="C11" s="46">
        <v>60</v>
      </c>
      <c r="D11" s="47" t="s">
        <v>74</v>
      </c>
      <c r="E11" s="22" t="s">
        <v>81</v>
      </c>
      <c r="G11" s="46">
        <v>50</v>
      </c>
      <c r="H11" s="46">
        <v>100</v>
      </c>
      <c r="I11" s="47" t="s">
        <v>57</v>
      </c>
      <c r="L11" s="46">
        <v>50</v>
      </c>
      <c r="M11" s="46">
        <v>0</v>
      </c>
      <c r="N11" s="47" t="s">
        <v>62</v>
      </c>
      <c r="P11">
        <v>50</v>
      </c>
      <c r="Q11">
        <v>0</v>
      </c>
      <c r="R11" t="s">
        <v>39</v>
      </c>
    </row>
    <row r="12" spans="2:18" x14ac:dyDescent="0.3">
      <c r="B12" s="46">
        <v>40</v>
      </c>
      <c r="C12" s="46">
        <v>100</v>
      </c>
      <c r="D12" s="47" t="s">
        <v>75</v>
      </c>
      <c r="E12" s="22" t="s">
        <v>82</v>
      </c>
      <c r="G12" s="46">
        <v>50</v>
      </c>
      <c r="H12" s="46"/>
      <c r="I12" s="47" t="s">
        <v>58</v>
      </c>
      <c r="L12" s="46">
        <v>50</v>
      </c>
      <c r="M12" s="46">
        <v>-2</v>
      </c>
      <c r="N12" s="47" t="s">
        <v>63</v>
      </c>
      <c r="P12">
        <v>50</v>
      </c>
      <c r="Q12">
        <v>0</v>
      </c>
      <c r="R12" t="s">
        <v>40</v>
      </c>
    </row>
    <row r="13" spans="2:18" x14ac:dyDescent="0.3">
      <c r="B13" s="46">
        <v>40</v>
      </c>
      <c r="C13" s="46">
        <v>130</v>
      </c>
      <c r="D13" s="47" t="s">
        <v>35</v>
      </c>
      <c r="E13" s="22" t="s">
        <v>83</v>
      </c>
      <c r="G13" s="46">
        <v>50</v>
      </c>
      <c r="H13" s="46">
        <v>-30</v>
      </c>
      <c r="I13" s="47" t="s">
        <v>35</v>
      </c>
      <c r="P13">
        <v>50</v>
      </c>
      <c r="Q13">
        <v>0</v>
      </c>
      <c r="R13" t="s">
        <v>41</v>
      </c>
    </row>
    <row r="14" spans="2:18" x14ac:dyDescent="0.3">
      <c r="B14" s="46">
        <v>40</v>
      </c>
      <c r="C14" s="46">
        <v>150</v>
      </c>
      <c r="D14" s="47" t="s">
        <v>37</v>
      </c>
      <c r="E14" s="22"/>
      <c r="G14" s="46">
        <v>50</v>
      </c>
      <c r="H14" s="46">
        <v>-30</v>
      </c>
      <c r="I14" s="47" t="s">
        <v>37</v>
      </c>
    </row>
    <row r="15" spans="2:18" x14ac:dyDescent="0.3">
      <c r="B15" s="46">
        <v>40</v>
      </c>
      <c r="C15" s="46">
        <v>150</v>
      </c>
      <c r="D15" s="47" t="s">
        <v>121</v>
      </c>
      <c r="E15" s="22" t="s">
        <v>84</v>
      </c>
      <c r="G15" s="46">
        <v>50</v>
      </c>
      <c r="H15" s="46">
        <v>-30</v>
      </c>
      <c r="I15" s="47" t="s">
        <v>47</v>
      </c>
      <c r="P15">
        <v>50</v>
      </c>
      <c r="Q15">
        <v>0</v>
      </c>
      <c r="R15" t="s">
        <v>38</v>
      </c>
    </row>
    <row r="16" spans="2:18" x14ac:dyDescent="0.3">
      <c r="B16" s="46">
        <v>40</v>
      </c>
      <c r="C16" s="46">
        <v>130</v>
      </c>
      <c r="D16" s="47" t="s">
        <v>109</v>
      </c>
      <c r="E16" s="22" t="s">
        <v>85</v>
      </c>
      <c r="G16" s="46">
        <v>50</v>
      </c>
      <c r="H16" s="46">
        <v>-30</v>
      </c>
      <c r="I16" s="47" t="s">
        <v>77</v>
      </c>
      <c r="P16">
        <v>50</v>
      </c>
      <c r="Q16">
        <v>0</v>
      </c>
      <c r="R16" t="s">
        <v>49</v>
      </c>
    </row>
    <row r="17" spans="2:18" x14ac:dyDescent="0.3">
      <c r="B17" s="46">
        <v>40</v>
      </c>
      <c r="C17" s="46">
        <v>150</v>
      </c>
      <c r="D17" s="47" t="s">
        <v>39</v>
      </c>
      <c r="E17" s="22" t="s">
        <v>86</v>
      </c>
      <c r="G17" s="46">
        <v>50</v>
      </c>
      <c r="H17" s="46"/>
      <c r="I17" s="47" t="s">
        <v>39</v>
      </c>
      <c r="P17">
        <v>50</v>
      </c>
      <c r="Q17">
        <v>0</v>
      </c>
      <c r="R17" t="s">
        <v>50</v>
      </c>
    </row>
    <row r="18" spans="2:18" x14ac:dyDescent="0.3">
      <c r="B18" s="46">
        <v>140</v>
      </c>
      <c r="C18" s="46">
        <v>150</v>
      </c>
      <c r="D18" s="47" t="s">
        <v>40</v>
      </c>
      <c r="E18" s="22" t="s">
        <v>87</v>
      </c>
      <c r="G18" s="46">
        <v>50</v>
      </c>
      <c r="H18" s="46"/>
      <c r="I18" s="47" t="s">
        <v>40</v>
      </c>
      <c r="P18">
        <v>50</v>
      </c>
      <c r="Q18">
        <v>0</v>
      </c>
      <c r="R18" t="s">
        <v>51</v>
      </c>
    </row>
    <row r="19" spans="2:18" x14ac:dyDescent="0.3">
      <c r="B19" s="46">
        <v>150</v>
      </c>
      <c r="C19" s="46">
        <v>150</v>
      </c>
      <c r="D19" s="47" t="s">
        <v>41</v>
      </c>
      <c r="E19" s="22" t="s">
        <v>88</v>
      </c>
      <c r="G19" s="46">
        <v>50</v>
      </c>
      <c r="H19" s="46"/>
      <c r="I19" s="47" t="s">
        <v>41</v>
      </c>
      <c r="P19">
        <v>50</v>
      </c>
      <c r="Q19">
        <v>0</v>
      </c>
      <c r="R19" t="s">
        <v>54</v>
      </c>
    </row>
    <row r="20" spans="2:18" x14ac:dyDescent="0.3">
      <c r="B20" s="46">
        <v>40</v>
      </c>
      <c r="C20" s="46">
        <v>100</v>
      </c>
      <c r="D20" s="47" t="s">
        <v>125</v>
      </c>
      <c r="E20" s="22" t="s">
        <v>89</v>
      </c>
      <c r="G20" s="46">
        <v>50</v>
      </c>
      <c r="H20" s="46">
        <v>0</v>
      </c>
      <c r="I20" s="47" t="s">
        <v>125</v>
      </c>
      <c r="J20" s="95" t="s">
        <v>114</v>
      </c>
      <c r="K20" s="95"/>
      <c r="L20" s="95"/>
      <c r="M20" s="95"/>
      <c r="P20">
        <v>50</v>
      </c>
      <c r="Q20">
        <v>0</v>
      </c>
      <c r="R20" t="s">
        <v>55</v>
      </c>
    </row>
    <row r="21" spans="2:18" x14ac:dyDescent="0.3">
      <c r="B21" s="46">
        <v>100</v>
      </c>
      <c r="C21" s="46">
        <v>100</v>
      </c>
      <c r="D21" s="47" t="s">
        <v>116</v>
      </c>
      <c r="E21" s="22" t="s">
        <v>90</v>
      </c>
      <c r="G21" s="46">
        <v>50</v>
      </c>
      <c r="H21" s="46">
        <v>0</v>
      </c>
      <c r="I21" s="47" t="s">
        <v>116</v>
      </c>
      <c r="P21">
        <v>50</v>
      </c>
      <c r="Q21">
        <v>0</v>
      </c>
      <c r="R21" t="s">
        <v>56</v>
      </c>
    </row>
    <row r="22" spans="2:18" x14ac:dyDescent="0.3">
      <c r="B22" s="46">
        <v>100</v>
      </c>
      <c r="C22" s="46">
        <v>100</v>
      </c>
      <c r="D22" s="47" t="s">
        <v>38</v>
      </c>
      <c r="E22" s="22" t="s">
        <v>91</v>
      </c>
      <c r="G22" s="93"/>
      <c r="H22" s="93"/>
      <c r="I22" s="94" t="s">
        <v>38</v>
      </c>
      <c r="P22">
        <v>50</v>
      </c>
      <c r="Q22">
        <v>0</v>
      </c>
      <c r="R22" t="s">
        <v>52</v>
      </c>
    </row>
    <row r="23" spans="2:18" x14ac:dyDescent="0.3">
      <c r="B23" s="46">
        <v>40</v>
      </c>
      <c r="C23" s="46">
        <v>150</v>
      </c>
      <c r="D23" s="47" t="s">
        <v>49</v>
      </c>
      <c r="E23" s="22" t="s">
        <v>92</v>
      </c>
      <c r="G23" s="46">
        <v>50</v>
      </c>
      <c r="H23" s="46"/>
      <c r="I23" s="47" t="s">
        <v>49</v>
      </c>
      <c r="R23" t="s">
        <v>45</v>
      </c>
    </row>
    <row r="24" spans="2:18" x14ac:dyDescent="0.3">
      <c r="B24" s="46">
        <v>140</v>
      </c>
      <c r="C24" s="46">
        <v>150</v>
      </c>
      <c r="D24" s="47" t="s">
        <v>50</v>
      </c>
      <c r="E24" s="22" t="s">
        <v>93</v>
      </c>
      <c r="G24" s="46">
        <v>50</v>
      </c>
      <c r="H24" s="46"/>
      <c r="I24" s="47" t="s">
        <v>50</v>
      </c>
      <c r="R24" t="s">
        <v>46</v>
      </c>
    </row>
    <row r="25" spans="2:18" x14ac:dyDescent="0.3">
      <c r="B25" s="46">
        <v>150</v>
      </c>
      <c r="C25" s="46">
        <v>150</v>
      </c>
      <c r="D25" s="47" t="s">
        <v>51</v>
      </c>
      <c r="E25" s="22" t="s">
        <v>94</v>
      </c>
      <c r="G25" s="46">
        <v>50</v>
      </c>
      <c r="H25" s="46"/>
      <c r="I25" s="47" t="s">
        <v>51</v>
      </c>
      <c r="R25" t="s">
        <v>59</v>
      </c>
    </row>
    <row r="26" spans="2:18" x14ac:dyDescent="0.3">
      <c r="B26" s="46">
        <v>40</v>
      </c>
      <c r="C26" s="46">
        <v>77</v>
      </c>
      <c r="D26" s="47" t="s">
        <v>54</v>
      </c>
      <c r="E26" s="22" t="s">
        <v>95</v>
      </c>
      <c r="G26" s="46">
        <v>50</v>
      </c>
      <c r="H26" s="46"/>
      <c r="I26" s="47" t="s">
        <v>54</v>
      </c>
      <c r="R26" t="s">
        <v>60</v>
      </c>
    </row>
    <row r="27" spans="2:18" x14ac:dyDescent="0.3">
      <c r="B27" s="46">
        <v>110</v>
      </c>
      <c r="C27" s="46">
        <v>77</v>
      </c>
      <c r="D27" s="47" t="s">
        <v>55</v>
      </c>
      <c r="E27" s="22" t="s">
        <v>96</v>
      </c>
      <c r="G27" s="46">
        <v>50</v>
      </c>
      <c r="H27" s="46"/>
      <c r="I27" s="47" t="s">
        <v>55</v>
      </c>
      <c r="R27" t="s">
        <v>43</v>
      </c>
    </row>
    <row r="28" spans="2:18" x14ac:dyDescent="0.3">
      <c r="B28" s="46">
        <v>120</v>
      </c>
      <c r="C28" s="46">
        <v>77</v>
      </c>
      <c r="D28" s="47" t="s">
        <v>56</v>
      </c>
      <c r="E28" s="22" t="s">
        <v>97</v>
      </c>
      <c r="G28" s="46">
        <v>50</v>
      </c>
      <c r="H28" s="46"/>
      <c r="I28" s="47" t="s">
        <v>56</v>
      </c>
      <c r="R28" t="s">
        <v>42</v>
      </c>
    </row>
    <row r="29" spans="2:18" x14ac:dyDescent="0.3">
      <c r="B29" s="46">
        <v>40</v>
      </c>
      <c r="C29" s="46">
        <v>50</v>
      </c>
      <c r="D29" s="47" t="s">
        <v>52</v>
      </c>
      <c r="E29" s="22" t="s">
        <v>98</v>
      </c>
      <c r="G29" s="46">
        <v>50</v>
      </c>
      <c r="H29" s="46"/>
      <c r="I29" s="47" t="s">
        <v>52</v>
      </c>
      <c r="R29" t="s">
        <v>44</v>
      </c>
    </row>
    <row r="30" spans="2:18" x14ac:dyDescent="0.3">
      <c r="B30" s="46">
        <v>40</v>
      </c>
      <c r="C30" s="46">
        <v>60</v>
      </c>
      <c r="D30" s="47" t="s">
        <v>76</v>
      </c>
      <c r="E30" s="22" t="s">
        <v>99</v>
      </c>
      <c r="G30" s="46">
        <v>50</v>
      </c>
      <c r="H30" s="46"/>
      <c r="I30" s="47" t="s">
        <v>36</v>
      </c>
      <c r="R30" t="s">
        <v>57</v>
      </c>
    </row>
    <row r="31" spans="2:18" x14ac:dyDescent="0.3">
      <c r="B31" s="46">
        <v>40</v>
      </c>
      <c r="C31" s="46">
        <v>100</v>
      </c>
      <c r="D31" s="47" t="s">
        <v>48</v>
      </c>
      <c r="E31" s="22" t="s">
        <v>100</v>
      </c>
      <c r="G31" s="46">
        <v>50</v>
      </c>
      <c r="H31" s="46"/>
      <c r="I31" s="47" t="s">
        <v>48</v>
      </c>
      <c r="R31" t="s">
        <v>58</v>
      </c>
    </row>
    <row r="32" spans="2:18" x14ac:dyDescent="0.3">
      <c r="B32" s="46">
        <v>40</v>
      </c>
      <c r="C32" s="46">
        <v>60</v>
      </c>
      <c r="D32" s="47" t="s">
        <v>111</v>
      </c>
      <c r="E32" s="22" t="s">
        <v>101</v>
      </c>
      <c r="G32" s="46">
        <v>50</v>
      </c>
      <c r="H32" s="46"/>
      <c r="I32" s="47" t="s">
        <v>111</v>
      </c>
      <c r="R32" t="s">
        <v>65</v>
      </c>
    </row>
    <row r="33" spans="2:18" x14ac:dyDescent="0.3">
      <c r="B33" s="46">
        <v>40</v>
      </c>
      <c r="C33" s="46">
        <v>90</v>
      </c>
      <c r="D33" s="47" t="s">
        <v>68</v>
      </c>
      <c r="E33" s="22" t="s">
        <v>102</v>
      </c>
      <c r="G33" s="46">
        <v>50</v>
      </c>
      <c r="H33" s="46">
        <v>-2</v>
      </c>
      <c r="I33" s="47" t="s">
        <v>68</v>
      </c>
      <c r="R33" t="s">
        <v>66</v>
      </c>
    </row>
    <row r="34" spans="2:18" x14ac:dyDescent="0.3">
      <c r="B34" s="46">
        <v>40</v>
      </c>
      <c r="C34" s="46">
        <v>90</v>
      </c>
      <c r="D34" s="47" t="s">
        <v>69</v>
      </c>
      <c r="E34" s="22"/>
      <c r="G34" s="46">
        <v>50</v>
      </c>
      <c r="H34" s="46">
        <v>-2</v>
      </c>
      <c r="I34" s="47" t="s">
        <v>69</v>
      </c>
    </row>
    <row r="35" spans="2:18" x14ac:dyDescent="0.3">
      <c r="B35" s="46">
        <v>40</v>
      </c>
      <c r="C35" s="46">
        <v>90</v>
      </c>
      <c r="D35" s="47" t="s">
        <v>65</v>
      </c>
      <c r="E35" s="22" t="s">
        <v>103</v>
      </c>
      <c r="G35" s="46">
        <v>50</v>
      </c>
      <c r="H35" s="46">
        <v>-2</v>
      </c>
      <c r="I35" s="47" t="s">
        <v>65</v>
      </c>
      <c r="R35" t="s">
        <v>67</v>
      </c>
    </row>
    <row r="36" spans="2:18" x14ac:dyDescent="0.3">
      <c r="B36" s="90">
        <v>40</v>
      </c>
      <c r="C36" s="90">
        <v>90</v>
      </c>
      <c r="D36" s="91" t="s">
        <v>66</v>
      </c>
      <c r="G36" s="46">
        <v>50</v>
      </c>
      <c r="H36" s="46">
        <v>-2</v>
      </c>
      <c r="I36" s="47" t="s">
        <v>66</v>
      </c>
      <c r="R36" t="s">
        <v>68</v>
      </c>
    </row>
    <row r="37" spans="2:18" x14ac:dyDescent="0.3">
      <c r="B37" s="90">
        <v>40</v>
      </c>
      <c r="C37" s="90">
        <v>90</v>
      </c>
      <c r="D37" s="91" t="s">
        <v>67</v>
      </c>
      <c r="G37" s="46">
        <v>50</v>
      </c>
      <c r="H37" s="46">
        <v>-2</v>
      </c>
      <c r="I37" s="47" t="s">
        <v>67</v>
      </c>
      <c r="R37" t="s">
        <v>69</v>
      </c>
    </row>
    <row r="48" spans="2:18" x14ac:dyDescent="0.3">
      <c r="B48" s="46">
        <v>40</v>
      </c>
      <c r="C48" s="46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61"/>
  <sheetViews>
    <sheetView tabSelected="1" zoomScaleNormal="100" workbookViewId="0">
      <selection sqref="A1:G35"/>
    </sheetView>
  </sheetViews>
  <sheetFormatPr baseColWidth="10" defaultRowHeight="14.4" x14ac:dyDescent="0.3"/>
  <cols>
    <col min="1" max="1" width="13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70" t="s">
        <v>133</v>
      </c>
      <c r="L2" s="70"/>
      <c r="M2" s="70"/>
    </row>
    <row r="3" spans="1:14" x14ac:dyDescent="0.3">
      <c r="K3" s="136" t="s">
        <v>64</v>
      </c>
      <c r="L3" s="136"/>
      <c r="M3" s="136" t="s">
        <v>16</v>
      </c>
      <c r="N3" s="136"/>
    </row>
    <row r="4" spans="1:14" ht="15.75" customHeight="1" x14ac:dyDescent="0.3">
      <c r="C4" s="55" t="s">
        <v>30</v>
      </c>
      <c r="D4" s="54">
        <f>'4637'!G8</f>
        <v>7229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8" t="s">
        <v>70</v>
      </c>
      <c r="D5" s="67" t="str">
        <f>'4637'!C10</f>
        <v>QCLASS S.A.</v>
      </c>
      <c r="E5" s="22"/>
      <c r="F5" s="22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6"/>
      <c r="D6" s="52"/>
    </row>
    <row r="7" spans="1:14" ht="15.6" x14ac:dyDescent="0.3">
      <c r="C7" s="110" t="str">
        <f>'4637'!F11</f>
        <v>FECHA LIMITE :</v>
      </c>
      <c r="D7" s="53">
        <f>'4637'!G11</f>
        <v>45826</v>
      </c>
      <c r="E7" s="1"/>
      <c r="F7" s="1"/>
    </row>
    <row r="8" spans="1:14" x14ac:dyDescent="0.3">
      <c r="C8" s="109" t="s">
        <v>132</v>
      </c>
    </row>
    <row r="10" spans="1:14" ht="15" customHeight="1" x14ac:dyDescent="0.3">
      <c r="A10" s="137" t="s">
        <v>64</v>
      </c>
      <c r="B10" s="137"/>
      <c r="C10" s="137"/>
      <c r="D10" s="137"/>
      <c r="E10" s="137"/>
      <c r="F10" s="137"/>
    </row>
    <row r="11" spans="1:14" ht="15.6" x14ac:dyDescent="0.3">
      <c r="C11" s="51"/>
    </row>
    <row r="12" spans="1:14" ht="15.6" x14ac:dyDescent="0.3">
      <c r="A12" s="1"/>
      <c r="B12" s="1"/>
      <c r="C12" s="1"/>
      <c r="D12" s="50" t="s">
        <v>8</v>
      </c>
      <c r="E12" s="50" t="s">
        <v>9</v>
      </c>
      <c r="F12" s="1"/>
    </row>
    <row r="13" spans="1:14" ht="15.6" x14ac:dyDescent="0.3">
      <c r="A13" s="50" t="s">
        <v>10</v>
      </c>
      <c r="B13" s="78" t="s">
        <v>11</v>
      </c>
      <c r="C13" s="78" t="s">
        <v>12</v>
      </c>
      <c r="D13" s="98">
        <v>50</v>
      </c>
      <c r="E13" s="98"/>
      <c r="F13" s="78" t="s">
        <v>113</v>
      </c>
      <c r="J13" s="6" t="s">
        <v>8</v>
      </c>
      <c r="K13" s="6" t="s">
        <v>9</v>
      </c>
    </row>
    <row r="14" spans="1:14" ht="15.6" x14ac:dyDescent="0.3">
      <c r="A14" s="50" t="s">
        <v>139</v>
      </c>
      <c r="B14" s="59">
        <v>2</v>
      </c>
      <c r="C14" s="59"/>
      <c r="D14" s="59">
        <f t="shared" ref="D14" si="0">J14+D$13</f>
        <v>1250</v>
      </c>
      <c r="E14" s="46">
        <f>K14</f>
        <v>300</v>
      </c>
      <c r="F14" s="58" t="str">
        <f>F22</f>
        <v>BANCA 35 CMS AMBOS LADOS</v>
      </c>
      <c r="I14" s="4">
        <f>I22</f>
        <v>2</v>
      </c>
      <c r="J14" s="5">
        <f>D28</f>
        <v>1200</v>
      </c>
      <c r="K14" s="5">
        <f>K22</f>
        <v>300</v>
      </c>
    </row>
    <row r="15" spans="1:14" ht="15.6" x14ac:dyDescent="0.3">
      <c r="A15" s="50"/>
      <c r="B15" s="59">
        <v>2</v>
      </c>
      <c r="C15" s="59"/>
      <c r="D15" s="59">
        <f t="shared" ref="D15" si="1">J15+D$13</f>
        <v>1250</v>
      </c>
      <c r="E15" s="46">
        <f>K15</f>
        <v>332</v>
      </c>
      <c r="F15" s="58" t="s">
        <v>141</v>
      </c>
      <c r="I15" s="4">
        <v>4</v>
      </c>
      <c r="J15" s="5">
        <v>1200</v>
      </c>
      <c r="K15" s="5">
        <v>332</v>
      </c>
    </row>
    <row r="16" spans="1:14" ht="15.6" x14ac:dyDescent="0.3">
      <c r="A16" s="50"/>
      <c r="B16" s="7"/>
      <c r="C16" s="7"/>
      <c r="D16" s="7"/>
      <c r="E16" s="7"/>
      <c r="F16" s="49"/>
      <c r="I16" s="97"/>
      <c r="J16" s="3"/>
      <c r="K16" s="3"/>
    </row>
    <row r="17" spans="1:11" ht="6.75" customHeight="1" x14ac:dyDescent="0.3"/>
    <row r="18" spans="1:11" ht="15.6" x14ac:dyDescent="0.3">
      <c r="A18" s="137" t="s">
        <v>16</v>
      </c>
      <c r="B18" s="137"/>
      <c r="C18" s="137"/>
      <c r="D18" s="137"/>
      <c r="E18" s="137"/>
      <c r="F18" s="137"/>
      <c r="G18" s="1"/>
    </row>
    <row r="19" spans="1:11" ht="10.5" customHeight="1" x14ac:dyDescent="0.3">
      <c r="A19" s="1"/>
      <c r="B19" s="1"/>
      <c r="C19" s="51"/>
      <c r="D19" s="1"/>
      <c r="E19" s="1"/>
      <c r="F19" s="1"/>
      <c r="G19" s="1"/>
    </row>
    <row r="20" spans="1:11" ht="15.6" x14ac:dyDescent="0.3">
      <c r="A20" s="1"/>
      <c r="B20" s="1"/>
      <c r="C20" s="1"/>
      <c r="D20" s="50" t="s">
        <v>8</v>
      </c>
      <c r="E20" s="50" t="s">
        <v>9</v>
      </c>
      <c r="F20" s="1"/>
      <c r="G20" s="1"/>
    </row>
    <row r="21" spans="1:11" ht="15.6" x14ac:dyDescent="0.3">
      <c r="A21" s="50" t="s">
        <v>10</v>
      </c>
      <c r="B21" s="78" t="s">
        <v>11</v>
      </c>
      <c r="C21" s="78" t="s">
        <v>12</v>
      </c>
      <c r="D21" s="69">
        <v>40</v>
      </c>
      <c r="E21" s="69"/>
      <c r="F21" s="78" t="s">
        <v>113</v>
      </c>
      <c r="G21" s="1"/>
      <c r="J21" s="6" t="s">
        <v>8</v>
      </c>
      <c r="K21" s="6" t="s">
        <v>9</v>
      </c>
    </row>
    <row r="22" spans="1:11" ht="15.6" x14ac:dyDescent="0.3">
      <c r="A22" s="50"/>
      <c r="B22" s="59">
        <f t="shared" ref="B22" si="2">I22</f>
        <v>2</v>
      </c>
      <c r="C22" s="59" t="s">
        <v>140</v>
      </c>
      <c r="D22" s="59">
        <f>J22+D$21</f>
        <v>1240</v>
      </c>
      <c r="E22" s="59">
        <v>1080</v>
      </c>
      <c r="F22" s="58" t="str">
        <f>C28</f>
        <v>BANCA 35 CMS AMBOS LADOS</v>
      </c>
      <c r="G22" s="1"/>
      <c r="I22" s="4">
        <f>B28</f>
        <v>2</v>
      </c>
      <c r="J22" s="5">
        <f t="shared" ref="J22:K22" si="3">D28</f>
        <v>1200</v>
      </c>
      <c r="K22" s="5">
        <f t="shared" si="3"/>
        <v>300</v>
      </c>
    </row>
    <row r="23" spans="1:11" ht="6.75" customHeight="1" x14ac:dyDescent="0.3">
      <c r="G23" s="1"/>
      <c r="I23" s="3"/>
      <c r="J23" s="3"/>
      <c r="K23" s="3"/>
    </row>
    <row r="24" spans="1:11" ht="16.2" thickBot="1" x14ac:dyDescent="0.35">
      <c r="A24" s="50"/>
      <c r="B24" s="7"/>
      <c r="C24" s="7"/>
      <c r="D24" s="7"/>
      <c r="E24" s="7"/>
      <c r="F24" s="49"/>
      <c r="I24" s="3"/>
      <c r="J24" s="3"/>
      <c r="K24" s="3"/>
    </row>
    <row r="25" spans="1:11" ht="16.2" thickBot="1" x14ac:dyDescent="0.35">
      <c r="A25" s="50"/>
      <c r="B25" s="71" t="s">
        <v>110</v>
      </c>
      <c r="C25" s="72"/>
      <c r="D25" s="72"/>
      <c r="E25" s="72"/>
      <c r="F25" s="73"/>
      <c r="I25" s="3"/>
      <c r="J25" s="3"/>
      <c r="K25" s="3"/>
    </row>
    <row r="26" spans="1:11" ht="10.5" customHeight="1" x14ac:dyDescent="0.3"/>
    <row r="27" spans="1:11" x14ac:dyDescent="0.3">
      <c r="A27" s="50" t="s">
        <v>10</v>
      </c>
      <c r="B27" s="77" t="s">
        <v>11</v>
      </c>
      <c r="C27" s="77" t="s">
        <v>113</v>
      </c>
      <c r="D27" s="77" t="s">
        <v>8</v>
      </c>
      <c r="E27" s="77" t="s">
        <v>9</v>
      </c>
      <c r="F27" s="77" t="s">
        <v>26</v>
      </c>
    </row>
    <row r="28" spans="1:11" ht="15.6" x14ac:dyDescent="0.3">
      <c r="A28" s="50"/>
      <c r="B28" s="74">
        <f>'4637'!B20</f>
        <v>2</v>
      </c>
      <c r="C28" s="75" t="str">
        <f>'4637'!C20</f>
        <v>BANCA 35 CMS AMBOS LADOS</v>
      </c>
      <c r="D28" s="74">
        <f>'4637'!D20</f>
        <v>1200</v>
      </c>
      <c r="E28" s="74">
        <f>'4637'!E20</f>
        <v>300</v>
      </c>
      <c r="F28" s="76" t="str">
        <f>'4637'!F20</f>
        <v>BLANCO BRILLO</v>
      </c>
    </row>
    <row r="29" spans="1:11" ht="15.6" x14ac:dyDescent="0.3">
      <c r="A29" s="50"/>
      <c r="B29" s="7"/>
      <c r="C29" s="11"/>
      <c r="D29" s="7"/>
      <c r="E29" s="7"/>
      <c r="F29" s="49"/>
    </row>
    <row r="30" spans="1:11" ht="15.6" x14ac:dyDescent="0.3">
      <c r="B30" s="7"/>
      <c r="C30" s="11"/>
      <c r="D30" s="7"/>
      <c r="E30" s="7"/>
      <c r="F30" s="49"/>
    </row>
    <row r="31" spans="1:11" ht="15.6" x14ac:dyDescent="0.3">
      <c r="B31" s="7"/>
      <c r="C31" s="11"/>
      <c r="D31" s="7"/>
      <c r="E31" s="7"/>
      <c r="F31" s="49"/>
    </row>
    <row r="32" spans="1:11" ht="15.6" x14ac:dyDescent="0.3">
      <c r="B32" s="7"/>
      <c r="C32" s="11"/>
      <c r="D32" s="7"/>
      <c r="E32" s="7"/>
      <c r="F32" s="49"/>
    </row>
    <row r="33" spans="1:7" ht="15.6" x14ac:dyDescent="0.3">
      <c r="B33" s="7"/>
      <c r="C33" s="11"/>
      <c r="D33" s="7"/>
      <c r="E33" s="7"/>
      <c r="F33" s="49"/>
    </row>
    <row r="34" spans="1:7" ht="15.6" x14ac:dyDescent="0.3">
      <c r="B34" s="7"/>
      <c r="C34" s="11"/>
      <c r="D34" s="7"/>
      <c r="E34" s="7"/>
      <c r="F34" s="49"/>
    </row>
    <row r="35" spans="1:7" ht="15.6" x14ac:dyDescent="0.3">
      <c r="B35" s="7"/>
      <c r="C35" s="11"/>
      <c r="D35" s="7"/>
      <c r="E35" s="7"/>
      <c r="F35" s="49"/>
    </row>
    <row r="36" spans="1:7" ht="15.6" x14ac:dyDescent="0.3">
      <c r="B36" s="7"/>
      <c r="C36" s="11"/>
      <c r="D36" s="7"/>
      <c r="E36" s="7"/>
      <c r="F36" s="49"/>
    </row>
    <row r="37" spans="1:7" ht="15.6" x14ac:dyDescent="0.3">
      <c r="G37" s="1"/>
    </row>
    <row r="38" spans="1:7" ht="15.6" x14ac:dyDescent="0.3">
      <c r="C38" s="55" t="s">
        <v>30</v>
      </c>
      <c r="D38" s="54">
        <f>'4637'!G8</f>
        <v>7229</v>
      </c>
      <c r="G38" s="1"/>
    </row>
    <row r="39" spans="1:7" ht="17.25" customHeight="1" x14ac:dyDescent="0.3">
      <c r="C39" s="68" t="s">
        <v>70</v>
      </c>
      <c r="D39" s="67" t="str">
        <f>'4637'!C10</f>
        <v>QCLASS S.A.</v>
      </c>
      <c r="E39" s="22"/>
      <c r="F39" s="22"/>
      <c r="G39" s="1"/>
    </row>
    <row r="40" spans="1:7" ht="4.5" customHeight="1" x14ac:dyDescent="0.3">
      <c r="C40" s="56"/>
      <c r="D40" s="52"/>
      <c r="G40" s="1"/>
    </row>
    <row r="41" spans="1:7" ht="15.6" x14ac:dyDescent="0.3">
      <c r="C41" s="57" t="str">
        <f>'4637'!F11</f>
        <v>FECHA LIMITE :</v>
      </c>
      <c r="D41" s="53">
        <f>'4637'!G11</f>
        <v>45826</v>
      </c>
      <c r="E41" s="1"/>
      <c r="F41" s="1"/>
    </row>
    <row r="44" spans="1:7" x14ac:dyDescent="0.3">
      <c r="A44" s="138" t="s">
        <v>71</v>
      </c>
      <c r="B44" s="138"/>
      <c r="C44" s="138"/>
      <c r="D44" s="138"/>
      <c r="E44" s="138"/>
      <c r="F44" s="138"/>
    </row>
    <row r="46" spans="1:7" ht="9.75" customHeight="1" x14ac:dyDescent="0.3">
      <c r="B46" s="139" t="s">
        <v>72</v>
      </c>
      <c r="C46" s="140"/>
      <c r="D46" s="141"/>
      <c r="E46" s="141"/>
      <c r="F46" s="142"/>
    </row>
    <row r="47" spans="1:7" s="13" customFormat="1" ht="11.25" customHeight="1" x14ac:dyDescent="0.25">
      <c r="B47" s="114" t="s">
        <v>11</v>
      </c>
      <c r="C47" s="115" t="s">
        <v>12</v>
      </c>
      <c r="D47" s="116" t="s">
        <v>8</v>
      </c>
      <c r="E47" s="116" t="s">
        <v>9</v>
      </c>
      <c r="F47" s="117" t="s">
        <v>13</v>
      </c>
    </row>
    <row r="48" spans="1:7" s="13" customFormat="1" ht="15" customHeight="1" x14ac:dyDescent="0.3">
      <c r="A48" s="99" t="s">
        <v>139</v>
      </c>
      <c r="B48" s="118">
        <f>'4637'!B20</f>
        <v>2</v>
      </c>
      <c r="C48" s="127" t="str">
        <f>'4637'!C20</f>
        <v>BANCA 35 CMS AMBOS LADOS</v>
      </c>
      <c r="D48" s="118">
        <f>'4637'!D20</f>
        <v>1200</v>
      </c>
      <c r="E48" s="118">
        <f>'4637'!E20</f>
        <v>300</v>
      </c>
      <c r="F48" s="119" t="str">
        <f>'4637'!F20</f>
        <v>BLANCO BRILLO</v>
      </c>
    </row>
    <row r="49" spans="1:7" s="13" customFormat="1" ht="15" customHeight="1" x14ac:dyDescent="0.3">
      <c r="A49" s="99"/>
      <c r="B49" s="3"/>
      <c r="C49" s="60"/>
      <c r="D49" s="3"/>
      <c r="E49" s="3"/>
      <c r="F49" s="3"/>
    </row>
    <row r="50" spans="1:7" ht="15.6" x14ac:dyDescent="0.3">
      <c r="A50" s="60"/>
      <c r="B50" s="3"/>
      <c r="C50" s="41"/>
      <c r="D50" s="7"/>
      <c r="E50" s="7"/>
      <c r="F50" s="49"/>
    </row>
    <row r="51" spans="1:7" ht="15.6" x14ac:dyDescent="0.3">
      <c r="A51" s="60"/>
      <c r="B51" s="3"/>
      <c r="C51" s="41"/>
      <c r="D51" s="7"/>
      <c r="E51" s="7"/>
      <c r="F51" s="56"/>
    </row>
    <row r="52" spans="1:7" ht="15.6" x14ac:dyDescent="0.3">
      <c r="A52" s="60"/>
      <c r="B52" s="3"/>
      <c r="C52" s="41"/>
      <c r="D52" s="7"/>
      <c r="E52" s="7"/>
      <c r="F52" s="49"/>
    </row>
    <row r="53" spans="1:7" ht="15" thickBot="1" x14ac:dyDescent="0.35"/>
    <row r="54" spans="1:7" x14ac:dyDescent="0.3">
      <c r="B54" s="79" t="s">
        <v>15</v>
      </c>
      <c r="C54" s="80"/>
      <c r="D54" s="81"/>
      <c r="E54" s="81"/>
      <c r="F54" s="82"/>
    </row>
    <row r="55" spans="1:7" x14ac:dyDescent="0.3">
      <c r="B55" s="83"/>
      <c r="C55" s="84" t="s">
        <v>117</v>
      </c>
      <c r="D55" s="9"/>
      <c r="E55" s="9"/>
      <c r="F55" s="85"/>
    </row>
    <row r="56" spans="1:7" ht="15" customHeight="1" x14ac:dyDescent="0.35">
      <c r="B56" s="84" t="s">
        <v>124</v>
      </c>
      <c r="C56" s="70"/>
      <c r="D56" s="10"/>
      <c r="E56" s="10"/>
      <c r="F56" s="86"/>
    </row>
    <row r="57" spans="1:7" ht="18.600000000000001" thickBot="1" x14ac:dyDescent="0.4">
      <c r="B57" s="96" t="s">
        <v>123</v>
      </c>
      <c r="C57" s="87"/>
      <c r="D57" s="87"/>
      <c r="E57" s="87"/>
      <c r="F57" s="88"/>
    </row>
    <row r="58" spans="1:7" ht="18" x14ac:dyDescent="0.35">
      <c r="A58" s="2"/>
      <c r="B58" s="8"/>
      <c r="G58" s="1"/>
    </row>
    <row r="59" spans="1:7" x14ac:dyDescent="0.3">
      <c r="B59" s="66"/>
      <c r="C59" s="66"/>
      <c r="D59" s="66"/>
      <c r="E59" s="66"/>
      <c r="F59" s="66"/>
    </row>
    <row r="60" spans="1:7" x14ac:dyDescent="0.3">
      <c r="B60" s="66"/>
      <c r="C60" s="66"/>
      <c r="D60" s="66"/>
      <c r="E60" s="66"/>
      <c r="F60" s="66"/>
    </row>
    <row r="61" spans="1:7" x14ac:dyDescent="0.3">
      <c r="B61" s="66"/>
      <c r="C61" s="66"/>
      <c r="E61" s="66"/>
      <c r="F61" s="66"/>
    </row>
  </sheetData>
  <mergeCells count="6">
    <mergeCell ref="M3:N3"/>
    <mergeCell ref="A18:F18"/>
    <mergeCell ref="A10:F10"/>
    <mergeCell ref="A44:F44"/>
    <mergeCell ref="B46:F46"/>
    <mergeCell ref="K3:L3"/>
  </mergeCells>
  <pageMargins left="0.70866141732283472" right="0.70866141732283472" top="0.74803149606299213" bottom="0.74803149606299213" header="0.31496062992125984" footer="0.31496062992125984"/>
  <pageSetup scale="7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2025-06-10T16:12:46Z</cp:lastPrinted>
  <dcterms:created xsi:type="dcterms:W3CDTF">2013-03-19T12:54:14Z</dcterms:created>
  <dcterms:modified xsi:type="dcterms:W3CDTF">2025-06-10T16:14:26Z</dcterms:modified>
</cp:coreProperties>
</file>