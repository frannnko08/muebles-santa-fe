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6 JUNIO 2025\"/>
    </mc:Choice>
  </mc:AlternateContent>
  <xr:revisionPtr revIDLastSave="0" documentId="13_ncr:1_{769C82E1-DE05-4826-A5B5-E3EC83E584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CUBIERTA!$A$37:$F$60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B27" i="3"/>
  <c r="I22" i="3" s="1"/>
  <c r="C27" i="3"/>
  <c r="F14" i="3" s="1"/>
  <c r="D27" i="3"/>
  <c r="J14" i="3" s="1"/>
  <c r="D14" i="3" s="1"/>
  <c r="E27" i="3"/>
  <c r="K22" i="3" s="1"/>
  <c r="E22" i="3" s="1"/>
  <c r="F27" i="3"/>
  <c r="B49" i="3"/>
  <c r="C49" i="3"/>
  <c r="D49" i="3"/>
  <c r="E49" i="3"/>
  <c r="F49" i="3"/>
  <c r="J22" i="3" l="1"/>
  <c r="D22" i="3" s="1"/>
  <c r="K14" i="3"/>
  <c r="E14" i="3" s="1"/>
  <c r="B22" i="3"/>
  <c r="I14" i="3"/>
  <c r="B14" i="3" s="1"/>
  <c r="F22" i="3"/>
  <c r="H24" i="4"/>
  <c r="H25" i="4" l="1"/>
  <c r="H26" i="4" l="1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<sst xmlns="http://schemas.openxmlformats.org/spreadsheetml/2006/main" count="249" uniqueCount="147">
  <si>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</si>
  <si>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</si>
  <si>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</si>
  <si>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</si>
  <si>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</si>
  <si>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</si>
  <si>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</si>
  <si>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</si>
  <si>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</si>
  <si>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</si>
  <si>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</si>
  <si>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</si>
  <si>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</si>
  <si>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</si>
  <si>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</si>
  <si>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</si>
  <si>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</si>
  <si>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</si>
  <si>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</si>
  <si>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</si>
  <si>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</si>
  <si>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</si>
  <si>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</si>
  <si>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</si>
  <si>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</si>
  <si>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</si>
  <si>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</si>
  <si>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</si>
  <si>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</si>
  <si>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</si>
  <si>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</si>
  <si>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</si>
  <si>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</si>
  <si>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</si>
  <si>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</si>
  <si>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</si>
  <si>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</si>
  <si>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</si>
  <si>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</si>
  <si>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</si>
  <si>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</si>
  <si>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</si>
  <si>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</si>
  <si>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</si>
  <si>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</si>
  <si>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</si>
  <si>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</si>
  <si>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</si>
  <si>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</si>
  <si>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</si>
  <si>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</si>
  <si>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</si>
  <si>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</si>
  <si>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</si>
  <si>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</si>
  <si>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</si>
  <si>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</si>
  <si>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</si>
  <si>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</si>
  <si>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</si>
  <si>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</si>
  <si>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</si>
  <si>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</si>
  <si>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</si>
  <si>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</si>
  <si>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</si>
  <si>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</si>
  <si>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</si>
  <si>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</si>
  <si>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</si>
  <si>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</si>
  <si>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</si>
  <si>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</si>
  <si>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</si>
  <si>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</si>
  <si>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</si>
  <si>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</si>
  <si>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</si>
  <si>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</si>
  <si>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</si>
  <si>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</si>
  <si>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</si>
  <si>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</si>
  <si>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</si>
  <si>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</si>
  <si>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</si>
  <si>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</si>
  <si>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</si>
  <si>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</si>
  <si>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</si>
  <si>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</si>
  <si>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</si>
  <si>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</si>
  <si>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</si>
  <si>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</si>
  <si>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</si>
  <si>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</si>
  <si>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</si>
  <si>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</si>
  <si>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</si>
  <si>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</si>
  <si>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</si>
  <si>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</si>
  <si>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</si>
  <si>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</si>
  <si>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</si>
  <si>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</si>
  <si>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</si>
  <si>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</si>
  <si>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</si>
  <si>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</si>
  <si>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</si>
  <si>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</si>
  <si>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</si>
  <si>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</si>
  <si>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</si>
  <si>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</si>
  <si>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</si>
  <si>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</si>
  <si>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</si>
  <si>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</si>
  <si>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</si>
  <si>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</si>
  <si>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</si>
  <si>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</si>
  <si>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</si>
  <si>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</si>
  <si>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</si>
  <si>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</si>
  <si>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</si>
  <si>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</si>
  <si>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</si>
  <si>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</si>
  <si>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</si>
  <si>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</si>
  <si>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MUEBLES</t>
  </si>
  <si>
    <t>NO</t>
  </si>
  <si>
    <t>FCA DE MUEBLES ALVEAR Y ALVEAR LTDA</t>
  </si>
  <si>
    <t>76.143.978-2</t>
  </si>
  <si>
    <t>CLAUDIO ALVEAR</t>
  </si>
  <si>
    <t>ROSA ESTER 03281 LA PINTANA</t>
  </si>
  <si>
    <t>CONTADO</t>
  </si>
  <si>
    <t>CUB S/R 180°</t>
  </si>
  <si>
    <t>BLANCO MERINO OPACO</t>
  </si>
  <si>
    <t>URGENTE,</t>
  </si>
  <si>
    <t>,</t>
  </si>
  <si>
    <t xml:space="preserve">N°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</si>
</sst>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LA MEDIDA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CORTADO A LA MEDIDA EXACTA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801763</xdr:colOff>
      <xdr:row>43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topLeftCell="A3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3.44140625" customWidth="1"/>
    <col min="4" max="5" width="9.109375" customWidth="1"/>
    <col min="6" max="6" width="33.7773437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146</v>
      </c>
      <c r="E8" s="1"/>
      <c r="F8" s="94" t="s">
        <v>27</v>
      </c>
      <c r="G8" s="95">
        <v>7227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137</v>
      </c>
      <c r="D10" s="55"/>
      <c r="E10" s="55"/>
      <c r="F10" s="56" t="s">
        <v>28</v>
      </c>
      <c r="G10" s="57">
        <v>45811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138</v>
      </c>
      <c r="D11" s="60"/>
      <c r="E11" s="60"/>
      <c r="F11" s="60" t="s">
        <v>124</v>
      </c>
      <c r="G11" s="61" t="s">
        <v>144</v>
      </c>
      <c r="H11" s="62"/>
      <c r="I11" s="1"/>
    </row>
    <row r="12" spans="1:17" ht="16.2" thickBot="1" x14ac:dyDescent="0.35">
      <c r="A12" s="1"/>
      <c r="B12" s="63" t="s">
        <v>131</v>
      </c>
      <c r="C12" t="s">
        <v>135</v>
      </c>
      <c r="D12" s="43"/>
      <c r="E12" s="43"/>
      <c r="F12" s="43" t="s">
        <v>30</v>
      </c>
      <c r="G12" s="64" t="s">
        <v>145</v>
      </c>
      <c r="H12" s="65"/>
      <c r="I12" s="1"/>
    </row>
    <row r="13" spans="1:17" ht="15.6" x14ac:dyDescent="0.3">
      <c r="A13" s="1"/>
      <c r="B13" s="63" t="s">
        <v>133</v>
      </c>
      <c r="C13" s="86" t="s">
        <v>139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2">
        <v>56973069852</v>
      </c>
      <c r="D14" s="66"/>
      <c r="E14" s="60"/>
      <c r="F14" s="60" t="s">
        <v>29</v>
      </c>
      <c r="G14" s="60" t="s">
        <v>136</v>
      </c>
      <c r="H14" s="62"/>
      <c r="I14" s="1"/>
    </row>
    <row r="15" spans="1:17" ht="15.6" x14ac:dyDescent="0.3">
      <c r="A15" s="1"/>
      <c r="B15" s="63" t="s">
        <v>1</v>
      </c>
      <c r="C15" s="98" t="s">
        <v>140</v>
      </c>
      <c r="D15" s="43"/>
      <c r="E15" s="43"/>
      <c r="F15" s="67" t="s">
        <v>75</v>
      </c>
      <c r="G15" s="67" t="s">
        <v>141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3">
        <v>1</v>
      </c>
      <c r="C21" s="103" t="s">
        <v>142</v>
      </c>
      <c r="D21" s="109">
        <v>1210</v>
      </c>
      <c r="E21" s="109">
        <v>450</v>
      </c>
      <c r="F21" s="103" t="s">
        <v>143</v>
      </c>
      <c r="G21" s="104">
        <v>39496</v>
      </c>
      <c r="H21" s="104">
        <f>G21*B21</f>
        <v>39496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5"/>
      <c r="C22" s="105"/>
      <c r="D22" s="106"/>
      <c r="E22" s="106"/>
      <c r="F22" s="105"/>
      <c r="G22" s="75"/>
      <c r="H22" s="75"/>
      <c r="I22" s="1"/>
    </row>
    <row r="23" spans="1:16" ht="18" customHeight="1" thickBot="1" x14ac:dyDescent="0.35">
      <c r="A23" s="1"/>
      <c r="B23" s="105"/>
      <c r="C23" s="105"/>
      <c r="D23" s="106"/>
      <c r="E23" s="106"/>
      <c r="F23" s="105"/>
      <c r="G23" s="107"/>
      <c r="H23" s="108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SUM(H21:H21)</f>
        <v>39496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7504.24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47000.24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7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opLeftCell="A36" zoomScaleNormal="100" workbookViewId="0">
      <selection activeCell="A50" sqref="A50:XFD51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40" t="s">
        <v>27</v>
      </c>
      <c r="D4" s="14">
        <f>'4637'!G8</f>
        <v>7227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FCA DE MUEBLES ALVEAR Y ALVEAR LTDA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 t="str">
        <f>'4637'!G11</f>
        <v>URGENTE,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/>
      <c r="D14" s="25">
        <f t="shared" ref="D14" si="1">J14+D$13</f>
        <v>1290</v>
      </c>
      <c r="E14" s="35">
        <f>K14+E$13</f>
        <v>450</v>
      </c>
      <c r="F14" s="100" t="str">
        <f>C27</f>
        <v>CUB S/R 180°</v>
      </c>
      <c r="G14" s="1"/>
      <c r="I14" s="3">
        <f>I22</f>
        <v>1</v>
      </c>
      <c r="J14" s="4">
        <f>D27</f>
        <v>1210</v>
      </c>
      <c r="K14" s="4">
        <f>E27</f>
        <v>450</v>
      </c>
    </row>
    <row r="15" spans="1:14" ht="15.6" x14ac:dyDescent="0.3">
      <c r="A15" s="96"/>
      <c r="B15" s="6"/>
      <c r="C15" s="6"/>
      <c r="D15" s="6"/>
      <c r="E15" s="89"/>
      <c r="F15" s="111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0" t="s">
        <v>14</v>
      </c>
      <c r="B18" s="120"/>
      <c r="C18" s="120"/>
      <c r="D18" s="120"/>
      <c r="E18" s="120"/>
      <c r="F18" s="120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60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130</v>
      </c>
      <c r="B22" s="16">
        <f t="shared" ref="B22" si="2">I22</f>
        <v>1</v>
      </c>
      <c r="C22" s="16"/>
      <c r="D22" s="16">
        <f>J22+D$21</f>
        <v>1250</v>
      </c>
      <c r="E22" s="16">
        <f>K22+E$21</f>
        <v>510</v>
      </c>
      <c r="F22" s="101" t="str">
        <f>C27</f>
        <v>CUB S/R 180°</v>
      </c>
      <c r="G22" s="1"/>
      <c r="I22" s="3">
        <f>B27</f>
        <v>1</v>
      </c>
      <c r="J22" s="4">
        <f t="shared" ref="J22:K22" si="3">D27</f>
        <v>1210</v>
      </c>
      <c r="K22" s="4">
        <f t="shared" si="3"/>
        <v>450</v>
      </c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8" t="s">
        <v>10</v>
      </c>
      <c r="C26" s="88" t="s">
        <v>110</v>
      </c>
      <c r="D26" s="88" t="s">
        <v>7</v>
      </c>
      <c r="E26" s="88" t="s">
        <v>8</v>
      </c>
      <c r="F26" s="88" t="s">
        <v>23</v>
      </c>
      <c r="G26" s="1"/>
    </row>
    <row r="27" spans="1:11" ht="15.6" x14ac:dyDescent="0.3">
      <c r="A27" s="96" t="s">
        <v>134</v>
      </c>
      <c r="B27" s="25">
        <f>'4637'!B21</f>
        <v>1</v>
      </c>
      <c r="C27" s="100" t="str">
        <f>'4637'!C21</f>
        <v>CUB S/R 180°</v>
      </c>
      <c r="D27" s="25">
        <f>'4637'!D21</f>
        <v>1210</v>
      </c>
      <c r="E27" s="25">
        <f>'4637'!E21</f>
        <v>450</v>
      </c>
      <c r="F27" s="25" t="str">
        <f>'4637'!F21</f>
        <v>BLANCO MERINO OPACO</v>
      </c>
      <c r="G27" s="1"/>
    </row>
    <row r="28" spans="1:11" ht="15.6" x14ac:dyDescent="0.3">
      <c r="A28" s="96"/>
      <c r="B28" s="6"/>
      <c r="C28" s="111"/>
      <c r="D28" s="6"/>
      <c r="E28" s="6"/>
      <c r="F28" s="6"/>
      <c r="G28" s="1"/>
    </row>
    <row r="29" spans="1:11" ht="15.6" x14ac:dyDescent="0.3">
      <c r="A29" s="52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7227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FCA DE MUEBLES ALVEAR Y ALVEAR LTDA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 t="str">
        <f>'4637'!G11</f>
        <v>URGENTE,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0" t="s">
        <v>68</v>
      </c>
      <c r="B45" s="120"/>
      <c r="C45" s="120"/>
      <c r="D45" s="120"/>
      <c r="E45" s="120"/>
      <c r="F45" s="120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1" t="s">
        <v>69</v>
      </c>
      <c r="C47" s="122"/>
      <c r="D47" s="123"/>
      <c r="E47" s="123"/>
      <c r="F47" s="124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6"/>
      <c r="B49" s="38">
        <f>'4637'!B21</f>
        <v>1</v>
      </c>
      <c r="C49" s="99" t="str">
        <f>'4637'!C21</f>
        <v>CUB S/R 180°</v>
      </c>
      <c r="D49" s="39">
        <f>'4637'!D21</f>
        <v>1210</v>
      </c>
      <c r="E49" s="39">
        <f>'4637'!E21</f>
        <v>450</v>
      </c>
      <c r="F49" s="38" t="str">
        <f>'4637'!F21</f>
        <v>BLANCO MERINO OPACO</v>
      </c>
      <c r="G49" s="1"/>
    </row>
    <row r="50" spans="1:7" s="15" customFormat="1" ht="15" customHeight="1" x14ac:dyDescent="0.3">
      <c r="A50" s="96"/>
      <c r="B50" s="52"/>
      <c r="C50" s="110"/>
      <c r="D50" s="52"/>
      <c r="E50" s="52"/>
      <c r="F50" s="52"/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2025-06-03T13:44:25Z</cp:lastPrinted>
  <dcterms:created xsi:type="dcterms:W3CDTF">2013-03-19T12:54:14Z</dcterms:created>
  <dcterms:modified xsi:type="dcterms:W3CDTF">2025-06-03T16:31:56Z</dcterms:modified>
</cp:coreProperties>
</file>