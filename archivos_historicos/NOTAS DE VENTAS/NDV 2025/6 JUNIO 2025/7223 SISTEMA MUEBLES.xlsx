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6 JUNIO 2025\"/>
    </mc:Choice>
  </mc:AlternateContent>
  <xr:revisionPtr revIDLastSave="0" documentId="13_ncr:1_{80524D0B-0AE5-483C-9355-606BCD3BF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I16" i="3"/>
  <c r="B16" i="3" s="1"/>
  <c r="J16" i="3"/>
  <c r="D16" i="3" s="1"/>
  <c r="F17" i="3"/>
  <c r="I17" i="3"/>
  <c r="B17" i="3" s="1"/>
  <c r="J17" i="3"/>
  <c r="D17" i="3" s="1"/>
  <c r="B35" i="3"/>
  <c r="I26" i="3" s="1"/>
  <c r="B26" i="3" s="1"/>
  <c r="C35" i="3"/>
  <c r="F26" i="3" s="1"/>
  <c r="D35" i="3"/>
  <c r="J26" i="3" s="1"/>
  <c r="D26" i="3" s="1"/>
  <c r="E35" i="3"/>
  <c r="K26" i="3" s="1"/>
  <c r="F35" i="3"/>
  <c r="B36" i="3"/>
  <c r="I27" i="3" s="1"/>
  <c r="B27" i="3" s="1"/>
  <c r="C36" i="3"/>
  <c r="F27" i="3" s="1"/>
  <c r="D36" i="3"/>
  <c r="J27" i="3" s="1"/>
  <c r="D27" i="3" s="1"/>
  <c r="E36" i="3"/>
  <c r="K27" i="3" s="1"/>
  <c r="F36" i="3"/>
  <c r="B59" i="3"/>
  <c r="C59" i="3"/>
  <c r="D59" i="3"/>
  <c r="E59" i="3"/>
  <c r="F59" i="3"/>
  <c r="B60" i="3"/>
  <c r="C60" i="3"/>
  <c r="D60" i="3"/>
  <c r="E60" i="3"/>
  <c r="F60" i="3"/>
  <c r="H28" i="4"/>
  <c r="K17" i="3" l="1"/>
  <c r="E17" i="3" s="1"/>
  <c r="K16" i="3"/>
  <c r="E16" i="3" s="1"/>
  <c r="H24" i="4" l="1"/>
  <c r="H25" i="4"/>
  <c r="B34" i="3"/>
  <c r="I25" i="3" s="1"/>
  <c r="B25" i="3" s="1"/>
  <c r="C34" i="3"/>
  <c r="F15" i="3" s="1"/>
  <c r="D34" i="3"/>
  <c r="J15" i="3" s="1"/>
  <c r="D15" i="3" s="1"/>
  <c r="E34" i="3"/>
  <c r="K15" i="3" s="1"/>
  <c r="E15" i="3" s="1"/>
  <c r="F34" i="3"/>
  <c r="B58" i="3"/>
  <c r="C58" i="3"/>
  <c r="D58" i="3"/>
  <c r="E58" i="3"/>
  <c r="F58" i="3"/>
  <c r="H23" i="4"/>
  <c r="J25" i="3" l="1"/>
  <c r="D25" i="3" s="1"/>
  <c r="F25" i="3"/>
  <c r="K25" i="3"/>
  <c r="I15" i="3"/>
  <c r="B15" i="3" s="1"/>
  <c r="H22" i="4"/>
  <c r="B33" i="3"/>
  <c r="I24" i="3" s="1"/>
  <c r="C33" i="3"/>
  <c r="F14" i="3" s="1"/>
  <c r="D33" i="3"/>
  <c r="J14" i="3" s="1"/>
  <c r="D14" i="3" s="1"/>
  <c r="E33" i="3"/>
  <c r="K24" i="3" s="1"/>
  <c r="E24" i="3" s="1"/>
  <c r="F33" i="3"/>
  <c r="B57" i="3"/>
  <c r="C57" i="3"/>
  <c r="D57" i="3"/>
  <c r="E57" i="3"/>
  <c r="F57" i="3"/>
  <c r="J24" i="3" l="1"/>
  <c r="D24" i="3" s="1"/>
  <c r="K14" i="3"/>
  <c r="E14" i="3" s="1"/>
  <c r="B24" i="3"/>
  <c r="I14" i="3"/>
  <c r="B14" i="3" s="1"/>
  <c r="F24" i="3"/>
  <c r="H29" i="4" l="1"/>
  <c r="H30" i="4" s="1"/>
  <c r="N5" i="3" l="1"/>
  <c r="M5" i="3" l="1"/>
  <c r="L5" i="3"/>
  <c r="K5" i="3"/>
  <c r="C50" i="3" l="1"/>
  <c r="C7" i="3"/>
  <c r="D48" i="3"/>
  <c r="D5" i="3"/>
  <c r="D50" i="3"/>
  <c r="D7" i="3"/>
  <c r="D47" i="3"/>
  <c r="D4" i="3"/>
</calcChain>
</file>

<file path=xl/sharedStrings.xml><?xml version="1.0" encoding="utf-8"?>
<sst xmlns="http://schemas.openxmlformats.org/spreadsheetml/2006/main" count="257" uniqueCount="152">
  <si>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</si>
  <si>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</si>
  <si>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</si>
  <si>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</si>
  <si>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</si>
  <si>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</si>
  <si>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</si>
  <si>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</si>
  <si>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</si>
  <si>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</si>
  <si>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</si>
  <si>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</si>
  <si>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</si>
  <si>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</si>
  <si>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</si>
  <si>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</si>
  <si>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</si>
  <si>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</si>
  <si>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</si>
  <si>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</si>
  <si>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</si>
  <si>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</si>
  <si>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</si>
  <si>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</si>
  <si>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</si>
  <si>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</si>
  <si>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</si>
  <si>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</si>
  <si>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</si>
  <si>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</si>
  <si>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</si>
  <si>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</si>
  <si>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</si>
  <si>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</si>
  <si>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</si>
  <si>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</si>
  <si>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</si>
  <si>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</si>
  <si>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</si>
  <si>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</si>
  <si>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</si>
  <si>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</si>
  <si>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</si>
  <si>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</si>
  <si>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</si>
  <si>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</si>
  <si>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</si>
  <si>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</si>
  <si>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</si>
  <si>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</si>
  <si>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</si>
  <si>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</si>
  <si>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</si>
  <si>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</si>
  <si>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</si>
  <si>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</si>
  <si>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</si>
  <si>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</si>
  <si>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</si>
  <si>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</si>
  <si>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</si>
  <si>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</si>
  <si>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</si>
  <si>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</si>
  <si>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</si>
  <si>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</si>
  <si>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</si>
  <si>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</si>
  <si>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</si>
  <si>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</si>
  <si>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</si>
  <si>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</si>
  <si>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</si>
  <si>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</si>
  <si>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</si>
  <si>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</si>
  <si>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</si>
  <si>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</si>
  <si>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</si>
  <si>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</si>
  <si>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</si>
  <si>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</si>
  <si>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</si>
  <si>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</si>
  <si>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</si>
  <si>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</si>
  <si>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</si>
  <si>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</si>
  <si>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</si>
  <si>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</si>
  <si>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</si>
  <si>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</si>
  <si>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</si>
  <si>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</si>
  <si>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</si>
  <si>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</si>
  <si>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</si>
  <si>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</si>
  <si>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</si>
  <si>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</si>
  <si>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</si>
  <si>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</si>
  <si>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</si>
  <si>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</si>
  <si>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</si>
  <si>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</si>
  <si>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</si>
  <si>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</si>
  <si>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</si>
  <si>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</si>
  <si>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</si>
  <si>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</si>
  <si>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</si>
  <si>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</si>
  <si>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</si>
  <si>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</si>
  <si>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</si>
  <si>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</si>
  <si>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</si>
  <si>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</si>
  <si>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</si>
  <si>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</si>
  <si>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</si>
  <si>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</si>
  <si>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</si>
  <si>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</si>
  <si>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</si>
  <si>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</si>
  <si>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</si>
  <si>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</si>
  <si>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</si>
  <si>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</si>
  <si>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</si>
  <si>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</si>
  <si>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</si>
  <si>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CORREO:</t>
  </si>
  <si>
    <t>SISTEMAS SERVICIOS SPA</t>
  </si>
  <si>
    <t>77.091.475-2</t>
  </si>
  <si>
    <t>FCA. DE MUEBLES</t>
  </si>
  <si>
    <t>MARIOLI CONCHA</t>
  </si>
  <si>
    <t>+569 9408 2633</t>
  </si>
  <si>
    <t>CORNISA 1L R19</t>
  </si>
  <si>
    <t>CEN 1V R19</t>
  </si>
  <si>
    <t>AV. SALVADOR ALLENDE 5040 CERRILLOS</t>
  </si>
  <si>
    <t>recepciondte@sistemamuebles.cl</t>
  </si>
  <si>
    <t>MDF30MM</t>
  </si>
  <si>
    <t>03-065-2025</t>
  </si>
  <si>
    <t>CORNISA 1L R20</t>
  </si>
  <si>
    <t>CEN 1V R20</t>
  </si>
  <si>
    <t>TRAIGHT WALNUT  10848 SF</t>
  </si>
  <si>
    <t>IRISH CREAM 21027 SF</t>
  </si>
  <si>
    <t>N° 11454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</si>
</sst>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quotePrefix="1" applyFont="1"/>
    <xf numFmtId="0" fontId="18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SON</a:t>
          </a:r>
          <a:r>
            <a:rPr lang="es-CL" sz="900" b="1" i="1" baseline="0"/>
            <a:t> MUESTRAS PARA PROYECTO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51</xdr:row>
      <xdr:rowOff>171450</xdr:rowOff>
    </xdr:from>
    <xdr:to>
      <xdr:col>5</xdr:col>
      <xdr:colOff>1685924</xdr:colOff>
      <xdr:row>53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38100</xdr:rowOff>
    </xdr:from>
    <xdr:to>
      <xdr:col>6</xdr:col>
      <xdr:colOff>0</xdr:colOff>
      <xdr:row>48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61</xdr:row>
      <xdr:rowOff>0</xdr:rowOff>
    </xdr:from>
    <xdr:to>
      <xdr:col>2</xdr:col>
      <xdr:colOff>38100</xdr:colOff>
      <xdr:row>62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61</xdr:row>
      <xdr:rowOff>0</xdr:rowOff>
    </xdr:from>
    <xdr:to>
      <xdr:col>2</xdr:col>
      <xdr:colOff>1019175</xdr:colOff>
      <xdr:row>61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0</xdr:rowOff>
    </xdr:from>
    <xdr:to>
      <xdr:col>3</xdr:col>
      <xdr:colOff>352425</xdr:colOff>
      <xdr:row>62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0</xdr:rowOff>
    </xdr:from>
    <xdr:to>
      <xdr:col>4</xdr:col>
      <xdr:colOff>257175</xdr:colOff>
      <xdr:row>62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0</xdr:rowOff>
    </xdr:from>
    <xdr:to>
      <xdr:col>5</xdr:col>
      <xdr:colOff>447675</xdr:colOff>
      <xdr:row>61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0</xdr:rowOff>
    </xdr:from>
    <xdr:to>
      <xdr:col>6</xdr:col>
      <xdr:colOff>0</xdr:colOff>
      <xdr:row>61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61</xdr:row>
      <xdr:rowOff>190500</xdr:rowOff>
    </xdr:from>
    <xdr:to>
      <xdr:col>2</xdr:col>
      <xdr:colOff>304800</xdr:colOff>
      <xdr:row>63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61</xdr:row>
      <xdr:rowOff>190500</xdr:rowOff>
    </xdr:from>
    <xdr:to>
      <xdr:col>2</xdr:col>
      <xdr:colOff>1276350</xdr:colOff>
      <xdr:row>63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190500</xdr:rowOff>
    </xdr:from>
    <xdr:to>
      <xdr:col>3</xdr:col>
      <xdr:colOff>619125</xdr:colOff>
      <xdr:row>63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190500</xdr:rowOff>
    </xdr:from>
    <xdr:to>
      <xdr:col>4</xdr:col>
      <xdr:colOff>523875</xdr:colOff>
      <xdr:row>63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190500</xdr:rowOff>
    </xdr:from>
    <xdr:to>
      <xdr:col>5</xdr:col>
      <xdr:colOff>723900</xdr:colOff>
      <xdr:row>63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190500</xdr:rowOff>
    </xdr:from>
    <xdr:to>
      <xdr:col>6</xdr:col>
      <xdr:colOff>0</xdr:colOff>
      <xdr:row>63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38</xdr:row>
      <xdr:rowOff>15239</xdr:rowOff>
    </xdr:from>
    <xdr:to>
      <xdr:col>6</xdr:col>
      <xdr:colOff>68580</xdr:colOff>
      <xdr:row>42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CORNISA SEGUN DIBUJO ADJUNTO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64</xdr:row>
      <xdr:rowOff>32385</xdr:rowOff>
    </xdr:from>
    <xdr:to>
      <xdr:col>6</xdr:col>
      <xdr:colOff>19050</xdr:colOff>
      <xdr:row>68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MUESTRA PARA PROYECTO HOSPITAL IQUIQUE, CORNISA SEGUN DIBUJO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ADJUNTO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45</xdr:row>
      <xdr:rowOff>41910</xdr:rowOff>
    </xdr:from>
    <xdr:to>
      <xdr:col>1</xdr:col>
      <xdr:colOff>801763</xdr:colOff>
      <xdr:row>51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epciondte@sistemamuebles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A2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6.88671875" customWidth="1"/>
    <col min="4" max="4" width="10.88671875" customWidth="1"/>
    <col min="5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151</v>
      </c>
      <c r="E8" s="1"/>
      <c r="F8" s="93" t="s">
        <v>27</v>
      </c>
      <c r="G8" s="94">
        <v>7223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5" t="s">
        <v>136</v>
      </c>
      <c r="D10" s="55"/>
      <c r="E10" s="55"/>
      <c r="F10" s="56" t="s">
        <v>28</v>
      </c>
      <c r="G10" s="57" t="s">
        <v>146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>
        <v>45814</v>
      </c>
      <c r="H11" s="62"/>
      <c r="I11" s="1"/>
    </row>
    <row r="12" spans="1:17" ht="16.8" x14ac:dyDescent="0.4">
      <c r="A12" s="1"/>
      <c r="B12" s="63" t="s">
        <v>130</v>
      </c>
      <c r="C12" s="107" t="s">
        <v>138</v>
      </c>
      <c r="D12" s="43"/>
      <c r="E12" s="43"/>
      <c r="F12" s="43" t="s">
        <v>30</v>
      </c>
      <c r="G12" s="64">
        <v>15982</v>
      </c>
      <c r="H12" s="65"/>
      <c r="I12" s="1"/>
    </row>
    <row r="13" spans="1:17" ht="15.6" x14ac:dyDescent="0.3">
      <c r="A13" s="1"/>
      <c r="B13" s="63" t="s">
        <v>132</v>
      </c>
      <c r="C13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63" t="s">
        <v>135</v>
      </c>
      <c r="C14" s="108" t="s">
        <v>144</v>
      </c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06" t="s">
        <v>140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07" t="s">
        <v>143</v>
      </c>
      <c r="D16" s="43"/>
      <c r="E16" s="43"/>
      <c r="F16" s="67" t="s">
        <v>75</v>
      </c>
      <c r="G16" s="67" t="s">
        <v>134</v>
      </c>
      <c r="H16" s="65"/>
      <c r="I16" s="1"/>
    </row>
    <row r="17" spans="1:16" ht="16.2" thickBot="1" x14ac:dyDescent="0.35">
      <c r="A17" s="1"/>
      <c r="B17" s="68" t="s">
        <v>3</v>
      </c>
      <c r="C17" s="109" t="s">
        <v>131</v>
      </c>
      <c r="D17" s="69"/>
      <c r="E17" s="70"/>
      <c r="F17" s="112" t="s">
        <v>18</v>
      </c>
      <c r="G17" s="112"/>
      <c r="H17" s="113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4" t="s">
        <v>19</v>
      </c>
      <c r="C20" s="115"/>
      <c r="D20" s="115"/>
      <c r="E20" s="115"/>
      <c r="F20" s="115"/>
      <c r="G20" s="115"/>
      <c r="H20" s="116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1</v>
      </c>
      <c r="C22" s="100" t="s">
        <v>141</v>
      </c>
      <c r="D22" s="110">
        <v>1000</v>
      </c>
      <c r="E22" s="110">
        <v>140</v>
      </c>
      <c r="F22" s="100" t="s">
        <v>149</v>
      </c>
      <c r="G22" s="111">
        <v>13276</v>
      </c>
      <c r="H22" s="111">
        <f>G22*B22</f>
        <v>13276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1</v>
      </c>
      <c r="C23" s="100" t="s">
        <v>142</v>
      </c>
      <c r="D23" s="110">
        <v>1000</v>
      </c>
      <c r="E23" s="110">
        <v>134</v>
      </c>
      <c r="F23" s="100" t="s">
        <v>149</v>
      </c>
      <c r="G23" s="111">
        <v>9658</v>
      </c>
      <c r="H23" s="111">
        <f>G23*B23</f>
        <v>9658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0">
        <v>1</v>
      </c>
      <c r="C24" s="100" t="s">
        <v>147</v>
      </c>
      <c r="D24" s="110">
        <v>1000</v>
      </c>
      <c r="E24" s="110">
        <v>140</v>
      </c>
      <c r="F24" s="100" t="s">
        <v>150</v>
      </c>
      <c r="G24" s="111">
        <v>13276</v>
      </c>
      <c r="H24" s="111">
        <f>G24*B24</f>
        <v>13276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0">
        <v>1</v>
      </c>
      <c r="C25" s="100" t="s">
        <v>148</v>
      </c>
      <c r="D25" s="110">
        <v>1000</v>
      </c>
      <c r="E25" s="110">
        <v>134</v>
      </c>
      <c r="F25" s="100" t="s">
        <v>150</v>
      </c>
      <c r="G25" s="111">
        <v>9658</v>
      </c>
      <c r="H25" s="111">
        <f>G25*B25</f>
        <v>9658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1"/>
      <c r="C26" s="101"/>
      <c r="D26" s="102"/>
      <c r="E26" s="102"/>
      <c r="F26" s="101"/>
      <c r="G26" s="103"/>
      <c r="H26" s="104"/>
      <c r="I26" s="1"/>
    </row>
    <row r="27" spans="1:16" ht="18" customHeight="1" thickBot="1" x14ac:dyDescent="0.35">
      <c r="A27" s="1"/>
      <c r="B27" s="101"/>
      <c r="C27" s="101"/>
      <c r="D27" s="102"/>
      <c r="E27" s="102"/>
      <c r="F27" s="101"/>
      <c r="G27" s="103"/>
      <c r="H27" s="104"/>
      <c r="I27" s="1"/>
    </row>
    <row r="28" spans="1:16" ht="15.6" x14ac:dyDescent="0.3">
      <c r="A28" s="1"/>
      <c r="B28" s="1"/>
      <c r="C28" s="1"/>
      <c r="D28" s="1"/>
      <c r="E28" s="1"/>
      <c r="F28" s="1"/>
      <c r="G28" s="75" t="s">
        <v>5</v>
      </c>
      <c r="H28" s="76">
        <f>SUM(H22:H25)</f>
        <v>45868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7" t="s">
        <v>6</v>
      </c>
      <c r="H29" s="78">
        <f>H28*19%</f>
        <v>8714.92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9" t="s">
        <v>4</v>
      </c>
      <c r="H30" s="80">
        <f>H28+H29</f>
        <v>54582.92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96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1" t="s">
        <v>123</v>
      </c>
      <c r="C33" s="82"/>
      <c r="D33" s="83"/>
      <c r="E33" s="83"/>
      <c r="F33" s="74"/>
      <c r="G33" s="1"/>
      <c r="H33" s="1"/>
      <c r="I33" s="1"/>
    </row>
    <row r="34" spans="1:9" ht="15.6" x14ac:dyDescent="0.3">
      <c r="A34" s="1"/>
      <c r="B34" s="81" t="s">
        <v>122</v>
      </c>
      <c r="C34" s="82"/>
      <c r="D34" s="83"/>
      <c r="E34" s="83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4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7:H17"/>
    <mergeCell ref="B20:H20"/>
  </mergeCells>
  <phoneticPr fontId="10" type="noConversion"/>
  <hyperlinks>
    <hyperlink ref="E35" r:id="rId1" xr:uid="{00000000-0004-0000-0000-000000000000}"/>
    <hyperlink ref="C14" r:id="rId2" xr:uid="{5CE97F39-FCAE-4604-9342-92FE8750514A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2"/>
  <sheetViews>
    <sheetView zoomScaleNormal="100" workbookViewId="0">
      <selection sqref="A1:G4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7223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SISTEMAS SERVICIOS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45814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145</v>
      </c>
      <c r="B14" s="25">
        <f t="shared" ref="B14" si="0">I14</f>
        <v>1</v>
      </c>
      <c r="C14" s="25"/>
      <c r="D14" s="25">
        <f t="shared" ref="D14" si="1">J14+D$13</f>
        <v>1080</v>
      </c>
      <c r="E14" s="35">
        <f>K14+E$13</f>
        <v>140</v>
      </c>
      <c r="F14" s="98" t="str">
        <f>C33</f>
        <v>CORNISA 1L R19</v>
      </c>
      <c r="G14" s="1"/>
      <c r="I14" s="3">
        <f>I24</f>
        <v>1</v>
      </c>
      <c r="J14" s="4">
        <f>D33</f>
        <v>1000</v>
      </c>
      <c r="K14" s="4">
        <f>E33</f>
        <v>140</v>
      </c>
    </row>
    <row r="15" spans="1:14" ht="15.6" x14ac:dyDescent="0.3">
      <c r="A15" s="95"/>
      <c r="B15" s="25">
        <f t="shared" ref="B15" si="2">I15</f>
        <v>1</v>
      </c>
      <c r="C15" s="25"/>
      <c r="D15" s="25">
        <f t="shared" ref="D15" si="3">J15+D$13</f>
        <v>1080</v>
      </c>
      <c r="E15" s="35">
        <f>K15+E$13</f>
        <v>134</v>
      </c>
      <c r="F15" s="98" t="str">
        <f>C34</f>
        <v>CEN 1V R19</v>
      </c>
      <c r="G15" s="1"/>
      <c r="I15" s="3">
        <f>I25</f>
        <v>1</v>
      </c>
      <c r="J15" s="4">
        <f>D34</f>
        <v>1000</v>
      </c>
      <c r="K15" s="4">
        <f>E34</f>
        <v>134</v>
      </c>
    </row>
    <row r="16" spans="1:14" ht="15.6" x14ac:dyDescent="0.3">
      <c r="A16" s="95"/>
      <c r="B16" s="25">
        <f t="shared" ref="B16:B17" si="4">I16</f>
        <v>1</v>
      </c>
      <c r="C16" s="25"/>
      <c r="D16" s="25">
        <f t="shared" ref="D16:D17" si="5">J16+D$13</f>
        <v>1080</v>
      </c>
      <c r="E16" s="35">
        <f t="shared" ref="E16:E17" si="6">K16+E$13</f>
        <v>140</v>
      </c>
      <c r="F16" s="98" t="str">
        <f t="shared" ref="F16:F17" si="7">C35</f>
        <v>CORNISA 1L R20</v>
      </c>
      <c r="G16" s="1"/>
      <c r="I16" s="3">
        <f t="shared" ref="I16:I17" si="8">I26</f>
        <v>1</v>
      </c>
      <c r="J16" s="4">
        <f t="shared" ref="J16:K16" si="9">D35</f>
        <v>1000</v>
      </c>
      <c r="K16" s="4">
        <f t="shared" si="9"/>
        <v>140</v>
      </c>
    </row>
    <row r="17" spans="1:11" ht="15.6" x14ac:dyDescent="0.3">
      <c r="A17" s="95"/>
      <c r="B17" s="25">
        <f t="shared" si="4"/>
        <v>1</v>
      </c>
      <c r="C17" s="25"/>
      <c r="D17" s="25">
        <f t="shared" si="5"/>
        <v>1080</v>
      </c>
      <c r="E17" s="35">
        <f t="shared" si="6"/>
        <v>134</v>
      </c>
      <c r="F17" s="98" t="str">
        <f t="shared" si="7"/>
        <v>CEN 1V R20</v>
      </c>
      <c r="G17" s="1"/>
      <c r="I17" s="3">
        <f t="shared" si="8"/>
        <v>1</v>
      </c>
      <c r="J17" s="4">
        <f t="shared" ref="J17:K17" si="10">D36</f>
        <v>1000</v>
      </c>
      <c r="K17" s="4">
        <f t="shared" si="10"/>
        <v>134</v>
      </c>
    </row>
    <row r="18" spans="1:11" ht="15.6" x14ac:dyDescent="0.3">
      <c r="A18" s="52"/>
      <c r="B18" s="6"/>
      <c r="C18" s="6"/>
      <c r="D18" s="6"/>
      <c r="E18" s="88"/>
      <c r="F18" s="6"/>
      <c r="G18" s="1"/>
      <c r="I18" s="89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20" t="s">
        <v>14</v>
      </c>
      <c r="B20" s="120"/>
      <c r="C20" s="120"/>
      <c r="D20" s="120"/>
      <c r="E20" s="120"/>
      <c r="F20" s="120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70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5"/>
      <c r="B24" s="16">
        <f t="shared" ref="B24" si="11">I24</f>
        <v>1</v>
      </c>
      <c r="C24" s="16"/>
      <c r="D24" s="16">
        <f>J24+D$23</f>
        <v>1040</v>
      </c>
      <c r="E24" s="16">
        <f>K24+E$23</f>
        <v>210</v>
      </c>
      <c r="F24" s="99" t="str">
        <f>C33</f>
        <v>CORNISA 1L R19</v>
      </c>
      <c r="G24" s="1"/>
      <c r="I24" s="3">
        <f>B33</f>
        <v>1</v>
      </c>
      <c r="J24" s="4">
        <f t="shared" ref="J24:K24" si="12">D33</f>
        <v>1000</v>
      </c>
      <c r="K24" s="4">
        <f t="shared" si="12"/>
        <v>140</v>
      </c>
    </row>
    <row r="25" spans="1:11" ht="15.6" x14ac:dyDescent="0.3">
      <c r="A25" s="95"/>
      <c r="B25" s="16">
        <f t="shared" ref="B25" si="13">I25</f>
        <v>1</v>
      </c>
      <c r="C25" s="16"/>
      <c r="D25" s="16">
        <f>J25+D$23</f>
        <v>1040</v>
      </c>
      <c r="E25" s="16">
        <v>210</v>
      </c>
      <c r="F25" s="99" t="str">
        <f>C34</f>
        <v>CEN 1V R19</v>
      </c>
      <c r="G25" s="1"/>
      <c r="I25" s="3">
        <f>B34</f>
        <v>1</v>
      </c>
      <c r="J25" s="4">
        <f t="shared" ref="J25" si="14">D34</f>
        <v>1000</v>
      </c>
      <c r="K25" s="4">
        <f t="shared" ref="K25" si="15">E34</f>
        <v>134</v>
      </c>
    </row>
    <row r="26" spans="1:11" ht="15.6" x14ac:dyDescent="0.3">
      <c r="A26" s="95"/>
      <c r="B26" s="16">
        <f t="shared" ref="B26:B27" si="16">I26</f>
        <v>1</v>
      </c>
      <c r="C26" s="16"/>
      <c r="D26" s="16">
        <f t="shared" ref="D26:D27" si="17">J26+D$23</f>
        <v>1040</v>
      </c>
      <c r="E26" s="16">
        <v>210</v>
      </c>
      <c r="F26" s="99" t="str">
        <f t="shared" ref="F26:F27" si="18">C35</f>
        <v>CORNISA 1L R20</v>
      </c>
      <c r="G26" s="1"/>
      <c r="I26" s="3">
        <f t="shared" ref="I26:I27" si="19">B35</f>
        <v>1</v>
      </c>
      <c r="J26" s="4">
        <f t="shared" ref="J26:J27" si="20">D35</f>
        <v>1000</v>
      </c>
      <c r="K26" s="4">
        <f t="shared" ref="K26:K27" si="21">E35</f>
        <v>140</v>
      </c>
    </row>
    <row r="27" spans="1:11" ht="15.6" x14ac:dyDescent="0.3">
      <c r="A27" s="95"/>
      <c r="B27" s="16">
        <f t="shared" si="16"/>
        <v>1</v>
      </c>
      <c r="C27" s="16"/>
      <c r="D27" s="16">
        <f t="shared" si="17"/>
        <v>1040</v>
      </c>
      <c r="E27" s="16">
        <v>210</v>
      </c>
      <c r="F27" s="99" t="str">
        <f t="shared" si="18"/>
        <v>CEN 1V R20</v>
      </c>
      <c r="G27" s="1"/>
      <c r="I27" s="3">
        <f t="shared" si="19"/>
        <v>1</v>
      </c>
      <c r="J27" s="4">
        <f t="shared" si="20"/>
        <v>1000</v>
      </c>
      <c r="K27" s="4">
        <f t="shared" si="21"/>
        <v>134</v>
      </c>
    </row>
    <row r="28" spans="1:11" ht="15.6" x14ac:dyDescent="0.3">
      <c r="A28" s="95"/>
      <c r="B28" s="6"/>
      <c r="C28" s="6"/>
      <c r="D28" s="6"/>
      <c r="E28" s="6"/>
      <c r="F28" s="105"/>
      <c r="G28" s="1"/>
      <c r="I28" s="89"/>
      <c r="J28" s="2"/>
      <c r="K28" s="2"/>
    </row>
    <row r="29" spans="1:11" ht="16.2" thickBot="1" x14ac:dyDescent="0.35">
      <c r="A29" s="52"/>
      <c r="B29" s="6"/>
      <c r="C29" s="6"/>
      <c r="D29" s="6"/>
      <c r="E29" s="6"/>
      <c r="F29" s="6"/>
      <c r="G29" s="1"/>
      <c r="I29" s="2"/>
      <c r="J29" s="2"/>
      <c r="K29" s="2"/>
    </row>
    <row r="30" spans="1:11" ht="16.2" thickBot="1" x14ac:dyDescent="0.35">
      <c r="A30" s="52"/>
      <c r="B30" s="22" t="s">
        <v>107</v>
      </c>
      <c r="C30" s="23"/>
      <c r="D30" s="23"/>
      <c r="E30" s="23"/>
      <c r="F30" s="24"/>
      <c r="G30" s="1"/>
      <c r="I30" s="2"/>
      <c r="J30" s="2"/>
      <c r="K30" s="2"/>
    </row>
    <row r="31" spans="1:11" ht="10.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52" t="s">
        <v>9</v>
      </c>
      <c r="B32" s="87" t="s">
        <v>10</v>
      </c>
      <c r="C32" s="87" t="s">
        <v>110</v>
      </c>
      <c r="D32" s="87" t="s">
        <v>7</v>
      </c>
      <c r="E32" s="87" t="s">
        <v>8</v>
      </c>
      <c r="F32" s="87" t="s">
        <v>23</v>
      </c>
      <c r="G32" s="1"/>
    </row>
    <row r="33" spans="1:7" ht="15.6" x14ac:dyDescent="0.3">
      <c r="A33" s="95" t="s">
        <v>145</v>
      </c>
      <c r="B33" s="25">
        <f>'4637'!B22</f>
        <v>1</v>
      </c>
      <c r="C33" s="98" t="str">
        <f>'4637'!C22</f>
        <v>CORNISA 1L R19</v>
      </c>
      <c r="D33" s="25">
        <f>'4637'!D22</f>
        <v>1000</v>
      </c>
      <c r="E33" s="25">
        <f>'4637'!E22</f>
        <v>140</v>
      </c>
      <c r="F33" s="25" t="str">
        <f>'4637'!F22</f>
        <v>TRAIGHT WALNUT  10848 SF</v>
      </c>
      <c r="G33" s="1"/>
    </row>
    <row r="34" spans="1:7" ht="15.6" x14ac:dyDescent="0.3">
      <c r="A34" s="95"/>
      <c r="B34" s="25">
        <f>'4637'!B23</f>
        <v>1</v>
      </c>
      <c r="C34" s="98" t="str">
        <f>'4637'!C23</f>
        <v>CEN 1V R19</v>
      </c>
      <c r="D34" s="25">
        <f>'4637'!D23</f>
        <v>1000</v>
      </c>
      <c r="E34" s="25">
        <f>'4637'!E23</f>
        <v>134</v>
      </c>
      <c r="F34" s="25" t="str">
        <f>'4637'!F23</f>
        <v>TRAIGHT WALNUT  10848 SF</v>
      </c>
      <c r="G34" s="1"/>
    </row>
    <row r="35" spans="1:7" ht="15.6" x14ac:dyDescent="0.3">
      <c r="A35" s="95"/>
      <c r="B35" s="25">
        <f>'4637'!B24</f>
        <v>1</v>
      </c>
      <c r="C35" s="98" t="str">
        <f>'4637'!C24</f>
        <v>CORNISA 1L R20</v>
      </c>
      <c r="D35" s="25">
        <f>'4637'!D24</f>
        <v>1000</v>
      </c>
      <c r="E35" s="25">
        <f>'4637'!E24</f>
        <v>140</v>
      </c>
      <c r="F35" s="25" t="str">
        <f>'4637'!F24</f>
        <v>IRISH CREAM 21027 SF</v>
      </c>
      <c r="G35" s="1"/>
    </row>
    <row r="36" spans="1:7" ht="15.6" x14ac:dyDescent="0.3">
      <c r="A36" s="95"/>
      <c r="B36" s="25">
        <f>'4637'!B25</f>
        <v>1</v>
      </c>
      <c r="C36" s="98" t="str">
        <f>'4637'!C25</f>
        <v>CEN 1V R20</v>
      </c>
      <c r="D36" s="25">
        <f>'4637'!D25</f>
        <v>1000</v>
      </c>
      <c r="E36" s="25">
        <f>'4637'!E25</f>
        <v>134</v>
      </c>
      <c r="F36" s="25" t="str">
        <f>'4637'!F25</f>
        <v>IRISH CREAM 21027 SF</v>
      </c>
      <c r="G36" s="1"/>
    </row>
    <row r="37" spans="1:7" ht="15.6" x14ac:dyDescent="0.3">
      <c r="A37" s="52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40" t="s">
        <v>27</v>
      </c>
      <c r="D47" s="14">
        <f>'4637'!G8</f>
        <v>7223</v>
      </c>
      <c r="E47" s="1"/>
      <c r="F47" s="1"/>
      <c r="G47" s="1"/>
    </row>
    <row r="48" spans="1:7" ht="17.25" customHeight="1" x14ac:dyDescent="0.3">
      <c r="A48" s="1"/>
      <c r="B48" s="1"/>
      <c r="C48" s="41" t="s">
        <v>67</v>
      </c>
      <c r="D48" s="42" t="str">
        <f>'4637'!C10</f>
        <v>SISTEMAS SERVICIOS SPA</v>
      </c>
      <c r="E48" s="43"/>
      <c r="F48" s="43"/>
      <c r="G48" s="1"/>
    </row>
    <row r="49" spans="1:7" ht="4.5" customHeight="1" x14ac:dyDescent="0.3">
      <c r="A49" s="1"/>
      <c r="B49" s="1"/>
      <c r="C49" s="44"/>
      <c r="D49" s="45"/>
      <c r="E49" s="1"/>
      <c r="F49" s="1"/>
      <c r="G49" s="1"/>
    </row>
    <row r="50" spans="1:7" ht="15.6" x14ac:dyDescent="0.3">
      <c r="A50" s="1"/>
      <c r="B50" s="1"/>
      <c r="C50" s="46" t="str">
        <f>'4637'!F11</f>
        <v>FECHA LIMITE :</v>
      </c>
      <c r="D50" s="13">
        <f>'4637'!G11</f>
        <v>45814</v>
      </c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20" t="s">
        <v>68</v>
      </c>
      <c r="B53" s="120"/>
      <c r="C53" s="120"/>
      <c r="D53" s="120"/>
      <c r="E53" s="120"/>
      <c r="F53" s="120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75" customHeight="1" x14ac:dyDescent="0.3">
      <c r="A55" s="1"/>
      <c r="B55" s="121" t="s">
        <v>69</v>
      </c>
      <c r="C55" s="122"/>
      <c r="D55" s="123"/>
      <c r="E55" s="123"/>
      <c r="F55" s="124"/>
      <c r="G55" s="1"/>
    </row>
    <row r="56" spans="1:7" s="15" customFormat="1" ht="12.75" customHeight="1" x14ac:dyDescent="0.3">
      <c r="A56" s="1"/>
      <c r="B56" s="36" t="s">
        <v>10</v>
      </c>
      <c r="C56" s="47" t="s">
        <v>11</v>
      </c>
      <c r="D56" s="48" t="s">
        <v>7</v>
      </c>
      <c r="E56" s="48" t="s">
        <v>8</v>
      </c>
      <c r="F56" s="49" t="s">
        <v>12</v>
      </c>
      <c r="G56" s="1"/>
    </row>
    <row r="57" spans="1:7" s="15" customFormat="1" ht="15" customHeight="1" x14ac:dyDescent="0.3">
      <c r="A57" s="95" t="s">
        <v>145</v>
      </c>
      <c r="B57" s="38">
        <f>'4637'!B22</f>
        <v>1</v>
      </c>
      <c r="C57" s="97" t="str">
        <f>'4637'!C22</f>
        <v>CORNISA 1L R19</v>
      </c>
      <c r="D57" s="39">
        <f>'4637'!D22</f>
        <v>1000</v>
      </c>
      <c r="E57" s="39">
        <f>'4637'!E22</f>
        <v>140</v>
      </c>
      <c r="F57" s="38" t="str">
        <f>'4637'!F22</f>
        <v>TRAIGHT WALNUT  10848 SF</v>
      </c>
      <c r="G57" s="1"/>
    </row>
    <row r="58" spans="1:7" s="15" customFormat="1" ht="15" customHeight="1" x14ac:dyDescent="0.3">
      <c r="A58" s="95"/>
      <c r="B58" s="38">
        <f>'4637'!B23</f>
        <v>1</v>
      </c>
      <c r="C58" s="97" t="str">
        <f>'4637'!C23</f>
        <v>CEN 1V R19</v>
      </c>
      <c r="D58" s="39">
        <f>'4637'!D23</f>
        <v>1000</v>
      </c>
      <c r="E58" s="39">
        <f>'4637'!E23</f>
        <v>134</v>
      </c>
      <c r="F58" s="38" t="str">
        <f>'4637'!F23</f>
        <v>TRAIGHT WALNUT  10848 SF</v>
      </c>
      <c r="G58" s="1"/>
    </row>
    <row r="59" spans="1:7" s="15" customFormat="1" ht="15" customHeight="1" x14ac:dyDescent="0.3">
      <c r="A59" s="95"/>
      <c r="B59" s="38">
        <f>'4637'!B24</f>
        <v>1</v>
      </c>
      <c r="C59" s="97" t="str">
        <f>'4637'!C24</f>
        <v>CORNISA 1L R20</v>
      </c>
      <c r="D59" s="39">
        <f>'4637'!D24</f>
        <v>1000</v>
      </c>
      <c r="E59" s="39">
        <f>'4637'!E24</f>
        <v>140</v>
      </c>
      <c r="F59" s="38" t="str">
        <f>'4637'!F24</f>
        <v>IRISH CREAM 21027 SF</v>
      </c>
      <c r="G59" s="1"/>
    </row>
    <row r="60" spans="1:7" s="15" customFormat="1" ht="15" customHeight="1" x14ac:dyDescent="0.3">
      <c r="A60" s="95"/>
      <c r="B60" s="38">
        <f>'4637'!B25</f>
        <v>1</v>
      </c>
      <c r="C60" s="97" t="str">
        <f>'4637'!C25</f>
        <v>CEN 1V R20</v>
      </c>
      <c r="D60" s="39">
        <f>'4637'!D25</f>
        <v>1000</v>
      </c>
      <c r="E60" s="39">
        <f>'4637'!E25</f>
        <v>134</v>
      </c>
      <c r="F60" s="38" t="str">
        <f>'4637'!F25</f>
        <v>IRISH CREAM 21027 SF</v>
      </c>
      <c r="G60" s="1"/>
    </row>
    <row r="61" spans="1:7" s="15" customFormat="1" ht="15" customHeight="1" x14ac:dyDescent="0.3">
      <c r="A61" s="50"/>
      <c r="B61" s="52"/>
      <c r="C61" s="52"/>
      <c r="D61" s="52"/>
      <c r="E61" s="52"/>
      <c r="F61" s="52"/>
      <c r="G61" s="1"/>
    </row>
    <row r="62" spans="1:7" ht="15.6" x14ac:dyDescent="0.3">
      <c r="A62" s="6"/>
      <c r="B62" s="6"/>
      <c r="C62" s="1"/>
      <c r="D62" s="6"/>
      <c r="E62" s="6"/>
      <c r="F62" s="44"/>
      <c r="G62" s="1"/>
    </row>
    <row r="63" spans="1:7" ht="15.6" x14ac:dyDescent="0.3">
      <c r="A63" s="6"/>
      <c r="B63" s="6"/>
      <c r="C63" s="1"/>
      <c r="D63" s="6"/>
      <c r="E63" s="6"/>
      <c r="F63" s="6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" customHeight="1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6"/>
      <c r="B69" s="5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x14ac:dyDescent="0.3">
      <c r="B71" s="20"/>
      <c r="C71" s="20"/>
      <c r="D71" s="20"/>
      <c r="E71" s="20"/>
      <c r="F71" s="20"/>
    </row>
    <row r="72" spans="1:7" x14ac:dyDescent="0.3">
      <c r="B72" s="20"/>
      <c r="C72" s="20"/>
      <c r="E72" s="20"/>
      <c r="F72" s="20"/>
    </row>
  </sheetData>
  <mergeCells count="6">
    <mergeCell ref="M3:N3"/>
    <mergeCell ref="A20:F20"/>
    <mergeCell ref="A10:F10"/>
    <mergeCell ref="A53:F53"/>
    <mergeCell ref="B55:F5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2025-06-03T13:32:17Z</cp:lastPrinted>
  <dcterms:created xsi:type="dcterms:W3CDTF">2013-03-19T12:54:14Z</dcterms:created>
  <dcterms:modified xsi:type="dcterms:W3CDTF">2025-06-04T20:29:00Z</dcterms:modified>
</cp:coreProperties>
</file>