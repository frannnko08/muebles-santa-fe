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B490EB5D-DE56-4EBE-ABA1-4655DDC4A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2" i="4"/>
  <c r="H26" i="4"/>
  <c r="B30" i="3" l="1"/>
  <c r="I23" i="3" s="1"/>
  <c r="B23" i="3" s="1"/>
  <c r="C30" i="3"/>
  <c r="F15" i="3" s="1"/>
  <c r="D30" i="3"/>
  <c r="J15" i="3" s="1"/>
  <c r="D15" i="3" s="1"/>
  <c r="E30" i="3"/>
  <c r="K15" i="3" s="1"/>
  <c r="E15" i="3" s="1"/>
  <c r="F30" i="3"/>
  <c r="B52" i="3"/>
  <c r="C52" i="3"/>
  <c r="D52" i="3"/>
  <c r="E52" i="3"/>
  <c r="F52" i="3"/>
  <c r="J23" i="3" l="1"/>
  <c r="D23" i="3" s="1"/>
  <c r="F23" i="3"/>
  <c r="K23" i="3"/>
  <c r="I15" i="3"/>
  <c r="B15" i="3" s="1"/>
  <c r="B29" i="3"/>
  <c r="I22" i="3" s="1"/>
  <c r="C29" i="3"/>
  <c r="F14" i="3" s="1"/>
  <c r="D29" i="3"/>
  <c r="J14" i="3" s="1"/>
  <c r="D14" i="3" s="1"/>
  <c r="E29" i="3"/>
  <c r="K22" i="3" s="1"/>
  <c r="F29" i="3"/>
  <c r="B51" i="3"/>
  <c r="C51" i="3"/>
  <c r="D51" i="3"/>
  <c r="E51" i="3"/>
  <c r="F51" i="3"/>
  <c r="J22" i="3" l="1"/>
  <c r="D22" i="3" s="1"/>
  <c r="K14" i="3"/>
  <c r="E14" i="3" s="1"/>
  <c r="B22" i="3"/>
  <c r="I14" i="3"/>
  <c r="B14" i="3" s="1"/>
  <c r="F22" i="3"/>
  <c r="H27" i="4" l="1"/>
  <c r="H28" i="4" s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<sst xmlns="http://schemas.openxmlformats.org/spreadsheetml/2006/main" count="254" uniqueCount="148">
  <si>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</si>
  <si>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</si>
  <si>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</si>
  <si>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</si>
  <si>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</si>
  <si>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</si>
  <si>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</si>
  <si>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</si>
  <si>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</si>
  <si>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</si>
  <si>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</si>
  <si>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</si>
  <si>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</si>
  <si>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</si>
  <si>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</si>
  <si>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</si>
  <si>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</si>
  <si>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</si>
  <si>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</si>
  <si>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</si>
  <si>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</si>
  <si>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</si>
  <si>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</si>
  <si>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</si>
  <si>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</si>
  <si>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</si>
  <si>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</si>
  <si>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</si>
  <si>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</si>
  <si>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</si>
  <si>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</si>
  <si>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</si>
  <si>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</si>
  <si>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</si>
  <si>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</si>
  <si>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</si>
  <si>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</si>
  <si>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</si>
  <si>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</si>
  <si>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</si>
  <si>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</si>
  <si>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</si>
  <si>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</si>
  <si>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</si>
  <si>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</si>
  <si>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</si>
  <si>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</si>
  <si>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</si>
  <si>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</si>
  <si>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</si>
  <si>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</si>
  <si>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</si>
  <si>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</si>
  <si>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</si>
  <si>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</si>
  <si>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</si>
  <si>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</si>
  <si>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</si>
  <si>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</si>
  <si>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</si>
  <si>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</si>
  <si>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</si>
  <si>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</si>
  <si>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</si>
  <si>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</si>
  <si>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</si>
  <si>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</si>
  <si>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</si>
  <si>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</si>
  <si>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</si>
  <si>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</si>
  <si>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</si>
  <si>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</si>
  <si>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</si>
  <si>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</si>
  <si>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</si>
  <si>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</si>
  <si>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</si>
  <si>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</si>
  <si>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</si>
  <si>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</si>
  <si>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</si>
  <si>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</si>
  <si>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</si>
  <si>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</si>
  <si>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</si>
  <si>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</si>
  <si>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</si>
  <si>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</si>
  <si>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</si>
  <si>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</si>
  <si>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</si>
  <si>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</si>
  <si>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</si>
  <si>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</si>
  <si>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</si>
  <si>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</si>
  <si>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</si>
  <si>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</si>
  <si>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</si>
  <si>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</si>
  <si>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</si>
  <si>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</si>
  <si>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</si>
  <si>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</si>
  <si>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</si>
  <si>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</si>
  <si>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</si>
  <si>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</si>
  <si>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</si>
  <si>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</si>
  <si>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</si>
  <si>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</si>
  <si>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</si>
  <si>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</si>
  <si>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</si>
  <si>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</si>
  <si>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</si>
  <si>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</si>
  <si>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</si>
  <si>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</si>
  <si>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</si>
  <si>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</si>
  <si>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</si>
  <si>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</si>
  <si>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</si>
  <si>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</si>
  <si>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</si>
  <si>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</si>
  <si>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</si>
  <si>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</si>
  <si>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</si>
  <si>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</si>
  <si>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</si>
  <si>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</si>
  <si>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CORREO:</t>
  </si>
  <si>
    <t>MDF30MM</t>
  </si>
  <si>
    <t>N° 11443</t>
  </si>
  <si>
    <t>CLEFMAN LTDA</t>
  </si>
  <si>
    <t>76.618.168-6</t>
  </si>
  <si>
    <t>MANTENCION DE LABORATORIOS</t>
  </si>
  <si>
    <t>IGNACIO VEGAS</t>
  </si>
  <si>
    <t>IGNACIO.VEGA@CLEFMAN.CL</t>
  </si>
  <si>
    <t>+569 3079 6218</t>
  </si>
  <si>
    <t>ROMAN DIAZ 1342 PROVIDENCIA</t>
  </si>
  <si>
    <t>LATERAL 180° 2V MDF 30MM</t>
  </si>
  <si>
    <t>BLANCO OPACO</t>
  </si>
  <si>
    <t>VER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</si>
</sst>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8" fillId="0" borderId="0" xfId="0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$ 159.329.- saldo $ 159.330.-</a:t>
          </a:r>
          <a:r>
            <a:rPr lang="es-CL" sz="900" b="1" i="1" baseline="0"/>
            <a:t> Banco Estado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 Y ENCHAPADAS CON TAPACANTO PVC 0,4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CORATDA 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MEDIDA Y ENCHAPAR CON TAPACANTO PVC 0,4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GNACIO.VEGA@CLEFMAN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7" workbookViewId="0">
      <selection activeCell="J24" sqref="J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33203125" customWidth="1"/>
    <col min="4" max="4" width="10.88671875" customWidth="1"/>
    <col min="5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7225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5" t="s">
        <v>138</v>
      </c>
      <c r="D10" s="55"/>
      <c r="E10" s="55"/>
      <c r="F10" s="56" t="s">
        <v>28</v>
      </c>
      <c r="G10" s="57">
        <v>45811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2" t="s">
        <v>139</v>
      </c>
      <c r="D11" s="60"/>
      <c r="E11" s="60"/>
      <c r="F11" s="60" t="s">
        <v>124</v>
      </c>
      <c r="G11" s="61">
        <v>45814</v>
      </c>
      <c r="H11" s="62"/>
      <c r="I11" s="1"/>
    </row>
    <row r="12" spans="1:17" ht="16.8" x14ac:dyDescent="0.4">
      <c r="A12" s="1"/>
      <c r="B12" s="63" t="s">
        <v>130</v>
      </c>
      <c r="C12" s="107" t="s">
        <v>140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141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135</v>
      </c>
      <c r="C14" s="108" t="s">
        <v>142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6" t="s">
        <v>143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7" t="s">
        <v>144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09" t="s">
        <v>131</v>
      </c>
      <c r="D17" s="69"/>
      <c r="E17" s="70"/>
      <c r="F17" s="113" t="s">
        <v>18</v>
      </c>
      <c r="G17" s="113"/>
      <c r="H17" s="114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5" t="s">
        <v>19</v>
      </c>
      <c r="C20" s="116"/>
      <c r="D20" s="116"/>
      <c r="E20" s="116"/>
      <c r="F20" s="116"/>
      <c r="G20" s="116"/>
      <c r="H20" s="117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00" t="s">
        <v>145</v>
      </c>
      <c r="D22" s="110">
        <v>1990</v>
      </c>
      <c r="E22" s="110">
        <v>500</v>
      </c>
      <c r="F22" s="100" t="s">
        <v>146</v>
      </c>
      <c r="G22" s="111">
        <v>133735</v>
      </c>
      <c r="H22" s="111">
        <f>G22*B22</f>
        <v>133735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00" t="s">
        <v>145</v>
      </c>
      <c r="D23" s="110">
        <v>1995</v>
      </c>
      <c r="E23" s="110">
        <v>500</v>
      </c>
      <c r="F23" s="100" t="s">
        <v>146</v>
      </c>
      <c r="G23" s="111">
        <v>134046</v>
      </c>
      <c r="H23" s="111">
        <f>G23*B23</f>
        <v>134046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/>
      <c r="C24" s="101"/>
      <c r="D24" s="102"/>
      <c r="E24" s="102"/>
      <c r="F24" s="101"/>
      <c r="G24" s="103"/>
      <c r="H24" s="104"/>
      <c r="I24" s="1"/>
    </row>
    <row r="25" spans="1:16" ht="18" customHeight="1" thickBot="1" x14ac:dyDescent="0.35">
      <c r="A25" s="1"/>
      <c r="B25" s="101"/>
      <c r="C25" s="101"/>
      <c r="D25" s="102"/>
      <c r="E25" s="102"/>
      <c r="F25" s="101"/>
      <c r="G25" s="103"/>
      <c r="H25" s="10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SUM(H22:H23)</f>
        <v>267781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50878.39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318659.39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6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1" t="s">
        <v>123</v>
      </c>
      <c r="C31" s="82"/>
      <c r="D31" s="83"/>
      <c r="E31" s="83"/>
      <c r="F31" s="74"/>
      <c r="G31" s="1"/>
      <c r="H31" s="1"/>
      <c r="I31" s="1"/>
    </row>
    <row r="32" spans="1:16" ht="15.6" x14ac:dyDescent="0.3">
      <c r="A32" s="1"/>
      <c r="B32" s="81" t="s">
        <v>122</v>
      </c>
      <c r="C32" s="82"/>
      <c r="D32" s="83"/>
      <c r="E32" s="83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7:H17"/>
    <mergeCell ref="B20:H20"/>
  </mergeCells>
  <phoneticPr fontId="10" type="noConversion"/>
  <hyperlinks>
    <hyperlink ref="E33" r:id="rId1" xr:uid="{00000000-0004-0000-0000-000000000000}"/>
    <hyperlink ref="C14" r:id="rId2" xr:uid="{4DC9EC49-ACA9-4D61-B035-CD9573981C19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zoomScaleNormal="100" workbookViewId="0">
      <selection sqref="A1:G3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7225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CLEFMAN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45814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136</v>
      </c>
      <c r="B14" s="25">
        <f t="shared" ref="B14" si="0">I14</f>
        <v>1</v>
      </c>
      <c r="C14" s="25"/>
      <c r="D14" s="25">
        <f t="shared" ref="D14" si="1">J14+D$13</f>
        <v>2070</v>
      </c>
      <c r="E14" s="35">
        <f>K14+E$13</f>
        <v>500</v>
      </c>
      <c r="F14" s="98" t="str">
        <f>C29</f>
        <v>LATERAL 180° 2V MDF 30MM</v>
      </c>
      <c r="G14" s="1"/>
      <c r="I14" s="3">
        <f>I22</f>
        <v>1</v>
      </c>
      <c r="J14" s="4">
        <f>D29</f>
        <v>1990</v>
      </c>
      <c r="K14" s="4">
        <f>E29</f>
        <v>500</v>
      </c>
    </row>
    <row r="15" spans="1:14" ht="15.6" x14ac:dyDescent="0.3">
      <c r="A15" s="95"/>
      <c r="B15" s="25">
        <f t="shared" ref="B15" si="2">I15</f>
        <v>1</v>
      </c>
      <c r="C15" s="25"/>
      <c r="D15" s="25">
        <f t="shared" ref="D15" si="3">J15+D$13</f>
        <v>2075</v>
      </c>
      <c r="E15" s="35">
        <f>K15+E$13</f>
        <v>500</v>
      </c>
      <c r="F15" s="98" t="str">
        <f>C30</f>
        <v>LATERAL 180° 2V MDF 30MM</v>
      </c>
      <c r="G15" s="1"/>
      <c r="I15" s="3">
        <f>I23</f>
        <v>1</v>
      </c>
      <c r="J15" s="4">
        <f>D30</f>
        <v>1995</v>
      </c>
      <c r="K15" s="4">
        <f>E30</f>
        <v>500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1" t="s">
        <v>14</v>
      </c>
      <c r="B18" s="121"/>
      <c r="C18" s="121"/>
      <c r="D18" s="121"/>
      <c r="E18" s="121"/>
      <c r="F18" s="12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/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4">I22</f>
        <v>1</v>
      </c>
      <c r="C22" s="16" t="s">
        <v>147</v>
      </c>
      <c r="D22" s="16">
        <f>J22+D$21</f>
        <v>2030</v>
      </c>
      <c r="E22" s="16"/>
      <c r="F22" s="99" t="str">
        <f>C29</f>
        <v>LATERAL 180° 2V MDF 30MM</v>
      </c>
      <c r="G22" s="1"/>
      <c r="I22" s="3">
        <f>B29</f>
        <v>1</v>
      </c>
      <c r="J22" s="4">
        <f t="shared" ref="J22:K22" si="5">D29</f>
        <v>1990</v>
      </c>
      <c r="K22" s="4">
        <f t="shared" si="5"/>
        <v>500</v>
      </c>
    </row>
    <row r="23" spans="1:11" ht="15.6" x14ac:dyDescent="0.3">
      <c r="A23" s="95"/>
      <c r="B23" s="16">
        <f t="shared" ref="B23" si="6">I23</f>
        <v>1</v>
      </c>
      <c r="C23" s="16" t="s">
        <v>147</v>
      </c>
      <c r="D23" s="16">
        <f>J23+D$21</f>
        <v>2035</v>
      </c>
      <c r="E23" s="16"/>
      <c r="F23" s="99" t="str">
        <f>C30</f>
        <v>LATERAL 180° 2V MDF 30MM</v>
      </c>
      <c r="G23" s="1"/>
      <c r="I23" s="3">
        <f>B30</f>
        <v>1</v>
      </c>
      <c r="J23" s="4">
        <f t="shared" ref="J23" si="7">D30</f>
        <v>1995</v>
      </c>
      <c r="K23" s="4">
        <f t="shared" ref="K23" si="8">E30</f>
        <v>500</v>
      </c>
    </row>
    <row r="24" spans="1:11" ht="15.6" x14ac:dyDescent="0.3">
      <c r="A24" s="95"/>
      <c r="B24" s="6"/>
      <c r="C24" s="6"/>
      <c r="D24" s="6"/>
      <c r="E24" s="6"/>
      <c r="F24" s="105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5" t="s">
        <v>136</v>
      </c>
      <c r="B29" s="25">
        <f>'4637'!B22</f>
        <v>1</v>
      </c>
      <c r="C29" s="98" t="str">
        <f>'4637'!C22</f>
        <v>LATERAL 180° 2V MDF 30MM</v>
      </c>
      <c r="D29" s="25">
        <f>'4637'!D22</f>
        <v>1990</v>
      </c>
      <c r="E29" s="25">
        <f>'4637'!E22</f>
        <v>500</v>
      </c>
      <c r="F29" s="25" t="str">
        <f>'4637'!F22</f>
        <v>BLANCO OPACO</v>
      </c>
      <c r="G29" s="1"/>
    </row>
    <row r="30" spans="1:11" ht="15.6" x14ac:dyDescent="0.3">
      <c r="A30" s="95"/>
      <c r="B30" s="25">
        <f>'4637'!B23</f>
        <v>1</v>
      </c>
      <c r="C30" s="98" t="str">
        <f>'4637'!C23</f>
        <v>LATERAL 180° 2V MDF 30MM</v>
      </c>
      <c r="D30" s="25">
        <f>'4637'!D23</f>
        <v>1995</v>
      </c>
      <c r="E30" s="25">
        <f>'4637'!E23</f>
        <v>500</v>
      </c>
      <c r="F30" s="25" t="str">
        <f>'4637'!F23</f>
        <v>BLANCO OPACO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7225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CLEFMAN LTDA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45814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1" t="s">
        <v>68</v>
      </c>
      <c r="B47" s="121"/>
      <c r="C47" s="121"/>
      <c r="D47" s="121"/>
      <c r="E47" s="121"/>
      <c r="F47" s="12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2" t="s">
        <v>69</v>
      </c>
      <c r="C49" s="123"/>
      <c r="D49" s="124"/>
      <c r="E49" s="124"/>
      <c r="F49" s="125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5" t="s">
        <v>136</v>
      </c>
      <c r="B51" s="38">
        <f>'4637'!B22</f>
        <v>1</v>
      </c>
      <c r="C51" s="97" t="str">
        <f>'4637'!C22</f>
        <v>LATERAL 180° 2V MDF 30MM</v>
      </c>
      <c r="D51" s="39">
        <f>'4637'!D22</f>
        <v>1990</v>
      </c>
      <c r="E51" s="39">
        <f>'4637'!E22</f>
        <v>500</v>
      </c>
      <c r="F51" s="38" t="str">
        <f>'4637'!F22</f>
        <v>BLANCO OPACO</v>
      </c>
      <c r="G51" s="1"/>
    </row>
    <row r="52" spans="1:7" s="15" customFormat="1" ht="15" customHeight="1" x14ac:dyDescent="0.3">
      <c r="A52" s="95"/>
      <c r="B52" s="38">
        <f>'4637'!B23</f>
        <v>1</v>
      </c>
      <c r="C52" s="97" t="str">
        <f>'4637'!C23</f>
        <v>LATERAL 180° 2V MDF 30MM</v>
      </c>
      <c r="D52" s="39">
        <f>'4637'!D23</f>
        <v>1995</v>
      </c>
      <c r="E52" s="39">
        <f>'4637'!E23</f>
        <v>500</v>
      </c>
      <c r="F52" s="38" t="str">
        <f>'4637'!F23</f>
        <v>BLANCO OPACO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2025-06-03T13:54:11Z</cp:lastPrinted>
  <dcterms:created xsi:type="dcterms:W3CDTF">2013-03-19T12:54:14Z</dcterms:created>
  <dcterms:modified xsi:type="dcterms:W3CDTF">2025-06-19T20:08:42Z</dcterms:modified>
</cp:coreProperties>
</file>