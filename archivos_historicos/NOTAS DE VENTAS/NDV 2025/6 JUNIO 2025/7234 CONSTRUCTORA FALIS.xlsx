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A5054AF6-470A-4698-8CA5-020EDCEC26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2" i="3" s="1"/>
  <c r="C27" i="3"/>
  <c r="F14" i="3" s="1"/>
  <c r="D27" i="3"/>
  <c r="J14" i="3" s="1"/>
  <c r="D14" i="3" s="1"/>
  <c r="E27" i="3"/>
  <c r="K22" i="3" s="1"/>
  <c r="E22" i="3" s="1"/>
  <c r="F27" i="3"/>
  <c r="B48" i="3"/>
  <c r="C48" i="3"/>
  <c r="D48" i="3"/>
  <c r="E48" i="3"/>
  <c r="F48" i="3"/>
  <c r="H21" i="4"/>
  <c r="H25" i="4" s="1"/>
  <c r="J22" i="3" l="1"/>
  <c r="D22" i="3" s="1"/>
  <c r="K14" i="3"/>
  <c r="E14" i="3" s="1"/>
  <c r="B22" i="3"/>
  <c r="I14" i="3"/>
  <c r="B14" i="3" s="1"/>
  <c r="F22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<sst xmlns="http://schemas.openxmlformats.org/spreadsheetml/2006/main" count="248" uniqueCount="147">
  <si>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</si>
  <si>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</si>
  <si>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</si>
  <si>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</si>
  <si>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</si>
  <si>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</si>
  <si>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</si>
  <si>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</si>
  <si>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</si>
  <si>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</si>
  <si>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</si>
  <si>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</si>
  <si>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</si>
  <si>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</si>
  <si>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</si>
  <si>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</si>
  <si>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</si>
  <si>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</si>
  <si>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</si>
  <si>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</si>
  <si>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</si>
  <si>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</si>
  <si>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</si>
  <si>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</si>
  <si>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</si>
  <si>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</si>
  <si>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</si>
  <si>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</si>
  <si>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</si>
  <si>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</si>
  <si>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</si>
  <si>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</si>
  <si>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</si>
  <si>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</si>
  <si>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</si>
  <si>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</si>
  <si>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</si>
  <si>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</si>
  <si>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</si>
  <si>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</si>
  <si>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</si>
  <si>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</si>
  <si>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</si>
  <si>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</si>
  <si>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</si>
  <si>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</si>
  <si>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</si>
  <si>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</si>
  <si>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</si>
  <si>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</si>
  <si>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</si>
  <si>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</si>
  <si>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</si>
  <si>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</si>
  <si>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</si>
  <si>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</si>
  <si>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</si>
  <si>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</si>
  <si>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</si>
  <si>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</si>
  <si>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</si>
  <si>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</si>
  <si>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</si>
  <si>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</si>
  <si>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</si>
  <si>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</si>
  <si>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</si>
  <si>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</si>
  <si>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</si>
  <si>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</si>
  <si>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</si>
  <si>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</si>
  <si>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</si>
  <si>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</si>
  <si>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</si>
  <si>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</si>
  <si>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</si>
  <si>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</si>
  <si>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</si>
  <si>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</si>
  <si>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</si>
  <si>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</si>
  <si>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</si>
  <si>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</si>
  <si>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</si>
  <si>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</si>
  <si>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</si>
  <si>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</si>
  <si>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</si>
  <si>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</si>
  <si>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</si>
  <si>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</si>
  <si>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</si>
  <si>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</si>
  <si>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</si>
  <si>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</si>
  <si>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</si>
  <si>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</si>
  <si>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</si>
  <si>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</si>
  <si>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</si>
  <si>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</si>
  <si>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</si>
  <si>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</si>
  <si>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</si>
  <si>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</si>
  <si>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</si>
  <si>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</si>
  <si>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</si>
  <si>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</si>
  <si>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</si>
  <si>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</si>
  <si>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</si>
  <si>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</si>
  <si>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</si>
  <si>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</si>
  <si>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</si>
  <si>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</si>
  <si>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</si>
  <si>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</si>
  <si>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</si>
  <si>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</si>
  <si>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</si>
  <si>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</si>
  <si>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</si>
  <si>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</si>
  <si>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</si>
  <si>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</si>
  <si>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</si>
  <si>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</si>
  <si>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</si>
  <si>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</si>
  <si>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</si>
  <si>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</si>
  <si>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NO</t>
  </si>
  <si>
    <t>CONTADO</t>
  </si>
  <si>
    <t>LATERAL 180° 1 LADO</t>
  </si>
  <si>
    <t>BLANCO BRILLO</t>
  </si>
  <si>
    <t>N° 11474</t>
  </si>
  <si>
    <t>CONSTRUCTORA FALIS SPA</t>
  </si>
  <si>
    <t>77.268.001-5</t>
  </si>
  <si>
    <t>TERMINACION Y ACABADOS DE EDIFICIOS</t>
  </si>
  <si>
    <t>EDGARDO LILLO</t>
  </si>
  <si>
    <t>+56971387383</t>
  </si>
  <si>
    <t>MDF 30MM</t>
  </si>
  <si>
    <t>STOCK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</si>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</sst>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left"/>
    </xf>
    <xf numFmtId="0" fontId="20" fillId="0" borderId="0" xfId="2" quotePrefix="1" applyFont="1" applyFill="1" applyBorder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$ 275.685.-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2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7234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45827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26" t="s">
        <v>140</v>
      </c>
      <c r="D11" s="60"/>
      <c r="E11" s="60"/>
      <c r="F11" s="60" t="s">
        <v>124</v>
      </c>
      <c r="G11" s="61">
        <v>45834</v>
      </c>
      <c r="H11" s="62"/>
      <c r="I11" s="1"/>
    </row>
    <row r="12" spans="1:17" ht="16.8" x14ac:dyDescent="0.4">
      <c r="A12" s="1"/>
      <c r="B12" s="63" t="s">
        <v>130</v>
      </c>
      <c r="C12" s="109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7" t="s">
        <v>143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6.8" x14ac:dyDescent="0.4">
      <c r="A15" s="1"/>
      <c r="B15" s="63" t="s">
        <v>1</v>
      </c>
      <c r="C15" s="110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111" t="s">
        <v>131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4</v>
      </c>
      <c r="C21" s="104" t="s">
        <v>136</v>
      </c>
      <c r="D21" s="107">
        <v>1160</v>
      </c>
      <c r="E21" s="107">
        <v>400</v>
      </c>
      <c r="F21" s="104" t="s">
        <v>137</v>
      </c>
      <c r="G21" s="106">
        <v>115835</v>
      </c>
      <c r="H21" s="105">
        <f t="shared" ref="H21" si="0">G21*B21</f>
        <v>463340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2"/>
      <c r="E22" s="112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463340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88034.6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551374.6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sqref="A1:H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FALIS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45834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144</v>
      </c>
      <c r="B14" s="25">
        <f t="shared" ref="B14" si="0">I14</f>
        <v>4</v>
      </c>
      <c r="C14" s="25" t="s">
        <v>145</v>
      </c>
      <c r="D14" s="25">
        <f>J14+D13</f>
        <v>1240</v>
      </c>
      <c r="E14" s="35">
        <f>K14+E$13</f>
        <v>400</v>
      </c>
      <c r="F14" s="102" t="str">
        <f>C27</f>
        <v>LATERAL 180° 1 LADO</v>
      </c>
      <c r="G14" s="1"/>
      <c r="I14" s="3">
        <f>I22</f>
        <v>4</v>
      </c>
      <c r="J14" s="4">
        <f>D27</f>
        <v>1160</v>
      </c>
      <c r="K14" s="4">
        <f>E27</f>
        <v>400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1">I22</f>
        <v>4</v>
      </c>
      <c r="C22" s="16"/>
      <c r="D22" s="16">
        <f t="shared" ref="D22" si="2">J22+D$21</f>
        <v>1200</v>
      </c>
      <c r="E22" s="16">
        <f>K22+E$21</f>
        <v>1000</v>
      </c>
      <c r="F22" s="103" t="str">
        <f>C27</f>
        <v>LATERAL 180° 1 LADO</v>
      </c>
      <c r="G22" s="1"/>
      <c r="I22" s="3">
        <f>B27</f>
        <v>4</v>
      </c>
      <c r="J22" s="4">
        <f t="shared" ref="J22:K22" si="3">D27</f>
        <v>1160</v>
      </c>
      <c r="K22" s="4">
        <f t="shared" si="3"/>
        <v>400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133</v>
      </c>
      <c r="B27" s="25">
        <f>'4637'!B21</f>
        <v>4</v>
      </c>
      <c r="C27" s="102" t="str">
        <f>'4637'!C21</f>
        <v>LATERAL 180° 1 LADO</v>
      </c>
      <c r="D27" s="25">
        <f>'4637'!D21</f>
        <v>1160</v>
      </c>
      <c r="E27" s="25">
        <f>'4637'!E21</f>
        <v>400</v>
      </c>
      <c r="F27" s="25" t="str">
        <f>'4637'!F21</f>
        <v>BLANCO BRILLO</v>
      </c>
      <c r="G27" s="1"/>
    </row>
    <row r="28" spans="1:11" ht="15.6" x14ac:dyDescent="0.3">
      <c r="A28" s="96"/>
      <c r="B28" s="6"/>
      <c r="C28" s="108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7234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CONSTRUCTORA FALIS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45834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1" t="s">
        <v>68</v>
      </c>
      <c r="B44" s="121"/>
      <c r="C44" s="121"/>
      <c r="D44" s="121"/>
      <c r="E44" s="121"/>
      <c r="F44" s="12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2" t="s">
        <v>69</v>
      </c>
      <c r="C46" s="123"/>
      <c r="D46" s="124"/>
      <c r="E46" s="124"/>
      <c r="F46" s="125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 t="s">
        <v>146</v>
      </c>
      <c r="B48" s="38">
        <f>'4637'!B21</f>
        <v>4</v>
      </c>
      <c r="C48" s="101" t="str">
        <f>'4637'!C21</f>
        <v>LATERAL 180° 1 LADO</v>
      </c>
      <c r="D48" s="39">
        <f>'4637'!D21</f>
        <v>1160</v>
      </c>
      <c r="E48" s="39">
        <f>'4637'!E21</f>
        <v>400</v>
      </c>
      <c r="F48" s="38" t="str">
        <f>'4637'!F21</f>
        <v>BLANCO BRILLO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8:F18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2025-06-19T20:56:57Z</cp:lastPrinted>
  <dcterms:created xsi:type="dcterms:W3CDTF">2013-03-19T12:54:14Z</dcterms:created>
  <dcterms:modified xsi:type="dcterms:W3CDTF">2025-06-19T21:03:14Z</dcterms:modified>
</cp:coreProperties>
</file>