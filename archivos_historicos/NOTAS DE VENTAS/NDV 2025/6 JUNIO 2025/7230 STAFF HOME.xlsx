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E84786CA-DAF9-406A-A455-A01E23E04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CUBIERTA!$A$46:$G$72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6" i="3"/>
  <c r="B17" i="3"/>
  <c r="B18" i="3"/>
  <c r="B14" i="3"/>
  <c r="E15" i="3"/>
  <c r="E16" i="3"/>
  <c r="E14" i="3"/>
  <c r="F15" i="3"/>
  <c r="F16" i="3"/>
  <c r="F17" i="3"/>
  <c r="F18" i="3"/>
  <c r="K15" i="3"/>
  <c r="K16" i="3"/>
  <c r="K17" i="3"/>
  <c r="K18" i="3"/>
  <c r="E18" i="3" s="1"/>
  <c r="I15" i="3"/>
  <c r="I17" i="3"/>
  <c r="I18" i="3"/>
  <c r="J15" i="3"/>
  <c r="J16" i="3"/>
  <c r="J17" i="3"/>
  <c r="J18" i="3"/>
  <c r="D18" i="3" s="1"/>
  <c r="D16" i="3"/>
  <c r="D17" i="3"/>
  <c r="F27" i="3"/>
  <c r="I28" i="3"/>
  <c r="B28" i="3" s="1"/>
  <c r="K29" i="3"/>
  <c r="E29" i="3" s="1"/>
  <c r="B36" i="3"/>
  <c r="I26" i="3" s="1"/>
  <c r="B26" i="3" s="1"/>
  <c r="C36" i="3"/>
  <c r="F26" i="3" s="1"/>
  <c r="D36" i="3"/>
  <c r="J26" i="3" s="1"/>
  <c r="D26" i="3" s="1"/>
  <c r="E36" i="3"/>
  <c r="K26" i="3" s="1"/>
  <c r="E26" i="3" s="1"/>
  <c r="F36" i="3"/>
  <c r="B37" i="3"/>
  <c r="B27" i="3" s="1"/>
  <c r="C37" i="3"/>
  <c r="D37" i="3"/>
  <c r="J27" i="3" s="1"/>
  <c r="D27" i="3" s="1"/>
  <c r="E37" i="3"/>
  <c r="K27" i="3" s="1"/>
  <c r="E27" i="3" s="1"/>
  <c r="F37" i="3"/>
  <c r="B38" i="3"/>
  <c r="C38" i="3"/>
  <c r="F28" i="3" s="1"/>
  <c r="D38" i="3"/>
  <c r="J28" i="3" s="1"/>
  <c r="D28" i="3" s="1"/>
  <c r="E38" i="3"/>
  <c r="K28" i="3" s="1"/>
  <c r="E28" i="3" s="1"/>
  <c r="F38" i="3"/>
  <c r="B39" i="3"/>
  <c r="I29" i="3" s="1"/>
  <c r="B29" i="3" s="1"/>
  <c r="C39" i="3"/>
  <c r="F29" i="3" s="1"/>
  <c r="D39" i="3"/>
  <c r="J29" i="3" s="1"/>
  <c r="D29" i="3" s="1"/>
  <c r="E39" i="3"/>
  <c r="F39" i="3"/>
  <c r="B60" i="3"/>
  <c r="C60" i="3"/>
  <c r="D60" i="3"/>
  <c r="E60" i="3"/>
  <c r="F60" i="3"/>
  <c r="B61" i="3"/>
  <c r="C61" i="3"/>
  <c r="D61" i="3"/>
  <c r="E61" i="3"/>
  <c r="F61" i="3"/>
  <c r="B62" i="3"/>
  <c r="C62" i="3"/>
  <c r="D62" i="3"/>
  <c r="E62" i="3"/>
  <c r="F62" i="3"/>
  <c r="B63" i="3"/>
  <c r="C63" i="3"/>
  <c r="D63" i="3"/>
  <c r="E63" i="3"/>
  <c r="F63" i="3"/>
  <c r="H24" i="4"/>
  <c r="H23" i="4"/>
  <c r="H22" i="4"/>
  <c r="H21" i="4"/>
  <c r="H20" i="4"/>
  <c r="D15" i="3"/>
  <c r="C59" i="3"/>
  <c r="F59" i="3"/>
  <c r="E59" i="3"/>
  <c r="D59" i="3"/>
  <c r="B59" i="3"/>
  <c r="B35" i="3"/>
  <c r="I25" i="3" s="1"/>
  <c r="B25" i="3" s="1"/>
  <c r="C35" i="3"/>
  <c r="F25" i="3" s="1"/>
  <c r="F14" i="3" s="1"/>
  <c r="D35" i="3"/>
  <c r="J25" i="3" s="1"/>
  <c r="D25" i="3" s="1"/>
  <c r="E35" i="3"/>
  <c r="K25" i="3" s="1"/>
  <c r="K14" i="3" s="1"/>
  <c r="F35" i="3"/>
  <c r="E25" i="3" l="1"/>
  <c r="I14" i="3"/>
  <c r="J14" i="3"/>
  <c r="D14" i="3" s="1"/>
  <c r="H28" i="4" l="1"/>
  <c r="N5" i="3" l="1"/>
  <c r="M5" i="3"/>
  <c r="L5" i="3"/>
  <c r="K5" i="3"/>
  <c r="H29" i="4"/>
  <c r="H30" i="4" s="1"/>
  <c r="C52" i="3" l="1"/>
  <c r="C7" i="3"/>
  <c r="D50" i="3"/>
  <c r="D5" i="3"/>
  <c r="D52" i="3"/>
  <c r="D7" i="3"/>
  <c r="D49" i="3"/>
  <c r="D4" i="3"/>
</calcChain>
</file>

<file path=xl/sharedStrings.xml><?xml version="1.0" encoding="utf-8"?>
<sst xmlns="http://schemas.openxmlformats.org/spreadsheetml/2006/main" count="260" uniqueCount="148">
  <si>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</si>
  <si>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</si>
  <si>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</si>
  <si>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</si>
  <si>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</si>
  <si>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</si>
  <si>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</si>
  <si>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</si>
  <si>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</si>
  <si>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</si>
  <si>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</si>
  <si>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</si>
  <si>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</si>
  <si>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</si>
  <si>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</si>
  <si>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</si>
  <si>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</si>
  <si>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</si>
  <si>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</si>
  <si>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</si>
  <si>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</si>
  <si>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</si>
  <si>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</si>
  <si>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</si>
  <si>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</si>
  <si>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</si>
  <si>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</si>
  <si>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</si>
  <si>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</si>
  <si>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</si>
  <si>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</si>
  <si>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</si>
  <si>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</si>
  <si>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</si>
  <si>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</si>
  <si>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</si>
  <si>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</si>
  <si>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</si>
  <si>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</si>
  <si>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</si>
  <si>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</si>
  <si>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</si>
  <si>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</si>
  <si>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</si>
  <si>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</si>
  <si>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</si>
  <si>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</si>
  <si>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</si>
  <si>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</si>
  <si>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</si>
  <si>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</si>
  <si>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</si>
  <si>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</si>
  <si>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</si>
  <si>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</si>
  <si>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</si>
  <si>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</si>
  <si>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</si>
  <si>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</si>
  <si>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</si>
  <si>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</si>
  <si>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</si>
  <si>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</si>
  <si>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</si>
  <si>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</si>
  <si>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</si>
  <si>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</si>
  <si>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</si>
  <si>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</si>
  <si>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</si>
  <si>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</si>
  <si>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</si>
  <si>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</si>
  <si>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</si>
  <si>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</si>
  <si>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</si>
  <si>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</si>
  <si>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</si>
  <si>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</si>
  <si>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</si>
  <si>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</si>
  <si>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</si>
  <si>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</si>
  <si>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</si>
  <si>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</si>
  <si>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</si>
  <si>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</si>
  <si>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</si>
  <si>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</si>
  <si>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</si>
  <si>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</si>
  <si>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</si>
  <si>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</si>
  <si>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</si>
  <si>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</si>
  <si>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</si>
  <si>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</si>
  <si>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</si>
  <si>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</si>
  <si>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</si>
  <si>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</si>
  <si>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</si>
  <si>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</si>
  <si>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</si>
  <si>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</si>
  <si>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</si>
  <si>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</si>
  <si>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</si>
  <si>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</si>
  <si>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</si>
  <si>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</si>
  <si>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</si>
  <si>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</si>
  <si>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</si>
  <si>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</si>
  <si>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</si>
  <si>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</si>
  <si>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</si>
  <si>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</si>
  <si>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</si>
  <si>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</si>
  <si>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</si>
  <si>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</si>
  <si>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</si>
  <si>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</si>
  <si>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</si>
  <si>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</si>
  <si>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</si>
  <si>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</si>
  <si>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</si>
  <si>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</si>
  <si>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</si>
  <si>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</si>
  <si>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</si>
  <si>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</si>
  <si>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</si>
  <si>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MELAMIL 18MM</t>
  </si>
  <si>
    <t>BLANCO 2114 MT</t>
  </si>
  <si>
    <t>PENDIENTE</t>
  </si>
  <si>
    <t xml:space="preserve">PR19 </t>
  </si>
  <si>
    <t>PR19 / FRENTES DE 176</t>
  </si>
  <si>
    <t>STAFF HOME SPA</t>
  </si>
  <si>
    <t>76.367.762-1</t>
  </si>
  <si>
    <t>SALOMON GUZMAN</t>
  </si>
  <si>
    <t>+569 8820 4356</t>
  </si>
  <si>
    <t>CERRO EL PLOMO 5931 OF 1213 PS 12 LAS CONDES</t>
  </si>
  <si>
    <t>4 FRENTE DE 176</t>
  </si>
  <si>
    <t>PR19  1 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</si>
</sst>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6" fillId="3" borderId="4" xfId="0" applyFont="1" applyFill="1" applyBorder="1"/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29" fillId="9" borderId="2" xfId="0" applyFont="1" applyFill="1" applyBorder="1" applyAlignment="1">
      <alignment horizontal="center" vertical="center"/>
    </xf>
    <xf numFmtId="1" fontId="29" fillId="9" borderId="2" xfId="0" applyNumberFormat="1" applyFont="1" applyFill="1" applyBorder="1" applyAlignment="1">
      <alignment horizontal="center" vertical="center"/>
    </xf>
    <xf numFmtId="166" fontId="3" fillId="9" borderId="2" xfId="1" applyNumberFormat="1" applyFont="1" applyFill="1" applyBorder="1" applyAlignment="1">
      <alignment horizontal="center" vertical="center"/>
    </xf>
    <xf numFmtId="0" fontId="31" fillId="0" borderId="0" xfId="0" applyFont="1"/>
    <xf numFmtId="0" fontId="32" fillId="3" borderId="0" xfId="0" applyFont="1" applyFill="1"/>
    <xf numFmtId="0" fontId="33" fillId="0" borderId="0" xfId="0" quotePrefix="1" applyFont="1"/>
    <xf numFmtId="0" fontId="31" fillId="3" borderId="0" xfId="0" applyFont="1" applyFill="1"/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11463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26</xdr:row>
      <xdr:rowOff>91440</xdr:rowOff>
    </xdr:from>
    <xdr:to>
      <xdr:col>5</xdr:col>
      <xdr:colOff>1337310</xdr:colOff>
      <xdr:row>29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CANCELADO  119.078.-</a:t>
          </a:r>
          <a:r>
            <a:rPr lang="es-CL" sz="900" b="1" i="1" baseline="0"/>
            <a:t> </a:t>
          </a:r>
          <a:r>
            <a:rPr lang="es-CL" sz="900" b="1" i="1"/>
            <a:t>11-06-2025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53</xdr:row>
      <xdr:rowOff>171450</xdr:rowOff>
    </xdr:from>
    <xdr:to>
      <xdr:col>5</xdr:col>
      <xdr:colOff>1685924</xdr:colOff>
      <xdr:row>55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38100</xdr:rowOff>
    </xdr:from>
    <xdr:to>
      <xdr:col>6</xdr:col>
      <xdr:colOff>0</xdr:colOff>
      <xdr:row>50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180975</xdr:rowOff>
    </xdr:from>
    <xdr:to>
      <xdr:col>2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180975</xdr:rowOff>
    </xdr:from>
    <xdr:to>
      <xdr:col>2</xdr:col>
      <xdr:colOff>1019175</xdr:colOff>
      <xdr:row>64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180975</xdr:rowOff>
    </xdr:from>
    <xdr:to>
      <xdr:col>3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180975</xdr:rowOff>
    </xdr:from>
    <xdr:to>
      <xdr:col>4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180975</xdr:rowOff>
    </xdr:from>
    <xdr:to>
      <xdr:col>5</xdr:col>
      <xdr:colOff>447675</xdr:colOff>
      <xdr:row>64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180975</xdr:rowOff>
    </xdr:from>
    <xdr:to>
      <xdr:col>6</xdr:col>
      <xdr:colOff>0</xdr:colOff>
      <xdr:row>64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64</xdr:row>
      <xdr:rowOff>190500</xdr:rowOff>
    </xdr:from>
    <xdr:to>
      <xdr:col>2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64</xdr:row>
      <xdr:rowOff>190500</xdr:rowOff>
    </xdr:from>
    <xdr:to>
      <xdr:col>2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190500</xdr:rowOff>
    </xdr:from>
    <xdr:to>
      <xdr:col>3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190500</xdr:rowOff>
    </xdr:from>
    <xdr:to>
      <xdr:col>4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190500</xdr:rowOff>
    </xdr:from>
    <xdr:to>
      <xdr:col>5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190500</xdr:rowOff>
    </xdr:from>
    <xdr:to>
      <xdr:col>6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40</xdr:row>
      <xdr:rowOff>192404</xdr:rowOff>
    </xdr:from>
    <xdr:to>
      <xdr:col>6</xdr:col>
      <xdr:colOff>32385</xdr:colOff>
      <xdr:row>44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66</xdr:row>
      <xdr:rowOff>175260</xdr:rowOff>
    </xdr:from>
    <xdr:to>
      <xdr:col>5</xdr:col>
      <xdr:colOff>1737360</xdr:colOff>
      <xdr:row>70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 Y ENCHAPAR CON TAPACANTO PVC 0,45MM BLANCO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46</xdr:row>
      <xdr:rowOff>99060</xdr:rowOff>
    </xdr:from>
    <xdr:to>
      <xdr:col>1</xdr:col>
      <xdr:colOff>929398</xdr:colOff>
      <xdr:row>53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7086600"/>
          <a:ext cx="1586623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4"/>
  <sheetViews>
    <sheetView tabSelected="1" topLeftCell="A6" workbookViewId="0">
      <selection activeCell="P21" sqref="P21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7230</v>
      </c>
    </row>
    <row r="9" spans="2:16" ht="15" thickBot="1" x14ac:dyDescent="0.35"/>
    <row r="10" spans="2:16" ht="16.2" thickBot="1" x14ac:dyDescent="0.35">
      <c r="B10" s="14" t="s">
        <v>7</v>
      </c>
      <c r="C10" s="111" t="s">
        <v>141</v>
      </c>
      <c r="D10" s="15"/>
      <c r="E10" s="15"/>
      <c r="F10" s="16" t="s">
        <v>31</v>
      </c>
      <c r="G10" s="17">
        <v>45818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7.399999999999999" thickBot="1" x14ac:dyDescent="0.45">
      <c r="B11" s="19" t="s">
        <v>2</v>
      </c>
      <c r="C11" s="131" t="s">
        <v>142</v>
      </c>
      <c r="D11" s="20"/>
      <c r="E11" s="20"/>
      <c r="F11" s="20" t="s">
        <v>131</v>
      </c>
      <c r="G11" s="106"/>
      <c r="H11" s="21"/>
    </row>
    <row r="12" spans="2:16" x14ac:dyDescent="0.3">
      <c r="B12" s="92" t="s">
        <v>115</v>
      </c>
      <c r="C12" s="132" t="s">
        <v>143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33" t="s">
        <v>144</v>
      </c>
      <c r="D13" s="25"/>
      <c r="E13" s="20"/>
      <c r="F13" s="20" t="s">
        <v>32</v>
      </c>
      <c r="G13" s="20"/>
      <c r="H13" s="21"/>
    </row>
    <row r="14" spans="2:16" ht="16.8" x14ac:dyDescent="0.4">
      <c r="B14" s="92" t="s">
        <v>1</v>
      </c>
      <c r="C14" s="134" t="s">
        <v>145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5" t="s">
        <v>21</v>
      </c>
      <c r="G15" s="135"/>
      <c r="H15" s="136"/>
    </row>
    <row r="17" spans="2:15" ht="15" thickBot="1" x14ac:dyDescent="0.35"/>
    <row r="18" spans="2:15" ht="15" thickBot="1" x14ac:dyDescent="0.35">
      <c r="B18" s="137" t="s">
        <v>22</v>
      </c>
      <c r="C18" s="138"/>
      <c r="D18" s="138"/>
      <c r="E18" s="138"/>
      <c r="F18" s="138"/>
      <c r="G18" s="139"/>
      <c r="H18" s="140"/>
    </row>
    <row r="19" spans="2:15" x14ac:dyDescent="0.3">
      <c r="B19" s="101" t="s">
        <v>23</v>
      </c>
      <c r="C19" s="102" t="s">
        <v>24</v>
      </c>
      <c r="D19" s="102" t="s">
        <v>25</v>
      </c>
      <c r="E19" s="102" t="s">
        <v>9</v>
      </c>
      <c r="F19" s="120" t="s">
        <v>26</v>
      </c>
      <c r="G19" s="121" t="s">
        <v>27</v>
      </c>
      <c r="H19" s="121" t="s">
        <v>4</v>
      </c>
    </row>
    <row r="20" spans="2:15" ht="15.6" x14ac:dyDescent="0.3">
      <c r="B20" s="118">
        <v>2</v>
      </c>
      <c r="C20" s="118" t="s">
        <v>139</v>
      </c>
      <c r="D20" s="119">
        <v>397</v>
      </c>
      <c r="E20" s="119">
        <v>705</v>
      </c>
      <c r="F20" s="118" t="s">
        <v>137</v>
      </c>
      <c r="G20" s="127">
        <v>25707</v>
      </c>
      <c r="H20" s="127">
        <f>G20*B20</f>
        <v>51414</v>
      </c>
      <c r="J20" s="61"/>
      <c r="K20" s="89"/>
      <c r="L20" s="61"/>
      <c r="M20" s="61"/>
      <c r="N20" s="89"/>
      <c r="O20" s="100"/>
    </row>
    <row r="21" spans="2:15" ht="15.6" x14ac:dyDescent="0.3">
      <c r="B21" s="118">
        <v>2</v>
      </c>
      <c r="C21" s="118" t="s">
        <v>139</v>
      </c>
      <c r="D21" s="119">
        <v>465</v>
      </c>
      <c r="E21" s="119">
        <v>705</v>
      </c>
      <c r="F21" s="118" t="s">
        <v>137</v>
      </c>
      <c r="G21" s="127">
        <v>28659</v>
      </c>
      <c r="H21" s="127">
        <f t="shared" ref="H21:H24" si="0">G21*B21</f>
        <v>57318</v>
      </c>
      <c r="J21" s="61"/>
      <c r="K21" s="89"/>
      <c r="L21" s="61"/>
      <c r="M21" s="61"/>
      <c r="N21" s="89"/>
      <c r="O21" s="100"/>
    </row>
    <row r="22" spans="2:15" ht="15.6" x14ac:dyDescent="0.3">
      <c r="B22" s="118">
        <v>4</v>
      </c>
      <c r="C22" s="118" t="s">
        <v>140</v>
      </c>
      <c r="D22" s="119">
        <v>515</v>
      </c>
      <c r="E22" s="119">
        <v>710</v>
      </c>
      <c r="F22" s="118" t="s">
        <v>137</v>
      </c>
      <c r="G22" s="127">
        <v>11448</v>
      </c>
      <c r="H22" s="127">
        <f t="shared" si="0"/>
        <v>45792</v>
      </c>
      <c r="J22" s="61"/>
      <c r="K22" s="89"/>
      <c r="L22" s="61"/>
      <c r="M22" s="61"/>
      <c r="N22" s="89"/>
      <c r="O22" s="100"/>
    </row>
    <row r="23" spans="2:15" ht="15.6" x14ac:dyDescent="0.3">
      <c r="B23" s="118">
        <v>1</v>
      </c>
      <c r="C23" s="118" t="s">
        <v>147</v>
      </c>
      <c r="D23" s="119">
        <v>595</v>
      </c>
      <c r="E23" s="119">
        <v>90</v>
      </c>
      <c r="F23" s="118" t="s">
        <v>137</v>
      </c>
      <c r="G23" s="127">
        <v>8741</v>
      </c>
      <c r="H23" s="127">
        <f t="shared" si="0"/>
        <v>8741</v>
      </c>
      <c r="J23" s="61"/>
      <c r="K23" s="89"/>
      <c r="L23" s="61"/>
      <c r="M23" s="61"/>
      <c r="N23" s="89"/>
      <c r="O23" s="100"/>
    </row>
    <row r="24" spans="2:15" ht="15.6" x14ac:dyDescent="0.3">
      <c r="B24" s="128">
        <v>1</v>
      </c>
      <c r="C24" s="118" t="s">
        <v>139</v>
      </c>
      <c r="D24" s="129">
        <v>610</v>
      </c>
      <c r="E24" s="129">
        <v>750</v>
      </c>
      <c r="F24" s="128" t="s">
        <v>137</v>
      </c>
      <c r="G24" s="130">
        <v>36865</v>
      </c>
      <c r="H24" s="130">
        <f t="shared" si="0"/>
        <v>36865</v>
      </c>
      <c r="J24" s="61"/>
      <c r="K24" s="89"/>
      <c r="L24" s="61"/>
      <c r="M24" s="61"/>
      <c r="N24" s="89"/>
      <c r="O24" s="100"/>
    </row>
    <row r="25" spans="2:15" ht="15.6" x14ac:dyDescent="0.3">
      <c r="B25" s="123"/>
      <c r="C25" s="124"/>
      <c r="D25" s="125"/>
      <c r="E25" s="125"/>
      <c r="F25" s="123"/>
      <c r="G25" s="126"/>
      <c r="H25" s="105"/>
      <c r="J25" s="61"/>
      <c r="K25" s="89"/>
      <c r="L25" s="61"/>
      <c r="M25" s="61"/>
      <c r="N25" s="89"/>
      <c r="O25" s="100"/>
    </row>
    <row r="26" spans="2:15" x14ac:dyDescent="0.3">
      <c r="B26" s="103"/>
      <c r="C26" s="103"/>
      <c r="D26" s="107"/>
      <c r="E26" s="107"/>
      <c r="F26" s="108"/>
      <c r="G26" s="104"/>
      <c r="H26" s="105"/>
      <c r="J26" s="61"/>
      <c r="K26" s="89"/>
      <c r="L26" s="61"/>
      <c r="M26" s="61"/>
      <c r="N26" s="89"/>
      <c r="O26" s="100"/>
    </row>
    <row r="27" spans="2:15" ht="8.25" customHeight="1" thickBot="1" x14ac:dyDescent="0.35">
      <c r="B27" s="61"/>
      <c r="C27" s="61"/>
      <c r="D27" s="61"/>
      <c r="E27" s="61"/>
      <c r="F27" s="61"/>
      <c r="G27" s="62"/>
      <c r="H27" s="63"/>
    </row>
    <row r="28" spans="2:15" ht="18" thickBot="1" x14ac:dyDescent="0.4">
      <c r="G28" s="30" t="s">
        <v>5</v>
      </c>
      <c r="H28" s="43">
        <f>SUM(H20:H27)</f>
        <v>200130</v>
      </c>
    </row>
    <row r="29" spans="2:15" ht="18" thickBot="1" x14ac:dyDescent="0.4">
      <c r="G29" s="40" t="s">
        <v>6</v>
      </c>
      <c r="H29" s="43">
        <f>H28*19%</f>
        <v>38024.699999999997</v>
      </c>
    </row>
    <row r="30" spans="2:15" ht="18" thickBot="1" x14ac:dyDescent="0.4">
      <c r="G30" s="31" t="s">
        <v>4</v>
      </c>
      <c r="H30" s="43">
        <f>SUM(H28+H29)</f>
        <v>238154.7</v>
      </c>
    </row>
    <row r="32" spans="2:15" x14ac:dyDescent="0.3">
      <c r="B32" s="38" t="s">
        <v>130</v>
      </c>
      <c r="C32" s="32"/>
      <c r="D32" s="33"/>
      <c r="E32" s="33"/>
      <c r="F32" s="34"/>
    </row>
    <row r="33" spans="2:6" x14ac:dyDescent="0.3">
      <c r="B33" s="38" t="s">
        <v>129</v>
      </c>
      <c r="C33" s="39"/>
      <c r="D33" s="33"/>
      <c r="E33" s="33"/>
      <c r="F33" s="34"/>
    </row>
    <row r="34" spans="2:6" x14ac:dyDescent="0.3">
      <c r="B34" s="41" t="s">
        <v>28</v>
      </c>
      <c r="E34" s="42" t="s">
        <v>29</v>
      </c>
    </row>
  </sheetData>
  <sortState xmlns:xlrd2="http://schemas.microsoft.com/office/spreadsheetml/2017/richdata2" ref="B53">
    <sortCondition sortBy="fontColor" ref="B53" dxfId="0"/>
  </sortState>
  <mergeCells count="2">
    <mergeCell ref="F15:H15"/>
    <mergeCell ref="B18:H18"/>
  </mergeCells>
  <phoneticPr fontId="28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3">
        <v>50</v>
      </c>
      <c r="H4" s="93">
        <v>100</v>
      </c>
      <c r="I4" s="94" t="s">
        <v>118</v>
      </c>
      <c r="J4" s="95" t="s">
        <v>112</v>
      </c>
      <c r="K4" s="95"/>
      <c r="L4" s="95"/>
      <c r="M4" s="95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3">
        <v>50</v>
      </c>
      <c r="H5" s="93"/>
      <c r="I5" s="94" t="s">
        <v>120</v>
      </c>
      <c r="J5" s="95" t="s">
        <v>122</v>
      </c>
      <c r="K5" s="95"/>
      <c r="L5" s="95"/>
      <c r="M5" s="95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5" t="s">
        <v>114</v>
      </c>
      <c r="K20" s="95"/>
      <c r="L20" s="95"/>
      <c r="M20" s="95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3"/>
      <c r="H22" s="93"/>
      <c r="I22" s="94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90">
        <v>40</v>
      </c>
      <c r="C36" s="90">
        <v>90</v>
      </c>
      <c r="D36" s="91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90">
        <v>40</v>
      </c>
      <c r="C37" s="90">
        <v>90</v>
      </c>
      <c r="D37" s="91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75"/>
  <sheetViews>
    <sheetView topLeftCell="A33" zoomScaleNormal="100" workbookViewId="0">
      <selection activeCell="A46" sqref="A46:G72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43" t="s">
        <v>64</v>
      </c>
      <c r="L3" s="143"/>
      <c r="M3" s="143" t="s">
        <v>16</v>
      </c>
      <c r="N3" s="143"/>
    </row>
    <row r="4" spans="1:14" ht="15.75" customHeight="1" x14ac:dyDescent="0.3">
      <c r="C4" s="55" t="s">
        <v>30</v>
      </c>
      <c r="D4" s="54">
        <f>'4637'!G8</f>
        <v>7230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STAFF HOME SPA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10" t="str">
        <f>'4637'!F11</f>
        <v>FECHA LIMITE :</v>
      </c>
      <c r="D7" s="53">
        <f>'4637'!G11</f>
        <v>0</v>
      </c>
      <c r="E7" s="1"/>
      <c r="F7" s="1"/>
    </row>
    <row r="8" spans="1:14" x14ac:dyDescent="0.3">
      <c r="C8" s="109" t="s">
        <v>132</v>
      </c>
    </row>
    <row r="10" spans="1:14" ht="15" customHeight="1" x14ac:dyDescent="0.3">
      <c r="A10" s="144" t="s">
        <v>64</v>
      </c>
      <c r="B10" s="144"/>
      <c r="C10" s="144"/>
      <c r="D10" s="144"/>
      <c r="E10" s="144"/>
      <c r="F10" s="144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8" t="s">
        <v>11</v>
      </c>
      <c r="C13" s="78" t="s">
        <v>12</v>
      </c>
      <c r="D13" s="98">
        <v>50</v>
      </c>
      <c r="E13" s="98">
        <v>-1</v>
      </c>
      <c r="F13" s="78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2</v>
      </c>
      <c r="C14" s="59"/>
      <c r="D14" s="59">
        <f t="shared" ref="D14" si="0">J14+D$13</f>
        <v>447</v>
      </c>
      <c r="E14" s="46">
        <f>K14+E$13</f>
        <v>704</v>
      </c>
      <c r="F14" s="58" t="str">
        <f>F25</f>
        <v xml:space="preserve">PR19 </v>
      </c>
      <c r="I14" s="4">
        <f>I25</f>
        <v>2</v>
      </c>
      <c r="J14" s="5">
        <f>D35</f>
        <v>397</v>
      </c>
      <c r="K14" s="5">
        <f>K25</f>
        <v>705</v>
      </c>
    </row>
    <row r="15" spans="1:14" ht="15.6" x14ac:dyDescent="0.3">
      <c r="A15" s="50"/>
      <c r="B15" s="59">
        <f t="shared" ref="B15:B18" si="1">I15</f>
        <v>2</v>
      </c>
      <c r="C15" s="59"/>
      <c r="D15" s="59">
        <f t="shared" ref="D15:E16" si="2">J15+D$13</f>
        <v>515</v>
      </c>
      <c r="E15" s="46">
        <f t="shared" si="2"/>
        <v>704</v>
      </c>
      <c r="F15" s="58" t="str">
        <f t="shared" ref="F15:F18" si="3">F26</f>
        <v xml:space="preserve">PR19 </v>
      </c>
      <c r="I15" s="4">
        <f t="shared" ref="I15:I18" si="4">I26</f>
        <v>2</v>
      </c>
      <c r="J15" s="5">
        <f t="shared" ref="J15:J18" si="5">D36</f>
        <v>465</v>
      </c>
      <c r="K15" s="5">
        <f t="shared" ref="K15:K18" si="6">K26</f>
        <v>705</v>
      </c>
    </row>
    <row r="16" spans="1:14" ht="15.6" x14ac:dyDescent="0.3">
      <c r="A16" s="50"/>
      <c r="B16" s="59">
        <f t="shared" si="1"/>
        <v>1</v>
      </c>
      <c r="C16" s="59"/>
      <c r="D16" s="59">
        <f t="shared" ref="D16:D18" si="7">J16+D$13</f>
        <v>565</v>
      </c>
      <c r="E16" s="46">
        <f t="shared" si="2"/>
        <v>709</v>
      </c>
      <c r="F16" s="58" t="str">
        <f t="shared" si="3"/>
        <v>PR19 / FRENTES DE 176</v>
      </c>
      <c r="I16" s="4">
        <v>1</v>
      </c>
      <c r="J16" s="5">
        <f t="shared" si="5"/>
        <v>515</v>
      </c>
      <c r="K16" s="5">
        <f t="shared" si="6"/>
        <v>710</v>
      </c>
    </row>
    <row r="17" spans="1:11" ht="15.6" x14ac:dyDescent="0.3">
      <c r="A17" s="50"/>
      <c r="B17" s="59">
        <f t="shared" si="1"/>
        <v>1</v>
      </c>
      <c r="C17" s="59"/>
      <c r="D17" s="59">
        <f t="shared" si="7"/>
        <v>645</v>
      </c>
      <c r="E17" s="46">
        <v>100</v>
      </c>
      <c r="F17" s="58" t="str">
        <f t="shared" si="3"/>
        <v>PR19  1 LADO</v>
      </c>
      <c r="I17" s="4">
        <f t="shared" si="4"/>
        <v>1</v>
      </c>
      <c r="J17" s="5">
        <f t="shared" si="5"/>
        <v>595</v>
      </c>
      <c r="K17" s="5">
        <f t="shared" si="6"/>
        <v>90</v>
      </c>
    </row>
    <row r="18" spans="1:11" ht="15.6" x14ac:dyDescent="0.3">
      <c r="A18" s="50" t="s">
        <v>138</v>
      </c>
      <c r="B18" s="59">
        <f t="shared" si="1"/>
        <v>1</v>
      </c>
      <c r="C18" s="59"/>
      <c r="D18" s="59">
        <f t="shared" si="7"/>
        <v>660</v>
      </c>
      <c r="E18" s="46">
        <f t="shared" ref="E18" si="8">K18</f>
        <v>750</v>
      </c>
      <c r="F18" s="58" t="str">
        <f t="shared" si="3"/>
        <v xml:space="preserve">PR19 </v>
      </c>
      <c r="I18" s="4">
        <f t="shared" si="4"/>
        <v>1</v>
      </c>
      <c r="J18" s="5">
        <f t="shared" si="5"/>
        <v>610</v>
      </c>
      <c r="K18" s="5">
        <f t="shared" si="6"/>
        <v>750</v>
      </c>
    </row>
    <row r="19" spans="1:11" ht="15.6" x14ac:dyDescent="0.3">
      <c r="A19" s="50"/>
      <c r="B19" s="7"/>
      <c r="C19" s="7"/>
      <c r="D19" s="7"/>
      <c r="E19" s="7"/>
      <c r="F19" s="49"/>
      <c r="I19" s="97"/>
      <c r="J19" s="3"/>
      <c r="K19" s="3"/>
    </row>
    <row r="20" spans="1:11" ht="6.75" customHeight="1" x14ac:dyDescent="0.3"/>
    <row r="21" spans="1:11" ht="15.6" x14ac:dyDescent="0.3">
      <c r="A21" s="144" t="s">
        <v>16</v>
      </c>
      <c r="B21" s="144"/>
      <c r="C21" s="144"/>
      <c r="D21" s="144"/>
      <c r="E21" s="144"/>
      <c r="F21" s="144"/>
      <c r="G21" s="1"/>
    </row>
    <row r="22" spans="1:11" ht="10.5" customHeight="1" x14ac:dyDescent="0.3">
      <c r="A22" s="1"/>
      <c r="B22" s="1"/>
      <c r="C22" s="51"/>
      <c r="D22" s="1"/>
      <c r="E22" s="1"/>
      <c r="F22" s="1"/>
      <c r="G22" s="1"/>
    </row>
    <row r="23" spans="1:11" ht="15.6" x14ac:dyDescent="0.3">
      <c r="A23" s="1"/>
      <c r="B23" s="1"/>
      <c r="C23" s="1"/>
      <c r="D23" s="50" t="s">
        <v>8</v>
      </c>
      <c r="E23" s="50" t="s">
        <v>9</v>
      </c>
      <c r="F23" s="1"/>
      <c r="G23" s="1"/>
    </row>
    <row r="24" spans="1:11" ht="15.6" x14ac:dyDescent="0.3">
      <c r="A24" s="50" t="s">
        <v>10</v>
      </c>
      <c r="B24" s="78" t="s">
        <v>11</v>
      </c>
      <c r="C24" s="78" t="s">
        <v>12</v>
      </c>
      <c r="D24" s="69">
        <v>40</v>
      </c>
      <c r="E24" s="69">
        <v>90</v>
      </c>
      <c r="F24" s="78" t="s">
        <v>113</v>
      </c>
      <c r="G24" s="1"/>
      <c r="J24" s="6" t="s">
        <v>8</v>
      </c>
      <c r="K24" s="6" t="s">
        <v>9</v>
      </c>
    </row>
    <row r="25" spans="1:11" ht="15.6" x14ac:dyDescent="0.3">
      <c r="A25" s="50"/>
      <c r="B25" s="59">
        <f t="shared" ref="B25" si="9">I25</f>
        <v>2</v>
      </c>
      <c r="C25" s="59"/>
      <c r="D25" s="59">
        <f>J25+D$24</f>
        <v>437</v>
      </c>
      <c r="E25" s="59">
        <f>K25+E$24</f>
        <v>795</v>
      </c>
      <c r="F25" s="58" t="str">
        <f>C35</f>
        <v xml:space="preserve">PR19 </v>
      </c>
      <c r="G25" s="1"/>
      <c r="I25" s="4">
        <f>B35</f>
        <v>2</v>
      </c>
      <c r="J25" s="5">
        <f t="shared" ref="J25:K25" si="10">D35</f>
        <v>397</v>
      </c>
      <c r="K25" s="5">
        <f t="shared" si="10"/>
        <v>705</v>
      </c>
    </row>
    <row r="26" spans="1:11" ht="15.6" x14ac:dyDescent="0.3">
      <c r="A26" s="50"/>
      <c r="B26" s="59">
        <f t="shared" ref="B26:B29" si="11">I26</f>
        <v>2</v>
      </c>
      <c r="C26" s="59"/>
      <c r="D26" s="59">
        <f t="shared" ref="D26:D29" si="12">J26+D$24</f>
        <v>505</v>
      </c>
      <c r="E26" s="59">
        <f>K26+E$24</f>
        <v>795</v>
      </c>
      <c r="F26" s="58" t="str">
        <f t="shared" ref="F26:F29" si="13">C36</f>
        <v xml:space="preserve">PR19 </v>
      </c>
      <c r="G26" s="1"/>
      <c r="I26" s="4">
        <f t="shared" ref="I26:I29" si="14">B36</f>
        <v>2</v>
      </c>
      <c r="J26" s="5">
        <f t="shared" ref="J26:J29" si="15">D36</f>
        <v>465</v>
      </c>
      <c r="K26" s="5">
        <f t="shared" ref="K26:K29" si="16">E36</f>
        <v>705</v>
      </c>
    </row>
    <row r="27" spans="1:11" ht="15.6" x14ac:dyDescent="0.3">
      <c r="A27" s="50"/>
      <c r="B27" s="59">
        <f t="shared" si="11"/>
        <v>1</v>
      </c>
      <c r="C27" s="59" t="s">
        <v>146</v>
      </c>
      <c r="D27" s="59">
        <f t="shared" si="12"/>
        <v>555</v>
      </c>
      <c r="E27" s="59">
        <f>K27+E$24</f>
        <v>800</v>
      </c>
      <c r="F27" s="58" t="str">
        <f t="shared" si="13"/>
        <v>PR19 / FRENTES DE 176</v>
      </c>
      <c r="G27" s="1"/>
      <c r="I27" s="4">
        <v>1</v>
      </c>
      <c r="J27" s="5">
        <f t="shared" si="15"/>
        <v>515</v>
      </c>
      <c r="K27" s="5">
        <f t="shared" si="16"/>
        <v>710</v>
      </c>
    </row>
    <row r="28" spans="1:11" ht="15.6" x14ac:dyDescent="0.3">
      <c r="A28" s="50"/>
      <c r="B28" s="59">
        <f t="shared" si="11"/>
        <v>1</v>
      </c>
      <c r="C28" s="59"/>
      <c r="D28" s="59">
        <f t="shared" si="12"/>
        <v>635</v>
      </c>
      <c r="E28" s="59">
        <f>K28+60</f>
        <v>150</v>
      </c>
      <c r="F28" s="58" t="str">
        <f t="shared" si="13"/>
        <v>PR19  1 LADO</v>
      </c>
      <c r="G28" s="1"/>
      <c r="I28" s="4">
        <f t="shared" si="14"/>
        <v>1</v>
      </c>
      <c r="J28" s="5">
        <f t="shared" si="15"/>
        <v>595</v>
      </c>
      <c r="K28" s="5">
        <f t="shared" si="16"/>
        <v>90</v>
      </c>
    </row>
    <row r="29" spans="1:11" ht="15.6" x14ac:dyDescent="0.3">
      <c r="A29" s="50" t="s">
        <v>138</v>
      </c>
      <c r="B29" s="59">
        <f t="shared" si="11"/>
        <v>1</v>
      </c>
      <c r="C29" s="59"/>
      <c r="D29" s="59">
        <f t="shared" si="12"/>
        <v>650</v>
      </c>
      <c r="E29" s="59">
        <f>K29+E$24</f>
        <v>840</v>
      </c>
      <c r="F29" s="58" t="str">
        <f t="shared" si="13"/>
        <v xml:space="preserve">PR19 </v>
      </c>
      <c r="G29" s="1"/>
      <c r="I29" s="4">
        <f t="shared" si="14"/>
        <v>1</v>
      </c>
      <c r="J29" s="5">
        <f t="shared" si="15"/>
        <v>610</v>
      </c>
      <c r="K29" s="5">
        <f t="shared" si="16"/>
        <v>750</v>
      </c>
    </row>
    <row r="30" spans="1:11" ht="15" customHeight="1" x14ac:dyDescent="0.3">
      <c r="G30" s="1"/>
      <c r="I30" s="3"/>
      <c r="J30" s="3"/>
      <c r="K30" s="3"/>
    </row>
    <row r="31" spans="1:11" ht="16.2" thickBot="1" x14ac:dyDescent="0.35">
      <c r="A31" s="50"/>
      <c r="B31" s="7"/>
      <c r="C31" s="7"/>
      <c r="D31" s="7"/>
      <c r="E31" s="7"/>
      <c r="F31" s="49"/>
      <c r="I31" s="3"/>
      <c r="J31" s="3"/>
      <c r="K31" s="3"/>
    </row>
    <row r="32" spans="1:11" ht="16.2" thickBot="1" x14ac:dyDescent="0.35">
      <c r="A32" s="50"/>
      <c r="B32" s="71" t="s">
        <v>110</v>
      </c>
      <c r="C32" s="72"/>
      <c r="D32" s="72"/>
      <c r="E32" s="72"/>
      <c r="F32" s="73"/>
      <c r="I32" s="3"/>
      <c r="J32" s="3"/>
      <c r="K32" s="3"/>
    </row>
    <row r="33" spans="1:7" ht="10.5" customHeight="1" x14ac:dyDescent="0.3"/>
    <row r="34" spans="1:7" x14ac:dyDescent="0.3">
      <c r="A34" s="50" t="s">
        <v>10</v>
      </c>
      <c r="B34" s="77" t="s">
        <v>11</v>
      </c>
      <c r="C34" s="77" t="s">
        <v>113</v>
      </c>
      <c r="D34" s="77" t="s">
        <v>8</v>
      </c>
      <c r="E34" s="77" t="s">
        <v>9</v>
      </c>
      <c r="F34" s="77" t="s">
        <v>26</v>
      </c>
    </row>
    <row r="35" spans="1:7" ht="15.6" x14ac:dyDescent="0.3">
      <c r="A35" s="50"/>
      <c r="B35" s="74">
        <f>'4637'!B20</f>
        <v>2</v>
      </c>
      <c r="C35" s="75" t="str">
        <f>'4637'!C20</f>
        <v xml:space="preserve">PR19 </v>
      </c>
      <c r="D35" s="74">
        <f>'4637'!D20</f>
        <v>397</v>
      </c>
      <c r="E35" s="74">
        <f>'4637'!E20</f>
        <v>705</v>
      </c>
      <c r="F35" s="76" t="str">
        <f>'4637'!F20</f>
        <v>BLANCO 2114 MT</v>
      </c>
    </row>
    <row r="36" spans="1:7" ht="15.6" x14ac:dyDescent="0.3">
      <c r="A36" s="50"/>
      <c r="B36" s="74">
        <f>'4637'!B21</f>
        <v>2</v>
      </c>
      <c r="C36" s="75" t="str">
        <f>'4637'!C21</f>
        <v xml:space="preserve">PR19 </v>
      </c>
      <c r="D36" s="74">
        <f>'4637'!D21</f>
        <v>465</v>
      </c>
      <c r="E36" s="74">
        <f>'4637'!E21</f>
        <v>705</v>
      </c>
      <c r="F36" s="76" t="str">
        <f>'4637'!F21</f>
        <v>BLANCO 2114 MT</v>
      </c>
    </row>
    <row r="37" spans="1:7" ht="15.6" x14ac:dyDescent="0.3">
      <c r="A37" s="50"/>
      <c r="B37" s="74">
        <f>'4637'!B22</f>
        <v>4</v>
      </c>
      <c r="C37" s="75" t="str">
        <f>'4637'!C22</f>
        <v>PR19 / FRENTES DE 176</v>
      </c>
      <c r="D37" s="74">
        <f>'4637'!D22</f>
        <v>515</v>
      </c>
      <c r="E37" s="74">
        <f>'4637'!E22</f>
        <v>710</v>
      </c>
      <c r="F37" s="76" t="str">
        <f>'4637'!F22</f>
        <v>BLANCO 2114 MT</v>
      </c>
    </row>
    <row r="38" spans="1:7" ht="15.6" x14ac:dyDescent="0.3">
      <c r="A38" s="50"/>
      <c r="B38" s="74">
        <f>'4637'!B23</f>
        <v>1</v>
      </c>
      <c r="C38" s="75" t="str">
        <f>'4637'!C23</f>
        <v>PR19  1 LADO</v>
      </c>
      <c r="D38" s="74">
        <f>'4637'!D23</f>
        <v>595</v>
      </c>
      <c r="E38" s="74">
        <f>'4637'!E23</f>
        <v>90</v>
      </c>
      <c r="F38" s="76" t="str">
        <f>'4637'!F23</f>
        <v>BLANCO 2114 MT</v>
      </c>
    </row>
    <row r="39" spans="1:7" ht="15.6" x14ac:dyDescent="0.3">
      <c r="A39" s="50" t="s">
        <v>138</v>
      </c>
      <c r="B39" s="74">
        <f>'4637'!B24</f>
        <v>1</v>
      </c>
      <c r="C39" s="75" t="str">
        <f>'4637'!C24</f>
        <v xml:space="preserve">PR19 </v>
      </c>
      <c r="D39" s="74">
        <f>'4637'!D24</f>
        <v>610</v>
      </c>
      <c r="E39" s="74">
        <f>'4637'!E24</f>
        <v>750</v>
      </c>
      <c r="F39" s="76" t="str">
        <f>'4637'!F24</f>
        <v>BLANCO 2114 MT</v>
      </c>
    </row>
    <row r="40" spans="1:7" ht="15.6" x14ac:dyDescent="0.3">
      <c r="A40" s="50"/>
      <c r="B40" s="7"/>
      <c r="C40" s="11"/>
      <c r="D40" s="7"/>
      <c r="E40" s="7"/>
      <c r="F40" s="49"/>
    </row>
    <row r="41" spans="1:7" ht="15.6" x14ac:dyDescent="0.3">
      <c r="B41" s="7"/>
      <c r="C41" s="11"/>
      <c r="D41" s="7"/>
      <c r="E41" s="7"/>
      <c r="F41" s="49"/>
    </row>
    <row r="42" spans="1:7" ht="15.6" x14ac:dyDescent="0.3">
      <c r="B42" s="7"/>
      <c r="C42" s="11"/>
      <c r="D42" s="7"/>
      <c r="E42" s="7"/>
      <c r="F42" s="49"/>
    </row>
    <row r="43" spans="1:7" ht="15.6" x14ac:dyDescent="0.3">
      <c r="B43" s="7"/>
      <c r="C43" s="11"/>
      <c r="D43" s="7"/>
      <c r="E43" s="7"/>
      <c r="F43" s="49"/>
    </row>
    <row r="44" spans="1:7" ht="15.6" x14ac:dyDescent="0.3">
      <c r="B44" s="7"/>
      <c r="C44" s="11"/>
      <c r="D44" s="7"/>
      <c r="E44" s="7"/>
      <c r="F44" s="49"/>
    </row>
    <row r="45" spans="1:7" ht="15.6" x14ac:dyDescent="0.3">
      <c r="B45" s="7"/>
      <c r="C45" s="11"/>
      <c r="D45" s="7"/>
      <c r="E45" s="7"/>
      <c r="F45" s="49"/>
    </row>
    <row r="46" spans="1:7" ht="15.6" x14ac:dyDescent="0.3">
      <c r="B46" s="7"/>
      <c r="C46" s="11"/>
      <c r="D46" s="7"/>
      <c r="E46" s="7"/>
      <c r="F46" s="49"/>
    </row>
    <row r="47" spans="1:7" ht="15.6" x14ac:dyDescent="0.3">
      <c r="B47" s="7"/>
      <c r="C47" s="11"/>
      <c r="D47" s="7"/>
      <c r="E47" s="7"/>
      <c r="F47" s="49"/>
    </row>
    <row r="48" spans="1:7" ht="15.6" x14ac:dyDescent="0.3">
      <c r="G48" s="1"/>
    </row>
    <row r="49" spans="1:7" ht="15.6" x14ac:dyDescent="0.3">
      <c r="C49" s="55" t="s">
        <v>30</v>
      </c>
      <c r="D49" s="54">
        <f>'4637'!G8</f>
        <v>7230</v>
      </c>
      <c r="G49" s="1"/>
    </row>
    <row r="50" spans="1:7" ht="17.25" customHeight="1" x14ac:dyDescent="0.3">
      <c r="C50" s="68" t="s">
        <v>70</v>
      </c>
      <c r="D50" s="67" t="str">
        <f>'4637'!C10</f>
        <v>STAFF HOME SPA</v>
      </c>
      <c r="E50" s="22"/>
      <c r="F50" s="22"/>
      <c r="G50" s="1"/>
    </row>
    <row r="51" spans="1:7" ht="4.5" customHeight="1" x14ac:dyDescent="0.3">
      <c r="C51" s="56"/>
      <c r="D51" s="52"/>
      <c r="G51" s="1"/>
    </row>
    <row r="52" spans="1:7" ht="15.6" x14ac:dyDescent="0.3">
      <c r="C52" s="57" t="str">
        <f>'4637'!F11</f>
        <v>FECHA LIMITE :</v>
      </c>
      <c r="D52" s="53">
        <f>'4637'!G11</f>
        <v>0</v>
      </c>
      <c r="E52" s="1"/>
      <c r="F52" s="1"/>
    </row>
    <row r="55" spans="1:7" x14ac:dyDescent="0.3">
      <c r="A55" s="145" t="s">
        <v>71</v>
      </c>
      <c r="B55" s="145"/>
      <c r="C55" s="145"/>
      <c r="D55" s="145"/>
      <c r="E55" s="145"/>
      <c r="F55" s="145"/>
    </row>
    <row r="57" spans="1:7" ht="9.75" customHeight="1" x14ac:dyDescent="0.3">
      <c r="B57" s="146" t="s">
        <v>72</v>
      </c>
      <c r="C57" s="147"/>
      <c r="D57" s="148"/>
      <c r="E57" s="148"/>
      <c r="F57" s="149"/>
    </row>
    <row r="58" spans="1:7" s="13" customFormat="1" ht="11.25" customHeight="1" x14ac:dyDescent="0.25">
      <c r="B58" s="112" t="s">
        <v>11</v>
      </c>
      <c r="C58" s="113" t="s">
        <v>12</v>
      </c>
      <c r="D58" s="114" t="s">
        <v>8</v>
      </c>
      <c r="E58" s="114" t="s">
        <v>9</v>
      </c>
      <c r="F58" s="115" t="s">
        <v>13</v>
      </c>
    </row>
    <row r="59" spans="1:7" s="13" customFormat="1" ht="15" customHeight="1" x14ac:dyDescent="0.3">
      <c r="A59" s="99" t="s">
        <v>136</v>
      </c>
      <c r="B59" s="116">
        <f>'4637'!B20</f>
        <v>2</v>
      </c>
      <c r="C59" s="122" t="str">
        <f>'4637'!C20</f>
        <v xml:space="preserve">PR19 </v>
      </c>
      <c r="D59" s="116">
        <f>'4637'!D20</f>
        <v>397</v>
      </c>
      <c r="E59" s="116">
        <f>'4637'!E20</f>
        <v>705</v>
      </c>
      <c r="F59" s="117" t="str">
        <f>'4637'!F20</f>
        <v>BLANCO 2114 MT</v>
      </c>
    </row>
    <row r="60" spans="1:7" s="13" customFormat="1" ht="15" customHeight="1" x14ac:dyDescent="0.3">
      <c r="A60" s="99"/>
      <c r="B60" s="116">
        <f>'4637'!B21</f>
        <v>2</v>
      </c>
      <c r="C60" s="122" t="str">
        <f>'4637'!C21</f>
        <v xml:space="preserve">PR19 </v>
      </c>
      <c r="D60" s="116">
        <f>'4637'!D21</f>
        <v>465</v>
      </c>
      <c r="E60" s="116">
        <f>'4637'!E21</f>
        <v>705</v>
      </c>
      <c r="F60" s="117" t="str">
        <f>'4637'!F21</f>
        <v>BLANCO 2114 MT</v>
      </c>
    </row>
    <row r="61" spans="1:7" s="13" customFormat="1" ht="15" customHeight="1" x14ac:dyDescent="0.3">
      <c r="A61" s="99"/>
      <c r="B61" s="116">
        <f>'4637'!B22</f>
        <v>4</v>
      </c>
      <c r="C61" s="122" t="str">
        <f>'4637'!C22</f>
        <v>PR19 / FRENTES DE 176</v>
      </c>
      <c r="D61" s="116">
        <f>'4637'!D22</f>
        <v>515</v>
      </c>
      <c r="E61" s="116">
        <f>'4637'!E22</f>
        <v>710</v>
      </c>
      <c r="F61" s="117" t="str">
        <f>'4637'!F22</f>
        <v>BLANCO 2114 MT</v>
      </c>
    </row>
    <row r="62" spans="1:7" s="13" customFormat="1" ht="15" customHeight="1" x14ac:dyDescent="0.3">
      <c r="A62" s="99"/>
      <c r="B62" s="116">
        <f>'4637'!B23</f>
        <v>1</v>
      </c>
      <c r="C62" s="122" t="str">
        <f>'4637'!C23</f>
        <v>PR19  1 LADO</v>
      </c>
      <c r="D62" s="116">
        <f>'4637'!D23</f>
        <v>595</v>
      </c>
      <c r="E62" s="116">
        <f>'4637'!E23</f>
        <v>90</v>
      </c>
      <c r="F62" s="117" t="str">
        <f>'4637'!F23</f>
        <v>BLANCO 2114 MT</v>
      </c>
    </row>
    <row r="63" spans="1:7" s="13" customFormat="1" ht="15" customHeight="1" x14ac:dyDescent="0.3">
      <c r="A63" s="99" t="s">
        <v>138</v>
      </c>
      <c r="B63" s="116">
        <f>'4637'!B24</f>
        <v>1</v>
      </c>
      <c r="C63" s="122" t="str">
        <f>'4637'!C24</f>
        <v xml:space="preserve">PR19 </v>
      </c>
      <c r="D63" s="116">
        <f>'4637'!D24</f>
        <v>610</v>
      </c>
      <c r="E63" s="116">
        <f>'4637'!E24</f>
        <v>750</v>
      </c>
      <c r="F63" s="117" t="str">
        <f>'4637'!F24</f>
        <v>BLANCO 2114 MT</v>
      </c>
    </row>
    <row r="64" spans="1:7" ht="15.6" x14ac:dyDescent="0.3">
      <c r="A64" s="60"/>
      <c r="B64" s="3"/>
      <c r="C64" s="41"/>
      <c r="D64" s="7"/>
      <c r="E64" s="7"/>
      <c r="F64" s="49"/>
    </row>
    <row r="65" spans="1:7" ht="15.6" x14ac:dyDescent="0.3">
      <c r="A65" s="60"/>
      <c r="B65" s="3"/>
      <c r="C65" s="41"/>
      <c r="D65" s="7"/>
      <c r="E65" s="7"/>
      <c r="F65" s="56"/>
    </row>
    <row r="66" spans="1:7" ht="15.6" x14ac:dyDescent="0.3">
      <c r="A66" s="60"/>
      <c r="B66" s="3"/>
      <c r="C66" s="41"/>
      <c r="D66" s="7"/>
      <c r="E66" s="7"/>
      <c r="F66" s="49"/>
    </row>
    <row r="67" spans="1:7" ht="15" thickBot="1" x14ac:dyDescent="0.35"/>
    <row r="68" spans="1:7" x14ac:dyDescent="0.3">
      <c r="B68" s="79" t="s">
        <v>15</v>
      </c>
      <c r="C68" s="80"/>
      <c r="D68" s="81"/>
      <c r="E68" s="81"/>
      <c r="F68" s="82"/>
    </row>
    <row r="69" spans="1:7" x14ac:dyDescent="0.3">
      <c r="B69" s="83"/>
      <c r="C69" s="84" t="s">
        <v>117</v>
      </c>
      <c r="D69" s="9"/>
      <c r="E69" s="9"/>
      <c r="F69" s="85"/>
    </row>
    <row r="70" spans="1:7" ht="15" customHeight="1" x14ac:dyDescent="0.35">
      <c r="B70" s="84" t="s">
        <v>124</v>
      </c>
      <c r="C70" s="70"/>
      <c r="D70" s="10"/>
      <c r="E70" s="10"/>
      <c r="F70" s="86"/>
    </row>
    <row r="71" spans="1:7" ht="18.600000000000001" thickBot="1" x14ac:dyDescent="0.4">
      <c r="B71" s="96" t="s">
        <v>123</v>
      </c>
      <c r="C71" s="87"/>
      <c r="D71" s="87"/>
      <c r="E71" s="87"/>
      <c r="F71" s="88"/>
    </row>
    <row r="72" spans="1:7" ht="18" x14ac:dyDescent="0.35">
      <c r="A72" s="2"/>
      <c r="B72" s="8"/>
      <c r="G72" s="1"/>
    </row>
    <row r="73" spans="1:7" x14ac:dyDescent="0.3">
      <c r="B73" s="66"/>
      <c r="C73" s="66"/>
      <c r="D73" s="66"/>
      <c r="E73" s="66"/>
      <c r="F73" s="66"/>
    </row>
    <row r="74" spans="1:7" x14ac:dyDescent="0.3">
      <c r="B74" s="66"/>
      <c r="C74" s="66"/>
      <c r="D74" s="66"/>
      <c r="E74" s="66"/>
      <c r="F74" s="66"/>
    </row>
    <row r="75" spans="1:7" x14ac:dyDescent="0.3">
      <c r="B75" s="66"/>
      <c r="C75" s="66"/>
      <c r="E75" s="66"/>
      <c r="F75" s="66"/>
    </row>
  </sheetData>
  <mergeCells count="6">
    <mergeCell ref="M3:N3"/>
    <mergeCell ref="A21:F21"/>
    <mergeCell ref="A10:F10"/>
    <mergeCell ref="A55:F55"/>
    <mergeCell ref="B57:F57"/>
    <mergeCell ref="K3:L3"/>
  </mergeCells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2025-06-11T14:04:01Z</cp:lastPrinted>
  <dcterms:created xsi:type="dcterms:W3CDTF">2013-03-19T12:54:14Z</dcterms:created>
  <dcterms:modified xsi:type="dcterms:W3CDTF">2025-06-26T20:18:29Z</dcterms:modified>
</cp:coreProperties>
</file>