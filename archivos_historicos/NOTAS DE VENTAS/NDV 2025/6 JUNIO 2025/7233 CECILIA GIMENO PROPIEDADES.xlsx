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74BC8107-68C0-4AFB-9A56-58639A3CB1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3" l="1"/>
  <c r="E49" i="3"/>
  <c r="D27" i="3"/>
  <c r="J14" i="3" s="1"/>
  <c r="D14" i="3" s="1"/>
  <c r="E27" i="3"/>
  <c r="K14" i="3"/>
  <c r="E14" i="3" s="1"/>
  <c r="B27" i="3"/>
  <c r="I14" i="3" s="1"/>
  <c r="B14" i="3" s="1"/>
  <c r="C27" i="3"/>
  <c r="F14" i="3" s="1"/>
  <c r="F27" i="3"/>
  <c r="B49" i="3"/>
  <c r="C49" i="3"/>
  <c r="F49" i="3"/>
  <c r="H22" i="4"/>
  <c r="B26" i="3" l="1"/>
  <c r="I21" i="3" s="1"/>
  <c r="C26" i="3"/>
  <c r="D26" i="3"/>
  <c r="E26" i="3"/>
  <c r="K21" i="3" s="1"/>
  <c r="E21" i="3" s="1"/>
  <c r="F26" i="3"/>
  <c r="B48" i="3"/>
  <c r="C48" i="3"/>
  <c r="D48" i="3"/>
  <c r="E48" i="3"/>
  <c r="F48" i="3"/>
  <c r="H21" i="4"/>
  <c r="H25" i="4" s="1"/>
  <c r="J21" i="3" l="1"/>
  <c r="D21" i="3" s="1"/>
  <c r="B21" i="3"/>
  <c r="F21" i="3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<sst xmlns="http://schemas.openxmlformats.org/spreadsheetml/2006/main" count="251" uniqueCount="148">
  <si>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</si>
  <si>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</si>
  <si>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</si>
  <si>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</si>
  <si>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</si>
  <si>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</si>
  <si>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</si>
  <si>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</si>
  <si>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</si>
  <si>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</si>
  <si>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</si>
  <si>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</si>
  <si>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</si>
  <si>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</si>
  <si>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</si>
  <si>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</si>
  <si>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</si>
  <si>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</si>
  <si>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</si>
  <si>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</si>
  <si>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</si>
  <si>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</si>
  <si>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</si>
  <si>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</si>
  <si>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</si>
  <si>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</si>
  <si>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</si>
  <si>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</si>
  <si>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</si>
  <si>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</si>
  <si>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</si>
  <si>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</si>
  <si>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</si>
  <si>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</si>
  <si>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</si>
  <si>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</si>
  <si>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</si>
  <si>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</si>
  <si>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</si>
  <si>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</si>
  <si>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</si>
  <si>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</si>
  <si>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</si>
  <si>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</si>
  <si>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</si>
  <si>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</si>
  <si>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</si>
  <si>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</si>
  <si>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</si>
  <si>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</si>
  <si>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</si>
  <si>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</si>
  <si>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</si>
  <si>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</si>
  <si>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</si>
  <si>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</si>
  <si>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</si>
  <si>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</si>
  <si>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</si>
  <si>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</si>
  <si>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</si>
  <si>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</si>
  <si>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</si>
  <si>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</si>
  <si>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</si>
  <si>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</si>
  <si>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</si>
  <si>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</si>
  <si>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</si>
  <si>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</si>
  <si>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</si>
  <si>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</si>
  <si>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</si>
  <si>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</si>
  <si>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</si>
  <si>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</si>
  <si>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</si>
  <si>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</si>
  <si>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</si>
  <si>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</si>
  <si>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</si>
  <si>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</si>
  <si>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</si>
  <si>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</si>
  <si>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</si>
  <si>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</si>
  <si>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</si>
  <si>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</si>
  <si>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</si>
  <si>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</si>
  <si>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</si>
  <si>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</si>
  <si>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</si>
  <si>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</si>
  <si>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</si>
  <si>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</si>
  <si>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</si>
  <si>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</si>
  <si>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</si>
  <si>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</si>
  <si>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</si>
  <si>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</si>
  <si>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</si>
  <si>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</si>
  <si>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</si>
  <si>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</si>
  <si>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</si>
  <si>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</si>
  <si>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</si>
  <si>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</si>
  <si>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</si>
  <si>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</si>
  <si>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</si>
  <si>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</si>
  <si>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</si>
  <si>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</si>
  <si>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</si>
  <si>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</si>
  <si>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</si>
  <si>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</si>
  <si>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</si>
  <si>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</si>
  <si>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</si>
  <si>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</si>
  <si>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</si>
  <si>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</si>
  <si>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</si>
  <si>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</si>
  <si>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</si>
  <si>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</si>
  <si>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</si>
  <si>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</si>
  <si>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</si>
  <si>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</si>
  <si>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</si>
  <si>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NO</t>
  </si>
  <si>
    <t>CONTADO</t>
  </si>
  <si>
    <t>76.865.400-K</t>
  </si>
  <si>
    <t>CECILIA GIMENO PROPIEDADES LIMITADA</t>
  </si>
  <si>
    <t>ACTIVIDADES INMOBILIARIAS REALIZADAS A CAMBIO DE UNA RETRIBUCION</t>
  </si>
  <si>
    <t>JUAN AGUILERA</t>
  </si>
  <si>
    <t>56966674029</t>
  </si>
  <si>
    <t>PUERTA ORIENTE 361 OF 501 COLINA</t>
  </si>
  <si>
    <t>N° 11481</t>
  </si>
  <si>
    <t>TROZO MELAMINA 18MM</t>
  </si>
  <si>
    <t>BLANCA</t>
  </si>
  <si>
    <t>BLANCO MERINO OPACO</t>
  </si>
  <si>
    <t>MELAMINA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</si>
</sst>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sz val="8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0" xfId="0" quotePrefix="1" applyFont="1"/>
    <xf numFmtId="0" fontId="20" fillId="0" borderId="9" xfId="2" applyFont="1" applyFill="1" applyBorder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1" fillId="3" borderId="0" xfId="0" applyFont="1" applyFill="1"/>
    <xf numFmtId="0" fontId="2" fillId="0" borderId="0" xfId="0" applyFont="1" applyAlignment="1">
      <alignment horizontal="right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$ 100.849.-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OBSERVACIONES:CLIENTE TRAE PUERTAS TERMOLAMINADAS, DESPAJAR Y POSTFORMAR CON RADIO 6MM, ENCHAPAR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CANTOS CON PVC 0,4MM COLOR BLANCO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OBSERVACIONES:CLIENTE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TRAE PUERTAS TERMOLAMINADAS, SACAR FOLEO Y POSTFORMAR CON RADIO 6MM, ENCHAPAR CON TAPACANTO PVC 0,4MM COLOR BLANCO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E23" sqref="E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7233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45827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9" t="s">
        <v>137</v>
      </c>
      <c r="D11" s="60"/>
      <c r="E11" s="60"/>
      <c r="F11" s="60" t="s">
        <v>124</v>
      </c>
      <c r="G11" s="61">
        <v>45832</v>
      </c>
      <c r="H11" s="62"/>
      <c r="I11" s="1"/>
    </row>
    <row r="12" spans="1:17" ht="15.6" x14ac:dyDescent="0.3">
      <c r="A12" s="1"/>
      <c r="B12" s="63" t="s">
        <v>131</v>
      </c>
      <c r="C12" s="126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1" t="s">
        <v>141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6.8" x14ac:dyDescent="0.4">
      <c r="A15" s="1"/>
      <c r="B15" s="63" t="s">
        <v>1</v>
      </c>
      <c r="C15" s="110" t="s">
        <v>142</v>
      </c>
      <c r="D15" s="43"/>
      <c r="E15" s="43"/>
      <c r="F15" s="67" t="s">
        <v>75</v>
      </c>
      <c r="G15" s="67" t="s">
        <v>136</v>
      </c>
      <c r="H15" s="65"/>
      <c r="I15" s="1"/>
    </row>
    <row r="16" spans="1:17" ht="16.2" thickBot="1" x14ac:dyDescent="0.35">
      <c r="A16" s="1"/>
      <c r="B16" s="68" t="s">
        <v>3</v>
      </c>
      <c r="C16" s="112" t="s">
        <v>132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3</v>
      </c>
      <c r="C21" s="104" t="s">
        <v>63</v>
      </c>
      <c r="D21" s="107">
        <v>853</v>
      </c>
      <c r="E21" s="107">
        <v>398</v>
      </c>
      <c r="F21" s="104" t="s">
        <v>146</v>
      </c>
      <c r="G21" s="106">
        <v>23487</v>
      </c>
      <c r="H21" s="105">
        <f t="shared" ref="H21:H22" si="0">G21*B21</f>
        <v>70461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1</v>
      </c>
      <c r="C22" s="104" t="s">
        <v>144</v>
      </c>
      <c r="D22" s="107">
        <v>1270</v>
      </c>
      <c r="E22" s="107">
        <v>520</v>
      </c>
      <c r="F22" s="104" t="s">
        <v>145</v>
      </c>
      <c r="G22" s="106">
        <v>20000</v>
      </c>
      <c r="H22" s="105">
        <f t="shared" si="0"/>
        <v>20000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90461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17187.59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107648.59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G3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7233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CECILIA GIMENO PROPIEDADES LIMITADA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45832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/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127" t="s">
        <v>147</v>
      </c>
      <c r="B14" s="25">
        <f t="shared" ref="B14" si="0">I14</f>
        <v>1</v>
      </c>
      <c r="C14" s="25"/>
      <c r="D14" s="25">
        <f>J14</f>
        <v>1270</v>
      </c>
      <c r="E14" s="35">
        <f>K14</f>
        <v>520</v>
      </c>
      <c r="F14" s="102" t="str">
        <f>C27</f>
        <v>TROZO MELAMINA 18MM</v>
      </c>
      <c r="G14" s="1"/>
      <c r="I14" s="3">
        <f>B27</f>
        <v>1</v>
      </c>
      <c r="J14" s="4">
        <f>D27</f>
        <v>1270</v>
      </c>
      <c r="K14" s="4">
        <f>E27</f>
        <v>520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1" t="s">
        <v>14</v>
      </c>
      <c r="B17" s="121"/>
      <c r="C17" s="121"/>
      <c r="D17" s="121"/>
      <c r="E17" s="121"/>
      <c r="F17" s="121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20</v>
      </c>
      <c r="E20" s="21">
        <v>90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6" t="s">
        <v>130</v>
      </c>
      <c r="B21" s="16">
        <f t="shared" ref="B21" si="1">I21</f>
        <v>3</v>
      </c>
      <c r="C21" s="16"/>
      <c r="D21" s="16">
        <f t="shared" ref="D21" si="2">J21+D$20</f>
        <v>873</v>
      </c>
      <c r="E21" s="16">
        <f>K21+E$20</f>
        <v>488</v>
      </c>
      <c r="F21" s="103" t="str">
        <f>C26</f>
        <v>PR6</v>
      </c>
      <c r="G21" s="1"/>
      <c r="I21" s="3">
        <f>B26</f>
        <v>3</v>
      </c>
      <c r="J21" s="4">
        <f t="shared" ref="J21:K21" si="3">D26</f>
        <v>853</v>
      </c>
      <c r="K21" s="4">
        <f t="shared" si="3"/>
        <v>398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6" t="s">
        <v>134</v>
      </c>
      <c r="B26" s="25">
        <f>'4637'!B21</f>
        <v>3</v>
      </c>
      <c r="C26" s="102" t="str">
        <f>'4637'!C21</f>
        <v>PR6</v>
      </c>
      <c r="D26" s="25">
        <f>'4637'!D21</f>
        <v>853</v>
      </c>
      <c r="E26" s="25">
        <f>'4637'!E21</f>
        <v>398</v>
      </c>
      <c r="F26" s="25" t="str">
        <f>'4637'!F21</f>
        <v>BLANCO MERINO OPACO</v>
      </c>
      <c r="G26" s="1"/>
    </row>
    <row r="27" spans="1:11" ht="15.6" x14ac:dyDescent="0.3">
      <c r="A27" s="96"/>
      <c r="B27" s="25">
        <f>'4637'!B22</f>
        <v>1</v>
      </c>
      <c r="C27" s="102" t="str">
        <f>'4637'!C22</f>
        <v>TROZO MELAMINA 18MM</v>
      </c>
      <c r="D27" s="25">
        <f>'4637'!D22</f>
        <v>1270</v>
      </c>
      <c r="E27" s="25">
        <f>'4637'!E22</f>
        <v>520</v>
      </c>
      <c r="F27" s="25" t="str">
        <f>'4637'!F22</f>
        <v>BLANCA</v>
      </c>
      <c r="G27" s="1"/>
    </row>
    <row r="28" spans="1:11" ht="15.6" x14ac:dyDescent="0.3">
      <c r="A28" s="96"/>
      <c r="B28" s="6"/>
      <c r="C28" s="108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7233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CECILIA GIMENO PROPIEDADES LIMITADA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45832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1" t="s">
        <v>68</v>
      </c>
      <c r="B44" s="121"/>
      <c r="C44" s="121"/>
      <c r="D44" s="121"/>
      <c r="E44" s="121"/>
      <c r="F44" s="12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2" t="s">
        <v>69</v>
      </c>
      <c r="C46" s="123"/>
      <c r="D46" s="124"/>
      <c r="E46" s="124"/>
      <c r="F46" s="125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 t="s">
        <v>134</v>
      </c>
      <c r="B48" s="38">
        <f>'4637'!B21</f>
        <v>3</v>
      </c>
      <c r="C48" s="101" t="str">
        <f>'4637'!C21</f>
        <v>PR6</v>
      </c>
      <c r="D48" s="39">
        <f>'4637'!D21</f>
        <v>853</v>
      </c>
      <c r="E48" s="39">
        <f>'4637'!E21</f>
        <v>398</v>
      </c>
      <c r="F48" s="38" t="str">
        <f>'4637'!F21</f>
        <v>BLANCO MERINO OPACO</v>
      </c>
      <c r="G48" s="1"/>
    </row>
    <row r="49" spans="1:7" s="15" customFormat="1" ht="15" customHeight="1" x14ac:dyDescent="0.3">
      <c r="A49" s="96"/>
      <c r="B49" s="38">
        <f>'4637'!B22</f>
        <v>1</v>
      </c>
      <c r="C49" s="101" t="str">
        <f>'4637'!C22</f>
        <v>TROZO MELAMINA 18MM</v>
      </c>
      <c r="D49" s="39">
        <f>'4637'!D22</f>
        <v>1270</v>
      </c>
      <c r="E49" s="39">
        <f>'4637'!E22</f>
        <v>520</v>
      </c>
      <c r="F49" s="38" t="str">
        <f>'4637'!F22</f>
        <v>BLANCA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2025-06-19T20:32:37Z</cp:lastPrinted>
  <dcterms:created xsi:type="dcterms:W3CDTF">2013-03-19T12:54:14Z</dcterms:created>
  <dcterms:modified xsi:type="dcterms:W3CDTF">2025-06-19T20:33:01Z</dcterms:modified>
</cp:coreProperties>
</file>