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6 JUNIO 2025\"/>
    </mc:Choice>
  </mc:AlternateContent>
  <xr:revisionPtr revIDLastSave="0" documentId="13_ncr:1_{FA35E394-72EF-4130-BD23-3AB51B6B74D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H21" i="4"/>
  <c r="H24" i="4" s="1"/>
  <c r="J22" i="3" l="1"/>
  <c r="D22" i="3" s="1"/>
  <c r="K14" i="3"/>
  <c r="E14" i="3" s="1"/>
  <c r="B22" i="3"/>
  <c r="I14" i="3"/>
  <c r="B14" i="3" s="1"/>
  <c r="F22" i="3"/>
  <c r="H25" i="4" l="1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<sst xmlns="http://schemas.openxmlformats.org/spreadsheetml/2006/main" count="249" uniqueCount="146">
  <si>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</si>
  <si>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</si>
  <si>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</si>
  <si>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</si>
  <si>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</si>
  <si>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</si>
  <si>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</si>
  <si>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</si>
  <si>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</si>
  <si>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</si>
  <si>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</si>
  <si>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</si>
  <si>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</si>
  <si>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</si>
  <si>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</si>
  <si>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</si>
  <si>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</si>
  <si>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</si>
  <si>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</si>
  <si>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</si>
  <si>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</si>
  <si>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</si>
  <si>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</si>
  <si>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</si>
  <si>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</si>
  <si>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</si>
  <si>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</si>
  <si>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</si>
  <si>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</si>
  <si>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</si>
  <si>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</si>
  <si>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</si>
  <si>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</si>
  <si>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</si>
  <si>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</si>
  <si>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</si>
  <si>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</si>
  <si>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</si>
  <si>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</si>
  <si>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</si>
  <si>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</si>
  <si>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</si>
  <si>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</si>
  <si>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</si>
  <si>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</si>
  <si>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</si>
  <si>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</si>
  <si>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</si>
  <si>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</si>
  <si>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</si>
  <si>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</si>
  <si>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</si>
  <si>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</si>
  <si>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</si>
  <si>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</si>
  <si>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</si>
  <si>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</si>
  <si>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</si>
  <si>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</si>
  <si>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</si>
  <si>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</si>
  <si>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</si>
  <si>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</si>
  <si>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</si>
  <si>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</si>
  <si>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</si>
  <si>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</si>
  <si>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</si>
  <si>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</si>
  <si>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</si>
  <si>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</si>
  <si>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</si>
  <si>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</si>
  <si>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</si>
  <si>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</si>
  <si>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</si>
  <si>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</si>
  <si>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</si>
  <si>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</si>
  <si>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</si>
  <si>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</si>
  <si>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</si>
  <si>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</si>
  <si>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</si>
  <si>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</si>
  <si>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</si>
  <si>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</si>
  <si>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</si>
  <si>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</si>
  <si>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</si>
  <si>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</si>
  <si>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</si>
  <si>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</si>
  <si>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</si>
  <si>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</si>
  <si>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</si>
  <si>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</si>
  <si>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</si>
  <si>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</si>
  <si>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</si>
  <si>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</si>
  <si>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</si>
  <si>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</si>
  <si>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</si>
  <si>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</si>
  <si>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</si>
  <si>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</si>
  <si>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</si>
  <si>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</si>
  <si>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</si>
  <si>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</si>
  <si>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</si>
  <si>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</si>
  <si>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</si>
  <si>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</si>
  <si>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</si>
  <si>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</si>
  <si>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</si>
  <si>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</si>
  <si>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</si>
  <si>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</si>
  <si>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</si>
  <si>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</si>
  <si>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</si>
  <si>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</si>
  <si>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</si>
  <si>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</si>
  <si>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</si>
  <si>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</si>
  <si>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</si>
  <si>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</si>
  <si>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</si>
  <si>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</si>
  <si>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</si>
  <si>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</si>
  <si>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NO</t>
  </si>
  <si>
    <t>BLACK SF MERINO</t>
  </si>
  <si>
    <t>CUB C/R R8</t>
  </si>
  <si>
    <t>N° 11462</t>
  </si>
  <si>
    <t>SUR-SERVI SPA</t>
  </si>
  <si>
    <t>76.738.950-7</t>
  </si>
  <si>
    <t>FCA. DE MUEBLES</t>
  </si>
  <si>
    <t>EDUARDO COLLAO</t>
  </si>
  <si>
    <t>56988078074</t>
  </si>
  <si>
    <t>PEDRO MIRA 560, SAN MIGUEL</t>
  </si>
  <si>
    <t>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</si>
</sst>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8" fillId="0" borderId="0" xfId="0" applyFont="1"/>
    <xf numFmtId="0" fontId="18" fillId="3" borderId="0" xfId="0" applyFont="1" applyFill="1"/>
    <xf numFmtId="0" fontId="19" fillId="0" borderId="0" xfId="0" quotePrefix="1" applyFont="1"/>
    <xf numFmtId="0" fontId="20" fillId="0" borderId="9" xfId="2" applyFont="1" applyFill="1" applyBorder="1" applyAlignment="1">
      <alignment horizontal="left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$ 54.000.-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RESPALDO A 88MM, FRENTE DE 3 CMS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RESPALDO A 88MM, FRENTE 3 CMS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6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138</v>
      </c>
      <c r="E8" s="1"/>
      <c r="F8" s="94" t="s">
        <v>27</v>
      </c>
      <c r="G8" s="95">
        <v>7228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139</v>
      </c>
      <c r="D10" s="55"/>
      <c r="E10" s="55"/>
      <c r="F10" s="56" t="s">
        <v>28</v>
      </c>
      <c r="G10" s="57">
        <v>45818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22" t="s">
        <v>140</v>
      </c>
      <c r="D11" s="60"/>
      <c r="E11" s="60"/>
      <c r="F11" s="60" t="s">
        <v>124</v>
      </c>
      <c r="G11" s="61"/>
      <c r="H11" s="62"/>
      <c r="I11" s="1"/>
    </row>
    <row r="12" spans="1:17" ht="16.8" x14ac:dyDescent="0.4">
      <c r="A12" s="1"/>
      <c r="B12" s="63" t="s">
        <v>131</v>
      </c>
      <c r="C12" s="123" t="s">
        <v>141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t="s">
        <v>142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24" t="s">
        <v>143</v>
      </c>
      <c r="D14" s="66"/>
      <c r="E14" s="60"/>
      <c r="F14" s="60" t="s">
        <v>29</v>
      </c>
      <c r="G14" s="60" t="s">
        <v>135</v>
      </c>
      <c r="H14" s="62"/>
      <c r="I14" s="1"/>
    </row>
    <row r="15" spans="1:17" ht="16.8" x14ac:dyDescent="0.4">
      <c r="A15" s="1"/>
      <c r="B15" s="63" t="s">
        <v>1</v>
      </c>
      <c r="C15" s="123" t="s">
        <v>144</v>
      </c>
      <c r="D15" s="43"/>
      <c r="E15" s="43"/>
      <c r="F15" s="67" t="s">
        <v>75</v>
      </c>
      <c r="G15" s="67" t="s">
        <v>145</v>
      </c>
      <c r="H15" s="65"/>
      <c r="I15" s="1"/>
    </row>
    <row r="16" spans="1:17" ht="16.2" thickBot="1" x14ac:dyDescent="0.35">
      <c r="A16" s="1"/>
      <c r="B16" s="68" t="s">
        <v>3</v>
      </c>
      <c r="C16" s="125" t="s">
        <v>132</v>
      </c>
      <c r="D16" s="69"/>
      <c r="E16" s="70"/>
      <c r="F16" s="109" t="s">
        <v>18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19</v>
      </c>
      <c r="C19" s="112"/>
      <c r="D19" s="112"/>
      <c r="E19" s="112"/>
      <c r="F19" s="112"/>
      <c r="G19" s="112"/>
      <c r="H19" s="113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1</v>
      </c>
      <c r="C21" s="104" t="s">
        <v>137</v>
      </c>
      <c r="D21" s="107">
        <v>2000</v>
      </c>
      <c r="E21" s="107">
        <v>600</v>
      </c>
      <c r="F21" s="104" t="s">
        <v>136</v>
      </c>
      <c r="G21" s="106">
        <v>108014</v>
      </c>
      <c r="H21" s="105">
        <f t="shared" ref="H21" si="0">G21*B21</f>
        <v>108014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108014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20522.66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128536.66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9" zoomScaleNormal="100" workbookViewId="0">
      <selection activeCell="E22" sqref="E2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40" t="s">
        <v>27</v>
      </c>
      <c r="D4" s="14">
        <f>'4637'!G8</f>
        <v>7228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SUR-SERVI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>J14+D13</f>
        <v>2080</v>
      </c>
      <c r="E14" s="35">
        <f>K14+E$13</f>
        <v>570</v>
      </c>
      <c r="F14" s="102" t="str">
        <f>C28</f>
        <v>CUB C/R R8</v>
      </c>
      <c r="G14" s="1"/>
      <c r="I14" s="3">
        <f>I22</f>
        <v>1</v>
      </c>
      <c r="J14" s="4">
        <f>D28</f>
        <v>2000</v>
      </c>
      <c r="K14" s="4">
        <f>E28</f>
        <v>600</v>
      </c>
    </row>
    <row r="15" spans="1:14" ht="15.6" x14ac:dyDescent="0.3">
      <c r="A15" s="96"/>
      <c r="B15" s="6"/>
      <c r="C15" s="6"/>
      <c r="D15" s="6"/>
      <c r="E15" s="89"/>
      <c r="F15" s="108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7" t="s">
        <v>14</v>
      </c>
      <c r="B18" s="117"/>
      <c r="C18" s="117"/>
      <c r="D18" s="117"/>
      <c r="E18" s="117"/>
      <c r="F18" s="117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170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1">I22</f>
        <v>1</v>
      </c>
      <c r="C22" s="16"/>
      <c r="D22" s="16">
        <f t="shared" ref="D22" si="2">J22+D$21</f>
        <v>2040</v>
      </c>
      <c r="E22" s="16">
        <f>K22+E$21</f>
        <v>770</v>
      </c>
      <c r="F22" s="103" t="str">
        <f>C28</f>
        <v>CUB C/R R8</v>
      </c>
      <c r="G22" s="1"/>
      <c r="I22" s="3">
        <f>B28</f>
        <v>1</v>
      </c>
      <c r="J22" s="4">
        <f t="shared" ref="J22:K22" si="3">D28</f>
        <v>2000</v>
      </c>
      <c r="K22" s="4">
        <f t="shared" si="3"/>
        <v>600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134</v>
      </c>
      <c r="B28" s="25">
        <f>'4637'!B21</f>
        <v>1</v>
      </c>
      <c r="C28" s="102" t="str">
        <f>'4637'!C21</f>
        <v>CUB C/R R8</v>
      </c>
      <c r="D28" s="25">
        <f>'4637'!D21</f>
        <v>2000</v>
      </c>
      <c r="E28" s="25">
        <f>'4637'!E21</f>
        <v>600</v>
      </c>
      <c r="F28" s="25" t="str">
        <f>'4637'!F21</f>
        <v>BLACK SF MERINO</v>
      </c>
      <c r="G28" s="1"/>
    </row>
    <row r="29" spans="1:11" ht="15.6" x14ac:dyDescent="0.3">
      <c r="A29" s="96"/>
      <c r="B29" s="6"/>
      <c r="C29" s="108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7228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SUR-SERVI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7" t="s">
        <v>68</v>
      </c>
      <c r="B45" s="117"/>
      <c r="C45" s="117"/>
      <c r="D45" s="117"/>
      <c r="E45" s="117"/>
      <c r="F45" s="117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8" t="s">
        <v>69</v>
      </c>
      <c r="C47" s="119"/>
      <c r="D47" s="120"/>
      <c r="E47" s="120"/>
      <c r="F47" s="121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 t="s">
        <v>134</v>
      </c>
      <c r="B49" s="38">
        <f>'4637'!B21</f>
        <v>1</v>
      </c>
      <c r="C49" s="101" t="str">
        <f>'4637'!C21</f>
        <v>CUB C/R R8</v>
      </c>
      <c r="D49" s="39">
        <f>'4637'!D21</f>
        <v>2000</v>
      </c>
      <c r="E49" s="39">
        <f>'4637'!E21</f>
        <v>600</v>
      </c>
      <c r="F49" s="38" t="str">
        <f>'4637'!F21</f>
        <v>BLACK SF MERINO</v>
      </c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2025-06-10T16:00:31Z</cp:lastPrinted>
  <dcterms:created xsi:type="dcterms:W3CDTF">2013-03-19T12:54:14Z</dcterms:created>
  <dcterms:modified xsi:type="dcterms:W3CDTF">2025-06-10T16:04:08Z</dcterms:modified>
</cp:coreProperties>
</file>