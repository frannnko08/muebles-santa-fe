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09F65C8C-F1DD-456B-A172-1F00F0A06B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<sst xmlns="http://schemas.openxmlformats.org/spreadsheetml/2006/main" count="247" uniqueCount="145">
  <si>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</si>
  <si>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</si>
  <si>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</si>
  <si>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</si>
  <si>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</si>
  <si>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</si>
  <si>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</si>
  <si>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</si>
  <si>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</si>
  <si>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</si>
  <si>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</si>
  <si>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</si>
  <si>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</si>
  <si>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</si>
  <si>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</si>
  <si>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</si>
  <si>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</si>
  <si>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</si>
  <si>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</si>
  <si>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</si>
  <si>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</si>
  <si>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</si>
  <si>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</si>
  <si>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</si>
  <si>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</si>
  <si>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</si>
  <si>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</si>
  <si>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</si>
  <si>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</si>
  <si>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</si>
  <si>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</si>
  <si>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</si>
  <si>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</si>
  <si>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</si>
  <si>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</si>
  <si>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</si>
  <si>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</si>
  <si>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</si>
  <si>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</si>
  <si>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</si>
  <si>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</si>
  <si>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</si>
  <si>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</si>
  <si>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</si>
  <si>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</si>
  <si>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</si>
  <si>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</si>
  <si>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</si>
  <si>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</si>
  <si>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</si>
  <si>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</si>
  <si>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</si>
  <si>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</si>
  <si>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</si>
  <si>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</si>
  <si>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</si>
  <si>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</si>
  <si>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</si>
  <si>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</si>
  <si>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</si>
  <si>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</si>
  <si>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</si>
  <si>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</si>
  <si>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</si>
  <si>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</si>
  <si>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</si>
  <si>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</si>
  <si>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</si>
  <si>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</si>
  <si>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</si>
  <si>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</si>
  <si>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</si>
  <si>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</si>
  <si>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</si>
  <si>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</si>
  <si>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</si>
  <si>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</si>
  <si>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</si>
  <si>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</si>
  <si>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</si>
  <si>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</si>
  <si>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</si>
  <si>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</si>
  <si>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</si>
  <si>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</si>
  <si>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</si>
  <si>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</si>
  <si>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</si>
  <si>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</si>
  <si>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</si>
  <si>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</si>
  <si>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</si>
  <si>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</si>
  <si>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</si>
  <si>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</si>
  <si>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</si>
  <si>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</si>
  <si>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</si>
  <si>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</si>
  <si>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</si>
  <si>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</si>
  <si>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</si>
  <si>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</si>
  <si>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</si>
  <si>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</si>
  <si>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</si>
  <si>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</si>
  <si>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</si>
  <si>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</si>
  <si>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</si>
  <si>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</si>
  <si>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</si>
  <si>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</si>
  <si>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</si>
  <si>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</si>
  <si>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</si>
  <si>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</si>
  <si>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</si>
  <si>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</si>
  <si>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</si>
  <si>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</si>
  <si>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</si>
  <si>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</si>
  <si>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</si>
  <si>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</si>
  <si>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</si>
  <si>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</si>
  <si>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</si>
  <si>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</si>
  <si>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</si>
  <si>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</si>
  <si>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</si>
  <si>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</si>
  <si>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</si>
  <si>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</si>
  <si>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</si>
  <si>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NO</t>
  </si>
  <si>
    <t>CONTADO</t>
  </si>
  <si>
    <t>CUB S/R 180°</t>
  </si>
  <si>
    <t>,</t>
  </si>
  <si>
    <t>N° 11453</t>
  </si>
  <si>
    <t>ESCANDAR</t>
  </si>
  <si>
    <t>JOSE GONZALEZ</t>
  </si>
  <si>
    <t>+56968491403</t>
  </si>
  <si>
    <t>BLANCO MERINO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</si>
</sst>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6" fillId="0" borderId="0" xfId="2" quotePrefix="1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 $ 113.320.-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L19" sqref="L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7226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141</v>
      </c>
      <c r="D10" s="55"/>
      <c r="E10" s="55"/>
      <c r="F10" s="56" t="s">
        <v>28</v>
      </c>
      <c r="G10" s="57">
        <v>45811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45812</v>
      </c>
      <c r="H11" s="62"/>
      <c r="I11" s="1"/>
    </row>
    <row r="12" spans="1:17" ht="15.6" x14ac:dyDescent="0.3">
      <c r="A12" s="1"/>
      <c r="B12" s="63" t="s">
        <v>131</v>
      </c>
      <c r="C12" t="s">
        <v>135</v>
      </c>
      <c r="D12" s="43"/>
      <c r="E12" s="43"/>
      <c r="F12" s="43" t="s">
        <v>30</v>
      </c>
      <c r="G12" s="64" t="s">
        <v>139</v>
      </c>
      <c r="H12" s="65"/>
      <c r="I12" s="1"/>
    </row>
    <row r="13" spans="1:17" ht="15.6" x14ac:dyDescent="0.3">
      <c r="A13" s="1"/>
      <c r="B13" s="63" t="s">
        <v>133</v>
      </c>
      <c r="C13" t="s">
        <v>142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3" t="s">
        <v>143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4</v>
      </c>
      <c r="C21" s="101" t="s">
        <v>138</v>
      </c>
      <c r="D21" s="107">
        <v>700</v>
      </c>
      <c r="E21" s="107">
        <v>500</v>
      </c>
      <c r="F21" s="101" t="s">
        <v>144</v>
      </c>
      <c r="G21" s="102">
        <v>28330</v>
      </c>
      <c r="H21" s="102">
        <f>G21*B21</f>
        <v>113320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</row>
    <row r="23" spans="1:16" ht="18" customHeight="1" thickBot="1" x14ac:dyDescent="0.35">
      <c r="A23" s="1"/>
      <c r="B23" s="103"/>
      <c r="C23" s="103"/>
      <c r="D23" s="104"/>
      <c r="E23" s="104"/>
      <c r="F23" s="103"/>
      <c r="G23" s="105"/>
      <c r="H23" s="106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113320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21530.799999999999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134850.79999999999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7226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ESCANDAR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45812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4</v>
      </c>
      <c r="C14" s="25"/>
      <c r="D14" s="25">
        <f t="shared" ref="D14" si="1">J14+D$13</f>
        <v>780</v>
      </c>
      <c r="E14" s="35">
        <f>K14+E$13</f>
        <v>500</v>
      </c>
      <c r="F14" s="99" t="str">
        <f>C27</f>
        <v>CUB S/R 180°</v>
      </c>
      <c r="G14" s="1"/>
      <c r="I14" s="3">
        <f>I22</f>
        <v>4</v>
      </c>
      <c r="J14" s="4">
        <f>D27</f>
        <v>700</v>
      </c>
      <c r="K14" s="4">
        <f>E27</f>
        <v>500</v>
      </c>
    </row>
    <row r="15" spans="1:14" ht="15.6" x14ac:dyDescent="0.3">
      <c r="A15" s="96"/>
      <c r="B15" s="6"/>
      <c r="C15" s="6"/>
      <c r="D15" s="6"/>
      <c r="E15" s="89"/>
      <c r="F15" s="109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4</v>
      </c>
      <c r="C22" s="16"/>
      <c r="D22" s="16">
        <f>J22+D$21</f>
        <v>740</v>
      </c>
      <c r="E22" s="16">
        <f>K22+E$21</f>
        <v>560</v>
      </c>
      <c r="F22" s="100" t="str">
        <f>C27</f>
        <v>CUB S/R 180°</v>
      </c>
      <c r="G22" s="1"/>
      <c r="I22" s="3">
        <f>B27</f>
        <v>4</v>
      </c>
      <c r="J22" s="4">
        <f t="shared" ref="J22:K22" si="3">D27</f>
        <v>700</v>
      </c>
      <c r="K22" s="4">
        <f t="shared" si="3"/>
        <v>500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4</v>
      </c>
      <c r="C27" s="99" t="str">
        <f>'4637'!C21</f>
        <v>CUB S/R 180°</v>
      </c>
      <c r="D27" s="25">
        <f>'4637'!D21</f>
        <v>700</v>
      </c>
      <c r="E27" s="25">
        <f>'4637'!E21</f>
        <v>500</v>
      </c>
      <c r="F27" s="25" t="str">
        <f>'4637'!F21</f>
        <v>BLANCO MERINO BRILLO</v>
      </c>
      <c r="G27" s="1"/>
    </row>
    <row r="28" spans="1:11" ht="15.6" x14ac:dyDescent="0.3">
      <c r="A28" s="96"/>
      <c r="B28" s="6"/>
      <c r="C28" s="109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7226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ESCANDAR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45812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8" t="s">
        <v>68</v>
      </c>
      <c r="B45" s="118"/>
      <c r="C45" s="118"/>
      <c r="D45" s="118"/>
      <c r="E45" s="118"/>
      <c r="F45" s="11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69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4</v>
      </c>
      <c r="C49" s="98" t="str">
        <f>'4637'!C21</f>
        <v>CUB S/R 180°</v>
      </c>
      <c r="D49" s="39">
        <f>'4637'!D21</f>
        <v>700</v>
      </c>
      <c r="E49" s="39">
        <f>'4637'!E21</f>
        <v>500</v>
      </c>
      <c r="F49" s="38" t="str">
        <f>'4637'!F21</f>
        <v>BLANCO MERINO BRILLO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2025-06-03T14:01:41Z</cp:lastPrinted>
  <dcterms:created xsi:type="dcterms:W3CDTF">2013-03-19T12:54:14Z</dcterms:created>
  <dcterms:modified xsi:type="dcterms:W3CDTF">2025-06-03T14:02:10Z</dcterms:modified>
</cp:coreProperties>
</file>