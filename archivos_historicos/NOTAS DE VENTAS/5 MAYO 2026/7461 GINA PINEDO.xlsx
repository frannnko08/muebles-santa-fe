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DCAF21E5-49D2-46ED-BA5F-BC260A32063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E21" i="3" l="1"/>
  <c r="I14" i="3"/>
  <c r="B14" i="3" s="1"/>
  <c r="J14" i="3"/>
  <c r="D14" i="3" s="1"/>
  <c r="H23" i="4" l="1"/>
  <c r="N5" i="3" l="1"/>
  <c r="M5" i="3"/>
  <c r="L5" i="3"/>
  <c r="K5" i="3"/>
  <c r="H24" i="4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<sst xmlns="http://schemas.openxmlformats.org/spreadsheetml/2006/main" count="246" uniqueCount="144">
  <si>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</si>
  <si>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</si>
  <si>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</si>
  <si>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</si>
  <si>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</si>
  <si>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</si>
  <si>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</si>
  <si>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</si>
  <si>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</si>
  <si>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</si>
  <si>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</si>
  <si>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</si>
  <si>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</si>
  <si>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</si>
  <si>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</si>
  <si>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</si>
  <si>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</si>
  <si>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</si>
  <si>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</si>
  <si>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</si>
  <si>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</si>
  <si>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</si>
  <si>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</si>
  <si>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</si>
  <si>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</si>
  <si>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</si>
  <si>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</si>
  <si>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</si>
  <si>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</si>
  <si>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</si>
  <si>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</si>
  <si>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</si>
  <si>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</si>
  <si>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</si>
  <si>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</si>
  <si>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</si>
  <si>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</si>
  <si>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</si>
  <si>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</si>
  <si>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</si>
  <si>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</si>
  <si>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</si>
  <si>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</si>
  <si>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</si>
  <si>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</si>
  <si>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</si>
  <si>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</si>
  <si>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</si>
  <si>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</si>
  <si>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</si>
  <si>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</si>
  <si>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</si>
  <si>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</si>
  <si>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</si>
  <si>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</si>
  <si>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</si>
  <si>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</si>
  <si>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</si>
  <si>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</si>
  <si>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</si>
  <si>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</si>
  <si>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</si>
  <si>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</si>
  <si>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</si>
  <si>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</si>
  <si>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</si>
  <si>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</si>
  <si>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</si>
  <si>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</si>
  <si>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</si>
  <si>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</si>
  <si>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</si>
  <si>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</si>
  <si>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</si>
  <si>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</si>
  <si>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</si>
  <si>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</si>
  <si>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</si>
  <si>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</si>
  <si>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</si>
  <si>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</si>
  <si>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</si>
  <si>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</si>
  <si>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</si>
  <si>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</si>
  <si>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</si>
  <si>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</si>
  <si>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</si>
  <si>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</si>
  <si>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</si>
  <si>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</si>
  <si>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</si>
  <si>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</si>
  <si>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</si>
  <si>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</si>
  <si>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</si>
  <si>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</si>
  <si>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</si>
  <si>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</si>
  <si>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</si>
  <si>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</si>
  <si>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</si>
  <si>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</si>
  <si>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</si>
  <si>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</si>
  <si>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</si>
  <si>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</si>
  <si>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</si>
  <si>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</si>
  <si>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</si>
  <si>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</si>
  <si>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</si>
  <si>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</si>
  <si>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</si>
  <si>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</si>
  <si>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</si>
  <si>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</si>
  <si>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</si>
  <si>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</si>
  <si>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</si>
  <si>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</si>
  <si>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</si>
  <si>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</si>
  <si>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</si>
  <si>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</si>
  <si>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</si>
  <si>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</si>
  <si>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</si>
  <si>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</si>
  <si>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</si>
  <si>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</si>
  <si>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</si>
  <si>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</si>
  <si>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</si>
  <si>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</si>
  <si>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</si>
  <si>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</si>
  <si>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</si>
  <si>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GINA PINEDO</t>
  </si>
  <si>
    <t>15.319.389-4</t>
  </si>
  <si>
    <t>+569 6170 3367</t>
  </si>
  <si>
    <t>JUAN CARLOS YAÑEZ</t>
  </si>
  <si>
    <t>CUB C/R R8</t>
  </si>
  <si>
    <t>BLANCO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</si>
</sst>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66" fontId="3" fillId="0" borderId="28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32" fillId="0" borderId="29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66" fontId="18" fillId="0" borderId="30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12145</a:t>
          </a:r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1354213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</a:t>
          </a:r>
          <a:r>
            <a:rPr lang="es-CL" sz="1050" b="1" i="1" baseline="0"/>
            <a:t>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937018</xdr:colOff>
      <xdr:row>41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20955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3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7461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141</v>
      </c>
      <c r="D10" s="15"/>
      <c r="E10" s="15"/>
      <c r="F10" s="16" t="s">
        <v>31</v>
      </c>
      <c r="G10" s="17">
        <v>46147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 t="s">
        <v>139</v>
      </c>
      <c r="D11" s="20"/>
      <c r="E11" s="20"/>
      <c r="F11" s="20" t="s">
        <v>131</v>
      </c>
      <c r="G11" s="103">
        <v>46161</v>
      </c>
      <c r="H11" s="21"/>
    </row>
    <row r="12" spans="2:16" x14ac:dyDescent="0.3">
      <c r="B12" s="91" t="s">
        <v>115</v>
      </c>
      <c r="C12" s="118" t="s">
        <v>138</v>
      </c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1" t="s">
        <v>140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9" t="s">
        <v>21</v>
      </c>
      <c r="G15" s="129"/>
      <c r="H15" s="130"/>
    </row>
    <row r="17" spans="2:15" ht="15" thickBot="1" x14ac:dyDescent="0.35"/>
    <row r="18" spans="2:15" ht="15" thickBot="1" x14ac:dyDescent="0.35">
      <c r="B18" s="131" t="s">
        <v>22</v>
      </c>
      <c r="C18" s="132"/>
      <c r="D18" s="132"/>
      <c r="E18" s="132"/>
      <c r="F18" s="132"/>
      <c r="G18" s="132"/>
      <c r="H18" s="133"/>
    </row>
    <row r="19" spans="2:15" ht="15" thickBot="1" x14ac:dyDescent="0.35">
      <c r="B19" s="126" t="s">
        <v>23</v>
      </c>
      <c r="C19" s="127" t="s">
        <v>24</v>
      </c>
      <c r="D19" s="127" t="s">
        <v>25</v>
      </c>
      <c r="E19" s="127" t="s">
        <v>9</v>
      </c>
      <c r="F19" s="127" t="s">
        <v>26</v>
      </c>
      <c r="G19" s="127" t="s">
        <v>27</v>
      </c>
      <c r="H19" s="128" t="s">
        <v>4</v>
      </c>
    </row>
    <row r="20" spans="2:15" ht="15.6" x14ac:dyDescent="0.3">
      <c r="B20" s="122">
        <v>1</v>
      </c>
      <c r="C20" s="123" t="s">
        <v>142</v>
      </c>
      <c r="D20" s="124">
        <v>2500</v>
      </c>
      <c r="E20" s="124">
        <v>870</v>
      </c>
      <c r="F20" s="123" t="s">
        <v>143</v>
      </c>
      <c r="G20" s="116">
        <v>120600</v>
      </c>
      <c r="H20" s="125">
        <f t="shared" ref="H20" si="0">G20*B20</f>
        <v>120600</v>
      </c>
      <c r="J20" s="61"/>
      <c r="K20" s="88"/>
      <c r="L20" s="61"/>
      <c r="M20" s="61"/>
      <c r="N20" s="88"/>
      <c r="O20" s="99"/>
    </row>
    <row r="21" spans="2:15" x14ac:dyDescent="0.3">
      <c r="B21" s="100"/>
      <c r="C21" s="100"/>
      <c r="D21" s="104"/>
      <c r="E21" s="104"/>
      <c r="F21" s="105"/>
      <c r="G21" s="101"/>
      <c r="H21" s="102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120600</v>
      </c>
    </row>
    <row r="24" spans="2:15" ht="18" thickBot="1" x14ac:dyDescent="0.4">
      <c r="G24" s="40" t="s">
        <v>6</v>
      </c>
      <c r="H24" s="43">
        <f>H23*19%</f>
        <v>22914</v>
      </c>
    </row>
    <row r="25" spans="2:15" ht="18" thickBot="1" x14ac:dyDescent="0.4">
      <c r="G25" s="31" t="s">
        <v>4</v>
      </c>
      <c r="H25" s="43">
        <v>146785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34</v>
      </c>
      <c r="C2" s="134"/>
      <c r="D2" s="134"/>
      <c r="E2" s="64"/>
      <c r="G2" s="134" t="s">
        <v>73</v>
      </c>
      <c r="H2" s="134"/>
      <c r="I2" s="134"/>
      <c r="P2" s="135" t="s">
        <v>61</v>
      </c>
      <c r="Q2" s="135"/>
      <c r="R2" s="135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5" t="s">
        <v>61</v>
      </c>
      <c r="M8" s="135"/>
      <c r="N8" s="135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abSelected="1" topLeftCell="A21" zoomScaleNormal="100" workbookViewId="0">
      <selection activeCell="G3" sqref="A3:G3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6" t="s">
        <v>64</v>
      </c>
      <c r="L3" s="136"/>
      <c r="M3" s="136" t="s">
        <v>16</v>
      </c>
      <c r="N3" s="136"/>
    </row>
    <row r="4" spans="1:14" ht="15.75" customHeight="1" x14ac:dyDescent="0.3">
      <c r="C4" s="55" t="s">
        <v>30</v>
      </c>
      <c r="D4" s="54">
        <f>'4637'!G8</f>
        <v>7461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JUAN CARLOS YAÑEZ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46161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7" t="s">
        <v>64</v>
      </c>
      <c r="B10" s="137"/>
      <c r="C10" s="137"/>
      <c r="D10" s="137"/>
      <c r="E10" s="137"/>
      <c r="F10" s="137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2550</v>
      </c>
      <c r="E14" s="46">
        <f>K14+$E$13</f>
        <v>840</v>
      </c>
      <c r="F14" s="58" t="str">
        <f>F21</f>
        <v>CUB C/R R8</v>
      </c>
      <c r="I14" s="4">
        <f>I21</f>
        <v>1</v>
      </c>
      <c r="J14" s="5">
        <f>D27</f>
        <v>2500</v>
      </c>
      <c r="K14" s="5">
        <f>K21</f>
        <v>870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7" t="s">
        <v>16</v>
      </c>
      <c r="B17" s="137"/>
      <c r="C17" s="137"/>
      <c r="D17" s="137"/>
      <c r="E17" s="137"/>
      <c r="F17" s="137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40</v>
      </c>
      <c r="E20" s="69">
        <v>130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1</v>
      </c>
      <c r="C21" s="59"/>
      <c r="D21" s="59">
        <f>J21+D$20</f>
        <v>2540</v>
      </c>
      <c r="E21" s="59">
        <f>K21+$E$20</f>
        <v>1000</v>
      </c>
      <c r="F21" s="58" t="str">
        <f>C27</f>
        <v>CUB C/R R8</v>
      </c>
      <c r="G21" s="1"/>
      <c r="I21" s="4">
        <f>B27</f>
        <v>1</v>
      </c>
      <c r="J21" s="5">
        <f t="shared" ref="J21:K21" si="2">D27</f>
        <v>2500</v>
      </c>
      <c r="K21" s="5">
        <f t="shared" si="2"/>
        <v>870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/>
      <c r="B27" s="74">
        <f>'4637'!B20</f>
        <v>1</v>
      </c>
      <c r="C27" s="75" t="str">
        <f>'4637'!C20</f>
        <v>CUB C/R R8</v>
      </c>
      <c r="D27" s="74">
        <f>'4637'!D20</f>
        <v>2500</v>
      </c>
      <c r="E27" s="74">
        <f>'4637'!E20</f>
        <v>870</v>
      </c>
      <c r="F27" s="120" t="str">
        <f>'4637'!F20</f>
        <v>BLANCO BR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7461</v>
      </c>
      <c r="G37" s="1"/>
    </row>
    <row r="38" spans="1:7" ht="17.25" customHeight="1" x14ac:dyDescent="0.3">
      <c r="C38" s="68" t="s">
        <v>70</v>
      </c>
      <c r="D38" s="67" t="str">
        <f>'4637'!C10</f>
        <v>JUAN CARLOS YAÑEZ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46161</v>
      </c>
      <c r="E40" s="1"/>
      <c r="F40" s="1"/>
    </row>
    <row r="43" spans="1:7" x14ac:dyDescent="0.3">
      <c r="A43" s="138" t="s">
        <v>71</v>
      </c>
      <c r="B43" s="138"/>
      <c r="C43" s="138"/>
      <c r="D43" s="138"/>
      <c r="E43" s="138"/>
      <c r="F43" s="138"/>
    </row>
    <row r="45" spans="1:7" ht="9.75" customHeight="1" x14ac:dyDescent="0.3">
      <c r="B45" s="139" t="s">
        <v>72</v>
      </c>
      <c r="C45" s="140"/>
      <c r="D45" s="141"/>
      <c r="E45" s="141"/>
      <c r="F45" s="142"/>
    </row>
    <row r="46" spans="1:7" s="13" customFormat="1" ht="11.25" customHeight="1" x14ac:dyDescent="0.25">
      <c r="B46" s="111" t="s">
        <v>11</v>
      </c>
      <c r="C46" s="112" t="s">
        <v>12</v>
      </c>
      <c r="D46" s="113" t="s">
        <v>8</v>
      </c>
      <c r="E46" s="113" t="s">
        <v>9</v>
      </c>
      <c r="F46" s="114" t="s">
        <v>13</v>
      </c>
    </row>
    <row r="47" spans="1:7" s="13" customFormat="1" ht="15" customHeight="1" x14ac:dyDescent="0.3">
      <c r="A47" s="98" t="s">
        <v>137</v>
      </c>
      <c r="B47" s="115">
        <f>'4637'!B20</f>
        <v>1</v>
      </c>
      <c r="C47" s="117" t="str">
        <f>'4637'!C20</f>
        <v>CUB C/R R8</v>
      </c>
      <c r="D47" s="115">
        <f>'4637'!D20</f>
        <v>2500</v>
      </c>
      <c r="E47" s="115">
        <f>'4637'!E20</f>
        <v>870</v>
      </c>
      <c r="F47" s="119" t="str">
        <f>'4637'!F20</f>
        <v>BLANCO BR</v>
      </c>
    </row>
    <row r="48" spans="1:7" s="13" customFormat="1" ht="15" customHeight="1" x14ac:dyDescent="0.3">
      <c r="A48" s="98"/>
      <c r="B48" s="3"/>
      <c r="C48" s="60"/>
      <c r="D48" s="3"/>
      <c r="E48" s="3"/>
      <c r="F48" s="3"/>
    </row>
    <row r="49" spans="1:7" ht="15.6" x14ac:dyDescent="0.3">
      <c r="A49" s="60"/>
      <c r="B49" s="3"/>
      <c r="C49" s="41"/>
      <c r="D49" s="7"/>
      <c r="E49" s="7"/>
      <c r="F49" s="49"/>
    </row>
    <row r="50" spans="1:7" ht="15.6" x14ac:dyDescent="0.3">
      <c r="A50" s="60"/>
      <c r="B50" s="3"/>
      <c r="C50" s="41"/>
      <c r="D50" s="7"/>
      <c r="E50" s="7"/>
      <c r="F50" s="56"/>
    </row>
    <row r="51" spans="1:7" ht="15.6" x14ac:dyDescent="0.3">
      <c r="A51" s="60"/>
      <c r="B51" s="3"/>
      <c r="C51" s="41"/>
      <c r="D51" s="7"/>
      <c r="E51" s="7"/>
      <c r="F51" s="49"/>
    </row>
    <row r="52" spans="1:7" ht="15" thickBot="1" x14ac:dyDescent="0.35"/>
    <row r="53" spans="1:7" x14ac:dyDescent="0.3">
      <c r="B53" s="78" t="s">
        <v>15</v>
      </c>
      <c r="C53" s="79"/>
      <c r="D53" s="80"/>
      <c r="E53" s="80"/>
      <c r="F53" s="81"/>
    </row>
    <row r="54" spans="1:7" x14ac:dyDescent="0.3">
      <c r="B54" s="82"/>
      <c r="C54" s="83" t="s">
        <v>117</v>
      </c>
      <c r="D54" s="9"/>
      <c r="E54" s="9"/>
      <c r="F54" s="84"/>
    </row>
    <row r="55" spans="1:7" ht="15" customHeight="1" x14ac:dyDescent="0.35">
      <c r="B55" s="83" t="s">
        <v>124</v>
      </c>
      <c r="C55" s="70"/>
      <c r="D55" s="10"/>
      <c r="E55" s="10"/>
      <c r="F55" s="85"/>
    </row>
    <row r="56" spans="1:7" ht="18.600000000000001" thickBot="1" x14ac:dyDescent="0.4">
      <c r="B56" s="95" t="s">
        <v>123</v>
      </c>
      <c r="C56" s="86"/>
      <c r="D56" s="86"/>
      <c r="E56" s="86"/>
      <c r="F56" s="87"/>
    </row>
    <row r="57" spans="1:7" ht="18" x14ac:dyDescent="0.35">
      <c r="A57" s="2"/>
      <c r="B57" s="8"/>
      <c r="G57" s="1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E60" s="66"/>
      <c r="F60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2026-05-18T13:26:26Z</cp:lastPrinted>
  <dcterms:created xsi:type="dcterms:W3CDTF">2013-03-19T12:54:14Z</dcterms:created>
  <dcterms:modified xsi:type="dcterms:W3CDTF">2026-05-18T13:32:39Z</dcterms:modified>
</cp:coreProperties>
</file>