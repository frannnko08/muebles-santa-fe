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0C02D660-9D49-4924-AB80-2E86AD2FC7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J14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D21" i="3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<sst xmlns="http://schemas.openxmlformats.org/spreadsheetml/2006/main" count="248" uniqueCount="145">
  <si>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</si>
  <si>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</si>
  <si>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</si>
  <si>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</si>
  <si>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</si>
  <si>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</si>
  <si>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</si>
  <si>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</si>
  <si>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</si>
  <si>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</si>
  <si>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</si>
  <si>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</si>
  <si>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</si>
  <si>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</si>
  <si>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</si>
  <si>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</si>
  <si>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</si>
  <si>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</si>
  <si>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</si>
  <si>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</si>
  <si>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</si>
  <si>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</si>
  <si>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</si>
  <si>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</si>
  <si>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</si>
  <si>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</si>
  <si>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</si>
  <si>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</si>
  <si>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</si>
  <si>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</si>
  <si>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</si>
  <si>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</si>
  <si>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</si>
  <si>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</si>
  <si>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</si>
  <si>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</si>
  <si>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</si>
  <si>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</si>
  <si>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</si>
  <si>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</si>
  <si>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</si>
  <si>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</si>
  <si>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</si>
  <si>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</si>
  <si>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</si>
  <si>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</si>
  <si>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</si>
  <si>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</si>
  <si>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</si>
  <si>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</si>
  <si>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</si>
  <si>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</si>
  <si>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</si>
  <si>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</si>
  <si>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</si>
  <si>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</si>
  <si>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</si>
  <si>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</si>
  <si>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</si>
  <si>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</si>
  <si>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</si>
  <si>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</si>
  <si>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</si>
  <si>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</si>
  <si>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</si>
  <si>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</si>
  <si>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</si>
  <si>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</si>
  <si>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</si>
  <si>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</si>
  <si>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</si>
  <si>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</si>
  <si>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</si>
  <si>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</si>
  <si>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</si>
  <si>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</si>
  <si>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</si>
  <si>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</si>
  <si>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</si>
  <si>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</si>
  <si>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</si>
  <si>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</si>
  <si>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</si>
  <si>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</si>
  <si>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</si>
  <si>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</si>
  <si>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</si>
  <si>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</si>
  <si>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</si>
  <si>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</si>
  <si>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</si>
  <si>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</si>
  <si>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</si>
  <si>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</si>
  <si>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</si>
  <si>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</si>
  <si>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</si>
  <si>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</si>
  <si>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</si>
  <si>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</si>
  <si>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</si>
  <si>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</si>
  <si>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</si>
  <si>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</si>
  <si>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</si>
  <si>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</si>
  <si>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</si>
  <si>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</si>
  <si>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</si>
  <si>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</si>
  <si>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</si>
  <si>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</si>
  <si>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</si>
  <si>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</si>
  <si>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</si>
  <si>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</si>
  <si>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</si>
  <si>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</si>
  <si>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</si>
  <si>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</si>
  <si>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</si>
  <si>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</si>
  <si>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</si>
  <si>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</si>
  <si>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</si>
  <si>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</si>
  <si>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</si>
  <si>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</si>
  <si>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</si>
  <si>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</si>
  <si>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</si>
  <si>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</si>
  <si>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</si>
  <si>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</si>
  <si>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</si>
  <si>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</si>
  <si>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</si>
  <si>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</si>
  <si>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</si>
  <si>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</si>
  <si>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CUB MESA  90° R8 2 LADOS</t>
  </si>
  <si>
    <t>SI</t>
  </si>
  <si>
    <t>N° 12117</t>
  </si>
  <si>
    <t>NV 28530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</si>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</sst>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LAMINAS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van unidas ojo con el radio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van unidas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ojo con el fresado del radio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7449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46149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24240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18</v>
      </c>
      <c r="C21" s="102" t="s">
        <v>140</v>
      </c>
      <c r="D21" s="104">
        <v>3000</v>
      </c>
      <c r="E21" s="104">
        <v>1100</v>
      </c>
      <c r="F21" s="102" t="s">
        <v>144</v>
      </c>
      <c r="G21" s="103">
        <v>80000</v>
      </c>
      <c r="H21" s="103">
        <f t="shared" ref="H21" si="0">G21*B21</f>
        <v>1440000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1440000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273600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1713600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activeCell="I2" sqref="I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7449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18</v>
      </c>
      <c r="C14" s="25" t="s">
        <v>143</v>
      </c>
      <c r="D14" s="25">
        <f>J14+D13</f>
        <v>3100</v>
      </c>
      <c r="E14" s="35">
        <f>K14</f>
        <v>1100</v>
      </c>
      <c r="F14" s="99" t="str">
        <f>C27</f>
        <v>CUB MESA  90° R8 2 LADOS</v>
      </c>
      <c r="G14" s="1"/>
      <c r="I14" s="89">
        <f t="shared" ref="I14:K14" si="1">I21</f>
        <v>18</v>
      </c>
      <c r="J14" s="4">
        <f t="shared" si="1"/>
        <v>3000</v>
      </c>
      <c r="K14" s="4">
        <f t="shared" si="1"/>
        <v>1100</v>
      </c>
    </row>
    <row r="15" spans="1:14" ht="15.6" x14ac:dyDescent="0.3">
      <c r="A15" s="52"/>
      <c r="B15" s="6"/>
      <c r="C15" s="6"/>
      <c r="D15" s="6"/>
      <c r="E15" s="105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80</v>
      </c>
      <c r="E20" s="21">
        <v>110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18</v>
      </c>
      <c r="C21" s="16"/>
      <c r="D21" s="16">
        <f>J21+D$20</f>
        <v>3080</v>
      </c>
      <c r="E21" s="16">
        <f>K21+E$20</f>
        <v>1210</v>
      </c>
      <c r="F21" s="100" t="str">
        <f>C27</f>
        <v>CUB MESA  90° R8 2 LADOS</v>
      </c>
      <c r="G21" s="1"/>
      <c r="I21" s="3">
        <f>B27</f>
        <v>18</v>
      </c>
      <c r="J21" s="4">
        <f>D27</f>
        <v>3000</v>
      </c>
      <c r="K21" s="4">
        <f t="shared" ref="K21" si="3">E27</f>
        <v>1100</v>
      </c>
    </row>
    <row r="22" spans="1:11" ht="15.6" x14ac:dyDescent="0.3">
      <c r="A22" s="95"/>
      <c r="B22" s="6"/>
      <c r="C22" s="6"/>
      <c r="D22" s="6"/>
      <c r="E22" s="6"/>
      <c r="F22" s="107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139</v>
      </c>
      <c r="B27" s="25">
        <f>'4637'!B21</f>
        <v>18</v>
      </c>
      <c r="C27" s="99" t="str">
        <f>'4637'!C21</f>
        <v>CUB MESA  90° R8 2 LADOS</v>
      </c>
      <c r="D27" s="25">
        <f>'4637'!D21</f>
        <v>3000</v>
      </c>
      <c r="E27" s="25">
        <f>'4637'!E21</f>
        <v>1100</v>
      </c>
      <c r="F27" s="25" t="str">
        <f>'4637'!F21</f>
        <v>GLACIAL WHITE 22191 SF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7449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139</v>
      </c>
      <c r="B48" s="38">
        <f>'4637'!B21</f>
        <v>18</v>
      </c>
      <c r="C48" s="98" t="str">
        <f>'4637'!C21</f>
        <v>CUB MESA  90° R8 2 LADOS</v>
      </c>
      <c r="D48" s="39">
        <f>'4637'!D21</f>
        <v>3000</v>
      </c>
      <c r="E48" s="39">
        <f>'4637'!E21</f>
        <v>1100</v>
      </c>
      <c r="F48" s="38" t="str">
        <f>'4637'!F21</f>
        <v>GLACIAL WHITE 22191 SF</v>
      </c>
      <c r="G48" s="1"/>
    </row>
    <row r="49" spans="1:7" s="15" customFormat="1" ht="15" customHeight="1" x14ac:dyDescent="0.3">
      <c r="B49" s="52"/>
      <c r="C49" s="106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2026-05-11T14:59:31Z</cp:lastPrinted>
  <dcterms:created xsi:type="dcterms:W3CDTF">2013-03-19T12:54:14Z</dcterms:created>
  <dcterms:modified xsi:type="dcterms:W3CDTF">2026-05-11T15:00:20Z</dcterms:modified>
</cp:coreProperties>
</file>