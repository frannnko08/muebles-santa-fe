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5 MAYO 2026\"/>
    </mc:Choice>
  </mc:AlternateContent>
  <xr:revisionPtr revIDLastSave="0" documentId="13_ncr:1_{13FE82B9-98F7-4142-A101-CBB07E20756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  <sheet name="RESUMEN" sheetId="6" r:id="rId4"/>
  </sheets>
  <definedNames>
    <definedName name="_xlnm.Print_Area" localSheetId="0">'4637'!$A$1:$H$31</definedName>
    <definedName name="_xlnm.Print_Area" localSheetId="2">CUBIERTA!$A$1:$F$22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F15" i="3"/>
  <c r="B29" i="3"/>
  <c r="C29" i="3"/>
  <c r="D29" i="3"/>
  <c r="J23" i="3" s="1"/>
  <c r="J15" i="3" s="1"/>
  <c r="E29" i="3"/>
  <c r="K23" i="3" s="1"/>
  <c r="K15" i="3" s="1"/>
  <c r="F29" i="3"/>
  <c r="I23" i="3"/>
  <c r="I15" i="3" s="1"/>
  <c r="B50" i="3"/>
  <c r="C50" i="3"/>
  <c r="D50" i="3"/>
  <c r="E50" i="3"/>
  <c r="F50" i="3"/>
  <c r="H22" i="4"/>
  <c r="D2" i="6" l="1"/>
  <c r="C2" i="6"/>
  <c r="A2" i="6"/>
  <c r="B2" i="6"/>
  <c r="H21" i="4"/>
  <c r="B28" i="3" l="1"/>
  <c r="I22" i="3" s="1"/>
  <c r="I14" i="3" s="1"/>
  <c r="B14" i="3" s="1"/>
  <c r="C28" i="3"/>
  <c r="F14" i="3" s="1"/>
  <c r="D28" i="3"/>
  <c r="J22" i="3" s="1"/>
  <c r="J14" i="3" s="1"/>
  <c r="D14" i="3" s="1"/>
  <c r="E28" i="3"/>
  <c r="F28" i="3"/>
  <c r="B49" i="3"/>
  <c r="C49" i="3"/>
  <c r="D49" i="3"/>
  <c r="E49" i="3"/>
  <c r="F49" i="3"/>
  <c r="H25" i="4"/>
  <c r="K22" i="3" l="1"/>
  <c r="D22" i="3"/>
  <c r="B22" i="3"/>
  <c r="F22" i="3"/>
  <c r="K14" i="3" l="1"/>
  <c r="E14" i="3" s="1"/>
  <c r="E22" i="3"/>
  <c r="H27" i="4" l="1"/>
  <c r="E2" i="6" s="1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<sst xmlns="http://schemas.openxmlformats.org/spreadsheetml/2006/main" count="250" uniqueCount="146">
  <si>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</si>
  <si>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</si>
  <si>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</si>
  <si>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</si>
  <si>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</si>
  <si>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</si>
  <si>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</si>
  <si>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</si>
  <si>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</si>
  <si>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</si>
  <si>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</si>
  <si>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</si>
  <si>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</si>
  <si>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</si>
  <si>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</si>
  <si>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</si>
  <si>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</si>
  <si>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</si>
  <si>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</si>
  <si>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</si>
  <si>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</si>
  <si>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</si>
  <si>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</si>
  <si>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</si>
  <si>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</si>
  <si>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</si>
  <si>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</si>
  <si>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</si>
  <si>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</si>
  <si>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</si>
  <si>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</si>
  <si>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</si>
  <si>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</si>
  <si>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</si>
  <si>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</si>
  <si>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</si>
  <si>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</si>
  <si>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</si>
  <si>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</si>
  <si>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</si>
  <si>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</si>
  <si>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</si>
  <si>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</si>
  <si>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</si>
  <si>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</si>
  <si>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</si>
  <si>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</si>
  <si>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</si>
  <si>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</si>
  <si>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</si>
  <si>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</si>
  <si>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</si>
  <si>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</si>
  <si>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</si>
  <si>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</si>
  <si>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</si>
  <si>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</si>
  <si>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</si>
  <si>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</si>
  <si>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</si>
  <si>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</si>
  <si>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</si>
  <si>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</si>
  <si>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</si>
  <si>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</si>
  <si>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</si>
  <si>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</si>
  <si>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</si>
  <si>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</si>
  <si>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</si>
  <si>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</si>
  <si>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</si>
  <si>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</si>
  <si>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</si>
  <si>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</si>
  <si>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</si>
  <si>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</si>
  <si>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</si>
  <si>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</si>
  <si>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</si>
  <si>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</si>
  <si>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</si>
  <si>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</si>
  <si>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</si>
  <si>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</si>
  <si>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</si>
  <si>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</si>
  <si>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</si>
  <si>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</si>
  <si>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</si>
  <si>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</si>
  <si>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</si>
  <si>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</si>
  <si>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</si>
  <si>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</si>
  <si>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</si>
  <si>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</si>
  <si>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</si>
  <si>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</si>
  <si>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</si>
  <si>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</si>
  <si>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</si>
  <si>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</si>
  <si>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</si>
  <si>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</si>
  <si>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</si>
  <si>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</si>
  <si>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</si>
  <si>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</si>
  <si>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</si>
  <si>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</si>
  <si>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</si>
  <si>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</si>
  <si>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</si>
  <si>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</si>
  <si>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</si>
  <si>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</si>
  <si>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</si>
  <si>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</si>
  <si>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</si>
  <si>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</si>
  <si>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</si>
  <si>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</si>
  <si>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</si>
  <si>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</si>
  <si>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</si>
  <si>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</si>
  <si>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</si>
  <si>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</si>
  <si>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</si>
  <si>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</si>
  <si>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</si>
  <si>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</si>
  <si>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O/C 30 DIAS</t>
  </si>
  <si>
    <t>NO</t>
  </si>
  <si>
    <t>NOTA DE VENTA</t>
  </si>
  <si>
    <t>COTIZACION</t>
  </si>
  <si>
    <t>NOMBRE</t>
  </si>
  <si>
    <t>FECHA</t>
  </si>
  <si>
    <t>YERSON</t>
  </si>
  <si>
    <t>+569 4881 2294</t>
  </si>
  <si>
    <t>CORTE DESFONDADO</t>
  </si>
  <si>
    <t>NEGRO MARMOL STOCK</t>
  </si>
  <si>
    <t>CUB C/R 90°</t>
  </si>
  <si>
    <t>MDF18MM</t>
  </si>
  <si>
    <t>N° 12173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</si>
</sst>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1" fontId="4" fillId="0" borderId="0" applyFont="0" applyFill="0" applyBorder="0" applyAlignment="0" applyProtection="0"/>
  </cellStyleXfs>
  <cellXfs count="132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0" fontId="3" fillId="3" borderId="0" xfId="0" applyFont="1" applyFill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14" fontId="0" fillId="0" borderId="0" xfId="0" applyNumberFormat="1"/>
    <xf numFmtId="1" fontId="0" fillId="0" borderId="0" xfId="3" applyNumberFormat="1" applyFont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5" fillId="0" borderId="14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1" fontId="15" fillId="0" borderId="33" xfId="0" applyNumberFormat="1" applyFont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</cellXfs>
  <cellStyles count="4">
    <cellStyle name="Hipervínculo" xfId="2" builtinId="8"/>
    <cellStyle name="Millares" xfId="1" builtinId="3"/>
    <cellStyle name="Millares [0]" xfId="3" builtinId="6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27</xdr:row>
      <xdr:rowOff>7620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9550" y="4596765"/>
          <a:ext cx="5295900" cy="600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PAGADO</a:t>
          </a:r>
          <a:r>
            <a:rPr lang="es-CL" sz="900" b="1" i="1" baseline="0"/>
            <a:t> EL TOTAL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17145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2385060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084070" y="1076325"/>
          <a:ext cx="6808470" cy="19621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CORTE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DESFONDADO SEGUN DIBUJO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CORTE DESFONDADO SEGUN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DIBUJO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37</xdr:row>
      <xdr:rowOff>41910</xdr:rowOff>
    </xdr:from>
    <xdr:to>
      <xdr:col>1</xdr:col>
      <xdr:colOff>552208</xdr:colOff>
      <xdr:row>43</xdr:row>
      <xdr:rowOff>133350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554113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workbookViewId="0">
      <selection activeCell="D9" sqref="D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1.88671875" customWidth="1"/>
    <col min="4" max="5" width="9.109375" customWidth="1"/>
    <col min="6" max="6" width="28.8867187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145</v>
      </c>
      <c r="E8" s="1"/>
      <c r="F8" s="93" t="s">
        <v>27</v>
      </c>
      <c r="G8" s="94">
        <v>7474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139</v>
      </c>
      <c r="D10" s="55"/>
      <c r="E10" s="55"/>
      <c r="F10" s="56" t="s">
        <v>28</v>
      </c>
      <c r="G10" s="57">
        <v>46170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/>
      <c r="D11" s="60"/>
      <c r="E11" s="60"/>
      <c r="F11" s="60" t="s">
        <v>124</v>
      </c>
      <c r="G11" s="61">
        <v>46174</v>
      </c>
      <c r="H11" s="62"/>
      <c r="I11" s="1"/>
    </row>
    <row r="12" spans="1:17" ht="16.2" thickBot="1" x14ac:dyDescent="0.35">
      <c r="A12" s="1"/>
      <c r="B12" s="63" t="s">
        <v>130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C13" s="86"/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1" t="s">
        <v>140</v>
      </c>
      <c r="D14" s="66"/>
      <c r="E14" s="60"/>
      <c r="F14" s="60" t="s">
        <v>29</v>
      </c>
      <c r="G14" s="60" t="s">
        <v>134</v>
      </c>
      <c r="H14" s="62"/>
      <c r="I14" s="1"/>
    </row>
    <row r="15" spans="1:17" ht="15.6" x14ac:dyDescent="0.3">
      <c r="A15" s="1"/>
      <c r="B15" s="63" t="s">
        <v>1</v>
      </c>
      <c r="C15" s="97"/>
      <c r="D15" s="43"/>
      <c r="E15" s="43"/>
      <c r="F15" s="67" t="s">
        <v>75</v>
      </c>
      <c r="G15" s="67" t="s">
        <v>133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2" t="s">
        <v>18</v>
      </c>
      <c r="G16" s="112"/>
      <c r="H16" s="113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4" t="s">
        <v>19</v>
      </c>
      <c r="C19" s="115"/>
      <c r="D19" s="115"/>
      <c r="E19" s="115"/>
      <c r="F19" s="115"/>
      <c r="G19" s="115"/>
      <c r="H19" s="116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5">
        <v>1</v>
      </c>
      <c r="C21" s="106" t="s">
        <v>143</v>
      </c>
      <c r="D21" s="107">
        <v>1060</v>
      </c>
      <c r="E21" s="107">
        <v>630</v>
      </c>
      <c r="F21" s="106" t="s">
        <v>142</v>
      </c>
      <c r="G21" s="108">
        <v>45000</v>
      </c>
      <c r="H21" s="109">
        <f t="shared" ref="H21" si="0">G21*B21</f>
        <v>45000</v>
      </c>
      <c r="I21" s="1"/>
      <c r="K21" s="17"/>
      <c r="L21" s="26"/>
      <c r="M21" s="17"/>
      <c r="N21" s="17"/>
      <c r="O21" s="26"/>
      <c r="P21" s="33"/>
    </row>
    <row r="22" spans="1:16" ht="18" customHeight="1" thickBot="1" x14ac:dyDescent="0.35">
      <c r="A22" s="1"/>
      <c r="B22" s="125">
        <v>1</v>
      </c>
      <c r="C22" s="126" t="s">
        <v>141</v>
      </c>
      <c r="D22" s="127"/>
      <c r="E22" s="127"/>
      <c r="F22" s="126"/>
      <c r="G22" s="128">
        <v>10000</v>
      </c>
      <c r="H22" s="129">
        <f>G22*B22</f>
        <v>10000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3"/>
      <c r="C23" s="103"/>
      <c r="D23" s="104"/>
      <c r="E23" s="104"/>
      <c r="F23" s="103"/>
      <c r="G23" s="75"/>
      <c r="H23" s="75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55000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/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55000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96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1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7" t="s">
        <v>31</v>
      </c>
      <c r="C2" s="117"/>
      <c r="D2" s="117"/>
      <c r="E2" s="18"/>
      <c r="G2" s="117" t="s">
        <v>70</v>
      </c>
      <c r="H2" s="117"/>
      <c r="I2" s="117"/>
      <c r="P2" s="118" t="s">
        <v>58</v>
      </c>
      <c r="Q2" s="118"/>
      <c r="R2" s="118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8" t="s">
        <v>58</v>
      </c>
      <c r="M8" s="118"/>
      <c r="N8" s="11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abSelected="1" topLeftCell="A36" zoomScaleNormal="100" workbookViewId="0">
      <selection activeCell="G38" sqref="A38:G60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9" t="s">
        <v>61</v>
      </c>
      <c r="L3" s="119"/>
      <c r="M3" s="119" t="s">
        <v>14</v>
      </c>
      <c r="N3" s="119"/>
    </row>
    <row r="4" spans="1:14" ht="15.75" customHeight="1" x14ac:dyDescent="0.3">
      <c r="A4" s="1"/>
      <c r="B4" s="1"/>
      <c r="C4" s="40" t="s">
        <v>27</v>
      </c>
      <c r="D4" s="14">
        <f>'4637'!G8</f>
        <v>7474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YERSON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46174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0" t="s">
        <v>61</v>
      </c>
      <c r="B10" s="120"/>
      <c r="C10" s="120"/>
      <c r="D10" s="120"/>
      <c r="E10" s="120"/>
      <c r="F10" s="12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144</v>
      </c>
      <c r="B14" s="25">
        <f t="shared" ref="B14" si="0">I14</f>
        <v>1</v>
      </c>
      <c r="C14" s="25"/>
      <c r="D14" s="25">
        <f t="shared" ref="D14:E14" si="1">J14+D$13</f>
        <v>1110</v>
      </c>
      <c r="E14" s="35">
        <f t="shared" si="1"/>
        <v>600</v>
      </c>
      <c r="F14" s="99" t="str">
        <f>C28</f>
        <v>CUB C/R 90°</v>
      </c>
      <c r="G14" s="1"/>
      <c r="I14" s="89">
        <f>I22</f>
        <v>1</v>
      </c>
      <c r="J14" s="4">
        <f>J22</f>
        <v>1060</v>
      </c>
      <c r="K14" s="4">
        <f>K22</f>
        <v>630</v>
      </c>
    </row>
    <row r="15" spans="1:14" ht="15.6" x14ac:dyDescent="0.3">
      <c r="A15" s="95"/>
      <c r="B15" s="25">
        <f t="shared" ref="B15" si="2">I15</f>
        <v>1</v>
      </c>
      <c r="C15" s="25"/>
      <c r="D15" s="25"/>
      <c r="E15" s="35"/>
      <c r="F15" s="99" t="str">
        <f>C29</f>
        <v>CORTE DESFONDADO</v>
      </c>
      <c r="G15" s="1"/>
      <c r="I15" s="89">
        <f>I23</f>
        <v>1</v>
      </c>
      <c r="J15" s="4">
        <f>J23</f>
        <v>0</v>
      </c>
      <c r="K15" s="4">
        <f>K23</f>
        <v>0</v>
      </c>
    </row>
    <row r="16" spans="1:14" ht="15.6" x14ac:dyDescent="0.3">
      <c r="A16" s="52"/>
      <c r="B16" s="6"/>
      <c r="C16" s="6"/>
      <c r="D16" s="6"/>
      <c r="E16" s="102"/>
      <c r="F16" s="6"/>
      <c r="G16" s="1"/>
      <c r="I16" s="89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0" t="s">
        <v>14</v>
      </c>
      <c r="B18" s="120"/>
      <c r="C18" s="120"/>
      <c r="D18" s="120"/>
      <c r="E18" s="120"/>
      <c r="F18" s="120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5"/>
      <c r="B22" s="16">
        <f t="shared" ref="B22" si="3">I22</f>
        <v>1</v>
      </c>
      <c r="C22" s="16"/>
      <c r="D22" s="16">
        <f t="shared" ref="D22" si="4">J22+D$21</f>
        <v>1100</v>
      </c>
      <c r="E22" s="16">
        <f>K22+$E$21</f>
        <v>760</v>
      </c>
      <c r="F22" s="100" t="str">
        <f>C28</f>
        <v>CUB C/R 90°</v>
      </c>
      <c r="G22" s="1"/>
      <c r="I22" s="3">
        <f>B28</f>
        <v>1</v>
      </c>
      <c r="J22" s="4">
        <f>D28</f>
        <v>1060</v>
      </c>
      <c r="K22" s="4">
        <f t="shared" ref="K22" si="5">E28</f>
        <v>630</v>
      </c>
    </row>
    <row r="23" spans="1:11" ht="15.6" x14ac:dyDescent="0.3">
      <c r="A23" s="95"/>
      <c r="B23" s="130"/>
      <c r="C23" s="130"/>
      <c r="D23" s="130"/>
      <c r="E23" s="130"/>
      <c r="F23" s="131"/>
      <c r="G23" s="1"/>
      <c r="I23" s="3">
        <f>B29</f>
        <v>1</v>
      </c>
      <c r="J23" s="4">
        <f>D29</f>
        <v>0</v>
      </c>
      <c r="K23" s="4">
        <f t="shared" ref="K23" si="6">E29</f>
        <v>0</v>
      </c>
    </row>
    <row r="24" spans="1:11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2" t="s">
        <v>9</v>
      </c>
      <c r="B27" s="88" t="s">
        <v>10</v>
      </c>
      <c r="C27" s="88" t="s">
        <v>110</v>
      </c>
      <c r="D27" s="88" t="s">
        <v>7</v>
      </c>
      <c r="E27" s="88" t="s">
        <v>8</v>
      </c>
      <c r="F27" s="88" t="s">
        <v>23</v>
      </c>
      <c r="G27" s="1"/>
    </row>
    <row r="28" spans="1:11" ht="15.6" x14ac:dyDescent="0.3">
      <c r="A28" s="95" t="s">
        <v>144</v>
      </c>
      <c r="B28" s="25">
        <f>'4637'!B21</f>
        <v>1</v>
      </c>
      <c r="C28" s="99" t="str">
        <f>'4637'!C21</f>
        <v>CUB C/R 90°</v>
      </c>
      <c r="D28" s="25">
        <f>'4637'!D21</f>
        <v>1060</v>
      </c>
      <c r="E28" s="25">
        <f>'4637'!E21</f>
        <v>630</v>
      </c>
      <c r="F28" s="25" t="str">
        <f>'4637'!F21</f>
        <v>NEGRO MARMOL STOCK</v>
      </c>
      <c r="G28" s="1"/>
    </row>
    <row r="29" spans="1:11" ht="15.6" x14ac:dyDescent="0.3">
      <c r="A29" s="95"/>
      <c r="B29" s="25">
        <f>'4637'!B22</f>
        <v>1</v>
      </c>
      <c r="C29" s="99" t="str">
        <f>'4637'!C22</f>
        <v>CORTE DESFONDADO</v>
      </c>
      <c r="D29" s="25">
        <f>'4637'!D22</f>
        <v>0</v>
      </c>
      <c r="E29" s="25">
        <f>'4637'!E22</f>
        <v>0</v>
      </c>
      <c r="F29" s="25">
        <f>'4637'!F22</f>
        <v>0</v>
      </c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40" t="s">
        <v>27</v>
      </c>
      <c r="D39" s="14">
        <f>'4637'!G8</f>
        <v>7474</v>
      </c>
      <c r="E39" s="1"/>
      <c r="F39" s="1"/>
      <c r="G39" s="1"/>
    </row>
    <row r="40" spans="1:7" ht="17.25" customHeight="1" x14ac:dyDescent="0.3">
      <c r="A40" s="1"/>
      <c r="B40" s="1"/>
      <c r="C40" s="41" t="s">
        <v>67</v>
      </c>
      <c r="D40" s="42" t="str">
        <f>'4637'!C10</f>
        <v>YERSON</v>
      </c>
      <c r="E40" s="43"/>
      <c r="F40" s="43"/>
      <c r="G40" s="1"/>
    </row>
    <row r="41" spans="1:7" ht="4.5" customHeight="1" x14ac:dyDescent="0.3">
      <c r="A41" s="1"/>
      <c r="B41" s="1"/>
      <c r="C41" s="44"/>
      <c r="D41" s="45"/>
      <c r="E41" s="1"/>
      <c r="F41" s="1"/>
      <c r="G41" s="1"/>
    </row>
    <row r="42" spans="1:7" ht="15.6" x14ac:dyDescent="0.3">
      <c r="A42" s="1"/>
      <c r="B42" s="1"/>
      <c r="C42" s="46" t="str">
        <f>'4637'!F11</f>
        <v>FECHA LIMITE :</v>
      </c>
      <c r="D42" s="13">
        <f>'4637'!G11</f>
        <v>46174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20" t="s">
        <v>68</v>
      </c>
      <c r="B45" s="120"/>
      <c r="C45" s="120"/>
      <c r="D45" s="120"/>
      <c r="E45" s="120"/>
      <c r="F45" s="120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21" t="s">
        <v>69</v>
      </c>
      <c r="C47" s="122"/>
      <c r="D47" s="123"/>
      <c r="E47" s="123"/>
      <c r="F47" s="124"/>
      <c r="G47" s="1"/>
    </row>
    <row r="48" spans="1:7" s="15" customFormat="1" ht="12.75" customHeight="1" x14ac:dyDescent="0.3">
      <c r="A48" s="1"/>
      <c r="B48" s="36" t="s">
        <v>10</v>
      </c>
      <c r="C48" s="47" t="s">
        <v>11</v>
      </c>
      <c r="D48" s="48" t="s">
        <v>7</v>
      </c>
      <c r="E48" s="48" t="s">
        <v>8</v>
      </c>
      <c r="F48" s="49" t="s">
        <v>12</v>
      </c>
      <c r="G48" s="1"/>
    </row>
    <row r="49" spans="1:7" s="15" customFormat="1" ht="15" customHeight="1" x14ac:dyDescent="0.3">
      <c r="A49" s="95" t="s">
        <v>144</v>
      </c>
      <c r="B49" s="38">
        <f>'4637'!B21</f>
        <v>1</v>
      </c>
      <c r="C49" s="98" t="str">
        <f>'4637'!C21</f>
        <v>CUB C/R 90°</v>
      </c>
      <c r="D49" s="39">
        <f>'4637'!D21</f>
        <v>1060</v>
      </c>
      <c r="E49" s="39">
        <f>'4637'!E21</f>
        <v>630</v>
      </c>
      <c r="F49" s="38" t="str">
        <f>'4637'!F21</f>
        <v>NEGRO MARMOL STOCK</v>
      </c>
      <c r="G49" s="1"/>
    </row>
    <row r="50" spans="1:7" s="15" customFormat="1" ht="15" customHeight="1" x14ac:dyDescent="0.3">
      <c r="A50" s="95"/>
      <c r="B50" s="38">
        <f>'4637'!B22</f>
        <v>1</v>
      </c>
      <c r="C50" s="98" t="str">
        <f>'4637'!C22</f>
        <v>CORTE DESFONDADO</v>
      </c>
      <c r="D50" s="39">
        <f>'4637'!D22</f>
        <v>0</v>
      </c>
      <c r="E50" s="39">
        <f>'4637'!E22</f>
        <v>0</v>
      </c>
      <c r="F50" s="38">
        <f>'4637'!F22</f>
        <v>0</v>
      </c>
      <c r="G50" s="1"/>
    </row>
    <row r="51" spans="1:7" s="15" customFormat="1" ht="15" customHeight="1" x14ac:dyDescent="0.3">
      <c r="A51" s="50"/>
      <c r="B51" s="52"/>
      <c r="C51" s="52"/>
      <c r="D51" s="52"/>
      <c r="E51" s="52"/>
      <c r="F51" s="52"/>
      <c r="G51" s="1"/>
    </row>
    <row r="52" spans="1:7" ht="15.6" x14ac:dyDescent="0.3">
      <c r="A52" s="6"/>
      <c r="B52" s="6"/>
      <c r="C52" s="1"/>
      <c r="D52" s="6"/>
      <c r="E52" s="6"/>
      <c r="F52" s="44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8:F18"/>
    <mergeCell ref="A10:F10"/>
    <mergeCell ref="A45:F45"/>
    <mergeCell ref="B47:F47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32744-7F05-45F2-9812-7325CAC792EF}">
  <dimension ref="A1:E2"/>
  <sheetViews>
    <sheetView workbookViewId="0">
      <selection activeCell="C18" sqref="C18"/>
    </sheetView>
  </sheetViews>
  <sheetFormatPr baseColWidth="10" defaultRowHeight="14.4" x14ac:dyDescent="0.3"/>
  <cols>
    <col min="2" max="2" width="14.88671875" bestFit="1" customWidth="1"/>
    <col min="3" max="3" width="33.33203125" customWidth="1"/>
  </cols>
  <sheetData>
    <row r="1" spans="1:5" x14ac:dyDescent="0.3">
      <c r="A1" t="s">
        <v>136</v>
      </c>
      <c r="B1" t="s">
        <v>135</v>
      </c>
      <c r="C1" t="s">
        <v>137</v>
      </c>
      <c r="D1" s="110" t="s">
        <v>138</v>
      </c>
      <c r="E1" t="s">
        <v>4</v>
      </c>
    </row>
    <row r="2" spans="1:5" x14ac:dyDescent="0.3">
      <c r="A2" t="str">
        <f>'4637'!D8</f>
        <v>N° 12173</v>
      </c>
      <c r="B2">
        <f>'4637'!G8</f>
        <v>7474</v>
      </c>
      <c r="C2" t="str">
        <f>'4637'!C10</f>
        <v>YERSON</v>
      </c>
      <c r="D2" s="110">
        <f>'4637'!G10</f>
        <v>46170</v>
      </c>
      <c r="E2" s="111">
        <f>'4637'!H27</f>
        <v>55000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4637</vt:lpstr>
      <vt:lpstr>REGLAS</vt:lpstr>
      <vt:lpstr>CUBIERTA</vt:lpstr>
      <vt:lpstr>RESUMEN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2026-05-28T15:46:13Z</cp:lastPrinted>
  <dcterms:created xsi:type="dcterms:W3CDTF">2013-03-19T12:54:14Z</dcterms:created>
  <dcterms:modified xsi:type="dcterms:W3CDTF">2026-05-28T15:46:19Z</dcterms:modified>
</cp:coreProperties>
</file>