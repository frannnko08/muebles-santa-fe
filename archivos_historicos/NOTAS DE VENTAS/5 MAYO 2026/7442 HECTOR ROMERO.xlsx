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C3D355ED-8E17-498B-B207-40B04DFE23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CUBIERTA!$A$41:$F$66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I24" i="3"/>
  <c r="B24" i="3" s="1"/>
  <c r="J24" i="3"/>
  <c r="K24" i="3"/>
  <c r="J15" i="3"/>
  <c r="D15" i="3" s="1"/>
  <c r="K15" i="3"/>
  <c r="E15" i="3" s="1"/>
  <c r="F15" i="3"/>
  <c r="D24" i="3"/>
  <c r="E24" i="3"/>
  <c r="F24" i="3"/>
  <c r="B32" i="3"/>
  <c r="C32" i="3"/>
  <c r="D32" i="3"/>
  <c r="E32" i="3"/>
  <c r="F32" i="3"/>
  <c r="B54" i="3"/>
  <c r="C54" i="3"/>
  <c r="D54" i="3"/>
  <c r="E54" i="3"/>
  <c r="F54" i="3"/>
  <c r="B55" i="3"/>
  <c r="C55" i="3"/>
  <c r="D55" i="3"/>
  <c r="E55" i="3"/>
  <c r="F55" i="3"/>
  <c r="B33" i="3"/>
  <c r="I25" i="3" s="1"/>
  <c r="C33" i="3"/>
  <c r="F25" i="3" s="1"/>
  <c r="F16" i="3" s="1"/>
  <c r="D33" i="3"/>
  <c r="J16" i="3" s="1"/>
  <c r="D16" i="3" s="1"/>
  <c r="E33" i="3"/>
  <c r="K25" i="3" s="1"/>
  <c r="K16" i="3" s="1"/>
  <c r="E16" i="3" s="1"/>
  <c r="F33" i="3"/>
  <c r="H22" i="4"/>
  <c r="C53" i="3"/>
  <c r="F53" i="3"/>
  <c r="E53" i="3"/>
  <c r="D53" i="3"/>
  <c r="B53" i="3"/>
  <c r="B31" i="3"/>
  <c r="I23" i="3" s="1"/>
  <c r="B23" i="3" s="1"/>
  <c r="C31" i="3"/>
  <c r="F23" i="3" s="1"/>
  <c r="F14" i="3" s="1"/>
  <c r="D31" i="3"/>
  <c r="J23" i="3" s="1"/>
  <c r="D23" i="3" s="1"/>
  <c r="E31" i="3"/>
  <c r="K23" i="3" s="1"/>
  <c r="K14" i="3" s="1"/>
  <c r="E14" i="3" s="1"/>
  <c r="F31" i="3"/>
  <c r="H20" i="4"/>
  <c r="I15" i="3" l="1"/>
  <c r="B15" i="3" s="1"/>
  <c r="E25" i="3"/>
  <c r="I16" i="3"/>
  <c r="B16" i="3" s="1"/>
  <c r="B25" i="3"/>
  <c r="J25" i="3"/>
  <c r="D25" i="3" s="1"/>
  <c r="I14" i="3"/>
  <c r="B14" i="3" s="1"/>
  <c r="J14" i="3"/>
  <c r="D14" i="3" s="1"/>
  <c r="H25" i="4" l="1"/>
  <c r="N5" i="3" l="1"/>
  <c r="M5" i="3"/>
  <c r="L5" i="3"/>
  <c r="K5" i="3"/>
  <c r="H26" i="4"/>
  <c r="H27" i="4" s="1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<sst xmlns="http://schemas.openxmlformats.org/spreadsheetml/2006/main" count="247" uniqueCount="141">
  <si>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</si>
  <si>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</si>
  <si>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</si>
  <si>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</si>
  <si>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</si>
  <si>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</si>
  <si>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</si>
  <si>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</si>
  <si>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</si>
  <si>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</si>
  <si>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</si>
  <si>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</si>
  <si>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</si>
  <si>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</si>
  <si>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</si>
  <si>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</si>
  <si>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</si>
  <si>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</si>
  <si>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</si>
  <si>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</si>
  <si>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</si>
  <si>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</si>
  <si>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</si>
  <si>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</si>
  <si>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</si>
  <si>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</si>
  <si>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</si>
  <si>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</si>
  <si>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</si>
  <si>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</si>
  <si>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</si>
  <si>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</si>
  <si>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</si>
  <si>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</si>
  <si>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</si>
  <si>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</si>
  <si>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</si>
  <si>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</si>
  <si>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</si>
  <si>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</si>
  <si>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</si>
  <si>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</si>
  <si>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</si>
  <si>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</si>
  <si>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</si>
  <si>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</si>
  <si>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</si>
  <si>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</si>
  <si>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</si>
  <si>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</si>
  <si>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</si>
  <si>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</si>
  <si>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</si>
  <si>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</si>
  <si>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</si>
  <si>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</si>
  <si>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</si>
  <si>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</si>
  <si>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</si>
  <si>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</si>
  <si>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</si>
  <si>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</si>
  <si>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</si>
  <si>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</si>
  <si>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</si>
  <si>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</si>
  <si>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</si>
  <si>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</si>
  <si>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</si>
  <si>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</si>
  <si>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</si>
  <si>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</si>
  <si>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</si>
  <si>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</si>
  <si>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</si>
  <si>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</si>
  <si>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</si>
  <si>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</si>
  <si>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</si>
  <si>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</si>
  <si>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</si>
  <si>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</si>
  <si>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</si>
  <si>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</si>
  <si>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</si>
  <si>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</si>
  <si>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</si>
  <si>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</si>
  <si>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</si>
  <si>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</si>
  <si>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</si>
  <si>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</si>
  <si>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</si>
  <si>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</si>
  <si>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</si>
  <si>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</si>
  <si>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</si>
  <si>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</si>
  <si>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</si>
  <si>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</si>
  <si>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</si>
  <si>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</si>
  <si>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</si>
  <si>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</si>
  <si>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</si>
  <si>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</si>
  <si>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</si>
  <si>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</si>
  <si>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</si>
  <si>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</si>
  <si>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</si>
  <si>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</si>
  <si>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</si>
  <si>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</si>
  <si>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</si>
  <si>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</si>
  <si>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</si>
  <si>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</si>
  <si>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</si>
  <si>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</si>
  <si>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</si>
  <si>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</si>
  <si>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</si>
  <si>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</si>
  <si>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</si>
  <si>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</si>
  <si>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</si>
  <si>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</si>
  <si>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</si>
  <si>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</si>
  <si>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</si>
  <si>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</si>
  <si>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</si>
  <si>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</si>
  <si>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</si>
  <si>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</si>
  <si>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</si>
  <si>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</si>
  <si>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</si>
  <si>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HUMO 2108 MT</t>
  </si>
  <si>
    <t>HECTOR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</si>
</sst>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66" fontId="3" fillId="0" borderId="28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32" fillId="0" borderId="1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2" fillId="0" borderId="29" xfId="0" applyNumberFormat="1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18" fillId="0" borderId="30" xfId="0" applyNumberFormat="1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1" fontId="32" fillId="0" borderId="28" xfId="0" applyNumberFormat="1" applyFont="1" applyBorder="1" applyAlignment="1">
      <alignment horizontal="center" vertical="center"/>
    </xf>
    <xf numFmtId="166" fontId="18" fillId="0" borderId="32" xfId="0" applyNumberFormat="1" applyFont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6" fillId="8" borderId="34" xfId="0" applyFont="1" applyFill="1" applyBorder="1" applyAlignment="1">
      <alignment horizontal="center" vertical="center"/>
    </xf>
    <xf numFmtId="0" fontId="6" fillId="8" borderId="3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2" fillId="0" borderId="36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" fontId="32" fillId="0" borderId="22" xfId="0" applyNumberFormat="1" applyFont="1" applyBorder="1" applyAlignment="1">
      <alignment horizontal="center" vertical="center"/>
    </xf>
    <xf numFmtId="166" fontId="3" fillId="0" borderId="22" xfId="1" applyNumberFormat="1" applyFont="1" applyFill="1" applyBorder="1" applyAlignment="1">
      <alignment horizontal="center" vertical="center"/>
    </xf>
    <xf numFmtId="166" fontId="18" fillId="0" borderId="37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12108</a:t>
          </a:r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$250.000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180975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180975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180975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180975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180975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180975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34</xdr:row>
      <xdr:rowOff>192404</xdr:rowOff>
    </xdr:from>
    <xdr:to>
      <xdr:col>6</xdr:col>
      <xdr:colOff>32385</xdr:colOff>
      <xdr:row>38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2,900 SIN TERMINACIONES, CUB DE 0,970 CORTADA A LA MEDIDA Y ENCHAPADA EN EL COSTADO IZQUIERDO, CUB DE 0,990 CORTADA A LA MEDIDA Y ENCHAPADA EN AMBOS COSTADOS</a:t>
          </a:r>
          <a:endParaRPr lang="es-CL" sz="1050"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59</xdr:row>
      <xdr:rowOff>175260</xdr:rowOff>
    </xdr:from>
    <xdr:to>
      <xdr:col>5</xdr:col>
      <xdr:colOff>1737360</xdr:colOff>
      <xdr:row>63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 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</a:t>
          </a:r>
          <a:r>
            <a:rPr lang="es-C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2,900 SIN TERMINACIONES, CUB DE 0,970 CORTADA A LA MEDIDA Y ENCHAPADA EN EL COSTADO IZQUIERDO, CUB DE 0,990 CORTADA A LA MEDIDA Y ENCHAPADA EN AMBOS COSTADOS</a:t>
          </a:r>
          <a:endParaRPr lang="es-CL" sz="1050">
            <a:effectLst/>
          </a:endParaRPr>
        </a:p>
        <a:p>
          <a:pPr algn="l"/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40</xdr:row>
      <xdr:rowOff>99060</xdr:rowOff>
    </xdr:from>
    <xdr:to>
      <xdr:col>1</xdr:col>
      <xdr:colOff>929398</xdr:colOff>
      <xdr:row>47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1"/>
  <sheetViews>
    <sheetView topLeftCell="A3" workbookViewId="0">
      <selection activeCell="J10" sqref="J10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7442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140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46146</v>
      </c>
      <c r="H11" s="21"/>
    </row>
    <row r="12" spans="2:16" x14ac:dyDescent="0.3">
      <c r="B12" s="91" t="s">
        <v>115</v>
      </c>
      <c r="C12" s="118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1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4" t="s">
        <v>21</v>
      </c>
      <c r="G15" s="134"/>
      <c r="H15" s="135"/>
    </row>
    <row r="17" spans="2:15" ht="15" thickBot="1" x14ac:dyDescent="0.35"/>
    <row r="18" spans="2:15" ht="15" thickBot="1" x14ac:dyDescent="0.35">
      <c r="B18" s="136" t="s">
        <v>22</v>
      </c>
      <c r="C18" s="137"/>
      <c r="D18" s="137"/>
      <c r="E18" s="137"/>
      <c r="F18" s="137"/>
      <c r="G18" s="137"/>
      <c r="H18" s="138"/>
    </row>
    <row r="19" spans="2:15" ht="15" thickBot="1" x14ac:dyDescent="0.35">
      <c r="B19" s="131" t="s">
        <v>23</v>
      </c>
      <c r="C19" s="132" t="s">
        <v>24</v>
      </c>
      <c r="D19" s="132" t="s">
        <v>25</v>
      </c>
      <c r="E19" s="132" t="s">
        <v>9</v>
      </c>
      <c r="F19" s="132" t="s">
        <v>26</v>
      </c>
      <c r="G19" s="132" t="s">
        <v>27</v>
      </c>
      <c r="H19" s="133" t="s">
        <v>4</v>
      </c>
    </row>
    <row r="20" spans="2:15" ht="15.6" x14ac:dyDescent="0.3">
      <c r="B20" s="127">
        <v>1</v>
      </c>
      <c r="C20" s="128" t="s">
        <v>138</v>
      </c>
      <c r="D20" s="129">
        <v>2900</v>
      </c>
      <c r="E20" s="129">
        <v>550</v>
      </c>
      <c r="F20" s="128" t="s">
        <v>139</v>
      </c>
      <c r="G20" s="116">
        <v>107342</v>
      </c>
      <c r="H20" s="130">
        <f t="shared" ref="H20" si="0">G20*B20</f>
        <v>107342</v>
      </c>
      <c r="J20" s="61"/>
      <c r="K20" s="88"/>
      <c r="L20" s="61"/>
      <c r="M20" s="61"/>
      <c r="N20" s="88"/>
      <c r="O20" s="99"/>
    </row>
    <row r="21" spans="2:15" ht="15.6" x14ac:dyDescent="0.3">
      <c r="B21" s="148">
        <v>1</v>
      </c>
      <c r="C21" s="149" t="s">
        <v>138</v>
      </c>
      <c r="D21" s="150">
        <v>990</v>
      </c>
      <c r="E21" s="150">
        <v>550</v>
      </c>
      <c r="F21" s="149" t="s">
        <v>139</v>
      </c>
      <c r="G21" s="151"/>
      <c r="H21" s="152"/>
      <c r="J21" s="61"/>
      <c r="K21" s="88"/>
      <c r="L21" s="61"/>
      <c r="M21" s="61"/>
      <c r="N21" s="88"/>
      <c r="O21" s="99"/>
    </row>
    <row r="22" spans="2:15" ht="16.2" thickBot="1" x14ac:dyDescent="0.35">
      <c r="B22" s="122">
        <v>1</v>
      </c>
      <c r="C22" s="123" t="s">
        <v>138</v>
      </c>
      <c r="D22" s="124">
        <v>970</v>
      </c>
      <c r="E22" s="124">
        <v>550</v>
      </c>
      <c r="F22" s="123" t="s">
        <v>139</v>
      </c>
      <c r="G22" s="125">
        <v>55644</v>
      </c>
      <c r="H22" s="126">
        <f>G22*B22</f>
        <v>55644</v>
      </c>
      <c r="J22" s="61"/>
      <c r="K22" s="88"/>
      <c r="L22" s="61"/>
      <c r="M22" s="61"/>
      <c r="N22" s="88"/>
      <c r="O22" s="99"/>
    </row>
    <row r="23" spans="2:15" x14ac:dyDescent="0.3">
      <c r="B23" s="100"/>
      <c r="C23" s="100"/>
      <c r="D23" s="104"/>
      <c r="E23" s="104"/>
      <c r="F23" s="105"/>
      <c r="G23" s="101"/>
      <c r="H23" s="102"/>
      <c r="J23" s="61"/>
      <c r="K23" s="88"/>
      <c r="L23" s="61"/>
      <c r="M23" s="61"/>
      <c r="N23" s="88"/>
      <c r="O23" s="99"/>
    </row>
    <row r="24" spans="2:15" ht="8.25" customHeight="1" thickBot="1" x14ac:dyDescent="0.35">
      <c r="B24" s="61"/>
      <c r="C24" s="61"/>
      <c r="D24" s="61"/>
      <c r="E24" s="61"/>
      <c r="F24" s="61"/>
      <c r="G24" s="62"/>
      <c r="H24" s="63"/>
    </row>
    <row r="25" spans="2:15" ht="18" thickBot="1" x14ac:dyDescent="0.4">
      <c r="G25" s="30" t="s">
        <v>5</v>
      </c>
      <c r="H25" s="43">
        <f>SUM(H20:H24)</f>
        <v>162986</v>
      </c>
    </row>
    <row r="26" spans="2:15" ht="18" thickBot="1" x14ac:dyDescent="0.4">
      <c r="G26" s="40" t="s">
        <v>6</v>
      </c>
      <c r="H26" s="43">
        <f>H25*19%</f>
        <v>30967.34</v>
      </c>
    </row>
    <row r="27" spans="2:15" ht="18" thickBot="1" x14ac:dyDescent="0.4">
      <c r="G27" s="31" t="s">
        <v>4</v>
      </c>
      <c r="H27" s="43">
        <f>SUM(H25+H26)</f>
        <v>193953.34</v>
      </c>
    </row>
    <row r="29" spans="2:15" x14ac:dyDescent="0.3">
      <c r="B29" s="38" t="s">
        <v>130</v>
      </c>
      <c r="C29" s="32"/>
      <c r="D29" s="33"/>
      <c r="E29" s="33"/>
      <c r="F29" s="34"/>
    </row>
    <row r="30" spans="2:15" x14ac:dyDescent="0.3">
      <c r="B30" s="38" t="s">
        <v>129</v>
      </c>
      <c r="C30" s="39"/>
      <c r="D30" s="33"/>
      <c r="E30" s="33"/>
      <c r="F30" s="34"/>
    </row>
    <row r="31" spans="2:15" x14ac:dyDescent="0.3">
      <c r="B31" s="41" t="s">
        <v>28</v>
      </c>
      <c r="E31" s="42" t="s">
        <v>29</v>
      </c>
    </row>
  </sheetData>
  <sortState xmlns:xlrd2="http://schemas.microsoft.com/office/spreadsheetml/2017/richdata2" ref="B50">
    <sortCondition sortBy="fontColor" ref="B50" dxfId="1"/>
  </sortState>
  <mergeCells count="2">
    <mergeCell ref="F15:H15"/>
    <mergeCell ref="B18:H18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9" t="s">
        <v>34</v>
      </c>
      <c r="C2" s="139"/>
      <c r="D2" s="139"/>
      <c r="E2" s="64"/>
      <c r="G2" s="139" t="s">
        <v>73</v>
      </c>
      <c r="H2" s="139"/>
      <c r="I2" s="139"/>
      <c r="P2" s="140" t="s">
        <v>61</v>
      </c>
      <c r="Q2" s="140"/>
      <c r="R2" s="140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0" t="s">
        <v>61</v>
      </c>
      <c r="M8" s="140"/>
      <c r="N8" s="140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8"/>
  <sheetViews>
    <sheetView tabSelected="1" topLeftCell="A14" zoomScaleNormal="100" workbookViewId="0">
      <selection activeCell="G2" sqref="A2:G40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41" t="s">
        <v>64</v>
      </c>
      <c r="L3" s="141"/>
      <c r="M3" s="141" t="s">
        <v>16</v>
      </c>
      <c r="N3" s="141"/>
    </row>
    <row r="4" spans="1:14" ht="15.75" customHeight="1" x14ac:dyDescent="0.3">
      <c r="C4" s="55" t="s">
        <v>30</v>
      </c>
      <c r="D4" s="54">
        <f>'4637'!G8</f>
        <v>7442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HECTOR ROMERO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46146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42" t="s">
        <v>64</v>
      </c>
      <c r="B10" s="142"/>
      <c r="C10" s="142"/>
      <c r="D10" s="142"/>
      <c r="E10" s="142"/>
      <c r="F10" s="142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2950</v>
      </c>
      <c r="E14" s="46">
        <f>K14+$E$13</f>
        <v>520</v>
      </c>
      <c r="F14" s="58" t="str">
        <f>F23</f>
        <v>CUB C/R R8</v>
      </c>
      <c r="I14" s="4">
        <f>I23</f>
        <v>1</v>
      </c>
      <c r="J14" s="5">
        <f>D31</f>
        <v>2900</v>
      </c>
      <c r="K14" s="5">
        <f>K23</f>
        <v>550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1040</v>
      </c>
      <c r="E15" s="46">
        <f>K15+$E$13</f>
        <v>520</v>
      </c>
      <c r="F15" s="58" t="str">
        <f>F24</f>
        <v>CUB C/R R8</v>
      </c>
      <c r="I15" s="4">
        <f>I24</f>
        <v>1</v>
      </c>
      <c r="J15" s="5">
        <f>D32</f>
        <v>990</v>
      </c>
      <c r="K15" s="5">
        <f>K24</f>
        <v>550</v>
      </c>
    </row>
    <row r="16" spans="1:14" ht="15.6" x14ac:dyDescent="0.3">
      <c r="A16" s="50"/>
      <c r="B16" s="59">
        <f>I16</f>
        <v>1</v>
      </c>
      <c r="C16" s="59"/>
      <c r="D16" s="59">
        <f>J16+D$13</f>
        <v>1020</v>
      </c>
      <c r="E16" s="46">
        <f>K16+$E$13</f>
        <v>520</v>
      </c>
      <c r="F16" s="58" t="str">
        <f>F25</f>
        <v>CUB C/R R8</v>
      </c>
      <c r="I16" s="4">
        <f>I25</f>
        <v>1</v>
      </c>
      <c r="J16" s="5">
        <f>D33</f>
        <v>970</v>
      </c>
      <c r="K16" s="5">
        <f>K25</f>
        <v>550</v>
      </c>
    </row>
    <row r="17" spans="1:11" ht="15.6" x14ac:dyDescent="0.3">
      <c r="A17" s="50"/>
      <c r="B17" s="7"/>
      <c r="C17" s="7"/>
      <c r="D17" s="7"/>
      <c r="E17" s="7"/>
      <c r="F17" s="49"/>
      <c r="I17" s="96"/>
      <c r="J17" s="3"/>
      <c r="K17" s="3"/>
    </row>
    <row r="18" spans="1:11" ht="6.75" customHeight="1" x14ac:dyDescent="0.3"/>
    <row r="19" spans="1:11" ht="15.6" x14ac:dyDescent="0.3">
      <c r="A19" s="142" t="s">
        <v>16</v>
      </c>
      <c r="B19" s="142"/>
      <c r="C19" s="142"/>
      <c r="D19" s="142"/>
      <c r="E19" s="142"/>
      <c r="F19" s="142"/>
      <c r="G19" s="1"/>
    </row>
    <row r="20" spans="1:11" ht="10.5" customHeight="1" x14ac:dyDescent="0.3">
      <c r="A20" s="1"/>
      <c r="B20" s="1"/>
      <c r="C20" s="51"/>
      <c r="D20" s="1"/>
      <c r="E20" s="1"/>
      <c r="F20" s="1"/>
      <c r="G20" s="1"/>
    </row>
    <row r="21" spans="1:11" ht="15.6" x14ac:dyDescent="0.3">
      <c r="A21" s="1"/>
      <c r="B21" s="1"/>
      <c r="C21" s="1"/>
      <c r="D21" s="50" t="s">
        <v>8</v>
      </c>
      <c r="E21" s="50" t="s">
        <v>9</v>
      </c>
      <c r="F21" s="1"/>
      <c r="G21" s="1"/>
    </row>
    <row r="22" spans="1:11" ht="15.6" x14ac:dyDescent="0.3">
      <c r="A22" s="50" t="s">
        <v>10</v>
      </c>
      <c r="B22" s="77" t="s">
        <v>11</v>
      </c>
      <c r="C22" s="77" t="s">
        <v>12</v>
      </c>
      <c r="D22" s="69">
        <v>40</v>
      </c>
      <c r="E22" s="69">
        <v>130</v>
      </c>
      <c r="F22" s="77" t="s">
        <v>113</v>
      </c>
      <c r="G22" s="1"/>
      <c r="J22" s="6" t="s">
        <v>8</v>
      </c>
      <c r="K22" s="6" t="s">
        <v>9</v>
      </c>
    </row>
    <row r="23" spans="1:11" ht="15.6" x14ac:dyDescent="0.3">
      <c r="A23" s="50"/>
      <c r="B23" s="59">
        <f t="shared" ref="B23" si="2">I23</f>
        <v>1</v>
      </c>
      <c r="C23" s="59"/>
      <c r="D23" s="59">
        <f>J23+D$22</f>
        <v>2940</v>
      </c>
      <c r="E23" s="59">
        <f>K23+$E$22</f>
        <v>680</v>
      </c>
      <c r="F23" s="58" t="str">
        <f>C31</f>
        <v>CUB C/R R8</v>
      </c>
      <c r="G23" s="1"/>
      <c r="I23" s="4">
        <f>B31</f>
        <v>1</v>
      </c>
      <c r="J23" s="5">
        <f t="shared" ref="J23:K23" si="3">D31</f>
        <v>2900</v>
      </c>
      <c r="K23" s="5">
        <f t="shared" si="3"/>
        <v>550</v>
      </c>
    </row>
    <row r="24" spans="1:11" ht="15.6" x14ac:dyDescent="0.3">
      <c r="A24" s="50"/>
      <c r="B24" s="59">
        <f t="shared" ref="B24" si="4">I24</f>
        <v>1</v>
      </c>
      <c r="C24" s="59"/>
      <c r="D24" s="59">
        <f>J24+D$22</f>
        <v>1030</v>
      </c>
      <c r="E24" s="59">
        <f>K24+$E$22</f>
        <v>680</v>
      </c>
      <c r="F24" s="58" t="str">
        <f>C32</f>
        <v>CUB C/R R8</v>
      </c>
      <c r="G24" s="1"/>
      <c r="I24" s="4">
        <f>B32</f>
        <v>1</v>
      </c>
      <c r="J24" s="5">
        <f t="shared" ref="J24" si="5">D32</f>
        <v>990</v>
      </c>
      <c r="K24" s="5">
        <f t="shared" ref="K24" si="6">E32</f>
        <v>550</v>
      </c>
    </row>
    <row r="25" spans="1:11" ht="15.6" x14ac:dyDescent="0.3">
      <c r="A25" s="50"/>
      <c r="B25" s="59">
        <f t="shared" ref="B25" si="7">I25</f>
        <v>1</v>
      </c>
      <c r="C25" s="59"/>
      <c r="D25" s="59">
        <f>J25+D$22</f>
        <v>1010</v>
      </c>
      <c r="E25" s="59">
        <f>K25+$E$22</f>
        <v>680</v>
      </c>
      <c r="F25" s="58" t="str">
        <f>C33</f>
        <v>CUB C/R R8</v>
      </c>
      <c r="G25" s="1"/>
      <c r="I25" s="4">
        <f>B33</f>
        <v>1</v>
      </c>
      <c r="J25" s="5">
        <f t="shared" ref="J25" si="8">D33</f>
        <v>970</v>
      </c>
      <c r="K25" s="5">
        <f t="shared" ref="K25" si="9">E33</f>
        <v>550</v>
      </c>
    </row>
    <row r="26" spans="1:11" ht="6.75" customHeight="1" x14ac:dyDescent="0.3">
      <c r="G26" s="1"/>
      <c r="I26" s="3"/>
      <c r="J26" s="3"/>
      <c r="K26" s="3"/>
    </row>
    <row r="27" spans="1:11" ht="16.2" thickBot="1" x14ac:dyDescent="0.35">
      <c r="A27" s="50"/>
      <c r="B27" s="7"/>
      <c r="C27" s="7"/>
      <c r="D27" s="7"/>
      <c r="E27" s="7"/>
      <c r="F27" s="49"/>
      <c r="I27" s="3"/>
      <c r="J27" s="3"/>
      <c r="K27" s="3"/>
    </row>
    <row r="28" spans="1:11" ht="16.2" thickBot="1" x14ac:dyDescent="0.35">
      <c r="A28" s="50"/>
      <c r="B28" s="71" t="s">
        <v>110</v>
      </c>
      <c r="C28" s="72"/>
      <c r="D28" s="72"/>
      <c r="E28" s="72"/>
      <c r="F28" s="73"/>
      <c r="I28" s="3"/>
      <c r="J28" s="3"/>
      <c r="K28" s="3"/>
    </row>
    <row r="29" spans="1:11" ht="10.5" customHeight="1" x14ac:dyDescent="0.3"/>
    <row r="30" spans="1:11" x14ac:dyDescent="0.3">
      <c r="A30" s="50" t="s">
        <v>10</v>
      </c>
      <c r="B30" s="76" t="s">
        <v>11</v>
      </c>
      <c r="C30" s="76" t="s">
        <v>113</v>
      </c>
      <c r="D30" s="76" t="s">
        <v>8</v>
      </c>
      <c r="E30" s="76" t="s">
        <v>9</v>
      </c>
      <c r="F30" s="76" t="s">
        <v>26</v>
      </c>
    </row>
    <row r="31" spans="1:11" ht="15.6" x14ac:dyDescent="0.3">
      <c r="A31" s="50"/>
      <c r="B31" s="74">
        <f>'4637'!B20</f>
        <v>1</v>
      </c>
      <c r="C31" s="75" t="str">
        <f>'4637'!C20</f>
        <v>CUB C/R R8</v>
      </c>
      <c r="D31" s="74">
        <f>'4637'!D20</f>
        <v>2900</v>
      </c>
      <c r="E31" s="74">
        <f>'4637'!E20</f>
        <v>550</v>
      </c>
      <c r="F31" s="120" t="str">
        <f>'4637'!F20</f>
        <v>HUMO 2108 MT</v>
      </c>
    </row>
    <row r="32" spans="1:11" ht="15.6" x14ac:dyDescent="0.3">
      <c r="A32" s="50"/>
      <c r="B32" s="74">
        <f>'4637'!B21</f>
        <v>1</v>
      </c>
      <c r="C32" s="75" t="str">
        <f>'4637'!C21</f>
        <v>CUB C/R R8</v>
      </c>
      <c r="D32" s="74">
        <f>'4637'!D21</f>
        <v>990</v>
      </c>
      <c r="E32" s="74">
        <f>'4637'!E21</f>
        <v>550</v>
      </c>
      <c r="F32" s="120" t="str">
        <f>'4637'!F21</f>
        <v>HUMO 2108 MT</v>
      </c>
    </row>
    <row r="33" spans="1:7" ht="15.6" x14ac:dyDescent="0.3">
      <c r="A33" s="50"/>
      <c r="B33" s="74">
        <f>'4637'!B22</f>
        <v>1</v>
      </c>
      <c r="C33" s="75" t="str">
        <f>'4637'!C22</f>
        <v>CUB C/R R8</v>
      </c>
      <c r="D33" s="74">
        <f>'4637'!D22</f>
        <v>970</v>
      </c>
      <c r="E33" s="74">
        <f>'4637'!E22</f>
        <v>550</v>
      </c>
      <c r="F33" s="120" t="str">
        <f>'4637'!F22</f>
        <v>HUMO 2108 MT</v>
      </c>
    </row>
    <row r="34" spans="1:7" ht="15.6" x14ac:dyDescent="0.3">
      <c r="A34" s="50"/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B39" s="7"/>
      <c r="C39" s="11"/>
      <c r="D39" s="7"/>
      <c r="E39" s="7"/>
      <c r="F39" s="49"/>
    </row>
    <row r="40" spans="1:7" ht="15.6" x14ac:dyDescent="0.3">
      <c r="B40" s="7"/>
      <c r="C40" s="11"/>
      <c r="D40" s="7"/>
      <c r="E40" s="7"/>
      <c r="F40" s="49"/>
    </row>
    <row r="41" spans="1:7" ht="15.6" x14ac:dyDescent="0.3">
      <c r="B41" s="7"/>
      <c r="C41" s="11"/>
      <c r="D41" s="7"/>
      <c r="E41" s="7"/>
      <c r="F41" s="49"/>
    </row>
    <row r="42" spans="1:7" ht="15.6" x14ac:dyDescent="0.3">
      <c r="G42" s="1"/>
    </row>
    <row r="43" spans="1:7" ht="15.6" x14ac:dyDescent="0.3">
      <c r="C43" s="55" t="s">
        <v>30</v>
      </c>
      <c r="D43" s="54">
        <f>'4637'!G8</f>
        <v>7442</v>
      </c>
      <c r="G43" s="1"/>
    </row>
    <row r="44" spans="1:7" ht="17.25" customHeight="1" x14ac:dyDescent="0.3">
      <c r="C44" s="68" t="s">
        <v>70</v>
      </c>
      <c r="D44" s="67" t="str">
        <f>'4637'!C10</f>
        <v>HECTOR ROMERO</v>
      </c>
      <c r="E44" s="22"/>
      <c r="F44" s="22"/>
      <c r="G44" s="1"/>
    </row>
    <row r="45" spans="1:7" ht="4.5" customHeight="1" x14ac:dyDescent="0.3">
      <c r="C45" s="56"/>
      <c r="D45" s="52"/>
      <c r="G45" s="1"/>
    </row>
    <row r="46" spans="1:7" ht="15.6" x14ac:dyDescent="0.3">
      <c r="C46" s="57" t="str">
        <f>'4637'!F11</f>
        <v>FECHA LIMITE :</v>
      </c>
      <c r="D46" s="53">
        <f>'4637'!G11</f>
        <v>46146</v>
      </c>
      <c r="E46" s="1"/>
      <c r="F46" s="1"/>
    </row>
    <row r="49" spans="1:6" x14ac:dyDescent="0.3">
      <c r="A49" s="143" t="s">
        <v>71</v>
      </c>
      <c r="B49" s="143"/>
      <c r="C49" s="143"/>
      <c r="D49" s="143"/>
      <c r="E49" s="143"/>
      <c r="F49" s="143"/>
    </row>
    <row r="51" spans="1:6" ht="9.75" customHeight="1" x14ac:dyDescent="0.3">
      <c r="B51" s="144" t="s">
        <v>72</v>
      </c>
      <c r="C51" s="145"/>
      <c r="D51" s="146"/>
      <c r="E51" s="146"/>
      <c r="F51" s="147"/>
    </row>
    <row r="52" spans="1:6" s="13" customFormat="1" ht="11.25" customHeight="1" x14ac:dyDescent="0.25">
      <c r="B52" s="111" t="s">
        <v>11</v>
      </c>
      <c r="C52" s="112" t="s">
        <v>12</v>
      </c>
      <c r="D52" s="113" t="s">
        <v>8</v>
      </c>
      <c r="E52" s="113" t="s">
        <v>9</v>
      </c>
      <c r="F52" s="114" t="s">
        <v>13</v>
      </c>
    </row>
    <row r="53" spans="1:6" s="13" customFormat="1" ht="15" customHeight="1" x14ac:dyDescent="0.3">
      <c r="A53" s="98" t="s">
        <v>137</v>
      </c>
      <c r="B53" s="115">
        <f>'4637'!B20</f>
        <v>1</v>
      </c>
      <c r="C53" s="117" t="str">
        <f>'4637'!C20</f>
        <v>CUB C/R R8</v>
      </c>
      <c r="D53" s="115">
        <f>'4637'!D20</f>
        <v>2900</v>
      </c>
      <c r="E53" s="115">
        <f>'4637'!E20</f>
        <v>550</v>
      </c>
      <c r="F53" s="119" t="str">
        <f>'4637'!F20</f>
        <v>HUMO 2108 MT</v>
      </c>
    </row>
    <row r="54" spans="1:6" s="13" customFormat="1" ht="15" customHeight="1" x14ac:dyDescent="0.3">
      <c r="A54" s="98"/>
      <c r="B54" s="115">
        <f>'4637'!B21</f>
        <v>1</v>
      </c>
      <c r="C54" s="117" t="str">
        <f>'4637'!C21</f>
        <v>CUB C/R R8</v>
      </c>
      <c r="D54" s="115">
        <f>'4637'!D21</f>
        <v>990</v>
      </c>
      <c r="E54" s="115">
        <f>'4637'!E21</f>
        <v>550</v>
      </c>
      <c r="F54" s="119" t="str">
        <f>'4637'!F21</f>
        <v>HUMO 2108 MT</v>
      </c>
    </row>
    <row r="55" spans="1:6" s="13" customFormat="1" ht="15" customHeight="1" x14ac:dyDescent="0.3">
      <c r="A55" s="98"/>
      <c r="B55" s="115">
        <f>'4637'!B22</f>
        <v>1</v>
      </c>
      <c r="C55" s="117" t="str">
        <f>'4637'!C22</f>
        <v>CUB C/R R8</v>
      </c>
      <c r="D55" s="115">
        <f>'4637'!D22</f>
        <v>970</v>
      </c>
      <c r="E55" s="115">
        <f>'4637'!E22</f>
        <v>550</v>
      </c>
      <c r="F55" s="119" t="str">
        <f>'4637'!F22</f>
        <v>HUMO 2108 MT</v>
      </c>
    </row>
    <row r="56" spans="1:6" s="13" customFormat="1" ht="15" customHeight="1" x14ac:dyDescent="0.3">
      <c r="A56" s="98"/>
      <c r="B56" s="3"/>
      <c r="C56" s="60"/>
      <c r="D56" s="3"/>
      <c r="E56" s="3"/>
      <c r="F56" s="3"/>
    </row>
    <row r="57" spans="1:6" ht="15.6" x14ac:dyDescent="0.3">
      <c r="A57" s="60"/>
      <c r="B57" s="3"/>
      <c r="C57" s="41"/>
      <c r="D57" s="7"/>
      <c r="E57" s="7"/>
      <c r="F57" s="49"/>
    </row>
    <row r="58" spans="1:6" ht="15.6" x14ac:dyDescent="0.3">
      <c r="A58" s="60"/>
      <c r="B58" s="3"/>
      <c r="C58" s="41"/>
      <c r="D58" s="7"/>
      <c r="E58" s="7"/>
      <c r="F58" s="56"/>
    </row>
    <row r="59" spans="1:6" ht="15.6" x14ac:dyDescent="0.3">
      <c r="A59" s="60"/>
      <c r="B59" s="3"/>
      <c r="C59" s="41"/>
      <c r="D59" s="7"/>
      <c r="E59" s="7"/>
      <c r="F59" s="49"/>
    </row>
    <row r="60" spans="1:6" ht="15" thickBot="1" x14ac:dyDescent="0.35"/>
    <row r="61" spans="1:6" x14ac:dyDescent="0.3">
      <c r="B61" s="78" t="s">
        <v>15</v>
      </c>
      <c r="C61" s="79"/>
      <c r="D61" s="80"/>
      <c r="E61" s="80"/>
      <c r="F61" s="81"/>
    </row>
    <row r="62" spans="1:6" x14ac:dyDescent="0.3">
      <c r="B62" s="82"/>
      <c r="C62" s="83" t="s">
        <v>117</v>
      </c>
      <c r="D62" s="9"/>
      <c r="E62" s="9"/>
      <c r="F62" s="84"/>
    </row>
    <row r="63" spans="1:6" ht="15" customHeight="1" x14ac:dyDescent="0.35">
      <c r="B63" s="83" t="s">
        <v>124</v>
      </c>
      <c r="C63" s="70"/>
      <c r="D63" s="10"/>
      <c r="E63" s="10"/>
      <c r="F63" s="85"/>
    </row>
    <row r="64" spans="1:6" ht="18.600000000000001" thickBot="1" x14ac:dyDescent="0.4">
      <c r="B64" s="95" t="s">
        <v>123</v>
      </c>
      <c r="C64" s="86"/>
      <c r="D64" s="86"/>
      <c r="E64" s="86"/>
      <c r="F64" s="87"/>
    </row>
    <row r="65" spans="1:7" ht="18" x14ac:dyDescent="0.35">
      <c r="A65" s="2"/>
      <c r="B65" s="8"/>
      <c r="G65" s="1"/>
    </row>
    <row r="66" spans="1:7" x14ac:dyDescent="0.3">
      <c r="B66" s="66"/>
      <c r="C66" s="66"/>
      <c r="D66" s="66"/>
      <c r="E66" s="66"/>
      <c r="F66" s="66"/>
    </row>
    <row r="67" spans="1:7" x14ac:dyDescent="0.3">
      <c r="B67" s="66"/>
      <c r="C67" s="66"/>
      <c r="D67" s="66"/>
      <c r="E67" s="66"/>
      <c r="F67" s="66"/>
    </row>
    <row r="68" spans="1:7" x14ac:dyDescent="0.3">
      <c r="B68" s="66"/>
      <c r="C68" s="66"/>
      <c r="E68" s="66"/>
      <c r="F68" s="66"/>
    </row>
  </sheetData>
  <mergeCells count="6">
    <mergeCell ref="M3:N3"/>
    <mergeCell ref="A19:F19"/>
    <mergeCell ref="A10:F10"/>
    <mergeCell ref="A49:F49"/>
    <mergeCell ref="B51:F51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2026-05-04T13:11:19Z</cp:lastPrinted>
  <dcterms:created xsi:type="dcterms:W3CDTF">2013-03-19T12:54:14Z</dcterms:created>
  <dcterms:modified xsi:type="dcterms:W3CDTF">2026-05-04T13:21:35Z</dcterms:modified>
</cp:coreProperties>
</file>