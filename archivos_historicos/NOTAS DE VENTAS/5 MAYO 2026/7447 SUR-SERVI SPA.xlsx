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8335FCEB-AEF8-4887-9928-D25CCC7494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<sst xmlns="http://schemas.openxmlformats.org/spreadsheetml/2006/main" count="245" uniqueCount="143">
  <si>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</si>
  <si>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</si>
  <si>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</si>
  <si>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</si>
  <si>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</si>
  <si>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</si>
  <si>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</si>
  <si>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</si>
  <si>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</si>
  <si>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</si>
  <si>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</si>
  <si>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</si>
  <si>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</si>
  <si>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</si>
  <si>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</si>
  <si>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</si>
  <si>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</si>
  <si>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</si>
  <si>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</si>
  <si>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</si>
  <si>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</si>
  <si>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</si>
  <si>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</si>
  <si>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</si>
  <si>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</si>
  <si>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</si>
  <si>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</si>
  <si>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</si>
  <si>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</si>
  <si>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</si>
  <si>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</si>
  <si>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</si>
  <si>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</si>
  <si>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</si>
  <si>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</si>
  <si>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</si>
  <si>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</si>
  <si>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</si>
  <si>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</si>
  <si>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</si>
  <si>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</si>
  <si>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</si>
  <si>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</si>
  <si>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</si>
  <si>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</si>
  <si>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</si>
  <si>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</si>
  <si>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</si>
  <si>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</si>
  <si>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</si>
  <si>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</si>
  <si>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</si>
  <si>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</si>
  <si>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</si>
  <si>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</si>
  <si>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</si>
  <si>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</si>
  <si>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</si>
  <si>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</si>
  <si>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</si>
  <si>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</si>
  <si>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</si>
  <si>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</si>
  <si>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</si>
  <si>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</si>
  <si>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</si>
  <si>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</si>
  <si>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</si>
  <si>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</si>
  <si>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</si>
  <si>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</si>
  <si>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</si>
  <si>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</si>
  <si>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</si>
  <si>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</si>
  <si>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</si>
  <si>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</si>
  <si>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</si>
  <si>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</si>
  <si>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</si>
  <si>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</si>
  <si>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</si>
  <si>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</si>
  <si>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</si>
  <si>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</si>
  <si>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</si>
  <si>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</si>
  <si>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</si>
  <si>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</si>
  <si>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</si>
  <si>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</si>
  <si>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</si>
  <si>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</si>
  <si>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</si>
  <si>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</si>
  <si>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</si>
  <si>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</si>
  <si>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</si>
  <si>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</si>
  <si>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</si>
  <si>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</si>
  <si>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</si>
  <si>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</si>
  <si>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</si>
  <si>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</si>
  <si>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</si>
  <si>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</si>
  <si>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</si>
  <si>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</si>
  <si>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</si>
  <si>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</si>
  <si>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</si>
  <si>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</si>
  <si>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</si>
  <si>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</si>
  <si>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</si>
  <si>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</si>
  <si>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</si>
  <si>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</si>
  <si>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</si>
  <si>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</si>
  <si>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</si>
  <si>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</si>
  <si>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</si>
  <si>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</si>
  <si>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</si>
  <si>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</si>
  <si>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</si>
  <si>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</si>
  <si>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</si>
  <si>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</si>
  <si>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</si>
  <si>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</si>
  <si>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</si>
  <si>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</si>
  <si>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</si>
  <si>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</si>
  <si>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</si>
  <si>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SUR-SERVI SPA</t>
  </si>
  <si>
    <t>EDUARDO COLLAO</t>
  </si>
  <si>
    <t>CUB C/R R6</t>
  </si>
  <si>
    <t>BLACK SF MERINO</t>
  </si>
  <si>
    <t>CORTAR RESPALDO A 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</si>
</sst>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12116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$ 117.080.-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CON RESPALDO DE 10CMS DESDE LA BASE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</a:t>
          </a:r>
          <a:r>
            <a:rPr lang="es-CL" sz="1050" b="1" i="1" baseline="0"/>
            <a:t>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LLEVA RESPALDO DE 10CMS DESDE LA BASE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7447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138</v>
      </c>
      <c r="D10" s="15"/>
      <c r="E10" s="15"/>
      <c r="F10" s="16" t="s">
        <v>31</v>
      </c>
      <c r="G10" s="17">
        <v>46147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46151</v>
      </c>
      <c r="H11" s="21"/>
    </row>
    <row r="12" spans="2:16" x14ac:dyDescent="0.3">
      <c r="B12" s="91" t="s">
        <v>115</v>
      </c>
      <c r="C12" s="118" t="s">
        <v>139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>
        <v>56988078074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2</v>
      </c>
      <c r="C20" s="123" t="s">
        <v>140</v>
      </c>
      <c r="D20" s="124">
        <v>1580</v>
      </c>
      <c r="E20" s="124">
        <v>600</v>
      </c>
      <c r="F20" s="123" t="s">
        <v>141</v>
      </c>
      <c r="G20" s="116">
        <v>98387</v>
      </c>
      <c r="H20" s="125">
        <f t="shared" ref="H20" si="0">G20*B20</f>
        <v>196774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196774</v>
      </c>
    </row>
    <row r="24" spans="2:15" ht="18" thickBot="1" x14ac:dyDescent="0.4">
      <c r="G24" s="40" t="s">
        <v>6</v>
      </c>
      <c r="H24" s="43">
        <f>H23*19%</f>
        <v>37387.06</v>
      </c>
    </row>
    <row r="25" spans="2:15" ht="18" thickBot="1" x14ac:dyDescent="0.4">
      <c r="G25" s="31" t="s">
        <v>4</v>
      </c>
      <c r="H25" s="43">
        <f>SUM(H23+H24)</f>
        <v>234161.06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activeCell="D14" sqref="D1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7447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SUR-SERVI SPA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46151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80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2</v>
      </c>
      <c r="C14" s="59" t="s">
        <v>142</v>
      </c>
      <c r="D14" s="59">
        <f t="shared" ref="D14" si="0">J14+D$13</f>
        <v>1660</v>
      </c>
      <c r="E14" s="46">
        <f>K14+$E$13</f>
        <v>570</v>
      </c>
      <c r="F14" s="58" t="str">
        <f>F21</f>
        <v>CUB C/R R6</v>
      </c>
      <c r="I14" s="4">
        <f>I21</f>
        <v>2</v>
      </c>
      <c r="J14" s="5">
        <f>D27</f>
        <v>1580</v>
      </c>
      <c r="K14" s="5">
        <f>K21</f>
        <v>600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50</v>
      </c>
      <c r="E20" s="69">
        <v>160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2</v>
      </c>
      <c r="C21" s="59"/>
      <c r="D21" s="59">
        <f>J21+D$20</f>
        <v>1630</v>
      </c>
      <c r="E21" s="59">
        <f>K21+$E$20</f>
        <v>760</v>
      </c>
      <c r="F21" s="58" t="str">
        <f>C27</f>
        <v>CUB C/R R6</v>
      </c>
      <c r="G21" s="1"/>
      <c r="I21" s="4">
        <f>B27</f>
        <v>2</v>
      </c>
      <c r="J21" s="5">
        <f t="shared" ref="J21:K21" si="2">D27</f>
        <v>1580</v>
      </c>
      <c r="K21" s="5">
        <f t="shared" si="2"/>
        <v>600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2</v>
      </c>
      <c r="C27" s="75" t="str">
        <f>'4637'!C20</f>
        <v>CUB C/R R6</v>
      </c>
      <c r="D27" s="74">
        <f>'4637'!D20</f>
        <v>1580</v>
      </c>
      <c r="E27" s="74">
        <f>'4637'!E20</f>
        <v>600</v>
      </c>
      <c r="F27" s="120" t="str">
        <f>'4637'!F20</f>
        <v>BLACK SF MERINO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7447</v>
      </c>
      <c r="G37" s="1"/>
    </row>
    <row r="38" spans="1:7" ht="17.25" customHeight="1" x14ac:dyDescent="0.3">
      <c r="C38" s="68" t="s">
        <v>70</v>
      </c>
      <c r="D38" s="67" t="str">
        <f>'4637'!C10</f>
        <v>SUR-SERVI SPA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46151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2</v>
      </c>
      <c r="C47" s="117" t="str">
        <f>'4637'!C20</f>
        <v>CUB C/R R6</v>
      </c>
      <c r="D47" s="115">
        <f>'4637'!D20</f>
        <v>1580</v>
      </c>
      <c r="E47" s="115">
        <f>'4637'!E20</f>
        <v>600</v>
      </c>
      <c r="F47" s="119" t="str">
        <f>'4637'!F20</f>
        <v>BLACK SF MERINO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2026-05-04T19:55:47Z</cp:lastPrinted>
  <dcterms:created xsi:type="dcterms:W3CDTF">2013-03-19T12:54:14Z</dcterms:created>
  <dcterms:modified xsi:type="dcterms:W3CDTF">2026-05-05T18:42:12Z</dcterms:modified>
</cp:coreProperties>
</file>