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A060C30C-7768-47D7-810F-C1099F7A9D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3" l="1"/>
  <c r="C50" i="3"/>
  <c r="D50" i="3"/>
  <c r="E50" i="3"/>
  <c r="F50" i="3"/>
  <c r="I15" i="3"/>
  <c r="B15" i="3" s="1"/>
  <c r="J15" i="3"/>
  <c r="K15" i="3"/>
  <c r="I23" i="3"/>
  <c r="J23" i="3"/>
  <c r="K23" i="3"/>
  <c r="B29" i="3"/>
  <c r="C29" i="3"/>
  <c r="F23" i="3" s="1"/>
  <c r="D29" i="3"/>
  <c r="E29" i="3"/>
  <c r="F29" i="3"/>
  <c r="B23" i="3"/>
  <c r="D23" i="3"/>
  <c r="E23" i="3"/>
  <c r="D15" i="3"/>
  <c r="E15" i="3"/>
  <c r="F15" i="3"/>
  <c r="H22" i="4"/>
  <c r="H21" i="4"/>
  <c r="B28" i="3" l="1"/>
  <c r="I22" i="3" s="1"/>
  <c r="I14" i="3" s="1"/>
  <c r="B14" i="3" s="1"/>
  <c r="C28" i="3"/>
  <c r="F14" i="3" s="1"/>
  <c r="D28" i="3"/>
  <c r="J22" i="3" s="1"/>
  <c r="J14" i="3" s="1"/>
  <c r="D14" i="3" s="1"/>
  <c r="E28" i="3"/>
  <c r="F28" i="3"/>
  <c r="B49" i="3"/>
  <c r="C49" i="3"/>
  <c r="D49" i="3"/>
  <c r="E49" i="3"/>
  <c r="F49" i="3"/>
  <c r="H25" i="4"/>
  <c r="K22" i="3" l="1"/>
  <c r="D22" i="3"/>
  <c r="B22" i="3"/>
  <c r="F22" i="3"/>
  <c r="K14" i="3" l="1"/>
  <c r="E14" i="3" s="1"/>
  <c r="E22" i="3"/>
  <c r="H26" i="4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<sst xmlns="http://schemas.openxmlformats.org/spreadsheetml/2006/main" count="246" uniqueCount="141">
  <si>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</si>
  <si>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</si>
  <si>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</si>
  <si>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</si>
  <si>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</si>
  <si>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</si>
  <si>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</si>
  <si>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</si>
  <si>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</si>
  <si>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</si>
  <si>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</si>
  <si>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</si>
  <si>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</si>
  <si>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</si>
  <si>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</si>
  <si>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</si>
  <si>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</si>
  <si>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</si>
  <si>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</si>
  <si>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</si>
  <si>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</si>
  <si>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</si>
  <si>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</si>
  <si>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</si>
  <si>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</si>
  <si>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</si>
  <si>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</si>
  <si>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</si>
  <si>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</si>
  <si>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</si>
  <si>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</si>
  <si>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</si>
  <si>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</si>
  <si>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</si>
  <si>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</si>
  <si>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</si>
  <si>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</si>
  <si>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</si>
  <si>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</si>
  <si>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</si>
  <si>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</si>
  <si>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</si>
  <si>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</si>
  <si>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</si>
  <si>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</si>
  <si>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</si>
  <si>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</si>
  <si>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</si>
  <si>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</si>
  <si>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</si>
  <si>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</si>
  <si>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</si>
  <si>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</si>
  <si>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</si>
  <si>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</si>
  <si>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</si>
  <si>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</si>
  <si>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</si>
  <si>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</si>
  <si>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</si>
  <si>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</si>
  <si>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</si>
  <si>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</si>
  <si>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</si>
  <si>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</si>
  <si>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</si>
  <si>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</si>
  <si>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</si>
  <si>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</si>
  <si>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</si>
  <si>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</si>
  <si>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</si>
  <si>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</si>
  <si>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</si>
  <si>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</si>
  <si>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</si>
  <si>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</si>
  <si>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</si>
  <si>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</si>
  <si>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</si>
  <si>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</si>
  <si>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</si>
  <si>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</si>
  <si>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</si>
  <si>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</si>
  <si>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</si>
  <si>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</si>
  <si>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</si>
  <si>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</si>
  <si>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</si>
  <si>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</si>
  <si>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</si>
  <si>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</si>
  <si>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</si>
  <si>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</si>
  <si>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</si>
  <si>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</si>
  <si>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</si>
  <si>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</si>
  <si>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</si>
  <si>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</si>
  <si>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</si>
  <si>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</si>
  <si>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</si>
  <si>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</si>
  <si>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</si>
  <si>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</si>
  <si>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</si>
  <si>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</si>
  <si>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</si>
  <si>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</si>
  <si>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</si>
  <si>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</si>
  <si>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</si>
  <si>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</si>
  <si>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</si>
  <si>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</si>
  <si>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</si>
  <si>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</si>
  <si>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</si>
  <si>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</si>
  <si>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</si>
  <si>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</si>
  <si>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</si>
  <si>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</si>
  <si>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</si>
  <si>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</si>
  <si>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</si>
  <si>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</si>
  <si>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</si>
  <si>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</si>
  <si>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</si>
  <si>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</si>
  <si>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</si>
  <si>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MDF30MM</t>
  </si>
  <si>
    <t>CUB C/R R8</t>
  </si>
  <si>
    <t>NO</t>
  </si>
  <si>
    <t>WHITE MARBLE BR</t>
  </si>
  <si>
    <t>JORGE BORBARAN</t>
  </si>
  <si>
    <t>+569 8497 6580</t>
  </si>
  <si>
    <t>N° 12140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</si>
</sst>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27</xdr:row>
      <xdr:rowOff>7620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4596765"/>
          <a:ext cx="529590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2385060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84070" y="1076325"/>
          <a:ext cx="680847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556018</xdr:colOff>
      <xdr:row>43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7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140</v>
      </c>
      <c r="E8" s="1"/>
      <c r="F8" s="93" t="s">
        <v>27</v>
      </c>
      <c r="G8" s="94">
        <v>7471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46161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46168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 t="s">
        <v>139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18">
        <v>1</v>
      </c>
      <c r="C21" s="119" t="s">
        <v>135</v>
      </c>
      <c r="D21" s="120">
        <v>1600</v>
      </c>
      <c r="E21" s="120">
        <v>500</v>
      </c>
      <c r="F21" s="119" t="s">
        <v>137</v>
      </c>
      <c r="G21" s="121">
        <v>52453</v>
      </c>
      <c r="H21" s="122">
        <f t="shared" ref="H21" si="0">G21*B21</f>
        <v>52453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23">
        <v>1</v>
      </c>
      <c r="C22" s="124" t="s">
        <v>135</v>
      </c>
      <c r="D22" s="125">
        <v>1700</v>
      </c>
      <c r="E22" s="125">
        <v>500</v>
      </c>
      <c r="F22" s="124" t="s">
        <v>137</v>
      </c>
      <c r="G22" s="126">
        <v>55576</v>
      </c>
      <c r="H22" s="127">
        <f>G22*B22</f>
        <v>55576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3"/>
      <c r="C23" s="103"/>
      <c r="D23" s="104"/>
      <c r="E23" s="104"/>
      <c r="F23" s="103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108029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20525.510000000002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128554.51000000001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activeCell="G36" sqref="A1:G36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5" t="s">
        <v>61</v>
      </c>
      <c r="L3" s="105"/>
      <c r="M3" s="105" t="s">
        <v>14</v>
      </c>
      <c r="N3" s="105"/>
    </row>
    <row r="4" spans="1:14" ht="15.75" customHeight="1" x14ac:dyDescent="0.3">
      <c r="A4" s="1"/>
      <c r="B4" s="1"/>
      <c r="C4" s="40" t="s">
        <v>27</v>
      </c>
      <c r="D4" s="14">
        <f>'4637'!G8</f>
        <v>7471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JORGE BORBARAN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46168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06" t="s">
        <v>61</v>
      </c>
      <c r="B10" s="106"/>
      <c r="C10" s="106"/>
      <c r="D10" s="106"/>
      <c r="E10" s="106"/>
      <c r="F10" s="10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J14+D$13</f>
        <v>1650</v>
      </c>
      <c r="E14" s="35">
        <f>K14+E$13</f>
        <v>470</v>
      </c>
      <c r="F14" s="99" t="str">
        <f>C28</f>
        <v>CUB C/R R8</v>
      </c>
      <c r="G14" s="1"/>
      <c r="I14" s="89">
        <f t="shared" ref="I14:K15" si="1">I22</f>
        <v>1</v>
      </c>
      <c r="J14" s="4">
        <f t="shared" si="1"/>
        <v>1600</v>
      </c>
      <c r="K14" s="4">
        <f t="shared" si="1"/>
        <v>500</v>
      </c>
    </row>
    <row r="15" spans="1:14" ht="15.6" x14ac:dyDescent="0.3">
      <c r="A15" s="95"/>
      <c r="B15" s="25">
        <f t="shared" ref="B15" si="2">I15</f>
        <v>1</v>
      </c>
      <c r="C15" s="25"/>
      <c r="D15" s="25">
        <f>J15+D$13</f>
        <v>1750</v>
      </c>
      <c r="E15" s="35">
        <f>K15+E$13</f>
        <v>470</v>
      </c>
      <c r="F15" s="99" t="str">
        <f>C29</f>
        <v>CUB C/R R8</v>
      </c>
      <c r="G15" s="1"/>
      <c r="I15" s="89">
        <f t="shared" si="1"/>
        <v>1</v>
      </c>
      <c r="J15" s="4">
        <f t="shared" si="1"/>
        <v>1700</v>
      </c>
      <c r="K15" s="4">
        <f t="shared" si="1"/>
        <v>500</v>
      </c>
    </row>
    <row r="16" spans="1:14" ht="15.6" x14ac:dyDescent="0.3">
      <c r="A16" s="52"/>
      <c r="B16" s="6"/>
      <c r="C16" s="6"/>
      <c r="D16" s="6"/>
      <c r="E16" s="102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06" t="s">
        <v>14</v>
      </c>
      <c r="B18" s="106"/>
      <c r="C18" s="106"/>
      <c r="D18" s="106"/>
      <c r="E18" s="106"/>
      <c r="F18" s="106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110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1</v>
      </c>
      <c r="C22" s="16"/>
      <c r="D22" s="16">
        <f t="shared" ref="D22" si="4">J22+D$21</f>
        <v>1640</v>
      </c>
      <c r="E22" s="16">
        <f>K22+$E$21</f>
        <v>610</v>
      </c>
      <c r="F22" s="100" t="str">
        <f>C28</f>
        <v>CUB C/R R8</v>
      </c>
      <c r="G22" s="1"/>
      <c r="I22" s="3">
        <f>B28</f>
        <v>1</v>
      </c>
      <c r="J22" s="4">
        <f>D28</f>
        <v>1600</v>
      </c>
      <c r="K22" s="4">
        <f t="shared" ref="K22" si="5">E28</f>
        <v>500</v>
      </c>
    </row>
    <row r="23" spans="1:11" ht="15.6" x14ac:dyDescent="0.3">
      <c r="A23" s="95"/>
      <c r="B23" s="16">
        <f t="shared" ref="B23" si="6">I23</f>
        <v>1</v>
      </c>
      <c r="C23" s="16"/>
      <c r="D23" s="16">
        <f t="shared" ref="D23" si="7">J23+D$21</f>
        <v>1740</v>
      </c>
      <c r="E23" s="16">
        <f>K23+$E$21</f>
        <v>610</v>
      </c>
      <c r="F23" s="100" t="str">
        <f>C29</f>
        <v>CUB C/R R8</v>
      </c>
      <c r="G23" s="1"/>
      <c r="I23" s="3">
        <f>B29</f>
        <v>1</v>
      </c>
      <c r="J23" s="4">
        <f>D29</f>
        <v>1700</v>
      </c>
      <c r="K23" s="4">
        <f t="shared" ref="K23" si="8">E29</f>
        <v>500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5" t="s">
        <v>134</v>
      </c>
      <c r="B28" s="25">
        <f>'4637'!B21</f>
        <v>1</v>
      </c>
      <c r="C28" s="99" t="str">
        <f>'4637'!C21</f>
        <v>CUB C/R R8</v>
      </c>
      <c r="D28" s="25">
        <f>'4637'!D21</f>
        <v>1600</v>
      </c>
      <c r="E28" s="25">
        <f>'4637'!E21</f>
        <v>500</v>
      </c>
      <c r="F28" s="25" t="str">
        <f>'4637'!F21</f>
        <v>WHITE MARBLE BR</v>
      </c>
      <c r="G28" s="1"/>
    </row>
    <row r="29" spans="1:11" ht="15.6" x14ac:dyDescent="0.3">
      <c r="A29" s="95"/>
      <c r="B29" s="25">
        <f>'4637'!B22</f>
        <v>1</v>
      </c>
      <c r="C29" s="99" t="str">
        <f>'4637'!C22</f>
        <v>CUB C/R R8</v>
      </c>
      <c r="D29" s="25">
        <f>'4637'!D22</f>
        <v>1700</v>
      </c>
      <c r="E29" s="25">
        <f>'4637'!E22</f>
        <v>500</v>
      </c>
      <c r="F29" s="25" t="str">
        <f>'4637'!F22</f>
        <v>WHITE MARBLE BR</v>
      </c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7471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JORGE BORBARAN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46168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06" t="s">
        <v>68</v>
      </c>
      <c r="B45" s="106"/>
      <c r="C45" s="106"/>
      <c r="D45" s="106"/>
      <c r="E45" s="106"/>
      <c r="F45" s="10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07" t="s">
        <v>69</v>
      </c>
      <c r="C47" s="108"/>
      <c r="D47" s="109"/>
      <c r="E47" s="109"/>
      <c r="F47" s="110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5" t="s">
        <v>134</v>
      </c>
      <c r="B49" s="38">
        <f>'4637'!B21</f>
        <v>1</v>
      </c>
      <c r="C49" s="98" t="str">
        <f>'4637'!C21</f>
        <v>CUB C/R R8</v>
      </c>
      <c r="D49" s="39">
        <f>'4637'!D21</f>
        <v>1600</v>
      </c>
      <c r="E49" s="39">
        <f>'4637'!E21</f>
        <v>500</v>
      </c>
      <c r="F49" s="38" t="str">
        <f>'4637'!F21</f>
        <v>WHITE MARBLE BR</v>
      </c>
      <c r="G49" s="1"/>
    </row>
    <row r="50" spans="1:7" s="15" customFormat="1" ht="15" customHeight="1" x14ac:dyDescent="0.3">
      <c r="B50" s="38">
        <f>'4637'!B22</f>
        <v>1</v>
      </c>
      <c r="C50" s="98" t="str">
        <f>'4637'!C22</f>
        <v>CUB C/R R8</v>
      </c>
      <c r="D50" s="39">
        <f>'4637'!D22</f>
        <v>1700</v>
      </c>
      <c r="E50" s="39">
        <f>'4637'!E22</f>
        <v>500</v>
      </c>
      <c r="F50" s="38" t="str">
        <f>'4637'!F22</f>
        <v>WHITE MARBLE BR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2026-05-20T19:21:42Z</cp:lastPrinted>
  <dcterms:created xsi:type="dcterms:W3CDTF">2013-03-19T12:54:14Z</dcterms:created>
  <dcterms:modified xsi:type="dcterms:W3CDTF">2026-05-20T20:37:34Z</dcterms:modified>
</cp:coreProperties>
</file>