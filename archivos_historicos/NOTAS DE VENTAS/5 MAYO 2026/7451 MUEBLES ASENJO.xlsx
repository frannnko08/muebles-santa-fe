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96C4A5CC-1E9D-45C4-A0EA-A82EC171A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'4637'!$A$1:$H$47</definedName>
    <definedName name="_xlnm.Print_Area" localSheetId="2">CUBIERTA!$A$1:$F$57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D22" i="3"/>
  <c r="D26" i="3"/>
  <c r="D30" i="3"/>
  <c r="I15" i="3"/>
  <c r="B15" i="3" s="1"/>
  <c r="K16" i="3"/>
  <c r="E16" i="3" s="1"/>
  <c r="J17" i="3"/>
  <c r="D17" i="3" s="1"/>
  <c r="K17" i="3"/>
  <c r="E17" i="3" s="1"/>
  <c r="J18" i="3"/>
  <c r="K18" i="3"/>
  <c r="E18" i="3" s="1"/>
  <c r="K20" i="3"/>
  <c r="E20" i="3" s="1"/>
  <c r="J21" i="3"/>
  <c r="D21" i="3" s="1"/>
  <c r="K21" i="3"/>
  <c r="E21" i="3" s="1"/>
  <c r="J22" i="3"/>
  <c r="K22" i="3"/>
  <c r="E22" i="3" s="1"/>
  <c r="K24" i="3"/>
  <c r="E24" i="3" s="1"/>
  <c r="J25" i="3"/>
  <c r="D25" i="3" s="1"/>
  <c r="K25" i="3"/>
  <c r="E25" i="3" s="1"/>
  <c r="J26" i="3"/>
  <c r="K26" i="3"/>
  <c r="E26" i="3" s="1"/>
  <c r="K28" i="3"/>
  <c r="E28" i="3" s="1"/>
  <c r="J29" i="3"/>
  <c r="D29" i="3" s="1"/>
  <c r="K29" i="3"/>
  <c r="E29" i="3" s="1"/>
  <c r="J30" i="3"/>
  <c r="K30" i="3"/>
  <c r="E30" i="3" s="1"/>
  <c r="B63" i="3"/>
  <c r="I40" i="3" s="1"/>
  <c r="B40" i="3" s="1"/>
  <c r="C63" i="3"/>
  <c r="F40" i="3" s="1"/>
  <c r="D63" i="3"/>
  <c r="J40" i="3" s="1"/>
  <c r="D40" i="3" s="1"/>
  <c r="E63" i="3"/>
  <c r="K40" i="3" s="1"/>
  <c r="E40" i="3" s="1"/>
  <c r="F63" i="3"/>
  <c r="B64" i="3"/>
  <c r="I41" i="3" s="1"/>
  <c r="B41" i="3" s="1"/>
  <c r="C64" i="3"/>
  <c r="F41" i="3" s="1"/>
  <c r="D64" i="3"/>
  <c r="J41" i="3" s="1"/>
  <c r="D41" i="3" s="1"/>
  <c r="E64" i="3"/>
  <c r="K41" i="3" s="1"/>
  <c r="E41" i="3" s="1"/>
  <c r="F64" i="3"/>
  <c r="B65" i="3"/>
  <c r="I42" i="3" s="1"/>
  <c r="B42" i="3" s="1"/>
  <c r="C65" i="3"/>
  <c r="F42" i="3" s="1"/>
  <c r="D65" i="3"/>
  <c r="J42" i="3" s="1"/>
  <c r="D42" i="3" s="1"/>
  <c r="E65" i="3"/>
  <c r="K42" i="3" s="1"/>
  <c r="E42" i="3" s="1"/>
  <c r="F65" i="3"/>
  <c r="B66" i="3"/>
  <c r="I43" i="3" s="1"/>
  <c r="B43" i="3" s="1"/>
  <c r="C66" i="3"/>
  <c r="F43" i="3" s="1"/>
  <c r="D66" i="3"/>
  <c r="J43" i="3" s="1"/>
  <c r="D43" i="3" s="1"/>
  <c r="E66" i="3"/>
  <c r="K43" i="3" s="1"/>
  <c r="E43" i="3" s="1"/>
  <c r="F66" i="3"/>
  <c r="B67" i="3"/>
  <c r="I44" i="3" s="1"/>
  <c r="B44" i="3" s="1"/>
  <c r="C67" i="3"/>
  <c r="F44" i="3" s="1"/>
  <c r="D67" i="3"/>
  <c r="J44" i="3" s="1"/>
  <c r="D44" i="3" s="1"/>
  <c r="E67" i="3"/>
  <c r="K44" i="3" s="1"/>
  <c r="E44" i="3" s="1"/>
  <c r="F67" i="3"/>
  <c r="B68" i="3"/>
  <c r="I45" i="3" s="1"/>
  <c r="B45" i="3" s="1"/>
  <c r="C68" i="3"/>
  <c r="F45" i="3" s="1"/>
  <c r="D68" i="3"/>
  <c r="J45" i="3" s="1"/>
  <c r="D45" i="3" s="1"/>
  <c r="E68" i="3"/>
  <c r="K45" i="3" s="1"/>
  <c r="E45" i="3" s="1"/>
  <c r="F68" i="3"/>
  <c r="B69" i="3"/>
  <c r="I46" i="3" s="1"/>
  <c r="B46" i="3" s="1"/>
  <c r="C69" i="3"/>
  <c r="F46" i="3" s="1"/>
  <c r="D69" i="3"/>
  <c r="J46" i="3" s="1"/>
  <c r="D46" i="3" s="1"/>
  <c r="E69" i="3"/>
  <c r="K46" i="3" s="1"/>
  <c r="E46" i="3" s="1"/>
  <c r="F69" i="3"/>
  <c r="B70" i="3"/>
  <c r="I47" i="3" s="1"/>
  <c r="B47" i="3" s="1"/>
  <c r="C70" i="3"/>
  <c r="F47" i="3" s="1"/>
  <c r="D70" i="3"/>
  <c r="J47" i="3" s="1"/>
  <c r="D47" i="3" s="1"/>
  <c r="E70" i="3"/>
  <c r="K47" i="3" s="1"/>
  <c r="E47" i="3" s="1"/>
  <c r="F70" i="3"/>
  <c r="B71" i="3"/>
  <c r="I48" i="3" s="1"/>
  <c r="B48" i="3" s="1"/>
  <c r="C71" i="3"/>
  <c r="F48" i="3" s="1"/>
  <c r="D71" i="3"/>
  <c r="J48" i="3" s="1"/>
  <c r="D48" i="3" s="1"/>
  <c r="E71" i="3"/>
  <c r="K48" i="3" s="1"/>
  <c r="E48" i="3" s="1"/>
  <c r="F71" i="3"/>
  <c r="B72" i="3"/>
  <c r="I49" i="3" s="1"/>
  <c r="B49" i="3" s="1"/>
  <c r="C72" i="3"/>
  <c r="F49" i="3" s="1"/>
  <c r="D72" i="3"/>
  <c r="J49" i="3" s="1"/>
  <c r="D49" i="3" s="1"/>
  <c r="E72" i="3"/>
  <c r="K49" i="3" s="1"/>
  <c r="E49" i="3" s="1"/>
  <c r="F72" i="3"/>
  <c r="B73" i="3"/>
  <c r="I50" i="3" s="1"/>
  <c r="B50" i="3" s="1"/>
  <c r="C73" i="3"/>
  <c r="F50" i="3" s="1"/>
  <c r="D73" i="3"/>
  <c r="J50" i="3" s="1"/>
  <c r="D50" i="3" s="1"/>
  <c r="E73" i="3"/>
  <c r="K50" i="3" s="1"/>
  <c r="E50" i="3" s="1"/>
  <c r="F73" i="3"/>
  <c r="B74" i="3"/>
  <c r="I51" i="3" s="1"/>
  <c r="B51" i="3" s="1"/>
  <c r="C74" i="3"/>
  <c r="F51" i="3" s="1"/>
  <c r="D74" i="3"/>
  <c r="J51" i="3" s="1"/>
  <c r="D51" i="3" s="1"/>
  <c r="E74" i="3"/>
  <c r="K51" i="3" s="1"/>
  <c r="E51" i="3" s="1"/>
  <c r="F74" i="3"/>
  <c r="B75" i="3"/>
  <c r="I52" i="3" s="1"/>
  <c r="B52" i="3" s="1"/>
  <c r="C75" i="3"/>
  <c r="F52" i="3" s="1"/>
  <c r="D75" i="3"/>
  <c r="J52" i="3" s="1"/>
  <c r="D52" i="3" s="1"/>
  <c r="E75" i="3"/>
  <c r="K52" i="3" s="1"/>
  <c r="E52" i="3" s="1"/>
  <c r="F75" i="3"/>
  <c r="B76" i="3"/>
  <c r="I53" i="3" s="1"/>
  <c r="B53" i="3" s="1"/>
  <c r="C76" i="3"/>
  <c r="F53" i="3" s="1"/>
  <c r="D76" i="3"/>
  <c r="J53" i="3" s="1"/>
  <c r="D53" i="3" s="1"/>
  <c r="E76" i="3"/>
  <c r="K53" i="3" s="1"/>
  <c r="E53" i="3" s="1"/>
  <c r="F76" i="3"/>
  <c r="B77" i="3"/>
  <c r="I54" i="3" s="1"/>
  <c r="B54" i="3" s="1"/>
  <c r="C77" i="3"/>
  <c r="F54" i="3" s="1"/>
  <c r="D77" i="3"/>
  <c r="J54" i="3" s="1"/>
  <c r="D54" i="3" s="1"/>
  <c r="E77" i="3"/>
  <c r="K54" i="3" s="1"/>
  <c r="E54" i="3" s="1"/>
  <c r="F77" i="3"/>
  <c r="B78" i="3"/>
  <c r="I55" i="3" s="1"/>
  <c r="B55" i="3" s="1"/>
  <c r="C78" i="3"/>
  <c r="F55" i="3" s="1"/>
  <c r="D78" i="3"/>
  <c r="J55" i="3" s="1"/>
  <c r="D55" i="3" s="1"/>
  <c r="E78" i="3"/>
  <c r="K55" i="3" s="1"/>
  <c r="E55" i="3" s="1"/>
  <c r="F78" i="3"/>
  <c r="B79" i="3"/>
  <c r="I56" i="3" s="1"/>
  <c r="B56" i="3" s="1"/>
  <c r="C79" i="3"/>
  <c r="F56" i="3" s="1"/>
  <c r="D79" i="3"/>
  <c r="J56" i="3" s="1"/>
  <c r="D56" i="3" s="1"/>
  <c r="E79" i="3"/>
  <c r="K56" i="3" s="1"/>
  <c r="E56" i="3" s="1"/>
  <c r="F79" i="3"/>
  <c r="B101" i="3"/>
  <c r="C101" i="3"/>
  <c r="D101" i="3"/>
  <c r="E101" i="3"/>
  <c r="F101" i="3"/>
  <c r="B102" i="3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B106" i="3"/>
  <c r="C106" i="3"/>
  <c r="D106" i="3"/>
  <c r="E106" i="3"/>
  <c r="F106" i="3"/>
  <c r="B107" i="3"/>
  <c r="C107" i="3"/>
  <c r="D107" i="3"/>
  <c r="E107" i="3"/>
  <c r="F107" i="3"/>
  <c r="B108" i="3"/>
  <c r="C108" i="3"/>
  <c r="D108" i="3"/>
  <c r="E108" i="3"/>
  <c r="F108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H29" i="4"/>
  <c r="H30" i="4"/>
  <c r="H31" i="4"/>
  <c r="H32" i="4"/>
  <c r="H33" i="4"/>
  <c r="H34" i="4"/>
  <c r="H35" i="4"/>
  <c r="H36" i="4"/>
  <c r="H37" i="4"/>
  <c r="H38" i="4"/>
  <c r="H22" i="4"/>
  <c r="H23" i="4"/>
  <c r="H24" i="4"/>
  <c r="H25" i="4"/>
  <c r="H26" i="4"/>
  <c r="H27" i="4"/>
  <c r="H28" i="4"/>
  <c r="H21" i="4"/>
  <c r="K19" i="3" l="1"/>
  <c r="E19" i="3" s="1"/>
  <c r="K15" i="3"/>
  <c r="E15" i="3" s="1"/>
  <c r="J31" i="3"/>
  <c r="D31" i="3" s="1"/>
  <c r="J28" i="3"/>
  <c r="D28" i="3" s="1"/>
  <c r="J27" i="3"/>
  <c r="D27" i="3" s="1"/>
  <c r="J24" i="3"/>
  <c r="D24" i="3" s="1"/>
  <c r="J23" i="3"/>
  <c r="D23" i="3" s="1"/>
  <c r="J20" i="3"/>
  <c r="D20" i="3" s="1"/>
  <c r="J19" i="3"/>
  <c r="D19" i="3" s="1"/>
  <c r="J16" i="3"/>
  <c r="D16" i="3" s="1"/>
  <c r="J15" i="3"/>
  <c r="D15" i="3" s="1"/>
  <c r="K31" i="3"/>
  <c r="E31" i="3" s="1"/>
  <c r="K27" i="3"/>
  <c r="E27" i="3" s="1"/>
  <c r="K23" i="3"/>
  <c r="E23" i="3" s="1"/>
  <c r="I31" i="3"/>
  <c r="B31" i="3" s="1"/>
  <c r="I30" i="3"/>
  <c r="B30" i="3" s="1"/>
  <c r="I29" i="3"/>
  <c r="B29" i="3" s="1"/>
  <c r="I28" i="3"/>
  <c r="B28" i="3" s="1"/>
  <c r="I27" i="3"/>
  <c r="B27" i="3" s="1"/>
  <c r="I26" i="3"/>
  <c r="B26" i="3" s="1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B62" i="3"/>
  <c r="I39" i="3" s="1"/>
  <c r="I14" i="3" s="1"/>
  <c r="B14" i="3" s="1"/>
  <c r="C62" i="3"/>
  <c r="F14" i="3" s="1"/>
  <c r="D62" i="3"/>
  <c r="J39" i="3" s="1"/>
  <c r="J14" i="3" s="1"/>
  <c r="D14" i="3" s="1"/>
  <c r="E62" i="3"/>
  <c r="F62" i="3"/>
  <c r="B100" i="3"/>
  <c r="C100" i="3"/>
  <c r="D100" i="3"/>
  <c r="E100" i="3"/>
  <c r="F100" i="3"/>
  <c r="H41" i="4"/>
  <c r="K39" i="3" l="1"/>
  <c r="K14" i="3" s="1"/>
  <c r="E14" i="3" s="1"/>
  <c r="D39" i="3"/>
  <c r="B39" i="3"/>
  <c r="F39" i="3"/>
  <c r="E39" i="3" l="1"/>
  <c r="H42" i="4"/>
  <c r="H43" i="4" l="1"/>
  <c r="N5" i="3" l="1"/>
  <c r="M5" i="3" l="1"/>
  <c r="L5" i="3"/>
  <c r="K5" i="3"/>
  <c r="C93" i="3" l="1"/>
  <c r="C7" i="3"/>
  <c r="D91" i="3"/>
  <c r="D5" i="3"/>
  <c r="D93" i="3"/>
  <c r="D7" i="3"/>
  <c r="D90" i="3"/>
  <c r="D4" i="3"/>
</calcChain>
</file>

<file path=xl/sharedStrings.xml><?xml version="1.0" encoding="utf-8"?>
<sst xmlns="http://schemas.openxmlformats.org/spreadsheetml/2006/main" count="299" uniqueCount="145">
  <si>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</si>
  <si>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</si>
  <si>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</si>
  <si>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</si>
  <si>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</si>
  <si>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</si>
  <si>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</si>
  <si>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</si>
  <si>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</si>
  <si>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</si>
  <si>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</si>
  <si>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</si>
  <si>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</si>
  <si>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</si>
  <si>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</si>
  <si>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</si>
  <si>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</si>
  <si>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</si>
  <si>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</si>
  <si>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</si>
  <si>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</si>
  <si>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</si>
  <si>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</si>
  <si>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</si>
  <si>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</si>
  <si>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</si>
  <si>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</si>
  <si>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</si>
  <si>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</si>
  <si>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</si>
  <si>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</si>
  <si>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</si>
  <si>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</si>
  <si>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</si>
  <si>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</si>
  <si>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</si>
  <si>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</si>
  <si>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</si>
  <si>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</si>
  <si>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</si>
  <si>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</si>
  <si>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</si>
  <si>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</si>
  <si>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</si>
  <si>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</si>
  <si>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</si>
  <si>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</si>
  <si>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</si>
  <si>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</si>
  <si>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</si>
  <si>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</si>
  <si>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</si>
  <si>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</si>
  <si>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</si>
  <si>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</si>
  <si>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</si>
  <si>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</si>
  <si>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</si>
  <si>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</si>
  <si>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</si>
  <si>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</si>
  <si>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</si>
  <si>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</si>
  <si>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</si>
  <si>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</si>
  <si>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</si>
  <si>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</si>
  <si>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</si>
  <si>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</si>
  <si>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</si>
  <si>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</si>
  <si>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</si>
  <si>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</si>
  <si>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</si>
  <si>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</si>
  <si>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</si>
  <si>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</si>
  <si>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</si>
  <si>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</si>
  <si>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</si>
  <si>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</si>
  <si>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</si>
  <si>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</si>
  <si>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</si>
  <si>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</si>
  <si>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</si>
  <si>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</si>
  <si>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</si>
  <si>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</si>
  <si>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</si>
  <si>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</si>
  <si>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</si>
  <si>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</si>
  <si>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</si>
  <si>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</si>
  <si>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</si>
  <si>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</si>
  <si>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</si>
  <si>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</si>
  <si>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</si>
  <si>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</si>
  <si>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</si>
  <si>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</si>
  <si>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</si>
  <si>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</si>
  <si>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</si>
  <si>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</si>
  <si>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</si>
  <si>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</si>
  <si>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</si>
  <si>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</si>
  <si>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</si>
  <si>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</si>
  <si>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</si>
  <si>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</si>
  <si>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</si>
  <si>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</si>
  <si>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</si>
  <si>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</si>
  <si>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</si>
  <si>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</si>
  <si>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</si>
  <si>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</si>
  <si>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</si>
  <si>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</si>
  <si>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</si>
  <si>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</si>
  <si>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</si>
  <si>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</si>
  <si>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</si>
  <si>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</si>
  <si>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</si>
  <si>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</si>
  <si>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</si>
  <si>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</si>
  <si>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</si>
  <si>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</si>
  <si>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</si>
  <si>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</si>
  <si>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</si>
  <si>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SI</t>
  </si>
  <si>
    <t>NV 28530</t>
  </si>
  <si>
    <t>GLACIAL WHITE 22191 SF</t>
  </si>
  <si>
    <t>N° 12119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</si>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</sst>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40</xdr:row>
      <xdr:rowOff>9525</xdr:rowOff>
    </xdr:from>
    <xdr:to>
      <xdr:col>5</xdr:col>
      <xdr:colOff>1390650</xdr:colOff>
      <xdr:row>44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LAMINAS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33</xdr:row>
      <xdr:rowOff>76200</xdr:rowOff>
    </xdr:from>
    <xdr:to>
      <xdr:col>5</xdr:col>
      <xdr:colOff>1676399</xdr:colOff>
      <xdr:row>35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94</xdr:row>
      <xdr:rowOff>171450</xdr:rowOff>
    </xdr:from>
    <xdr:to>
      <xdr:col>5</xdr:col>
      <xdr:colOff>1685924</xdr:colOff>
      <xdr:row>96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92</xdr:row>
      <xdr:rowOff>0</xdr:rowOff>
    </xdr:from>
    <xdr:to>
      <xdr:col>6</xdr:col>
      <xdr:colOff>0</xdr:colOff>
      <xdr:row>93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90</xdr:row>
      <xdr:rowOff>38100</xdr:rowOff>
    </xdr:from>
    <xdr:to>
      <xdr:col>6</xdr:col>
      <xdr:colOff>0</xdr:colOff>
      <xdr:row>91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89</xdr:row>
      <xdr:rowOff>0</xdr:rowOff>
    </xdr:from>
    <xdr:to>
      <xdr:col>6</xdr:col>
      <xdr:colOff>0</xdr:colOff>
      <xdr:row>90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38100</xdr:colOff>
      <xdr:row>120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119</xdr:row>
      <xdr:rowOff>0</xdr:rowOff>
    </xdr:from>
    <xdr:to>
      <xdr:col>2</xdr:col>
      <xdr:colOff>1019175</xdr:colOff>
      <xdr:row>119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119</xdr:row>
      <xdr:rowOff>0</xdr:rowOff>
    </xdr:from>
    <xdr:to>
      <xdr:col>3</xdr:col>
      <xdr:colOff>352425</xdr:colOff>
      <xdr:row>120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119</xdr:row>
      <xdr:rowOff>0</xdr:rowOff>
    </xdr:from>
    <xdr:to>
      <xdr:col>4</xdr:col>
      <xdr:colOff>257175</xdr:colOff>
      <xdr:row>120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119</xdr:row>
      <xdr:rowOff>0</xdr:rowOff>
    </xdr:from>
    <xdr:to>
      <xdr:col>5</xdr:col>
      <xdr:colOff>447675</xdr:colOff>
      <xdr:row>119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119</xdr:row>
      <xdr:rowOff>0</xdr:rowOff>
    </xdr:from>
    <xdr:to>
      <xdr:col>6</xdr:col>
      <xdr:colOff>0</xdr:colOff>
      <xdr:row>119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119</xdr:row>
      <xdr:rowOff>190500</xdr:rowOff>
    </xdr:from>
    <xdr:to>
      <xdr:col>2</xdr:col>
      <xdr:colOff>304800</xdr:colOff>
      <xdr:row>121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119</xdr:row>
      <xdr:rowOff>190500</xdr:rowOff>
    </xdr:from>
    <xdr:to>
      <xdr:col>2</xdr:col>
      <xdr:colOff>1276350</xdr:colOff>
      <xdr:row>121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119</xdr:row>
      <xdr:rowOff>190500</xdr:rowOff>
    </xdr:from>
    <xdr:to>
      <xdr:col>3</xdr:col>
      <xdr:colOff>619125</xdr:colOff>
      <xdr:row>121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119</xdr:row>
      <xdr:rowOff>190500</xdr:rowOff>
    </xdr:from>
    <xdr:to>
      <xdr:col>4</xdr:col>
      <xdr:colOff>523875</xdr:colOff>
      <xdr:row>121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119</xdr:row>
      <xdr:rowOff>190500</xdr:rowOff>
    </xdr:from>
    <xdr:to>
      <xdr:col>5</xdr:col>
      <xdr:colOff>723900</xdr:colOff>
      <xdr:row>121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119</xdr:row>
      <xdr:rowOff>190500</xdr:rowOff>
    </xdr:from>
    <xdr:to>
      <xdr:col>6</xdr:col>
      <xdr:colOff>0</xdr:colOff>
      <xdr:row>121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81</xdr:row>
      <xdr:rowOff>15239</xdr:rowOff>
    </xdr:from>
    <xdr:to>
      <xdr:col>6</xdr:col>
      <xdr:colOff>68580</xdr:colOff>
      <xdr:row>85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3110 X 770 UNION DE LAMINADO LADO DERECHO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57</xdr:row>
      <xdr:rowOff>200025</xdr:rowOff>
    </xdr:from>
    <xdr:to>
      <xdr:col>6</xdr:col>
      <xdr:colOff>19049</xdr:colOff>
      <xdr:row>59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122</xdr:row>
      <xdr:rowOff>32385</xdr:rowOff>
    </xdr:from>
    <xdr:to>
      <xdr:col>6</xdr:col>
      <xdr:colOff>19050</xdr:colOff>
      <xdr:row>126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3110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 700 UNION DE LAMINADO LADO DERECHO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88</xdr:row>
      <xdr:rowOff>41910</xdr:rowOff>
    </xdr:from>
    <xdr:to>
      <xdr:col>1</xdr:col>
      <xdr:colOff>565543</xdr:colOff>
      <xdr:row>94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19" workbookViewId="0">
      <selection activeCell="J28" sqref="J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7451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46153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24253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2</v>
      </c>
      <c r="C21" s="102" t="s">
        <v>144</v>
      </c>
      <c r="D21" s="104">
        <v>3000</v>
      </c>
      <c r="E21" s="104">
        <v>690</v>
      </c>
      <c r="F21" s="102" t="s">
        <v>142</v>
      </c>
      <c r="G21" s="103">
        <v>69493</v>
      </c>
      <c r="H21" s="103">
        <f t="shared" ref="H21:H38" si="0">G21*B21</f>
        <v>138986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144</v>
      </c>
      <c r="D22" s="104">
        <v>2030</v>
      </c>
      <c r="E22" s="104">
        <v>690</v>
      </c>
      <c r="F22" s="102" t="s">
        <v>142</v>
      </c>
      <c r="G22" s="103">
        <v>51701</v>
      </c>
      <c r="H22" s="103">
        <f t="shared" si="0"/>
        <v>51701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1</v>
      </c>
      <c r="C23" s="102" t="s">
        <v>144</v>
      </c>
      <c r="D23" s="104">
        <v>2900</v>
      </c>
      <c r="E23" s="104">
        <v>690</v>
      </c>
      <c r="F23" s="102" t="s">
        <v>142</v>
      </c>
      <c r="G23" s="103">
        <v>67659</v>
      </c>
      <c r="H23" s="103">
        <f t="shared" si="0"/>
        <v>67659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2">
        <v>1</v>
      </c>
      <c r="C24" s="102" t="s">
        <v>144</v>
      </c>
      <c r="D24" s="104">
        <v>2070</v>
      </c>
      <c r="E24" s="104">
        <v>700</v>
      </c>
      <c r="F24" s="102" t="s">
        <v>142</v>
      </c>
      <c r="G24" s="103">
        <v>53007</v>
      </c>
      <c r="H24" s="103">
        <f t="shared" si="0"/>
        <v>53007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2">
        <v>1</v>
      </c>
      <c r="C25" s="102" t="s">
        <v>144</v>
      </c>
      <c r="D25" s="104">
        <v>2010</v>
      </c>
      <c r="E25" s="104">
        <v>700</v>
      </c>
      <c r="F25" s="102" t="s">
        <v>142</v>
      </c>
      <c r="G25" s="103">
        <v>51890</v>
      </c>
      <c r="H25" s="103">
        <f t="shared" si="0"/>
        <v>51890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2">
        <v>2</v>
      </c>
      <c r="C26" s="102" t="s">
        <v>144</v>
      </c>
      <c r="D26" s="104">
        <v>3000</v>
      </c>
      <c r="E26" s="104">
        <v>700</v>
      </c>
      <c r="F26" s="102" t="s">
        <v>142</v>
      </c>
      <c r="G26" s="103">
        <v>70312</v>
      </c>
      <c r="H26" s="103">
        <f t="shared" si="0"/>
        <v>140624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2">
        <v>1</v>
      </c>
      <c r="C27" s="102" t="s">
        <v>144</v>
      </c>
      <c r="D27" s="104">
        <v>800</v>
      </c>
      <c r="E27" s="104">
        <v>700</v>
      </c>
      <c r="F27" s="102" t="s">
        <v>142</v>
      </c>
      <c r="G27" s="103">
        <v>29375</v>
      </c>
      <c r="H27" s="103">
        <f t="shared" si="0"/>
        <v>29375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2">
        <v>2</v>
      </c>
      <c r="C28" s="102" t="s">
        <v>144</v>
      </c>
      <c r="D28" s="104">
        <v>2600</v>
      </c>
      <c r="E28" s="104">
        <v>700</v>
      </c>
      <c r="F28" s="102" t="s">
        <v>142</v>
      </c>
      <c r="G28" s="103">
        <v>62869</v>
      </c>
      <c r="H28" s="103">
        <f t="shared" si="0"/>
        <v>125738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2">
        <v>2</v>
      </c>
      <c r="C29" s="102" t="s">
        <v>144</v>
      </c>
      <c r="D29" s="104">
        <v>2360</v>
      </c>
      <c r="E29" s="104">
        <v>700</v>
      </c>
      <c r="F29" s="102" t="s">
        <v>142</v>
      </c>
      <c r="G29" s="103">
        <v>58403</v>
      </c>
      <c r="H29" s="103">
        <f t="shared" si="0"/>
        <v>116806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2">
        <v>1</v>
      </c>
      <c r="C30" s="102" t="s">
        <v>144</v>
      </c>
      <c r="D30" s="104">
        <v>2750</v>
      </c>
      <c r="E30" s="104">
        <v>700</v>
      </c>
      <c r="F30" s="102" t="s">
        <v>142</v>
      </c>
      <c r="G30" s="103">
        <v>65660</v>
      </c>
      <c r="H30" s="103">
        <f t="shared" si="0"/>
        <v>65660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2">
        <v>1</v>
      </c>
      <c r="C31" s="102" t="s">
        <v>144</v>
      </c>
      <c r="D31" s="104">
        <v>2700</v>
      </c>
      <c r="E31" s="104">
        <v>700</v>
      </c>
      <c r="F31" s="102" t="s">
        <v>142</v>
      </c>
      <c r="G31" s="103">
        <v>64730</v>
      </c>
      <c r="H31" s="103">
        <f t="shared" si="0"/>
        <v>64730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2">
        <v>1</v>
      </c>
      <c r="C32" s="102" t="s">
        <v>144</v>
      </c>
      <c r="D32" s="104">
        <v>930</v>
      </c>
      <c r="E32" s="104">
        <v>700</v>
      </c>
      <c r="F32" s="102" t="s">
        <v>142</v>
      </c>
      <c r="G32" s="103">
        <v>31794</v>
      </c>
      <c r="H32" s="103">
        <f t="shared" si="0"/>
        <v>31794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2">
        <v>1</v>
      </c>
      <c r="C33" s="102" t="s">
        <v>144</v>
      </c>
      <c r="D33" s="104">
        <v>2730</v>
      </c>
      <c r="E33" s="104">
        <v>700</v>
      </c>
      <c r="F33" s="102" t="s">
        <v>142</v>
      </c>
      <c r="G33" s="103">
        <v>65288</v>
      </c>
      <c r="H33" s="103">
        <f t="shared" si="0"/>
        <v>65288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2">
        <v>1</v>
      </c>
      <c r="C34" s="102" t="s">
        <v>144</v>
      </c>
      <c r="D34" s="104">
        <v>2710</v>
      </c>
      <c r="E34" s="104">
        <v>700</v>
      </c>
      <c r="F34" s="102" t="s">
        <v>142</v>
      </c>
      <c r="G34" s="103">
        <v>64916</v>
      </c>
      <c r="H34" s="103">
        <f t="shared" si="0"/>
        <v>64916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02">
        <v>1</v>
      </c>
      <c r="C35" s="102" t="s">
        <v>144</v>
      </c>
      <c r="D35" s="104">
        <v>2400</v>
      </c>
      <c r="E35" s="104">
        <v>700</v>
      </c>
      <c r="F35" s="102" t="s">
        <v>142</v>
      </c>
      <c r="G35" s="103">
        <v>59147</v>
      </c>
      <c r="H35" s="103">
        <f t="shared" si="0"/>
        <v>59147</v>
      </c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102">
        <v>1</v>
      </c>
      <c r="C36" s="102" t="s">
        <v>144</v>
      </c>
      <c r="D36" s="104">
        <v>2000</v>
      </c>
      <c r="E36" s="104">
        <v>700</v>
      </c>
      <c r="F36" s="102" t="s">
        <v>142</v>
      </c>
      <c r="G36" s="103">
        <v>51704</v>
      </c>
      <c r="H36" s="103">
        <f t="shared" si="0"/>
        <v>51704</v>
      </c>
      <c r="I36" s="1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102">
        <v>1</v>
      </c>
      <c r="C37" s="102" t="s">
        <v>144</v>
      </c>
      <c r="D37" s="104">
        <v>2700</v>
      </c>
      <c r="E37" s="104">
        <v>900</v>
      </c>
      <c r="F37" s="102" t="s">
        <v>142</v>
      </c>
      <c r="G37" s="103">
        <v>79509</v>
      </c>
      <c r="H37" s="103">
        <f t="shared" si="0"/>
        <v>79509</v>
      </c>
      <c r="I37" s="1"/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102">
        <v>1</v>
      </c>
      <c r="C38" s="102" t="s">
        <v>144</v>
      </c>
      <c r="D38" s="104">
        <v>3110</v>
      </c>
      <c r="E38" s="104">
        <v>770</v>
      </c>
      <c r="F38" s="102" t="s">
        <v>142</v>
      </c>
      <c r="G38" s="103">
        <v>78295</v>
      </c>
      <c r="H38" s="103">
        <f t="shared" si="0"/>
        <v>78295</v>
      </c>
      <c r="I38" s="1"/>
      <c r="K38" s="17"/>
      <c r="L38" s="26"/>
      <c r="M38" s="17"/>
      <c r="N38" s="17"/>
      <c r="O38" s="26"/>
      <c r="P38" s="33"/>
    </row>
    <row r="39" spans="1:16" ht="18" customHeight="1" x14ac:dyDescent="0.3">
      <c r="A39" s="1"/>
      <c r="B39" s="108"/>
      <c r="C39" s="108"/>
      <c r="D39" s="109"/>
      <c r="E39" s="109"/>
      <c r="F39" s="108"/>
      <c r="G39" s="75"/>
      <c r="H39" s="75"/>
      <c r="I39" s="1"/>
      <c r="K39" s="17"/>
      <c r="L39" s="26"/>
      <c r="M39" s="17"/>
      <c r="N39" s="17"/>
      <c r="O39" s="26"/>
      <c r="P39" s="33"/>
    </row>
    <row r="40" spans="1:16" ht="8.25" customHeight="1" thickBot="1" x14ac:dyDescent="0.35">
      <c r="A40" s="1"/>
      <c r="B40" s="74"/>
      <c r="C40" s="74"/>
      <c r="D40" s="74"/>
      <c r="E40" s="74"/>
      <c r="F40" s="74"/>
      <c r="G40" s="75"/>
      <c r="H40" s="75"/>
      <c r="I40" s="1"/>
    </row>
    <row r="41" spans="1:16" ht="15.6" x14ac:dyDescent="0.3">
      <c r="A41" s="1"/>
      <c r="B41" s="1"/>
      <c r="C41" s="1"/>
      <c r="D41" s="1"/>
      <c r="E41" s="1"/>
      <c r="F41" s="1"/>
      <c r="G41" s="76" t="s">
        <v>5</v>
      </c>
      <c r="H41" s="77">
        <f>SUM(H21:H40)</f>
        <v>1336829</v>
      </c>
      <c r="I41" s="1"/>
    </row>
    <row r="42" spans="1:16" ht="15.6" x14ac:dyDescent="0.3">
      <c r="A42" s="1"/>
      <c r="B42" s="1"/>
      <c r="C42" s="1"/>
      <c r="D42" s="1"/>
      <c r="E42" s="1"/>
      <c r="F42" s="1"/>
      <c r="G42" s="78" t="s">
        <v>6</v>
      </c>
      <c r="H42" s="79">
        <f>H41*19%</f>
        <v>253997.51</v>
      </c>
      <c r="I42" s="1"/>
    </row>
    <row r="43" spans="1:16" ht="16.2" thickBot="1" x14ac:dyDescent="0.35">
      <c r="A43" s="1"/>
      <c r="B43" s="1"/>
      <c r="C43" s="1"/>
      <c r="D43" s="1"/>
      <c r="E43" s="1"/>
      <c r="F43" s="1"/>
      <c r="G43" s="80" t="s">
        <v>4</v>
      </c>
      <c r="H43" s="81">
        <f>H41+H42</f>
        <v>1590826.51</v>
      </c>
      <c r="I43" s="1"/>
    </row>
    <row r="44" spans="1:16" ht="15.6" x14ac:dyDescent="0.3">
      <c r="A44" s="1"/>
      <c r="B44" s="1"/>
      <c r="C44" s="1"/>
      <c r="D44" s="1"/>
      <c r="E44" s="1"/>
      <c r="F44" s="1"/>
      <c r="G44" s="52"/>
      <c r="H44" s="96"/>
      <c r="I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16" ht="15.6" x14ac:dyDescent="0.3">
      <c r="A46" s="1"/>
      <c r="B46" s="82" t="s">
        <v>123</v>
      </c>
      <c r="C46" s="83"/>
      <c r="D46" s="84"/>
      <c r="E46" s="84"/>
      <c r="F46" s="74"/>
      <c r="G46" s="1"/>
      <c r="H46" s="1"/>
      <c r="I46" s="1"/>
    </row>
    <row r="47" spans="1:16" ht="15.6" x14ac:dyDescent="0.3">
      <c r="A47" s="1"/>
      <c r="B47" s="82" t="s">
        <v>122</v>
      </c>
      <c r="C47" s="83"/>
      <c r="D47" s="84"/>
      <c r="E47" s="84"/>
      <c r="F47" s="74"/>
      <c r="G47" s="1"/>
      <c r="H47" s="1"/>
      <c r="I47" s="1"/>
    </row>
    <row r="48" spans="1:16" ht="15.6" x14ac:dyDescent="0.3">
      <c r="A48" s="1"/>
      <c r="B48" s="1" t="s">
        <v>25</v>
      </c>
      <c r="C48" s="1"/>
      <c r="D48" s="1"/>
      <c r="E48" s="85" t="s">
        <v>26</v>
      </c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5.6" x14ac:dyDescent="0.3">
      <c r="A50" s="1"/>
      <c r="B50" s="1"/>
      <c r="C50" s="1"/>
      <c r="D50" s="1"/>
      <c r="E50" s="1"/>
      <c r="F50" s="1"/>
      <c r="G50" s="1"/>
      <c r="H50" s="1"/>
      <c r="I50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10" type="noConversion"/>
  <hyperlinks>
    <hyperlink ref="E4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0"/>
  <sheetViews>
    <sheetView zoomScaleNormal="100" workbookViewId="0">
      <selection activeCell="B13" sqref="B1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7451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2</v>
      </c>
      <c r="C14" s="25" t="s">
        <v>141</v>
      </c>
      <c r="D14" s="25">
        <f>J14+D$13</f>
        <v>3100</v>
      </c>
      <c r="E14" s="35">
        <f>K14+E$13</f>
        <v>660</v>
      </c>
      <c r="F14" s="99" t="str">
        <f>C62</f>
        <v>CUB C/R R8</v>
      </c>
      <c r="G14" s="1"/>
      <c r="I14" s="89">
        <f t="shared" ref="I14:K14" si="1">I39</f>
        <v>2</v>
      </c>
      <c r="J14" s="4">
        <f t="shared" si="1"/>
        <v>3000</v>
      </c>
      <c r="K14" s="4">
        <f t="shared" si="1"/>
        <v>690</v>
      </c>
    </row>
    <row r="15" spans="1:14" ht="15.6" x14ac:dyDescent="0.3">
      <c r="A15" s="95"/>
      <c r="B15" s="25">
        <f t="shared" ref="B15:B31" si="2">I15</f>
        <v>1</v>
      </c>
      <c r="C15" s="25" t="s">
        <v>141</v>
      </c>
      <c r="D15" s="25">
        <f t="shared" ref="D15:D31" si="3">J15+D$13</f>
        <v>2130</v>
      </c>
      <c r="E15" s="35">
        <f t="shared" ref="E15:E31" si="4">K15+E$13</f>
        <v>660</v>
      </c>
      <c r="F15" s="99" t="str">
        <f t="shared" ref="F15:F31" si="5">C63</f>
        <v>CUB C/R R8</v>
      </c>
      <c r="G15" s="1"/>
      <c r="I15" s="89">
        <f t="shared" ref="I15:K15" si="6">I40</f>
        <v>1</v>
      </c>
      <c r="J15" s="4">
        <f t="shared" si="6"/>
        <v>2030</v>
      </c>
      <c r="K15" s="4">
        <f t="shared" si="6"/>
        <v>690</v>
      </c>
    </row>
    <row r="16" spans="1:14" ht="15.6" x14ac:dyDescent="0.3">
      <c r="A16" s="95"/>
      <c r="B16" s="25">
        <f t="shared" si="2"/>
        <v>1</v>
      </c>
      <c r="C16" s="25" t="s">
        <v>141</v>
      </c>
      <c r="D16" s="25">
        <f t="shared" si="3"/>
        <v>3000</v>
      </c>
      <c r="E16" s="35">
        <f t="shared" si="4"/>
        <v>660</v>
      </c>
      <c r="F16" s="99" t="str">
        <f t="shared" si="5"/>
        <v>CUB C/R R8</v>
      </c>
      <c r="G16" s="1"/>
      <c r="I16" s="89">
        <f t="shared" ref="I16:K16" si="7">I41</f>
        <v>1</v>
      </c>
      <c r="J16" s="4">
        <f t="shared" si="7"/>
        <v>2900</v>
      </c>
      <c r="K16" s="4">
        <f t="shared" si="7"/>
        <v>690</v>
      </c>
    </row>
    <row r="17" spans="1:11" ht="15.6" x14ac:dyDescent="0.3">
      <c r="A17" s="95"/>
      <c r="B17" s="25">
        <f t="shared" si="2"/>
        <v>1</v>
      </c>
      <c r="C17" s="25" t="s">
        <v>141</v>
      </c>
      <c r="D17" s="25">
        <f t="shared" si="3"/>
        <v>2170</v>
      </c>
      <c r="E17" s="35">
        <f t="shared" si="4"/>
        <v>670</v>
      </c>
      <c r="F17" s="99" t="str">
        <f t="shared" si="5"/>
        <v>CUB C/R R8</v>
      </c>
      <c r="G17" s="1"/>
      <c r="I17" s="89">
        <f t="shared" ref="I17:K17" si="8">I42</f>
        <v>1</v>
      </c>
      <c r="J17" s="4">
        <f t="shared" si="8"/>
        <v>2070</v>
      </c>
      <c r="K17" s="4">
        <f t="shared" si="8"/>
        <v>700</v>
      </c>
    </row>
    <row r="18" spans="1:11" ht="15.6" x14ac:dyDescent="0.3">
      <c r="A18" s="95"/>
      <c r="B18" s="25">
        <f t="shared" si="2"/>
        <v>1</v>
      </c>
      <c r="C18" s="25" t="s">
        <v>141</v>
      </c>
      <c r="D18" s="25">
        <f t="shared" si="3"/>
        <v>2110</v>
      </c>
      <c r="E18" s="35">
        <f t="shared" si="4"/>
        <v>670</v>
      </c>
      <c r="F18" s="99" t="str">
        <f t="shared" si="5"/>
        <v>CUB C/R R8</v>
      </c>
      <c r="G18" s="1"/>
      <c r="I18" s="89">
        <f t="shared" ref="I18:K18" si="9">I43</f>
        <v>1</v>
      </c>
      <c r="J18" s="4">
        <f t="shared" si="9"/>
        <v>2010</v>
      </c>
      <c r="K18" s="4">
        <f t="shared" si="9"/>
        <v>700</v>
      </c>
    </row>
    <row r="19" spans="1:11" ht="15.6" x14ac:dyDescent="0.3">
      <c r="A19" s="95"/>
      <c r="B19" s="25">
        <f t="shared" si="2"/>
        <v>2</v>
      </c>
      <c r="C19" s="25" t="s">
        <v>141</v>
      </c>
      <c r="D19" s="25">
        <f t="shared" si="3"/>
        <v>3100</v>
      </c>
      <c r="E19" s="35">
        <f t="shared" si="4"/>
        <v>670</v>
      </c>
      <c r="F19" s="99" t="str">
        <f t="shared" si="5"/>
        <v>CUB C/R R8</v>
      </c>
      <c r="G19" s="1"/>
      <c r="I19" s="89">
        <f t="shared" ref="I19:K19" si="10">I44</f>
        <v>2</v>
      </c>
      <c r="J19" s="4">
        <f t="shared" si="10"/>
        <v>3000</v>
      </c>
      <c r="K19" s="4">
        <f t="shared" si="10"/>
        <v>700</v>
      </c>
    </row>
    <row r="20" spans="1:11" ht="15.6" x14ac:dyDescent="0.3">
      <c r="A20" s="95"/>
      <c r="B20" s="25">
        <f t="shared" si="2"/>
        <v>1</v>
      </c>
      <c r="C20" s="25" t="s">
        <v>141</v>
      </c>
      <c r="D20" s="25">
        <f t="shared" si="3"/>
        <v>900</v>
      </c>
      <c r="E20" s="35">
        <f t="shared" si="4"/>
        <v>670</v>
      </c>
      <c r="F20" s="99" t="str">
        <f t="shared" si="5"/>
        <v>CUB C/R R8</v>
      </c>
      <c r="G20" s="1"/>
      <c r="I20" s="89">
        <f t="shared" ref="I20:K20" si="11">I45</f>
        <v>1</v>
      </c>
      <c r="J20" s="4">
        <f t="shared" si="11"/>
        <v>800</v>
      </c>
      <c r="K20" s="4">
        <f t="shared" si="11"/>
        <v>700</v>
      </c>
    </row>
    <row r="21" spans="1:11" ht="15.6" x14ac:dyDescent="0.3">
      <c r="A21" s="95"/>
      <c r="B21" s="25">
        <f t="shared" si="2"/>
        <v>2</v>
      </c>
      <c r="C21" s="25" t="s">
        <v>141</v>
      </c>
      <c r="D21" s="25">
        <f t="shared" si="3"/>
        <v>2700</v>
      </c>
      <c r="E21" s="35">
        <f t="shared" si="4"/>
        <v>670</v>
      </c>
      <c r="F21" s="99" t="str">
        <f t="shared" si="5"/>
        <v>CUB C/R R8</v>
      </c>
      <c r="G21" s="1"/>
      <c r="I21" s="89">
        <f t="shared" ref="I21:K21" si="12">I46</f>
        <v>2</v>
      </c>
      <c r="J21" s="4">
        <f t="shared" si="12"/>
        <v>2600</v>
      </c>
      <c r="K21" s="4">
        <f t="shared" si="12"/>
        <v>700</v>
      </c>
    </row>
    <row r="22" spans="1:11" ht="15.6" x14ac:dyDescent="0.3">
      <c r="A22" s="95"/>
      <c r="B22" s="25">
        <f t="shared" si="2"/>
        <v>2</v>
      </c>
      <c r="C22" s="25" t="s">
        <v>141</v>
      </c>
      <c r="D22" s="25">
        <f t="shared" si="3"/>
        <v>2460</v>
      </c>
      <c r="E22" s="35">
        <f t="shared" si="4"/>
        <v>670</v>
      </c>
      <c r="F22" s="99" t="str">
        <f t="shared" si="5"/>
        <v>CUB C/R R8</v>
      </c>
      <c r="G22" s="1"/>
      <c r="I22" s="89">
        <f t="shared" ref="I22:K22" si="13">I47</f>
        <v>2</v>
      </c>
      <c r="J22" s="4">
        <f t="shared" si="13"/>
        <v>2360</v>
      </c>
      <c r="K22" s="4">
        <f t="shared" si="13"/>
        <v>700</v>
      </c>
    </row>
    <row r="23" spans="1:11" ht="15.6" x14ac:dyDescent="0.3">
      <c r="A23" s="95"/>
      <c r="B23" s="25">
        <f t="shared" si="2"/>
        <v>1</v>
      </c>
      <c r="C23" s="25" t="s">
        <v>141</v>
      </c>
      <c r="D23" s="25">
        <f t="shared" si="3"/>
        <v>2850</v>
      </c>
      <c r="E23" s="35">
        <f t="shared" si="4"/>
        <v>670</v>
      </c>
      <c r="F23" s="99" t="str">
        <f t="shared" si="5"/>
        <v>CUB C/R R8</v>
      </c>
      <c r="G23" s="1"/>
      <c r="I23" s="89">
        <f t="shared" ref="I23:K23" si="14">I48</f>
        <v>1</v>
      </c>
      <c r="J23" s="4">
        <f t="shared" si="14"/>
        <v>2750</v>
      </c>
      <c r="K23" s="4">
        <f t="shared" si="14"/>
        <v>700</v>
      </c>
    </row>
    <row r="24" spans="1:11" ht="15.6" x14ac:dyDescent="0.3">
      <c r="A24" s="95"/>
      <c r="B24" s="25">
        <f t="shared" si="2"/>
        <v>1</v>
      </c>
      <c r="C24" s="25" t="s">
        <v>141</v>
      </c>
      <c r="D24" s="25">
        <f t="shared" si="3"/>
        <v>2800</v>
      </c>
      <c r="E24" s="35">
        <f t="shared" si="4"/>
        <v>670</v>
      </c>
      <c r="F24" s="99" t="str">
        <f t="shared" si="5"/>
        <v>CUB C/R R8</v>
      </c>
      <c r="G24" s="1"/>
      <c r="I24" s="89">
        <f t="shared" ref="I24:K24" si="15">I49</f>
        <v>1</v>
      </c>
      <c r="J24" s="4">
        <f t="shared" si="15"/>
        <v>2700</v>
      </c>
      <c r="K24" s="4">
        <f t="shared" si="15"/>
        <v>700</v>
      </c>
    </row>
    <row r="25" spans="1:11" ht="15.6" x14ac:dyDescent="0.3">
      <c r="A25" s="95"/>
      <c r="B25" s="25">
        <f t="shared" si="2"/>
        <v>1</v>
      </c>
      <c r="C25" s="25" t="s">
        <v>141</v>
      </c>
      <c r="D25" s="25">
        <f t="shared" si="3"/>
        <v>1030</v>
      </c>
      <c r="E25" s="35">
        <f t="shared" si="4"/>
        <v>670</v>
      </c>
      <c r="F25" s="99" t="str">
        <f t="shared" si="5"/>
        <v>CUB C/R R8</v>
      </c>
      <c r="G25" s="1"/>
      <c r="I25" s="89">
        <f t="shared" ref="I25:K25" si="16">I50</f>
        <v>1</v>
      </c>
      <c r="J25" s="4">
        <f t="shared" si="16"/>
        <v>930</v>
      </c>
      <c r="K25" s="4">
        <f t="shared" si="16"/>
        <v>700</v>
      </c>
    </row>
    <row r="26" spans="1:11" ht="15.6" x14ac:dyDescent="0.3">
      <c r="A26" s="95"/>
      <c r="B26" s="25">
        <f t="shared" si="2"/>
        <v>1</v>
      </c>
      <c r="C26" s="25" t="s">
        <v>141</v>
      </c>
      <c r="D26" s="25">
        <f t="shared" si="3"/>
        <v>2830</v>
      </c>
      <c r="E26" s="35">
        <f t="shared" si="4"/>
        <v>670</v>
      </c>
      <c r="F26" s="99" t="str">
        <f t="shared" si="5"/>
        <v>CUB C/R R8</v>
      </c>
      <c r="G26" s="1"/>
      <c r="I26" s="89">
        <f t="shared" ref="I26:K26" si="17">I51</f>
        <v>1</v>
      </c>
      <c r="J26" s="4">
        <f t="shared" si="17"/>
        <v>2730</v>
      </c>
      <c r="K26" s="4">
        <f t="shared" si="17"/>
        <v>700</v>
      </c>
    </row>
    <row r="27" spans="1:11" ht="15.6" x14ac:dyDescent="0.3">
      <c r="A27" s="95"/>
      <c r="B27" s="25">
        <f t="shared" si="2"/>
        <v>1</v>
      </c>
      <c r="C27" s="25" t="s">
        <v>141</v>
      </c>
      <c r="D27" s="25">
        <f t="shared" si="3"/>
        <v>2810</v>
      </c>
      <c r="E27" s="35">
        <f t="shared" si="4"/>
        <v>670</v>
      </c>
      <c r="F27" s="99" t="str">
        <f t="shared" si="5"/>
        <v>CUB C/R R8</v>
      </c>
      <c r="G27" s="1"/>
      <c r="I27" s="89">
        <f t="shared" ref="I27:K27" si="18">I52</f>
        <v>1</v>
      </c>
      <c r="J27" s="4">
        <f t="shared" si="18"/>
        <v>2710</v>
      </c>
      <c r="K27" s="4">
        <f t="shared" si="18"/>
        <v>700</v>
      </c>
    </row>
    <row r="28" spans="1:11" ht="15.6" x14ac:dyDescent="0.3">
      <c r="A28" s="95"/>
      <c r="B28" s="25">
        <f t="shared" si="2"/>
        <v>1</v>
      </c>
      <c r="C28" s="25" t="s">
        <v>141</v>
      </c>
      <c r="D28" s="25">
        <f t="shared" si="3"/>
        <v>2500</v>
      </c>
      <c r="E28" s="35">
        <f t="shared" si="4"/>
        <v>670</v>
      </c>
      <c r="F28" s="99" t="str">
        <f t="shared" si="5"/>
        <v>CUB C/R R8</v>
      </c>
      <c r="G28" s="1"/>
      <c r="I28" s="89">
        <f t="shared" ref="I28:K28" si="19">I53</f>
        <v>1</v>
      </c>
      <c r="J28" s="4">
        <f t="shared" si="19"/>
        <v>2400</v>
      </c>
      <c r="K28" s="4">
        <f t="shared" si="19"/>
        <v>700</v>
      </c>
    </row>
    <row r="29" spans="1:11" ht="15.6" x14ac:dyDescent="0.3">
      <c r="A29" s="95"/>
      <c r="B29" s="25">
        <f t="shared" si="2"/>
        <v>1</v>
      </c>
      <c r="C29" s="25" t="s">
        <v>141</v>
      </c>
      <c r="D29" s="25">
        <f t="shared" si="3"/>
        <v>2100</v>
      </c>
      <c r="E29" s="35">
        <f t="shared" si="4"/>
        <v>670</v>
      </c>
      <c r="F29" s="99" t="str">
        <f t="shared" si="5"/>
        <v>CUB C/R R8</v>
      </c>
      <c r="G29" s="1"/>
      <c r="I29" s="89">
        <f t="shared" ref="I29:K29" si="20">I54</f>
        <v>1</v>
      </c>
      <c r="J29" s="4">
        <f t="shared" si="20"/>
        <v>2000</v>
      </c>
      <c r="K29" s="4">
        <f t="shared" si="20"/>
        <v>700</v>
      </c>
    </row>
    <row r="30" spans="1:11" ht="15.6" x14ac:dyDescent="0.3">
      <c r="A30" s="95"/>
      <c r="B30" s="25">
        <f t="shared" si="2"/>
        <v>1</v>
      </c>
      <c r="C30" s="25" t="s">
        <v>141</v>
      </c>
      <c r="D30" s="25">
        <f t="shared" si="3"/>
        <v>2800</v>
      </c>
      <c r="E30" s="35">
        <f t="shared" si="4"/>
        <v>870</v>
      </c>
      <c r="F30" s="99" t="str">
        <f t="shared" si="5"/>
        <v>CUB C/R R8</v>
      </c>
      <c r="G30" s="1"/>
      <c r="I30" s="89">
        <f t="shared" ref="I30:K30" si="21">I55</f>
        <v>1</v>
      </c>
      <c r="J30" s="4">
        <f t="shared" si="21"/>
        <v>2700</v>
      </c>
      <c r="K30" s="4">
        <f t="shared" si="21"/>
        <v>900</v>
      </c>
    </row>
    <row r="31" spans="1:11" ht="15.6" x14ac:dyDescent="0.3">
      <c r="A31" s="95"/>
      <c r="B31" s="25">
        <f t="shared" si="2"/>
        <v>1</v>
      </c>
      <c r="C31" s="25" t="s">
        <v>141</v>
      </c>
      <c r="D31" s="25">
        <f t="shared" si="3"/>
        <v>3210</v>
      </c>
      <c r="E31" s="35">
        <f t="shared" si="4"/>
        <v>740</v>
      </c>
      <c r="F31" s="99" t="str">
        <f t="shared" si="5"/>
        <v>CUB C/R R8</v>
      </c>
      <c r="G31" s="1"/>
      <c r="I31" s="89">
        <f t="shared" ref="I31:K31" si="22">I56</f>
        <v>1</v>
      </c>
      <c r="J31" s="4">
        <f t="shared" si="22"/>
        <v>3110</v>
      </c>
      <c r="K31" s="4">
        <f t="shared" si="22"/>
        <v>770</v>
      </c>
    </row>
    <row r="32" spans="1:11" ht="15.6" x14ac:dyDescent="0.3">
      <c r="A32" s="95"/>
      <c r="B32" s="123"/>
      <c r="C32" s="123"/>
      <c r="D32" s="123"/>
      <c r="E32" s="126"/>
      <c r="F32" s="124"/>
      <c r="G32" s="1"/>
      <c r="I32" s="89"/>
      <c r="J32" s="125"/>
      <c r="K32" s="125"/>
    </row>
    <row r="33" spans="1:11" ht="15.6" x14ac:dyDescent="0.3">
      <c r="A33" s="52"/>
      <c r="B33" s="6"/>
      <c r="C33" s="6"/>
      <c r="D33" s="6"/>
      <c r="E33" s="105"/>
      <c r="F33" s="6"/>
      <c r="G33" s="1"/>
      <c r="I33" s="89"/>
      <c r="J33" s="2"/>
      <c r="K33" s="2"/>
    </row>
    <row r="34" spans="1:11" ht="6.75" customHeight="1" x14ac:dyDescent="0.3">
      <c r="A34" s="1"/>
      <c r="B34" s="1"/>
      <c r="C34" s="1"/>
      <c r="D34" s="1"/>
      <c r="E34" s="1"/>
      <c r="F34" s="1"/>
      <c r="G34" s="1"/>
    </row>
    <row r="35" spans="1:11" ht="15.6" x14ac:dyDescent="0.3">
      <c r="A35" s="118" t="s">
        <v>14</v>
      </c>
      <c r="B35" s="118"/>
      <c r="C35" s="118"/>
      <c r="D35" s="118"/>
      <c r="E35" s="118"/>
      <c r="F35" s="118"/>
      <c r="G35" s="1"/>
    </row>
    <row r="36" spans="1:11" ht="10.5" customHeight="1" x14ac:dyDescent="0.3">
      <c r="A36" s="1"/>
      <c r="B36" s="1"/>
      <c r="C36" s="12"/>
      <c r="D36" s="1"/>
      <c r="E36" s="1"/>
      <c r="F36" s="1"/>
      <c r="G36" s="1"/>
    </row>
    <row r="37" spans="1:11" ht="15.6" x14ac:dyDescent="0.3">
      <c r="A37" s="1"/>
      <c r="B37" s="1"/>
      <c r="C37" s="1"/>
      <c r="D37" s="52" t="s">
        <v>7</v>
      </c>
      <c r="E37" s="52" t="s">
        <v>8</v>
      </c>
      <c r="F37" s="1"/>
      <c r="G37" s="1"/>
    </row>
    <row r="38" spans="1:11" ht="15.6" x14ac:dyDescent="0.3">
      <c r="A38" s="52" t="s">
        <v>9</v>
      </c>
      <c r="B38" s="36" t="s">
        <v>10</v>
      </c>
      <c r="C38" s="36" t="s">
        <v>11</v>
      </c>
      <c r="D38" s="21">
        <v>80</v>
      </c>
      <c r="E38" s="21">
        <v>130</v>
      </c>
      <c r="F38" s="36" t="s">
        <v>110</v>
      </c>
      <c r="G38" s="1"/>
      <c r="J38" s="5" t="s">
        <v>7</v>
      </c>
      <c r="K38" s="5" t="s">
        <v>8</v>
      </c>
    </row>
    <row r="39" spans="1:11" ht="15.6" x14ac:dyDescent="0.3">
      <c r="A39" s="95"/>
      <c r="B39" s="16">
        <f t="shared" ref="B39" si="23">I39</f>
        <v>2</v>
      </c>
      <c r="C39" s="16"/>
      <c r="D39" s="16">
        <f>J39+D$38</f>
        <v>3080</v>
      </c>
      <c r="E39" s="16">
        <f>K39+E$38</f>
        <v>820</v>
      </c>
      <c r="F39" s="100" t="str">
        <f>C62</f>
        <v>CUB C/R R8</v>
      </c>
      <c r="G39" s="1"/>
      <c r="I39" s="3">
        <f>B62</f>
        <v>2</v>
      </c>
      <c r="J39" s="4">
        <f>D62</f>
        <v>3000</v>
      </c>
      <c r="K39" s="4">
        <f t="shared" ref="K39" si="24">E62</f>
        <v>690</v>
      </c>
    </row>
    <row r="40" spans="1:11" ht="15.6" x14ac:dyDescent="0.3">
      <c r="A40" s="95"/>
      <c r="B40" s="16">
        <f t="shared" ref="B40:B56" si="25">I40</f>
        <v>1</v>
      </c>
      <c r="C40" s="16"/>
      <c r="D40" s="16">
        <f>J40+D$38</f>
        <v>2110</v>
      </c>
      <c r="E40" s="16">
        <f>K40+E$38</f>
        <v>820</v>
      </c>
      <c r="F40" s="100" t="str">
        <f>C63</f>
        <v>CUB C/R R8</v>
      </c>
      <c r="G40" s="1"/>
      <c r="I40" s="3">
        <f>B63</f>
        <v>1</v>
      </c>
      <c r="J40" s="4">
        <f>D63</f>
        <v>2030</v>
      </c>
      <c r="K40" s="4">
        <f>E63</f>
        <v>690</v>
      </c>
    </row>
    <row r="41" spans="1:11" ht="15.6" x14ac:dyDescent="0.3">
      <c r="A41" s="95"/>
      <c r="B41" s="16">
        <f t="shared" si="25"/>
        <v>1</v>
      </c>
      <c r="C41" s="16"/>
      <c r="D41" s="16">
        <f>J41+D$38</f>
        <v>2980</v>
      </c>
      <c r="E41" s="16">
        <f>K41+E$38</f>
        <v>820</v>
      </c>
      <c r="F41" s="100" t="str">
        <f>C64</f>
        <v>CUB C/R R8</v>
      </c>
      <c r="G41" s="1"/>
      <c r="I41" s="3">
        <f>B64</f>
        <v>1</v>
      </c>
      <c r="J41" s="4">
        <f>D64</f>
        <v>2900</v>
      </c>
      <c r="K41" s="4">
        <f>E64</f>
        <v>690</v>
      </c>
    </row>
    <row r="42" spans="1:11" ht="15.6" x14ac:dyDescent="0.3">
      <c r="A42" s="95"/>
      <c r="B42" s="16">
        <f t="shared" si="25"/>
        <v>1</v>
      </c>
      <c r="C42" s="16"/>
      <c r="D42" s="16">
        <f>J42+D$38</f>
        <v>2150</v>
      </c>
      <c r="E42" s="16">
        <f>K42+E$38</f>
        <v>830</v>
      </c>
      <c r="F42" s="100" t="str">
        <f>C65</f>
        <v>CUB C/R R8</v>
      </c>
      <c r="G42" s="1"/>
      <c r="I42" s="3">
        <f>B65</f>
        <v>1</v>
      </c>
      <c r="J42" s="4">
        <f>D65</f>
        <v>2070</v>
      </c>
      <c r="K42" s="4">
        <f>E65</f>
        <v>700</v>
      </c>
    </row>
    <row r="43" spans="1:11" ht="15.6" x14ac:dyDescent="0.3">
      <c r="A43" s="95"/>
      <c r="B43" s="16">
        <f t="shared" si="25"/>
        <v>1</v>
      </c>
      <c r="C43" s="16"/>
      <c r="D43" s="16">
        <f>J43+D$38</f>
        <v>2090</v>
      </c>
      <c r="E43" s="16">
        <f>K43+E$38</f>
        <v>830</v>
      </c>
      <c r="F43" s="100" t="str">
        <f>C66</f>
        <v>CUB C/R R8</v>
      </c>
      <c r="G43" s="1"/>
      <c r="I43" s="3">
        <f>B66</f>
        <v>1</v>
      </c>
      <c r="J43" s="4">
        <f>D66</f>
        <v>2010</v>
      </c>
      <c r="K43" s="4">
        <f>E66</f>
        <v>700</v>
      </c>
    </row>
    <row r="44" spans="1:11" ht="15.6" x14ac:dyDescent="0.3">
      <c r="A44" s="95"/>
      <c r="B44" s="16">
        <f t="shared" si="25"/>
        <v>2</v>
      </c>
      <c r="C44" s="16"/>
      <c r="D44" s="16">
        <f>J44+D$38</f>
        <v>3080</v>
      </c>
      <c r="E44" s="16">
        <f>K44+E$38</f>
        <v>830</v>
      </c>
      <c r="F44" s="100" t="str">
        <f>C67</f>
        <v>CUB C/R R8</v>
      </c>
      <c r="G44" s="1"/>
      <c r="I44" s="3">
        <f>B67</f>
        <v>2</v>
      </c>
      <c r="J44" s="4">
        <f>D67</f>
        <v>3000</v>
      </c>
      <c r="K44" s="4">
        <f>E67</f>
        <v>700</v>
      </c>
    </row>
    <row r="45" spans="1:11" ht="15.6" x14ac:dyDescent="0.3">
      <c r="A45" s="95"/>
      <c r="B45" s="16">
        <f t="shared" si="25"/>
        <v>1</v>
      </c>
      <c r="C45" s="16"/>
      <c r="D45" s="16">
        <f>J45+D$38</f>
        <v>880</v>
      </c>
      <c r="E45" s="16">
        <f>K45+E$38</f>
        <v>830</v>
      </c>
      <c r="F45" s="100" t="str">
        <f>C68</f>
        <v>CUB C/R R8</v>
      </c>
      <c r="G45" s="1"/>
      <c r="I45" s="3">
        <f>B68</f>
        <v>1</v>
      </c>
      <c r="J45" s="4">
        <f>D68</f>
        <v>800</v>
      </c>
      <c r="K45" s="4">
        <f>E68</f>
        <v>700</v>
      </c>
    </row>
    <row r="46" spans="1:11" ht="15.6" x14ac:dyDescent="0.3">
      <c r="A46" s="95"/>
      <c r="B46" s="16">
        <f t="shared" si="25"/>
        <v>2</v>
      </c>
      <c r="C46" s="16"/>
      <c r="D46" s="16">
        <f>J46+D$38</f>
        <v>2680</v>
      </c>
      <c r="E46" s="16">
        <f>K46+E$38</f>
        <v>830</v>
      </c>
      <c r="F46" s="100" t="str">
        <f>C69</f>
        <v>CUB C/R R8</v>
      </c>
      <c r="G46" s="1"/>
      <c r="I46" s="3">
        <f>B69</f>
        <v>2</v>
      </c>
      <c r="J46" s="4">
        <f>D69</f>
        <v>2600</v>
      </c>
      <c r="K46" s="4">
        <f>E69</f>
        <v>700</v>
      </c>
    </row>
    <row r="47" spans="1:11" ht="15.6" x14ac:dyDescent="0.3">
      <c r="A47" s="95"/>
      <c r="B47" s="16">
        <f t="shared" si="25"/>
        <v>2</v>
      </c>
      <c r="C47" s="16"/>
      <c r="D47" s="16">
        <f>J47+D$38</f>
        <v>2440</v>
      </c>
      <c r="E47" s="16">
        <f>K47+E$38</f>
        <v>830</v>
      </c>
      <c r="F47" s="100" t="str">
        <f>C70</f>
        <v>CUB C/R R8</v>
      </c>
      <c r="G47" s="1"/>
      <c r="I47" s="3">
        <f>B70</f>
        <v>2</v>
      </c>
      <c r="J47" s="4">
        <f>D70</f>
        <v>2360</v>
      </c>
      <c r="K47" s="4">
        <f>E70</f>
        <v>700</v>
      </c>
    </row>
    <row r="48" spans="1:11" ht="15.6" x14ac:dyDescent="0.3">
      <c r="A48" s="95"/>
      <c r="B48" s="16">
        <f t="shared" si="25"/>
        <v>1</v>
      </c>
      <c r="C48" s="16"/>
      <c r="D48" s="16">
        <f>J48+D$38</f>
        <v>2830</v>
      </c>
      <c r="E48" s="16">
        <f>K48+E$38</f>
        <v>830</v>
      </c>
      <c r="F48" s="100" t="str">
        <f>C71</f>
        <v>CUB C/R R8</v>
      </c>
      <c r="G48" s="1"/>
      <c r="I48" s="3">
        <f>B71</f>
        <v>1</v>
      </c>
      <c r="J48" s="4">
        <f>D71</f>
        <v>2750</v>
      </c>
      <c r="K48" s="4">
        <f>E71</f>
        <v>700</v>
      </c>
    </row>
    <row r="49" spans="1:11" ht="15.6" x14ac:dyDescent="0.3">
      <c r="A49" s="95"/>
      <c r="B49" s="16">
        <f t="shared" si="25"/>
        <v>1</v>
      </c>
      <c r="C49" s="16"/>
      <c r="D49" s="16">
        <f>J49+D$38</f>
        <v>2780</v>
      </c>
      <c r="E49" s="16">
        <f>K49+E$38</f>
        <v>830</v>
      </c>
      <c r="F49" s="100" t="str">
        <f>C72</f>
        <v>CUB C/R R8</v>
      </c>
      <c r="G49" s="1"/>
      <c r="I49" s="3">
        <f>B72</f>
        <v>1</v>
      </c>
      <c r="J49" s="4">
        <f>D72</f>
        <v>2700</v>
      </c>
      <c r="K49" s="4">
        <f>E72</f>
        <v>700</v>
      </c>
    </row>
    <row r="50" spans="1:11" ht="15.6" x14ac:dyDescent="0.3">
      <c r="A50" s="95"/>
      <c r="B50" s="16">
        <f t="shared" si="25"/>
        <v>1</v>
      </c>
      <c r="C50" s="16"/>
      <c r="D50" s="16">
        <f>J50+D$38</f>
        <v>1010</v>
      </c>
      <c r="E50" s="16">
        <f>K50+E$38</f>
        <v>830</v>
      </c>
      <c r="F50" s="100" t="str">
        <f>C73</f>
        <v>CUB C/R R8</v>
      </c>
      <c r="G50" s="1"/>
      <c r="I50" s="3">
        <f>B73</f>
        <v>1</v>
      </c>
      <c r="J50" s="4">
        <f>D73</f>
        <v>930</v>
      </c>
      <c r="K50" s="4">
        <f>E73</f>
        <v>700</v>
      </c>
    </row>
    <row r="51" spans="1:11" ht="15.6" x14ac:dyDescent="0.3">
      <c r="A51" s="95"/>
      <c r="B51" s="16">
        <f t="shared" si="25"/>
        <v>1</v>
      </c>
      <c r="C51" s="16"/>
      <c r="D51" s="16">
        <f>J51+D$38</f>
        <v>2810</v>
      </c>
      <c r="E51" s="16">
        <f>K51+E$38</f>
        <v>830</v>
      </c>
      <c r="F51" s="100" t="str">
        <f>C74</f>
        <v>CUB C/R R8</v>
      </c>
      <c r="G51" s="1"/>
      <c r="I51" s="3">
        <f>B74</f>
        <v>1</v>
      </c>
      <c r="J51" s="4">
        <f>D74</f>
        <v>2730</v>
      </c>
      <c r="K51" s="4">
        <f>E74</f>
        <v>700</v>
      </c>
    </row>
    <row r="52" spans="1:11" ht="15.6" x14ac:dyDescent="0.3">
      <c r="A52" s="95"/>
      <c r="B52" s="16">
        <f t="shared" si="25"/>
        <v>1</v>
      </c>
      <c r="C52" s="16"/>
      <c r="D52" s="16">
        <f>J52+D$38</f>
        <v>2790</v>
      </c>
      <c r="E52" s="16">
        <f>K52+E$38</f>
        <v>830</v>
      </c>
      <c r="F52" s="100" t="str">
        <f>C75</f>
        <v>CUB C/R R8</v>
      </c>
      <c r="G52" s="1"/>
      <c r="I52" s="3">
        <f>B75</f>
        <v>1</v>
      </c>
      <c r="J52" s="4">
        <f>D75</f>
        <v>2710</v>
      </c>
      <c r="K52" s="4">
        <f>E75</f>
        <v>700</v>
      </c>
    </row>
    <row r="53" spans="1:11" ht="15.6" x14ac:dyDescent="0.3">
      <c r="A53" s="95"/>
      <c r="B53" s="16">
        <f t="shared" si="25"/>
        <v>1</v>
      </c>
      <c r="C53" s="16"/>
      <c r="D53" s="16">
        <f>J53+D$38</f>
        <v>2480</v>
      </c>
      <c r="E53" s="16">
        <f>K53+E$38</f>
        <v>830</v>
      </c>
      <c r="F53" s="100" t="str">
        <f>C76</f>
        <v>CUB C/R R8</v>
      </c>
      <c r="G53" s="1"/>
      <c r="I53" s="3">
        <f>B76</f>
        <v>1</v>
      </c>
      <c r="J53" s="4">
        <f>D76</f>
        <v>2400</v>
      </c>
      <c r="K53" s="4">
        <f>E76</f>
        <v>700</v>
      </c>
    </row>
    <row r="54" spans="1:11" ht="15.6" x14ac:dyDescent="0.3">
      <c r="A54" s="95"/>
      <c r="B54" s="16">
        <f t="shared" si="25"/>
        <v>1</v>
      </c>
      <c r="C54" s="16"/>
      <c r="D54" s="16">
        <f>J54+D$38</f>
        <v>2080</v>
      </c>
      <c r="E54" s="16">
        <f>K54+E$38</f>
        <v>830</v>
      </c>
      <c r="F54" s="100" t="str">
        <f>C77</f>
        <v>CUB C/R R8</v>
      </c>
      <c r="G54" s="1"/>
      <c r="I54" s="3">
        <f>B77</f>
        <v>1</v>
      </c>
      <c r="J54" s="4">
        <f>D77</f>
        <v>2000</v>
      </c>
      <c r="K54" s="4">
        <f>E77</f>
        <v>700</v>
      </c>
    </row>
    <row r="55" spans="1:11" ht="15.6" x14ac:dyDescent="0.3">
      <c r="A55" s="95"/>
      <c r="B55" s="16">
        <f t="shared" si="25"/>
        <v>1</v>
      </c>
      <c r="C55" s="16"/>
      <c r="D55" s="16">
        <f>J55+D$38</f>
        <v>2780</v>
      </c>
      <c r="E55" s="16">
        <f>K55+E$38</f>
        <v>1030</v>
      </c>
      <c r="F55" s="100" t="str">
        <f>C78</f>
        <v>CUB C/R R8</v>
      </c>
      <c r="G55" s="1"/>
      <c r="I55" s="3">
        <f>B78</f>
        <v>1</v>
      </c>
      <c r="J55" s="4">
        <f>D78</f>
        <v>2700</v>
      </c>
      <c r="K55" s="4">
        <f>E78</f>
        <v>900</v>
      </c>
    </row>
    <row r="56" spans="1:11" ht="15.6" x14ac:dyDescent="0.3">
      <c r="A56" s="95"/>
      <c r="B56" s="16">
        <f t="shared" si="25"/>
        <v>1</v>
      </c>
      <c r="C56" s="16"/>
      <c r="D56" s="16">
        <f>J56+D$38</f>
        <v>3190</v>
      </c>
      <c r="E56" s="16">
        <f>K56+E$38</f>
        <v>900</v>
      </c>
      <c r="F56" s="100" t="str">
        <f>C79</f>
        <v>CUB C/R R8</v>
      </c>
      <c r="G56" s="1"/>
      <c r="I56" s="3">
        <f>B79</f>
        <v>1</v>
      </c>
      <c r="J56" s="4">
        <f>D79</f>
        <v>3110</v>
      </c>
      <c r="K56" s="4">
        <f>E79</f>
        <v>770</v>
      </c>
    </row>
    <row r="57" spans="1:11" ht="15.6" x14ac:dyDescent="0.3">
      <c r="A57" s="95"/>
      <c r="B57" s="6"/>
      <c r="C57" s="6"/>
      <c r="D57" s="6"/>
      <c r="E57" s="6"/>
      <c r="F57" s="107"/>
      <c r="G57" s="1"/>
      <c r="I57" s="89"/>
      <c r="J57" s="2"/>
      <c r="K57" s="2"/>
    </row>
    <row r="58" spans="1:11" ht="16.2" thickBot="1" x14ac:dyDescent="0.35">
      <c r="A58" s="52"/>
      <c r="B58" s="6"/>
      <c r="C58" s="6"/>
      <c r="D58" s="6"/>
      <c r="E58" s="6"/>
      <c r="F58" s="6"/>
      <c r="G58" s="1"/>
      <c r="I58" s="2"/>
      <c r="J58" s="2"/>
      <c r="K58" s="2"/>
    </row>
    <row r="59" spans="1:11" ht="16.2" thickBot="1" x14ac:dyDescent="0.35">
      <c r="A59" s="52"/>
      <c r="B59" s="22" t="s">
        <v>107</v>
      </c>
      <c r="C59" s="23"/>
      <c r="D59" s="23"/>
      <c r="E59" s="23"/>
      <c r="F59" s="24"/>
      <c r="G59" s="1"/>
      <c r="I59" s="2"/>
      <c r="J59" s="2"/>
      <c r="K59" s="2"/>
    </row>
    <row r="60" spans="1:11" ht="10.5" customHeight="1" x14ac:dyDescent="0.3">
      <c r="A60" s="1"/>
      <c r="B60" s="1"/>
      <c r="C60" s="1"/>
      <c r="D60" s="1"/>
      <c r="E60" s="1"/>
      <c r="F60" s="1"/>
      <c r="G60" s="1"/>
    </row>
    <row r="61" spans="1:11" ht="15.6" x14ac:dyDescent="0.3">
      <c r="A61" s="52" t="s">
        <v>9</v>
      </c>
      <c r="B61" s="88" t="s">
        <v>10</v>
      </c>
      <c r="C61" s="88" t="s">
        <v>110</v>
      </c>
      <c r="D61" s="88" t="s">
        <v>7</v>
      </c>
      <c r="E61" s="88" t="s">
        <v>8</v>
      </c>
      <c r="F61" s="88" t="s">
        <v>23</v>
      </c>
      <c r="G61" s="1"/>
    </row>
    <row r="62" spans="1:11" ht="15.6" x14ac:dyDescent="0.3">
      <c r="A62" s="95" t="s">
        <v>139</v>
      </c>
      <c r="B62" s="25">
        <f>'4637'!B21</f>
        <v>2</v>
      </c>
      <c r="C62" s="99" t="str">
        <f>'4637'!C21</f>
        <v>CUB C/R R8</v>
      </c>
      <c r="D62" s="25">
        <f>'4637'!D21</f>
        <v>3000</v>
      </c>
      <c r="E62" s="25">
        <f>'4637'!E21</f>
        <v>690</v>
      </c>
      <c r="F62" s="25" t="str">
        <f>'4637'!F21</f>
        <v>GLACIAL WHITE 22191 SF</v>
      </c>
      <c r="G62" s="1"/>
    </row>
    <row r="63" spans="1:11" ht="15.6" x14ac:dyDescent="0.3">
      <c r="A63" s="95"/>
      <c r="B63" s="25">
        <f>'4637'!B22</f>
        <v>1</v>
      </c>
      <c r="C63" s="99" t="str">
        <f>'4637'!C22</f>
        <v>CUB C/R R8</v>
      </c>
      <c r="D63" s="25">
        <f>'4637'!D22</f>
        <v>2030</v>
      </c>
      <c r="E63" s="25">
        <f>'4637'!E22</f>
        <v>690</v>
      </c>
      <c r="F63" s="25" t="str">
        <f>'4637'!F22</f>
        <v>GLACIAL WHITE 22191 SF</v>
      </c>
      <c r="G63" s="1"/>
    </row>
    <row r="64" spans="1:11" ht="15.6" x14ac:dyDescent="0.3">
      <c r="A64" s="95"/>
      <c r="B64" s="25">
        <f>'4637'!B23</f>
        <v>1</v>
      </c>
      <c r="C64" s="99" t="str">
        <f>'4637'!C23</f>
        <v>CUB C/R R8</v>
      </c>
      <c r="D64" s="25">
        <f>'4637'!D23</f>
        <v>2900</v>
      </c>
      <c r="E64" s="25">
        <f>'4637'!E23</f>
        <v>690</v>
      </c>
      <c r="F64" s="25" t="str">
        <f>'4637'!F23</f>
        <v>GLACIAL WHITE 22191 SF</v>
      </c>
      <c r="G64" s="1"/>
    </row>
    <row r="65" spans="1:7" ht="15.6" x14ac:dyDescent="0.3">
      <c r="A65" s="95"/>
      <c r="B65" s="25">
        <f>'4637'!B24</f>
        <v>1</v>
      </c>
      <c r="C65" s="99" t="str">
        <f>'4637'!C24</f>
        <v>CUB C/R R8</v>
      </c>
      <c r="D65" s="25">
        <f>'4637'!D24</f>
        <v>2070</v>
      </c>
      <c r="E65" s="25">
        <f>'4637'!E24</f>
        <v>700</v>
      </c>
      <c r="F65" s="25" t="str">
        <f>'4637'!F24</f>
        <v>GLACIAL WHITE 22191 SF</v>
      </c>
      <c r="G65" s="1"/>
    </row>
    <row r="66" spans="1:7" ht="15.6" x14ac:dyDescent="0.3">
      <c r="A66" s="95"/>
      <c r="B66" s="25">
        <f>'4637'!B25</f>
        <v>1</v>
      </c>
      <c r="C66" s="99" t="str">
        <f>'4637'!C25</f>
        <v>CUB C/R R8</v>
      </c>
      <c r="D66" s="25">
        <f>'4637'!D25</f>
        <v>2010</v>
      </c>
      <c r="E66" s="25">
        <f>'4637'!E25</f>
        <v>700</v>
      </c>
      <c r="F66" s="25" t="str">
        <f>'4637'!F25</f>
        <v>GLACIAL WHITE 22191 SF</v>
      </c>
      <c r="G66" s="1"/>
    </row>
    <row r="67" spans="1:7" ht="15.6" x14ac:dyDescent="0.3">
      <c r="A67" s="95"/>
      <c r="B67" s="25">
        <f>'4637'!B26</f>
        <v>2</v>
      </c>
      <c r="C67" s="99" t="str">
        <f>'4637'!C26</f>
        <v>CUB C/R R8</v>
      </c>
      <c r="D67" s="25">
        <f>'4637'!D26</f>
        <v>3000</v>
      </c>
      <c r="E67" s="25">
        <f>'4637'!E26</f>
        <v>700</v>
      </c>
      <c r="F67" s="25" t="str">
        <f>'4637'!F26</f>
        <v>GLACIAL WHITE 22191 SF</v>
      </c>
      <c r="G67" s="1"/>
    </row>
    <row r="68" spans="1:7" ht="15.6" x14ac:dyDescent="0.3">
      <c r="A68" s="95"/>
      <c r="B68" s="25">
        <f>'4637'!B27</f>
        <v>1</v>
      </c>
      <c r="C68" s="99" t="str">
        <f>'4637'!C27</f>
        <v>CUB C/R R8</v>
      </c>
      <c r="D68" s="25">
        <f>'4637'!D27</f>
        <v>800</v>
      </c>
      <c r="E68" s="25">
        <f>'4637'!E27</f>
        <v>700</v>
      </c>
      <c r="F68" s="25" t="str">
        <f>'4637'!F27</f>
        <v>GLACIAL WHITE 22191 SF</v>
      </c>
      <c r="G68" s="1"/>
    </row>
    <row r="69" spans="1:7" ht="15.6" x14ac:dyDescent="0.3">
      <c r="A69" s="95"/>
      <c r="B69" s="25">
        <f>'4637'!B28</f>
        <v>2</v>
      </c>
      <c r="C69" s="99" t="str">
        <f>'4637'!C28</f>
        <v>CUB C/R R8</v>
      </c>
      <c r="D69" s="25">
        <f>'4637'!D28</f>
        <v>2600</v>
      </c>
      <c r="E69" s="25">
        <f>'4637'!E28</f>
        <v>700</v>
      </c>
      <c r="F69" s="25" t="str">
        <f>'4637'!F28</f>
        <v>GLACIAL WHITE 22191 SF</v>
      </c>
      <c r="G69" s="1"/>
    </row>
    <row r="70" spans="1:7" ht="15.6" x14ac:dyDescent="0.3">
      <c r="A70" s="95"/>
      <c r="B70" s="25">
        <f>'4637'!B29</f>
        <v>2</v>
      </c>
      <c r="C70" s="99" t="str">
        <f>'4637'!C29</f>
        <v>CUB C/R R8</v>
      </c>
      <c r="D70" s="25">
        <f>'4637'!D29</f>
        <v>2360</v>
      </c>
      <c r="E70" s="25">
        <f>'4637'!E29</f>
        <v>700</v>
      </c>
      <c r="F70" s="25" t="str">
        <f>'4637'!F29</f>
        <v>GLACIAL WHITE 22191 SF</v>
      </c>
      <c r="G70" s="1"/>
    </row>
    <row r="71" spans="1:7" ht="15.6" x14ac:dyDescent="0.3">
      <c r="A71" s="95"/>
      <c r="B71" s="25">
        <f>'4637'!B30</f>
        <v>1</v>
      </c>
      <c r="C71" s="99" t="str">
        <f>'4637'!C30</f>
        <v>CUB C/R R8</v>
      </c>
      <c r="D71" s="25">
        <f>'4637'!D30</f>
        <v>2750</v>
      </c>
      <c r="E71" s="25">
        <f>'4637'!E30</f>
        <v>700</v>
      </c>
      <c r="F71" s="25" t="str">
        <f>'4637'!F30</f>
        <v>GLACIAL WHITE 22191 SF</v>
      </c>
      <c r="G71" s="1"/>
    </row>
    <row r="72" spans="1:7" ht="15.6" x14ac:dyDescent="0.3">
      <c r="A72" s="95"/>
      <c r="B72" s="25">
        <f>'4637'!B31</f>
        <v>1</v>
      </c>
      <c r="C72" s="99" t="str">
        <f>'4637'!C31</f>
        <v>CUB C/R R8</v>
      </c>
      <c r="D72" s="25">
        <f>'4637'!D31</f>
        <v>2700</v>
      </c>
      <c r="E72" s="25">
        <f>'4637'!E31</f>
        <v>700</v>
      </c>
      <c r="F72" s="25" t="str">
        <f>'4637'!F31</f>
        <v>GLACIAL WHITE 22191 SF</v>
      </c>
      <c r="G72" s="1"/>
    </row>
    <row r="73" spans="1:7" ht="15.6" x14ac:dyDescent="0.3">
      <c r="A73" s="95"/>
      <c r="B73" s="25">
        <f>'4637'!B32</f>
        <v>1</v>
      </c>
      <c r="C73" s="99" t="str">
        <f>'4637'!C32</f>
        <v>CUB C/R R8</v>
      </c>
      <c r="D73" s="25">
        <f>'4637'!D32</f>
        <v>930</v>
      </c>
      <c r="E73" s="25">
        <f>'4637'!E32</f>
        <v>700</v>
      </c>
      <c r="F73" s="25" t="str">
        <f>'4637'!F32</f>
        <v>GLACIAL WHITE 22191 SF</v>
      </c>
      <c r="G73" s="1"/>
    </row>
    <row r="74" spans="1:7" ht="15.6" x14ac:dyDescent="0.3">
      <c r="A74" s="95"/>
      <c r="B74" s="25">
        <f>'4637'!B33</f>
        <v>1</v>
      </c>
      <c r="C74" s="99" t="str">
        <f>'4637'!C33</f>
        <v>CUB C/R R8</v>
      </c>
      <c r="D74" s="25">
        <f>'4637'!D33</f>
        <v>2730</v>
      </c>
      <c r="E74" s="25">
        <f>'4637'!E33</f>
        <v>700</v>
      </c>
      <c r="F74" s="25" t="str">
        <f>'4637'!F33</f>
        <v>GLACIAL WHITE 22191 SF</v>
      </c>
      <c r="G74" s="1"/>
    </row>
    <row r="75" spans="1:7" ht="15.6" x14ac:dyDescent="0.3">
      <c r="A75" s="95"/>
      <c r="B75" s="25">
        <f>'4637'!B34</f>
        <v>1</v>
      </c>
      <c r="C75" s="99" t="str">
        <f>'4637'!C34</f>
        <v>CUB C/R R8</v>
      </c>
      <c r="D75" s="25">
        <f>'4637'!D34</f>
        <v>2710</v>
      </c>
      <c r="E75" s="25">
        <f>'4637'!E34</f>
        <v>700</v>
      </c>
      <c r="F75" s="25" t="str">
        <f>'4637'!F34</f>
        <v>GLACIAL WHITE 22191 SF</v>
      </c>
      <c r="G75" s="1"/>
    </row>
    <row r="76" spans="1:7" ht="15.6" x14ac:dyDescent="0.3">
      <c r="A76" s="95"/>
      <c r="B76" s="25">
        <f>'4637'!B35</f>
        <v>1</v>
      </c>
      <c r="C76" s="99" t="str">
        <f>'4637'!C35</f>
        <v>CUB C/R R8</v>
      </c>
      <c r="D76" s="25">
        <f>'4637'!D35</f>
        <v>2400</v>
      </c>
      <c r="E76" s="25">
        <f>'4637'!E35</f>
        <v>700</v>
      </c>
      <c r="F76" s="25" t="str">
        <f>'4637'!F35</f>
        <v>GLACIAL WHITE 22191 SF</v>
      </c>
      <c r="G76" s="1"/>
    </row>
    <row r="77" spans="1:7" ht="15.6" x14ac:dyDescent="0.3">
      <c r="A77" s="95"/>
      <c r="B77" s="25">
        <f>'4637'!B36</f>
        <v>1</v>
      </c>
      <c r="C77" s="99" t="str">
        <f>'4637'!C36</f>
        <v>CUB C/R R8</v>
      </c>
      <c r="D77" s="25">
        <f>'4637'!D36</f>
        <v>2000</v>
      </c>
      <c r="E77" s="25">
        <f>'4637'!E36</f>
        <v>700</v>
      </c>
      <c r="F77" s="25" t="str">
        <f>'4637'!F36</f>
        <v>GLACIAL WHITE 22191 SF</v>
      </c>
      <c r="G77" s="1"/>
    </row>
    <row r="78" spans="1:7" ht="15.6" x14ac:dyDescent="0.3">
      <c r="A78" s="95"/>
      <c r="B78" s="25">
        <f>'4637'!B37</f>
        <v>1</v>
      </c>
      <c r="C78" s="99" t="str">
        <f>'4637'!C37</f>
        <v>CUB C/R R8</v>
      </c>
      <c r="D78" s="25">
        <f>'4637'!D37</f>
        <v>2700</v>
      </c>
      <c r="E78" s="25">
        <f>'4637'!E37</f>
        <v>900</v>
      </c>
      <c r="F78" s="25" t="str">
        <f>'4637'!F37</f>
        <v>GLACIAL WHITE 22191 SF</v>
      </c>
      <c r="G78" s="1"/>
    </row>
    <row r="79" spans="1:7" ht="15.6" x14ac:dyDescent="0.3">
      <c r="A79" s="95"/>
      <c r="B79" s="25">
        <f>'4637'!B38</f>
        <v>1</v>
      </c>
      <c r="C79" s="99" t="str">
        <f>'4637'!C38</f>
        <v>CUB C/R R8</v>
      </c>
      <c r="D79" s="25">
        <f>'4637'!D38</f>
        <v>3110</v>
      </c>
      <c r="E79" s="25">
        <f>'4637'!E38</f>
        <v>770</v>
      </c>
      <c r="F79" s="25" t="str">
        <f>'4637'!F38</f>
        <v>GLACIAL WHITE 22191 SF</v>
      </c>
      <c r="G79" s="1"/>
    </row>
    <row r="80" spans="1:7" ht="15.6" x14ac:dyDescent="0.3">
      <c r="A80" s="95"/>
      <c r="B80" s="6"/>
      <c r="C80" s="107"/>
      <c r="D80" s="6"/>
      <c r="E80" s="6"/>
      <c r="F80" s="6"/>
      <c r="G80" s="1"/>
    </row>
    <row r="81" spans="1:7" ht="15.6" x14ac:dyDescent="0.3">
      <c r="A81" s="1"/>
      <c r="B81" s="6"/>
      <c r="C81" s="6"/>
      <c r="D81" s="6"/>
      <c r="E81" s="6"/>
      <c r="F81" s="6"/>
      <c r="G81" s="1"/>
    </row>
    <row r="82" spans="1:7" ht="15.6" x14ac:dyDescent="0.3">
      <c r="A82" s="1"/>
      <c r="B82" s="6"/>
      <c r="C82" s="6"/>
      <c r="D82" s="6"/>
      <c r="E82" s="6"/>
      <c r="F82" s="6"/>
      <c r="G82" s="1"/>
    </row>
    <row r="83" spans="1:7" ht="15.6" x14ac:dyDescent="0.3">
      <c r="A83" s="1"/>
      <c r="B83" s="6"/>
      <c r="C83" s="6"/>
      <c r="D83" s="6"/>
      <c r="E83" s="6"/>
      <c r="F83" s="6"/>
      <c r="G83" s="1"/>
    </row>
    <row r="84" spans="1:7" ht="15.6" x14ac:dyDescent="0.3">
      <c r="A84" s="1"/>
      <c r="B84" s="6"/>
      <c r="C84" s="6"/>
      <c r="D84" s="6"/>
      <c r="E84" s="6"/>
      <c r="F84" s="6"/>
      <c r="G84" s="1"/>
    </row>
    <row r="85" spans="1:7" ht="15.6" x14ac:dyDescent="0.3">
      <c r="A85" s="1"/>
      <c r="B85" s="6"/>
      <c r="C85" s="6"/>
      <c r="D85" s="6"/>
      <c r="E85" s="6"/>
      <c r="F85" s="6"/>
      <c r="G85" s="1"/>
    </row>
    <row r="86" spans="1:7" ht="15.6" x14ac:dyDescent="0.3">
      <c r="A86" s="1"/>
      <c r="B86" s="6"/>
      <c r="C86" s="6"/>
      <c r="D86" s="6"/>
      <c r="E86" s="6"/>
      <c r="F86" s="6"/>
      <c r="G86" s="1"/>
    </row>
    <row r="87" spans="1:7" ht="15.6" x14ac:dyDescent="0.3">
      <c r="A87" s="1"/>
      <c r="B87" s="6"/>
      <c r="C87" s="6"/>
      <c r="D87" s="6"/>
      <c r="E87" s="6"/>
      <c r="F87" s="6"/>
      <c r="G87" s="1"/>
    </row>
    <row r="88" spans="1:7" ht="15.6" x14ac:dyDescent="0.3">
      <c r="A88" s="1"/>
      <c r="B88" s="6"/>
      <c r="C88" s="6"/>
      <c r="D88" s="6"/>
      <c r="E88" s="6"/>
      <c r="F88" s="6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.6" x14ac:dyDescent="0.3">
      <c r="A90" s="1"/>
      <c r="B90" s="1"/>
      <c r="C90" s="40" t="s">
        <v>27</v>
      </c>
      <c r="D90" s="14">
        <f>'4637'!G8</f>
        <v>7451</v>
      </c>
      <c r="E90" s="1"/>
      <c r="F90" s="1"/>
      <c r="G90" s="1"/>
    </row>
    <row r="91" spans="1:7" ht="17.25" customHeight="1" x14ac:dyDescent="0.3">
      <c r="A91" s="1"/>
      <c r="B91" s="1"/>
      <c r="C91" s="41" t="s">
        <v>67</v>
      </c>
      <c r="D91" s="42" t="str">
        <f>'4637'!C10</f>
        <v>MUEBLES ASENJO LTDA.</v>
      </c>
      <c r="E91" s="43"/>
      <c r="F91" s="43"/>
      <c r="G91" s="1"/>
    </row>
    <row r="92" spans="1:7" ht="4.5" customHeight="1" x14ac:dyDescent="0.3">
      <c r="A92" s="1"/>
      <c r="B92" s="1"/>
      <c r="C92" s="44"/>
      <c r="D92" s="45"/>
      <c r="E92" s="1"/>
      <c r="F92" s="1"/>
      <c r="G92" s="1"/>
    </row>
    <row r="93" spans="1:7" ht="15.6" x14ac:dyDescent="0.3">
      <c r="A93" s="1"/>
      <c r="B93" s="1"/>
      <c r="C93" s="46" t="str">
        <f>'4637'!F11</f>
        <v>FECHA LIMITE :</v>
      </c>
      <c r="D93" s="13">
        <f>'4637'!G11</f>
        <v>0</v>
      </c>
      <c r="E93" s="1"/>
      <c r="F93" s="1"/>
      <c r="G93" s="1"/>
    </row>
    <row r="94" spans="1:7" ht="15.6" x14ac:dyDescent="0.3">
      <c r="A94" s="1"/>
      <c r="B94" s="1"/>
      <c r="C94" s="1"/>
      <c r="D94" s="1"/>
      <c r="E94" s="1"/>
      <c r="F94" s="1"/>
      <c r="G94" s="1"/>
    </row>
    <row r="95" spans="1:7" ht="15.6" x14ac:dyDescent="0.3">
      <c r="A95" s="1"/>
      <c r="B95" s="1"/>
      <c r="C95" s="1"/>
      <c r="D95" s="1"/>
      <c r="E95" s="1"/>
      <c r="F95" s="1"/>
      <c r="G95" s="1"/>
    </row>
    <row r="96" spans="1:7" ht="15.6" x14ac:dyDescent="0.3">
      <c r="A96" s="118" t="s">
        <v>68</v>
      </c>
      <c r="B96" s="118"/>
      <c r="C96" s="118"/>
      <c r="D96" s="118"/>
      <c r="E96" s="118"/>
      <c r="F96" s="118"/>
      <c r="G96" s="1"/>
    </row>
    <row r="97" spans="1:7" ht="15.6" x14ac:dyDescent="0.3">
      <c r="A97" s="1"/>
      <c r="B97" s="1"/>
      <c r="C97" s="1"/>
      <c r="D97" s="1"/>
      <c r="E97" s="1"/>
      <c r="F97" s="1"/>
      <c r="G97" s="1"/>
    </row>
    <row r="98" spans="1:7" ht="15.75" customHeight="1" x14ac:dyDescent="0.3">
      <c r="A98" s="1"/>
      <c r="B98" s="119" t="s">
        <v>69</v>
      </c>
      <c r="C98" s="120"/>
      <c r="D98" s="121"/>
      <c r="E98" s="121"/>
      <c r="F98" s="122"/>
      <c r="G98" s="1"/>
    </row>
    <row r="99" spans="1:7" s="15" customFormat="1" ht="12.75" customHeight="1" x14ac:dyDescent="0.3">
      <c r="A99" s="1"/>
      <c r="B99" s="36" t="s">
        <v>10</v>
      </c>
      <c r="C99" s="47" t="s">
        <v>11</v>
      </c>
      <c r="D99" s="48" t="s">
        <v>7</v>
      </c>
      <c r="E99" s="48" t="s">
        <v>8</v>
      </c>
      <c r="F99" s="49" t="s">
        <v>12</v>
      </c>
      <c r="G99" s="1"/>
    </row>
    <row r="100" spans="1:7" s="15" customFormat="1" ht="15" customHeight="1" x14ac:dyDescent="0.3">
      <c r="A100" s="95" t="s">
        <v>139</v>
      </c>
      <c r="B100" s="38">
        <f>'4637'!B21</f>
        <v>2</v>
      </c>
      <c r="C100" s="98" t="str">
        <f>'4637'!C21</f>
        <v>CUB C/R R8</v>
      </c>
      <c r="D100" s="39">
        <f>'4637'!D21</f>
        <v>3000</v>
      </c>
      <c r="E100" s="39">
        <f>'4637'!E21</f>
        <v>690</v>
      </c>
      <c r="F100" s="38" t="str">
        <f>'4637'!F21</f>
        <v>GLACIAL WHITE 22191 SF</v>
      </c>
      <c r="G100" s="1"/>
    </row>
    <row r="101" spans="1:7" s="15" customFormat="1" ht="15" customHeight="1" x14ac:dyDescent="0.3">
      <c r="A101" s="95"/>
      <c r="B101" s="38">
        <f>'4637'!B22</f>
        <v>1</v>
      </c>
      <c r="C101" s="98" t="str">
        <f>'4637'!C22</f>
        <v>CUB C/R R8</v>
      </c>
      <c r="D101" s="39">
        <f>'4637'!D22</f>
        <v>2030</v>
      </c>
      <c r="E101" s="39">
        <f>'4637'!E22</f>
        <v>690</v>
      </c>
      <c r="F101" s="38" t="str">
        <f>'4637'!F22</f>
        <v>GLACIAL WHITE 22191 SF</v>
      </c>
      <c r="G101" s="1"/>
    </row>
    <row r="102" spans="1:7" s="15" customFormat="1" ht="15" customHeight="1" x14ac:dyDescent="0.3">
      <c r="A102" s="95"/>
      <c r="B102" s="38">
        <f>'4637'!B23</f>
        <v>1</v>
      </c>
      <c r="C102" s="98" t="str">
        <f>'4637'!C23</f>
        <v>CUB C/R R8</v>
      </c>
      <c r="D102" s="39">
        <f>'4637'!D23</f>
        <v>2900</v>
      </c>
      <c r="E102" s="39">
        <f>'4637'!E23</f>
        <v>690</v>
      </c>
      <c r="F102" s="38" t="str">
        <f>'4637'!F23</f>
        <v>GLACIAL WHITE 22191 SF</v>
      </c>
      <c r="G102" s="1"/>
    </row>
    <row r="103" spans="1:7" s="15" customFormat="1" ht="15" customHeight="1" x14ac:dyDescent="0.3">
      <c r="A103" s="95"/>
      <c r="B103" s="38">
        <f>'4637'!B24</f>
        <v>1</v>
      </c>
      <c r="C103" s="98" t="str">
        <f>'4637'!C24</f>
        <v>CUB C/R R8</v>
      </c>
      <c r="D103" s="39">
        <f>'4637'!D24</f>
        <v>2070</v>
      </c>
      <c r="E103" s="39">
        <f>'4637'!E24</f>
        <v>700</v>
      </c>
      <c r="F103" s="38" t="str">
        <f>'4637'!F24</f>
        <v>GLACIAL WHITE 22191 SF</v>
      </c>
      <c r="G103" s="1"/>
    </row>
    <row r="104" spans="1:7" s="15" customFormat="1" ht="15" customHeight="1" x14ac:dyDescent="0.3">
      <c r="A104" s="95"/>
      <c r="B104" s="38">
        <f>'4637'!B25</f>
        <v>1</v>
      </c>
      <c r="C104" s="98" t="str">
        <f>'4637'!C25</f>
        <v>CUB C/R R8</v>
      </c>
      <c r="D104" s="39">
        <f>'4637'!D25</f>
        <v>2010</v>
      </c>
      <c r="E104" s="39">
        <f>'4637'!E25</f>
        <v>700</v>
      </c>
      <c r="F104" s="38" t="str">
        <f>'4637'!F25</f>
        <v>GLACIAL WHITE 22191 SF</v>
      </c>
      <c r="G104" s="1"/>
    </row>
    <row r="105" spans="1:7" s="15" customFormat="1" ht="15" customHeight="1" x14ac:dyDescent="0.3">
      <c r="A105" s="95"/>
      <c r="B105" s="38">
        <f>'4637'!B26</f>
        <v>2</v>
      </c>
      <c r="C105" s="98" t="str">
        <f>'4637'!C26</f>
        <v>CUB C/R R8</v>
      </c>
      <c r="D105" s="39">
        <f>'4637'!D26</f>
        <v>3000</v>
      </c>
      <c r="E105" s="39">
        <f>'4637'!E26</f>
        <v>700</v>
      </c>
      <c r="F105" s="38" t="str">
        <f>'4637'!F26</f>
        <v>GLACIAL WHITE 22191 SF</v>
      </c>
      <c r="G105" s="1"/>
    </row>
    <row r="106" spans="1:7" s="15" customFormat="1" ht="15" customHeight="1" x14ac:dyDescent="0.3">
      <c r="A106" s="95"/>
      <c r="B106" s="38">
        <f>'4637'!B27</f>
        <v>1</v>
      </c>
      <c r="C106" s="98" t="str">
        <f>'4637'!C27</f>
        <v>CUB C/R R8</v>
      </c>
      <c r="D106" s="39">
        <f>'4637'!D27</f>
        <v>800</v>
      </c>
      <c r="E106" s="39">
        <f>'4637'!E27</f>
        <v>700</v>
      </c>
      <c r="F106" s="38" t="str">
        <f>'4637'!F27</f>
        <v>GLACIAL WHITE 22191 SF</v>
      </c>
      <c r="G106" s="1"/>
    </row>
    <row r="107" spans="1:7" s="15" customFormat="1" ht="15" customHeight="1" x14ac:dyDescent="0.3">
      <c r="A107" s="95"/>
      <c r="B107" s="38">
        <f>'4637'!B28</f>
        <v>2</v>
      </c>
      <c r="C107" s="98" t="str">
        <f>'4637'!C28</f>
        <v>CUB C/R R8</v>
      </c>
      <c r="D107" s="39">
        <f>'4637'!D28</f>
        <v>2600</v>
      </c>
      <c r="E107" s="39">
        <f>'4637'!E28</f>
        <v>700</v>
      </c>
      <c r="F107" s="38" t="str">
        <f>'4637'!F28</f>
        <v>GLACIAL WHITE 22191 SF</v>
      </c>
      <c r="G107" s="1"/>
    </row>
    <row r="108" spans="1:7" s="15" customFormat="1" ht="15" customHeight="1" x14ac:dyDescent="0.3">
      <c r="A108" s="95"/>
      <c r="B108" s="38">
        <f>'4637'!B29</f>
        <v>2</v>
      </c>
      <c r="C108" s="98" t="str">
        <f>'4637'!C29</f>
        <v>CUB C/R R8</v>
      </c>
      <c r="D108" s="39">
        <f>'4637'!D29</f>
        <v>2360</v>
      </c>
      <c r="E108" s="39">
        <f>'4637'!E29</f>
        <v>700</v>
      </c>
      <c r="F108" s="38" t="str">
        <f>'4637'!F29</f>
        <v>GLACIAL WHITE 22191 SF</v>
      </c>
      <c r="G108" s="1"/>
    </row>
    <row r="109" spans="1:7" s="15" customFormat="1" ht="15" customHeight="1" x14ac:dyDescent="0.3">
      <c r="A109" s="95"/>
      <c r="B109" s="38">
        <f>'4637'!B30</f>
        <v>1</v>
      </c>
      <c r="C109" s="98" t="str">
        <f>'4637'!C30</f>
        <v>CUB C/R R8</v>
      </c>
      <c r="D109" s="39">
        <f>'4637'!D30</f>
        <v>2750</v>
      </c>
      <c r="E109" s="39">
        <f>'4637'!E30</f>
        <v>700</v>
      </c>
      <c r="F109" s="38" t="str">
        <f>'4637'!F30</f>
        <v>GLACIAL WHITE 22191 SF</v>
      </c>
      <c r="G109" s="1"/>
    </row>
    <row r="110" spans="1:7" s="15" customFormat="1" ht="15" customHeight="1" x14ac:dyDescent="0.3">
      <c r="A110" s="95"/>
      <c r="B110" s="38">
        <f>'4637'!B31</f>
        <v>1</v>
      </c>
      <c r="C110" s="98" t="str">
        <f>'4637'!C31</f>
        <v>CUB C/R R8</v>
      </c>
      <c r="D110" s="39">
        <f>'4637'!D31</f>
        <v>2700</v>
      </c>
      <c r="E110" s="39">
        <f>'4637'!E31</f>
        <v>700</v>
      </c>
      <c r="F110" s="38" t="str">
        <f>'4637'!F31</f>
        <v>GLACIAL WHITE 22191 SF</v>
      </c>
      <c r="G110" s="1"/>
    </row>
    <row r="111" spans="1:7" s="15" customFormat="1" ht="15" customHeight="1" x14ac:dyDescent="0.3">
      <c r="A111" s="95"/>
      <c r="B111" s="38">
        <f>'4637'!B32</f>
        <v>1</v>
      </c>
      <c r="C111" s="98" t="str">
        <f>'4637'!C32</f>
        <v>CUB C/R R8</v>
      </c>
      <c r="D111" s="39">
        <f>'4637'!D32</f>
        <v>930</v>
      </c>
      <c r="E111" s="39">
        <f>'4637'!E32</f>
        <v>700</v>
      </c>
      <c r="F111" s="38" t="str">
        <f>'4637'!F32</f>
        <v>GLACIAL WHITE 22191 SF</v>
      </c>
      <c r="G111" s="1"/>
    </row>
    <row r="112" spans="1:7" s="15" customFormat="1" ht="15" customHeight="1" x14ac:dyDescent="0.3">
      <c r="A112" s="95"/>
      <c r="B112" s="38">
        <f>'4637'!B33</f>
        <v>1</v>
      </c>
      <c r="C112" s="98" t="str">
        <f>'4637'!C33</f>
        <v>CUB C/R R8</v>
      </c>
      <c r="D112" s="39">
        <f>'4637'!D33</f>
        <v>2730</v>
      </c>
      <c r="E112" s="39">
        <f>'4637'!E33</f>
        <v>700</v>
      </c>
      <c r="F112" s="38" t="str">
        <f>'4637'!F33</f>
        <v>GLACIAL WHITE 22191 SF</v>
      </c>
      <c r="G112" s="1"/>
    </row>
    <row r="113" spans="1:7" s="15" customFormat="1" ht="15" customHeight="1" x14ac:dyDescent="0.3">
      <c r="A113" s="95"/>
      <c r="B113" s="38">
        <f>'4637'!B34</f>
        <v>1</v>
      </c>
      <c r="C113" s="98" t="str">
        <f>'4637'!C34</f>
        <v>CUB C/R R8</v>
      </c>
      <c r="D113" s="39">
        <f>'4637'!D34</f>
        <v>2710</v>
      </c>
      <c r="E113" s="39">
        <f>'4637'!E34</f>
        <v>700</v>
      </c>
      <c r="F113" s="38" t="str">
        <f>'4637'!F34</f>
        <v>GLACIAL WHITE 22191 SF</v>
      </c>
      <c r="G113" s="1"/>
    </row>
    <row r="114" spans="1:7" s="15" customFormat="1" ht="15" customHeight="1" x14ac:dyDescent="0.3">
      <c r="A114" s="95"/>
      <c r="B114" s="38">
        <f>'4637'!B35</f>
        <v>1</v>
      </c>
      <c r="C114" s="98" t="str">
        <f>'4637'!C35</f>
        <v>CUB C/R R8</v>
      </c>
      <c r="D114" s="39">
        <f>'4637'!D35</f>
        <v>2400</v>
      </c>
      <c r="E114" s="39">
        <f>'4637'!E35</f>
        <v>700</v>
      </c>
      <c r="F114" s="38" t="str">
        <f>'4637'!F35</f>
        <v>GLACIAL WHITE 22191 SF</v>
      </c>
      <c r="G114" s="1"/>
    </row>
    <row r="115" spans="1:7" s="15" customFormat="1" ht="15" customHeight="1" x14ac:dyDescent="0.3">
      <c r="A115" s="95"/>
      <c r="B115" s="38">
        <f>'4637'!B36</f>
        <v>1</v>
      </c>
      <c r="C115" s="98" t="str">
        <f>'4637'!C36</f>
        <v>CUB C/R R8</v>
      </c>
      <c r="D115" s="39">
        <f>'4637'!D36</f>
        <v>2000</v>
      </c>
      <c r="E115" s="39">
        <f>'4637'!E36</f>
        <v>700</v>
      </c>
      <c r="F115" s="38" t="str">
        <f>'4637'!F36</f>
        <v>GLACIAL WHITE 22191 SF</v>
      </c>
      <c r="G115" s="1"/>
    </row>
    <row r="116" spans="1:7" s="15" customFormat="1" ht="15" customHeight="1" x14ac:dyDescent="0.3">
      <c r="A116" s="95"/>
      <c r="B116" s="38">
        <f>'4637'!B37</f>
        <v>1</v>
      </c>
      <c r="C116" s="98" t="str">
        <f>'4637'!C37</f>
        <v>CUB C/R R8</v>
      </c>
      <c r="D116" s="39">
        <f>'4637'!D37</f>
        <v>2700</v>
      </c>
      <c r="E116" s="39">
        <f>'4637'!E37</f>
        <v>900</v>
      </c>
      <c r="F116" s="38" t="str">
        <f>'4637'!F37</f>
        <v>GLACIAL WHITE 22191 SF</v>
      </c>
      <c r="G116" s="1"/>
    </row>
    <row r="117" spans="1:7" s="15" customFormat="1" ht="15" customHeight="1" x14ac:dyDescent="0.3">
      <c r="A117" s="95"/>
      <c r="B117" s="38">
        <f>'4637'!B38</f>
        <v>1</v>
      </c>
      <c r="C117" s="98" t="str">
        <f>'4637'!C38</f>
        <v>CUB C/R R8</v>
      </c>
      <c r="D117" s="39">
        <f>'4637'!D38</f>
        <v>3110</v>
      </c>
      <c r="E117" s="39">
        <f>'4637'!E38</f>
        <v>770</v>
      </c>
      <c r="F117" s="38" t="str">
        <f>'4637'!F38</f>
        <v>GLACIAL WHITE 22191 SF</v>
      </c>
      <c r="G117" s="1"/>
    </row>
    <row r="118" spans="1:7" s="15" customFormat="1" ht="15" customHeight="1" x14ac:dyDescent="0.3">
      <c r="B118" s="52"/>
      <c r="C118" s="106"/>
      <c r="D118" s="52"/>
      <c r="E118" s="52"/>
      <c r="F118" s="52"/>
      <c r="G118" s="1"/>
    </row>
    <row r="119" spans="1:7" s="15" customFormat="1" ht="15" customHeight="1" x14ac:dyDescent="0.3">
      <c r="A119" s="50"/>
      <c r="B119" s="52"/>
      <c r="C119" s="52"/>
      <c r="D119" s="52"/>
      <c r="E119" s="52"/>
      <c r="F119" s="52"/>
      <c r="G119" s="1"/>
    </row>
    <row r="120" spans="1:7" ht="15.6" x14ac:dyDescent="0.3">
      <c r="A120" s="6"/>
      <c r="B120" s="6"/>
      <c r="C120" s="1"/>
      <c r="D120" s="6"/>
      <c r="E120" s="6"/>
      <c r="F120" s="44"/>
      <c r="G120" s="1"/>
    </row>
    <row r="121" spans="1:7" ht="15.6" x14ac:dyDescent="0.3">
      <c r="A121" s="6"/>
      <c r="B121" s="6"/>
      <c r="C121" s="1"/>
      <c r="D121" s="6"/>
      <c r="E121" s="6"/>
      <c r="F121" s="6"/>
      <c r="G121" s="1"/>
    </row>
    <row r="122" spans="1:7" ht="15.6" x14ac:dyDescent="0.3">
      <c r="A122" s="1"/>
      <c r="B122" s="1"/>
      <c r="C122" s="1"/>
      <c r="D122" s="1"/>
      <c r="E122" s="1"/>
      <c r="F122" s="1"/>
      <c r="G122" s="1"/>
    </row>
    <row r="123" spans="1:7" ht="15.6" x14ac:dyDescent="0.3">
      <c r="A123" s="1"/>
      <c r="B123" s="1"/>
      <c r="C123" s="1"/>
      <c r="D123" s="1"/>
      <c r="E123" s="1"/>
      <c r="F123" s="1"/>
      <c r="G123" s="1"/>
    </row>
    <row r="124" spans="1:7" ht="15.6" x14ac:dyDescent="0.3">
      <c r="A124" s="1"/>
      <c r="B124" s="1"/>
      <c r="C124" s="1"/>
      <c r="D124" s="1"/>
      <c r="E124" s="1"/>
      <c r="F124" s="1"/>
      <c r="G124" s="1"/>
    </row>
    <row r="125" spans="1:7" ht="15" customHeight="1" x14ac:dyDescent="0.3">
      <c r="A125" s="1"/>
      <c r="B125" s="1"/>
      <c r="C125" s="1"/>
      <c r="D125" s="1"/>
      <c r="E125" s="1"/>
      <c r="F125" s="1"/>
      <c r="G125" s="1"/>
    </row>
    <row r="126" spans="1:7" ht="15.6" x14ac:dyDescent="0.3">
      <c r="A126" s="1"/>
      <c r="B126" s="1"/>
      <c r="C126" s="1"/>
      <c r="D126" s="1"/>
      <c r="E126" s="1"/>
      <c r="F126" s="1"/>
      <c r="G126" s="1"/>
    </row>
    <row r="127" spans="1:7" ht="15.6" x14ac:dyDescent="0.3">
      <c r="A127" s="6"/>
      <c r="B127" s="51"/>
      <c r="C127" s="1"/>
      <c r="D127" s="1"/>
      <c r="E127" s="1"/>
      <c r="F127" s="1"/>
      <c r="G127" s="1"/>
    </row>
    <row r="128" spans="1:7" ht="15.6" x14ac:dyDescent="0.3">
      <c r="A128" s="1"/>
      <c r="B128" s="1"/>
      <c r="C128" s="1"/>
      <c r="D128" s="1"/>
      <c r="E128" s="1"/>
      <c r="F128" s="1"/>
      <c r="G128" s="1"/>
    </row>
    <row r="129" spans="2:6" x14ac:dyDescent="0.3">
      <c r="B129" s="20"/>
      <c r="C129" s="20"/>
      <c r="D129" s="20"/>
      <c r="E129" s="20"/>
      <c r="F129" s="20"/>
    </row>
    <row r="130" spans="2:6" x14ac:dyDescent="0.3">
      <c r="B130" s="20"/>
      <c r="C130" s="20"/>
      <c r="E130" s="20"/>
      <c r="F130" s="20"/>
    </row>
  </sheetData>
  <mergeCells count="6">
    <mergeCell ref="M3:N3"/>
    <mergeCell ref="A35:F35"/>
    <mergeCell ref="A10:F10"/>
    <mergeCell ref="A96:F96"/>
    <mergeCell ref="B98:F9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2026-05-11T14:51:32Z</cp:lastPrinted>
  <dcterms:created xsi:type="dcterms:W3CDTF">2013-03-19T12:54:14Z</dcterms:created>
  <dcterms:modified xsi:type="dcterms:W3CDTF">2026-05-11T14:52:07Z</dcterms:modified>
</cp:coreProperties>
</file>