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5 MAYO 2026\"/>
    </mc:Choice>
  </mc:AlternateContent>
  <xr:revisionPtr revIDLastSave="0" documentId="13_ncr:1_{1B7EBD06-0CD5-4282-91FA-4763874B200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'4637'!$A$1:$H$31</definedName>
    <definedName name="_xlnm.Print_Area" localSheetId="2">CUBIERTA!$A$39:$G$63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3" l="1"/>
  <c r="D14" i="3"/>
  <c r="E15" i="3"/>
  <c r="E14" i="3"/>
  <c r="F15" i="3"/>
  <c r="I15" i="3"/>
  <c r="B15" i="3" s="1"/>
  <c r="J15" i="3"/>
  <c r="K15" i="3"/>
  <c r="B30" i="3"/>
  <c r="I23" i="3" s="1"/>
  <c r="B23" i="3" s="1"/>
  <c r="C30" i="3"/>
  <c r="F23" i="3" s="1"/>
  <c r="D30" i="3"/>
  <c r="J23" i="3" s="1"/>
  <c r="D23" i="3" s="1"/>
  <c r="E30" i="3"/>
  <c r="K23" i="3" s="1"/>
  <c r="E23" i="3" s="1"/>
  <c r="F30" i="3"/>
  <c r="B52" i="3"/>
  <c r="C52" i="3"/>
  <c r="D52" i="3"/>
  <c r="E52" i="3"/>
  <c r="F52" i="3"/>
  <c r="H22" i="4"/>
  <c r="H21" i="4"/>
  <c r="B29" i="3" l="1"/>
  <c r="I22" i="3" s="1"/>
  <c r="I14" i="3" s="1"/>
  <c r="B14" i="3" s="1"/>
  <c r="C29" i="3"/>
  <c r="F14" i="3" s="1"/>
  <c r="D29" i="3"/>
  <c r="J22" i="3" s="1"/>
  <c r="J14" i="3" s="1"/>
  <c r="E29" i="3"/>
  <c r="F29" i="3"/>
  <c r="B51" i="3"/>
  <c r="C51" i="3"/>
  <c r="D51" i="3"/>
  <c r="E51" i="3"/>
  <c r="F51" i="3"/>
  <c r="H25" i="4"/>
  <c r="K22" i="3" l="1"/>
  <c r="K14" i="3" s="1"/>
  <c r="D22" i="3"/>
  <c r="B22" i="3"/>
  <c r="F22" i="3"/>
  <c r="E22" i="3" l="1"/>
  <c r="H26" i="4"/>
  <c r="H27" i="4" l="1"/>
  <c r="N5" i="3" l="1"/>
  <c r="M5" i="3" l="1"/>
  <c r="L5" i="3"/>
  <c r="K5" i="3"/>
  <c r="C44" i="3" l="1"/>
  <c r="C7" i="3"/>
  <c r="D42" i="3"/>
  <c r="D5" i="3"/>
  <c r="D44" i="3"/>
  <c r="D7" i="3"/>
  <c r="D41" i="3"/>
  <c r="D4" i="3"/>
</calcChain>
</file>

<file path=xl/sharedStrings.xml><?xml version="1.0" encoding="utf-8"?>
<sst xmlns="http://schemas.openxmlformats.org/spreadsheetml/2006/main" count="251" uniqueCount="146">
  <si>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</si>
  <si>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</si>
  <si>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</si>
  <si>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</si>
  <si>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</si>
  <si>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</si>
  <si>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</si>
  <si>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</si>
  <si>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</si>
  <si>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</si>
  <si>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</si>
  <si>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</si>
  <si>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</si>
  <si>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</si>
  <si>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</si>
  <si>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</si>
  <si>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</si>
  <si>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</si>
  <si>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</si>
  <si>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</si>
  <si>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</si>
  <si>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</si>
  <si>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</si>
  <si>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</si>
  <si>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</si>
  <si>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</si>
  <si>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</si>
  <si>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</si>
  <si>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</si>
  <si>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</si>
  <si>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</si>
  <si>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</si>
  <si>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</si>
  <si>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</si>
  <si>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</si>
  <si>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</si>
  <si>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</si>
  <si>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</si>
  <si>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</si>
  <si>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</si>
  <si>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</si>
  <si>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</si>
  <si>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</si>
  <si>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</si>
  <si>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</si>
  <si>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</si>
  <si>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</si>
  <si>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</si>
  <si>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</si>
  <si>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</si>
  <si>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</si>
  <si>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</si>
  <si>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</si>
  <si>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</si>
  <si>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</si>
  <si>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</si>
  <si>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</si>
  <si>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</si>
  <si>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</si>
  <si>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</si>
  <si>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</si>
  <si>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</si>
  <si>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</si>
  <si>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</si>
  <si>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</si>
  <si>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</si>
  <si>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</si>
  <si>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</si>
  <si>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</si>
  <si>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</si>
  <si>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</si>
  <si>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</si>
  <si>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</si>
  <si>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</si>
  <si>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</si>
  <si>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</si>
  <si>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</si>
  <si>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</si>
  <si>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</si>
  <si>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</si>
  <si>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</si>
  <si>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</si>
  <si>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</si>
  <si>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</si>
  <si>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</si>
  <si>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</si>
  <si>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</si>
  <si>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</si>
  <si>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</si>
  <si>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</si>
  <si>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</si>
  <si>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</si>
  <si>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</si>
  <si>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</si>
  <si>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</si>
  <si>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</si>
  <si>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</si>
  <si>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</si>
  <si>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</si>
  <si>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</si>
  <si>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</si>
  <si>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</si>
  <si>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</si>
  <si>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</si>
  <si>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</si>
  <si>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</si>
  <si>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</si>
  <si>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</si>
  <si>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</si>
  <si>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</si>
  <si>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</si>
  <si>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</si>
  <si>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</si>
  <si>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</si>
  <si>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</si>
  <si>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</si>
  <si>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</si>
  <si>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</si>
  <si>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</si>
  <si>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</si>
  <si>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</si>
  <si>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</si>
  <si>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</si>
  <si>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</si>
  <si>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</si>
  <si>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</si>
  <si>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</si>
  <si>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</si>
  <si>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</si>
  <si>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</si>
  <si>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</si>
  <si>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</si>
  <si>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</si>
  <si>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MUEBLES ASENJO LTDA.</t>
  </si>
  <si>
    <t>77.018.060-0</t>
  </si>
  <si>
    <t>MUEBLES</t>
  </si>
  <si>
    <t>LOS PINOS 02622 SAN BERNARDO</t>
  </si>
  <si>
    <t>MIGUEL ASENJO</t>
  </si>
  <si>
    <t>O/C 30 DIAS</t>
  </si>
  <si>
    <t>MDF18MM</t>
  </si>
  <si>
    <t>SI</t>
  </si>
  <si>
    <t>NV 28530</t>
  </si>
  <si>
    <t>N° 12122</t>
  </si>
  <si>
    <t>CUB C/R R8</t>
  </si>
  <si>
    <t>ASTRAL 3030 MT</t>
  </si>
  <si>
    <t>NV 28531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</si>
</sst>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2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7" fillId="3" borderId="0" xfId="0" applyFont="1" applyFill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6" fillId="0" borderId="0" xfId="2" quotePrefix="1" applyFont="1" applyFill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24</xdr:row>
      <xdr:rowOff>9525</xdr:rowOff>
    </xdr:from>
    <xdr:to>
      <xdr:col>5</xdr:col>
      <xdr:colOff>1390650</xdr:colOff>
      <xdr:row>28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45</xdr:row>
      <xdr:rowOff>171450</xdr:rowOff>
    </xdr:from>
    <xdr:to>
      <xdr:col>5</xdr:col>
      <xdr:colOff>1685924</xdr:colOff>
      <xdr:row>47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43</xdr:row>
      <xdr:rowOff>0</xdr:rowOff>
    </xdr:from>
    <xdr:to>
      <xdr:col>6</xdr:col>
      <xdr:colOff>0</xdr:colOff>
      <xdr:row>44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38100</xdr:rowOff>
    </xdr:from>
    <xdr:to>
      <xdr:col>6</xdr:col>
      <xdr:colOff>0</xdr:colOff>
      <xdr:row>42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0</xdr:rowOff>
    </xdr:from>
    <xdr:to>
      <xdr:col>6</xdr:col>
      <xdr:colOff>0</xdr:colOff>
      <xdr:row>41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53</xdr:row>
      <xdr:rowOff>0</xdr:rowOff>
    </xdr:from>
    <xdr:to>
      <xdr:col>2</xdr:col>
      <xdr:colOff>38100</xdr:colOff>
      <xdr:row>54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53</xdr:row>
      <xdr:rowOff>0</xdr:rowOff>
    </xdr:from>
    <xdr:to>
      <xdr:col>2</xdr:col>
      <xdr:colOff>1019175</xdr:colOff>
      <xdr:row>53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53</xdr:row>
      <xdr:rowOff>0</xdr:rowOff>
    </xdr:from>
    <xdr:to>
      <xdr:col>3</xdr:col>
      <xdr:colOff>352425</xdr:colOff>
      <xdr:row>54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53</xdr:row>
      <xdr:rowOff>0</xdr:rowOff>
    </xdr:from>
    <xdr:to>
      <xdr:col>4</xdr:col>
      <xdr:colOff>257175</xdr:colOff>
      <xdr:row>54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53</xdr:row>
      <xdr:rowOff>0</xdr:rowOff>
    </xdr:from>
    <xdr:to>
      <xdr:col>5</xdr:col>
      <xdr:colOff>447675</xdr:colOff>
      <xdr:row>53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53</xdr:row>
      <xdr:rowOff>0</xdr:rowOff>
    </xdr:from>
    <xdr:to>
      <xdr:col>6</xdr:col>
      <xdr:colOff>0</xdr:colOff>
      <xdr:row>53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53</xdr:row>
      <xdr:rowOff>190500</xdr:rowOff>
    </xdr:from>
    <xdr:to>
      <xdr:col>2</xdr:col>
      <xdr:colOff>304800</xdr:colOff>
      <xdr:row>55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53</xdr:row>
      <xdr:rowOff>190500</xdr:rowOff>
    </xdr:from>
    <xdr:to>
      <xdr:col>2</xdr:col>
      <xdr:colOff>1276350</xdr:colOff>
      <xdr:row>55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53</xdr:row>
      <xdr:rowOff>190500</xdr:rowOff>
    </xdr:from>
    <xdr:to>
      <xdr:col>3</xdr:col>
      <xdr:colOff>619125</xdr:colOff>
      <xdr:row>55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53</xdr:row>
      <xdr:rowOff>190500</xdr:rowOff>
    </xdr:from>
    <xdr:to>
      <xdr:col>4</xdr:col>
      <xdr:colOff>523875</xdr:colOff>
      <xdr:row>55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53</xdr:row>
      <xdr:rowOff>190500</xdr:rowOff>
    </xdr:from>
    <xdr:to>
      <xdr:col>5</xdr:col>
      <xdr:colOff>723900</xdr:colOff>
      <xdr:row>55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53</xdr:row>
      <xdr:rowOff>190500</xdr:rowOff>
    </xdr:from>
    <xdr:to>
      <xdr:col>6</xdr:col>
      <xdr:colOff>0</xdr:colOff>
      <xdr:row>55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32</xdr:row>
      <xdr:rowOff>15239</xdr:rowOff>
    </xdr:from>
    <xdr:to>
      <xdr:col>6</xdr:col>
      <xdr:colOff>68580</xdr:colOff>
      <xdr:row>36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24</xdr:row>
      <xdr:rowOff>200025</xdr:rowOff>
    </xdr:from>
    <xdr:to>
      <xdr:col>6</xdr:col>
      <xdr:colOff>19049</xdr:colOff>
      <xdr:row>26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56</xdr:row>
      <xdr:rowOff>32385</xdr:rowOff>
    </xdr:from>
    <xdr:to>
      <xdr:col>6</xdr:col>
      <xdr:colOff>19050</xdr:colOff>
      <xdr:row>60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39</xdr:row>
      <xdr:rowOff>41910</xdr:rowOff>
    </xdr:from>
    <xdr:to>
      <xdr:col>1</xdr:col>
      <xdr:colOff>565543</xdr:colOff>
      <xdr:row>45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544588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topLeftCell="A3" workbookViewId="0">
      <selection activeCell="H21" sqref="H21:H22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0" t="s">
        <v>16</v>
      </c>
      <c r="C8" s="91"/>
      <c r="D8" s="92" t="s">
        <v>142</v>
      </c>
      <c r="E8" s="1"/>
      <c r="F8" s="93" t="s">
        <v>27</v>
      </c>
      <c r="G8" s="94">
        <v>7452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133</v>
      </c>
      <c r="D10" s="55"/>
      <c r="E10" s="55"/>
      <c r="F10" s="56" t="s">
        <v>28</v>
      </c>
      <c r="G10" s="57">
        <v>46153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134</v>
      </c>
      <c r="D11" s="60"/>
      <c r="E11" s="60"/>
      <c r="F11" s="60" t="s">
        <v>124</v>
      </c>
      <c r="G11" s="61"/>
      <c r="H11" s="62"/>
      <c r="I11" s="1"/>
    </row>
    <row r="12" spans="1:17" ht="16.2" thickBot="1" x14ac:dyDescent="0.35">
      <c r="A12" s="1"/>
      <c r="B12" s="63" t="s">
        <v>130</v>
      </c>
      <c r="C12" t="s">
        <v>135</v>
      </c>
      <c r="D12" s="43"/>
      <c r="E12" s="43"/>
      <c r="F12" s="43" t="s">
        <v>30</v>
      </c>
      <c r="G12" s="64">
        <v>24252</v>
      </c>
      <c r="H12" s="65"/>
      <c r="I12" s="1"/>
    </row>
    <row r="13" spans="1:17" ht="15.6" x14ac:dyDescent="0.3">
      <c r="A13" s="1"/>
      <c r="B13" s="63" t="s">
        <v>132</v>
      </c>
      <c r="C13" s="86" t="s">
        <v>137</v>
      </c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01">
        <v>56998844786</v>
      </c>
      <c r="D14" s="66"/>
      <c r="E14" s="60"/>
      <c r="F14" s="60" t="s">
        <v>29</v>
      </c>
      <c r="G14" s="60" t="s">
        <v>140</v>
      </c>
      <c r="H14" s="62"/>
      <c r="I14" s="1"/>
    </row>
    <row r="15" spans="1:17" ht="15.6" x14ac:dyDescent="0.3">
      <c r="A15" s="1"/>
      <c r="B15" s="63" t="s">
        <v>1</v>
      </c>
      <c r="C15" s="97" t="s">
        <v>136</v>
      </c>
      <c r="D15" s="43"/>
      <c r="E15" s="43"/>
      <c r="F15" s="67" t="s">
        <v>75</v>
      </c>
      <c r="G15" s="67" t="s">
        <v>138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131</v>
      </c>
      <c r="D16" s="69"/>
      <c r="E16" s="70"/>
      <c r="F16" s="115" t="s">
        <v>18</v>
      </c>
      <c r="G16" s="115"/>
      <c r="H16" s="116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7" t="s">
        <v>19</v>
      </c>
      <c r="C19" s="118"/>
      <c r="D19" s="118"/>
      <c r="E19" s="118"/>
      <c r="F19" s="118"/>
      <c r="G19" s="118"/>
      <c r="H19" s="119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2">
        <v>1</v>
      </c>
      <c r="C21" s="102" t="s">
        <v>143</v>
      </c>
      <c r="D21" s="104">
        <v>1380</v>
      </c>
      <c r="E21" s="104">
        <v>600</v>
      </c>
      <c r="F21" s="102" t="s">
        <v>144</v>
      </c>
      <c r="G21" s="103">
        <v>81769</v>
      </c>
      <c r="H21" s="103">
        <f t="shared" ref="H21:H22" si="0">G21*B21</f>
        <v>81769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2">
        <v>1</v>
      </c>
      <c r="C22" s="102" t="s">
        <v>143</v>
      </c>
      <c r="D22" s="104">
        <v>2030</v>
      </c>
      <c r="E22" s="104">
        <v>600</v>
      </c>
      <c r="F22" s="102" t="s">
        <v>144</v>
      </c>
      <c r="G22" s="103">
        <v>118173</v>
      </c>
      <c r="H22" s="103">
        <f t="shared" si="0"/>
        <v>118173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07"/>
      <c r="C23" s="107"/>
      <c r="D23" s="108"/>
      <c r="E23" s="108"/>
      <c r="F23" s="107"/>
      <c r="G23" s="75"/>
      <c r="H23" s="75"/>
      <c r="I23" s="1"/>
      <c r="K23" s="17"/>
      <c r="L23" s="26"/>
      <c r="M23" s="17"/>
      <c r="N23" s="17"/>
      <c r="O23" s="26"/>
      <c r="P23" s="33"/>
    </row>
    <row r="24" spans="1:16" ht="8.25" customHeight="1" thickBot="1" x14ac:dyDescent="0.35">
      <c r="A24" s="1"/>
      <c r="B24" s="74"/>
      <c r="C24" s="74"/>
      <c r="D24" s="74"/>
      <c r="E24" s="74"/>
      <c r="F24" s="74"/>
      <c r="G24" s="75"/>
      <c r="H24" s="75"/>
      <c r="I24" s="1"/>
    </row>
    <row r="25" spans="1:16" ht="15.6" x14ac:dyDescent="0.3">
      <c r="A25" s="1"/>
      <c r="B25" s="1"/>
      <c r="C25" s="1"/>
      <c r="D25" s="1"/>
      <c r="E25" s="1"/>
      <c r="F25" s="1"/>
      <c r="G25" s="76" t="s">
        <v>5</v>
      </c>
      <c r="H25" s="77">
        <f>SUM(H21:H24)</f>
        <v>199942</v>
      </c>
      <c r="I25" s="1"/>
    </row>
    <row r="26" spans="1:16" ht="15.6" x14ac:dyDescent="0.3">
      <c r="A26" s="1"/>
      <c r="B26" s="1"/>
      <c r="C26" s="1"/>
      <c r="D26" s="1"/>
      <c r="E26" s="1"/>
      <c r="F26" s="1"/>
      <c r="G26" s="78" t="s">
        <v>6</v>
      </c>
      <c r="H26" s="79">
        <f>H25*19%</f>
        <v>37988.980000000003</v>
      </c>
      <c r="I26" s="1"/>
    </row>
    <row r="27" spans="1:16" ht="16.2" thickBot="1" x14ac:dyDescent="0.35">
      <c r="A27" s="1"/>
      <c r="B27" s="1"/>
      <c r="C27" s="1"/>
      <c r="D27" s="1"/>
      <c r="E27" s="1"/>
      <c r="F27" s="1"/>
      <c r="G27" s="80" t="s">
        <v>4</v>
      </c>
      <c r="H27" s="81">
        <f>H25+H26</f>
        <v>237930.98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52"/>
      <c r="H28" s="96"/>
      <c r="I28" s="1"/>
    </row>
    <row r="29" spans="1:16" ht="15.6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16" ht="15.6" x14ac:dyDescent="0.3">
      <c r="A30" s="1"/>
      <c r="B30" s="82" t="s">
        <v>123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82" t="s">
        <v>122</v>
      </c>
      <c r="C31" s="83"/>
      <c r="D31" s="84"/>
      <c r="E31" s="84"/>
      <c r="F31" s="74"/>
      <c r="G31" s="1"/>
      <c r="H31" s="1"/>
      <c r="I31" s="1"/>
    </row>
    <row r="32" spans="1:16" ht="15.6" x14ac:dyDescent="0.3">
      <c r="A32" s="1"/>
      <c r="B32" s="1" t="s">
        <v>25</v>
      </c>
      <c r="C32" s="1"/>
      <c r="D32" s="1"/>
      <c r="E32" s="85" t="s">
        <v>26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sortState xmlns:xlrd2="http://schemas.microsoft.com/office/spreadsheetml/2017/richdata2" ref="B36">
    <sortCondition sortBy="fontColor" ref="B36" dxfId="0"/>
  </sortState>
  <mergeCells count="2">
    <mergeCell ref="F16:H16"/>
    <mergeCell ref="B19:H19"/>
  </mergeCells>
  <phoneticPr fontId="10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0" t="s">
        <v>31</v>
      </c>
      <c r="C2" s="120"/>
      <c r="D2" s="120"/>
      <c r="E2" s="18"/>
      <c r="G2" s="120" t="s">
        <v>70</v>
      </c>
      <c r="H2" s="120"/>
      <c r="I2" s="120"/>
      <c r="P2" s="121" t="s">
        <v>58</v>
      </c>
      <c r="Q2" s="121"/>
      <c r="R2" s="121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1" t="s">
        <v>58</v>
      </c>
      <c r="M8" s="121"/>
      <c r="N8" s="121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4"/>
  <sheetViews>
    <sheetView tabSelected="1" topLeftCell="A38" zoomScaleNormal="100" workbookViewId="0">
      <selection activeCell="G46" sqref="G46"/>
    </sheetView>
  </sheetViews>
  <sheetFormatPr baseColWidth="10" defaultRowHeight="14.4" x14ac:dyDescent="0.3"/>
  <cols>
    <col min="1" max="1" width="17.3320312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09" t="s">
        <v>61</v>
      </c>
      <c r="L3" s="109"/>
      <c r="M3" s="109" t="s">
        <v>14</v>
      </c>
      <c r="N3" s="109"/>
    </row>
    <row r="4" spans="1:14" ht="15.75" customHeight="1" x14ac:dyDescent="0.3">
      <c r="A4" s="1"/>
      <c r="B4" s="1"/>
      <c r="C4" s="40" t="s">
        <v>27</v>
      </c>
      <c r="D4" s="14">
        <f>'4637'!G8</f>
        <v>7452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MUEBLES ASENJO LTDA.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0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0" t="s">
        <v>61</v>
      </c>
      <c r="B10" s="110"/>
      <c r="C10" s="110"/>
      <c r="D10" s="110"/>
      <c r="E10" s="110"/>
      <c r="F10" s="110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5" t="s">
        <v>139</v>
      </c>
      <c r="B14" s="25">
        <f t="shared" ref="B14" si="0">I14</f>
        <v>1</v>
      </c>
      <c r="C14" s="25" t="s">
        <v>141</v>
      </c>
      <c r="D14" s="25">
        <f>J14+D$13</f>
        <v>1460</v>
      </c>
      <c r="E14" s="35">
        <f>K14+E$13</f>
        <v>570</v>
      </c>
      <c r="F14" s="99" t="str">
        <f>C29</f>
        <v>CUB C/R R8</v>
      </c>
      <c r="G14" s="1"/>
      <c r="I14" s="89">
        <f t="shared" ref="I14:K15" si="1">I22</f>
        <v>1</v>
      </c>
      <c r="J14" s="4">
        <f t="shared" si="1"/>
        <v>1380</v>
      </c>
      <c r="K14" s="4">
        <f t="shared" si="1"/>
        <v>600</v>
      </c>
    </row>
    <row r="15" spans="1:14" ht="15.6" x14ac:dyDescent="0.3">
      <c r="A15" s="95"/>
      <c r="B15" s="25">
        <f t="shared" ref="B15" si="2">I15</f>
        <v>1</v>
      </c>
      <c r="C15" s="25" t="s">
        <v>145</v>
      </c>
      <c r="D15" s="25">
        <f>J15+D$13</f>
        <v>2110</v>
      </c>
      <c r="E15" s="35">
        <f>K15+E$13</f>
        <v>570</v>
      </c>
      <c r="F15" s="99" t="str">
        <f>C30</f>
        <v>CUB C/R R8</v>
      </c>
      <c r="G15" s="1"/>
      <c r="I15" s="89">
        <f t="shared" si="1"/>
        <v>1</v>
      </c>
      <c r="J15" s="4">
        <f t="shared" si="1"/>
        <v>2030</v>
      </c>
      <c r="K15" s="4">
        <f t="shared" si="1"/>
        <v>600</v>
      </c>
    </row>
    <row r="16" spans="1:14" ht="15.6" x14ac:dyDescent="0.3">
      <c r="A16" s="52"/>
      <c r="B16" s="6"/>
      <c r="C16" s="6"/>
      <c r="D16" s="6"/>
      <c r="E16" s="105"/>
      <c r="F16" s="6"/>
      <c r="G16" s="1"/>
      <c r="I16" s="89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10" t="s">
        <v>14</v>
      </c>
      <c r="B18" s="110"/>
      <c r="C18" s="110"/>
      <c r="D18" s="110"/>
      <c r="E18" s="110"/>
      <c r="F18" s="110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2" t="s">
        <v>7</v>
      </c>
      <c r="E20" s="52" t="s">
        <v>8</v>
      </c>
      <c r="F20" s="1"/>
      <c r="G20" s="1"/>
    </row>
    <row r="21" spans="1:11" ht="15.6" x14ac:dyDescent="0.3">
      <c r="A21" s="52" t="s">
        <v>9</v>
      </c>
      <c r="B21" s="36" t="s">
        <v>10</v>
      </c>
      <c r="C21" s="36" t="s">
        <v>11</v>
      </c>
      <c r="D21" s="21">
        <v>40</v>
      </c>
      <c r="E21" s="21">
        <v>130</v>
      </c>
      <c r="F21" s="36" t="s">
        <v>110</v>
      </c>
      <c r="G21" s="1"/>
      <c r="J21" s="5" t="s">
        <v>7</v>
      </c>
      <c r="K21" s="5" t="s">
        <v>8</v>
      </c>
    </row>
    <row r="22" spans="1:11" ht="15.6" x14ac:dyDescent="0.3">
      <c r="A22" s="95"/>
      <c r="B22" s="16">
        <f t="shared" ref="B22" si="3">I22</f>
        <v>1</v>
      </c>
      <c r="C22" s="16"/>
      <c r="D22" s="16">
        <f>J22+D$21</f>
        <v>1420</v>
      </c>
      <c r="E22" s="16">
        <f>K22+E$21</f>
        <v>730</v>
      </c>
      <c r="F22" s="100" t="str">
        <f>C29</f>
        <v>CUB C/R R8</v>
      </c>
      <c r="G22" s="1"/>
      <c r="I22" s="3">
        <f>B29</f>
        <v>1</v>
      </c>
      <c r="J22" s="4">
        <f>D29</f>
        <v>1380</v>
      </c>
      <c r="K22" s="4">
        <f t="shared" ref="K22" si="4">E29</f>
        <v>600</v>
      </c>
    </row>
    <row r="23" spans="1:11" ht="15.6" x14ac:dyDescent="0.3">
      <c r="A23" s="95"/>
      <c r="B23" s="16">
        <f t="shared" ref="B23" si="5">I23</f>
        <v>1</v>
      </c>
      <c r="C23" s="16"/>
      <c r="D23" s="16">
        <f>J23+D$21</f>
        <v>2070</v>
      </c>
      <c r="E23" s="16">
        <f>K23+E$21</f>
        <v>730</v>
      </c>
      <c r="F23" s="100" t="str">
        <f>C30</f>
        <v>CUB C/R R8</v>
      </c>
      <c r="G23" s="1"/>
      <c r="I23" s="3">
        <f>B30</f>
        <v>1</v>
      </c>
      <c r="J23" s="4">
        <f>D30</f>
        <v>2030</v>
      </c>
      <c r="K23" s="4">
        <f t="shared" ref="K23" si="6">E30</f>
        <v>600</v>
      </c>
    </row>
    <row r="24" spans="1:11" ht="15.6" x14ac:dyDescent="0.3">
      <c r="A24" s="95"/>
      <c r="B24" s="6"/>
      <c r="C24" s="6"/>
      <c r="D24" s="6"/>
      <c r="E24" s="6"/>
      <c r="F24" s="106"/>
      <c r="G24" s="1"/>
      <c r="I24" s="89"/>
      <c r="J24" s="2"/>
      <c r="K24" s="2"/>
    </row>
    <row r="25" spans="1:11" ht="16.2" thickBot="1" x14ac:dyDescent="0.35">
      <c r="A25" s="52"/>
      <c r="B25" s="6"/>
      <c r="C25" s="6"/>
      <c r="D25" s="6"/>
      <c r="E25" s="6"/>
      <c r="F25" s="6"/>
      <c r="G25" s="1"/>
      <c r="I25" s="2"/>
      <c r="J25" s="2"/>
      <c r="K25" s="2"/>
    </row>
    <row r="26" spans="1:11" ht="16.2" thickBot="1" x14ac:dyDescent="0.35">
      <c r="A26" s="52"/>
      <c r="B26" s="22" t="s">
        <v>107</v>
      </c>
      <c r="C26" s="23"/>
      <c r="D26" s="23"/>
      <c r="E26" s="23"/>
      <c r="F26" s="24"/>
      <c r="G26" s="1"/>
      <c r="I26" s="2"/>
      <c r="J26" s="2"/>
      <c r="K26" s="2"/>
    </row>
    <row r="27" spans="1:11" ht="10.5" customHeight="1" x14ac:dyDescent="0.3">
      <c r="A27" s="1"/>
      <c r="B27" s="1"/>
      <c r="C27" s="1"/>
      <c r="D27" s="1"/>
      <c r="E27" s="1"/>
      <c r="F27" s="1"/>
      <c r="G27" s="1"/>
    </row>
    <row r="28" spans="1:11" ht="15.6" x14ac:dyDescent="0.3">
      <c r="A28" s="52" t="s">
        <v>9</v>
      </c>
      <c r="B28" s="88" t="s">
        <v>10</v>
      </c>
      <c r="C28" s="88" t="s">
        <v>110</v>
      </c>
      <c r="D28" s="88" t="s">
        <v>7</v>
      </c>
      <c r="E28" s="88" t="s">
        <v>8</v>
      </c>
      <c r="F28" s="88" t="s">
        <v>23</v>
      </c>
      <c r="G28" s="1"/>
    </row>
    <row r="29" spans="1:11" ht="15.6" x14ac:dyDescent="0.3">
      <c r="A29" s="95" t="s">
        <v>139</v>
      </c>
      <c r="B29" s="25">
        <f>'4637'!B21</f>
        <v>1</v>
      </c>
      <c r="C29" s="99" t="str">
        <f>'4637'!C21</f>
        <v>CUB C/R R8</v>
      </c>
      <c r="D29" s="25">
        <f>'4637'!D21</f>
        <v>1380</v>
      </c>
      <c r="E29" s="25">
        <f>'4637'!E21</f>
        <v>600</v>
      </c>
      <c r="F29" s="25" t="str">
        <f>'4637'!F21</f>
        <v>ASTRAL 3030 MT</v>
      </c>
      <c r="G29" s="1"/>
    </row>
    <row r="30" spans="1:11" ht="15.6" x14ac:dyDescent="0.3">
      <c r="A30" s="95"/>
      <c r="B30" s="25">
        <f>'4637'!B22</f>
        <v>1</v>
      </c>
      <c r="C30" s="99" t="str">
        <f>'4637'!C22</f>
        <v>CUB C/R R8</v>
      </c>
      <c r="D30" s="25">
        <f>'4637'!D22</f>
        <v>2030</v>
      </c>
      <c r="E30" s="25">
        <f>'4637'!E22</f>
        <v>600</v>
      </c>
      <c r="F30" s="25" t="str">
        <f>'4637'!F22</f>
        <v>ASTRAL 3030 MT</v>
      </c>
      <c r="G30" s="1"/>
    </row>
    <row r="31" spans="1:11" ht="15.6" x14ac:dyDescent="0.3">
      <c r="A31" s="95"/>
      <c r="B31" s="6"/>
      <c r="C31" s="10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1"/>
      <c r="C40" s="1"/>
      <c r="D40" s="1"/>
      <c r="E40" s="1"/>
      <c r="F40" s="1"/>
      <c r="G40" s="1"/>
    </row>
    <row r="41" spans="1:7" ht="15.6" x14ac:dyDescent="0.3">
      <c r="A41" s="1"/>
      <c r="B41" s="1"/>
      <c r="C41" s="40" t="s">
        <v>27</v>
      </c>
      <c r="D41" s="14">
        <f>'4637'!G8</f>
        <v>7452</v>
      </c>
      <c r="E41" s="1"/>
      <c r="F41" s="1"/>
      <c r="G41" s="1"/>
    </row>
    <row r="42" spans="1:7" ht="17.25" customHeight="1" x14ac:dyDescent="0.3">
      <c r="A42" s="1"/>
      <c r="B42" s="1"/>
      <c r="C42" s="41" t="s">
        <v>67</v>
      </c>
      <c r="D42" s="42" t="str">
        <f>'4637'!C10</f>
        <v>MUEBLES ASENJO LTDA.</v>
      </c>
      <c r="E42" s="43"/>
      <c r="F42" s="43"/>
      <c r="G42" s="1"/>
    </row>
    <row r="43" spans="1:7" ht="4.5" customHeight="1" x14ac:dyDescent="0.3">
      <c r="A43" s="1"/>
      <c r="B43" s="1"/>
      <c r="C43" s="44"/>
      <c r="D43" s="45"/>
      <c r="E43" s="1"/>
      <c r="F43" s="1"/>
      <c r="G43" s="1"/>
    </row>
    <row r="44" spans="1:7" ht="15.6" x14ac:dyDescent="0.3">
      <c r="A44" s="1"/>
      <c r="B44" s="1"/>
      <c r="C44" s="46" t="str">
        <f>'4637'!F11</f>
        <v>FECHA LIMITE :</v>
      </c>
      <c r="D44" s="13">
        <f>'4637'!G11</f>
        <v>0</v>
      </c>
      <c r="E44" s="1"/>
      <c r="F44" s="1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6" x14ac:dyDescent="0.3">
      <c r="A47" s="110" t="s">
        <v>68</v>
      </c>
      <c r="B47" s="110"/>
      <c r="C47" s="110"/>
      <c r="D47" s="110"/>
      <c r="E47" s="110"/>
      <c r="F47" s="110"/>
      <c r="G47" s="1"/>
    </row>
    <row r="48" spans="1:7" ht="15.6" x14ac:dyDescent="0.3">
      <c r="A48" s="1"/>
      <c r="B48" s="1"/>
      <c r="C48" s="1"/>
      <c r="D48" s="1"/>
      <c r="E48" s="1"/>
      <c r="F48" s="1"/>
      <c r="G48" s="1"/>
    </row>
    <row r="49" spans="1:7" ht="15.75" customHeight="1" x14ac:dyDescent="0.3">
      <c r="A49" s="1"/>
      <c r="B49" s="111" t="s">
        <v>69</v>
      </c>
      <c r="C49" s="112"/>
      <c r="D49" s="113"/>
      <c r="E49" s="113"/>
      <c r="F49" s="114"/>
      <c r="G49" s="1"/>
    </row>
    <row r="50" spans="1:7" s="15" customFormat="1" ht="12.75" customHeight="1" x14ac:dyDescent="0.3">
      <c r="A50" s="1"/>
      <c r="B50" s="36" t="s">
        <v>10</v>
      </c>
      <c r="C50" s="47" t="s">
        <v>11</v>
      </c>
      <c r="D50" s="48" t="s">
        <v>7</v>
      </c>
      <c r="E50" s="48" t="s">
        <v>8</v>
      </c>
      <c r="F50" s="49" t="s">
        <v>12</v>
      </c>
      <c r="G50" s="1"/>
    </row>
    <row r="51" spans="1:7" s="15" customFormat="1" ht="15" customHeight="1" x14ac:dyDescent="0.3">
      <c r="A51" s="95" t="s">
        <v>139</v>
      </c>
      <c r="B51" s="38">
        <f>'4637'!B21</f>
        <v>1</v>
      </c>
      <c r="C51" s="98" t="str">
        <f>'4637'!C21</f>
        <v>CUB C/R R8</v>
      </c>
      <c r="D51" s="39">
        <f>'4637'!D21</f>
        <v>1380</v>
      </c>
      <c r="E51" s="39">
        <f>'4637'!E21</f>
        <v>600</v>
      </c>
      <c r="F51" s="38" t="str">
        <f>'4637'!F21</f>
        <v>ASTRAL 3030 MT</v>
      </c>
      <c r="G51" s="1"/>
    </row>
    <row r="52" spans="1:7" s="15" customFormat="1" ht="15" customHeight="1" x14ac:dyDescent="0.3">
      <c r="B52" s="38">
        <f>'4637'!B22</f>
        <v>1</v>
      </c>
      <c r="C52" s="98" t="str">
        <f>'4637'!C22</f>
        <v>CUB C/R R8</v>
      </c>
      <c r="D52" s="39">
        <f>'4637'!D22</f>
        <v>2030</v>
      </c>
      <c r="E52" s="39">
        <f>'4637'!E22</f>
        <v>600</v>
      </c>
      <c r="F52" s="38" t="str">
        <f>'4637'!F22</f>
        <v>ASTRAL 3030 MT</v>
      </c>
      <c r="G52" s="1"/>
    </row>
    <row r="53" spans="1:7" s="15" customFormat="1" ht="15" customHeight="1" x14ac:dyDescent="0.3">
      <c r="A53" s="50"/>
      <c r="B53" s="52"/>
      <c r="C53" s="52"/>
      <c r="D53" s="52"/>
      <c r="E53" s="52"/>
      <c r="F53" s="52"/>
      <c r="G53" s="1"/>
    </row>
    <row r="54" spans="1:7" ht="15.6" x14ac:dyDescent="0.3">
      <c r="A54" s="6"/>
      <c r="B54" s="6"/>
      <c r="C54" s="1"/>
      <c r="D54" s="6"/>
      <c r="E54" s="6"/>
      <c r="F54" s="44"/>
      <c r="G54" s="1"/>
    </row>
    <row r="55" spans="1:7" ht="15.6" x14ac:dyDescent="0.3">
      <c r="A55" s="6"/>
      <c r="B55" s="6"/>
      <c r="C55" s="1"/>
      <c r="D55" s="6"/>
      <c r="E55" s="6"/>
      <c r="F55" s="6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" customHeight="1" x14ac:dyDescent="0.3">
      <c r="A59" s="1"/>
      <c r="B59" s="1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ht="15.6" x14ac:dyDescent="0.3">
      <c r="A61" s="6"/>
      <c r="B61" s="51"/>
      <c r="C61" s="1"/>
      <c r="D61" s="1"/>
      <c r="E61" s="1"/>
      <c r="F61" s="1"/>
      <c r="G61" s="1"/>
    </row>
    <row r="62" spans="1:7" ht="15.6" x14ac:dyDescent="0.3">
      <c r="A62" s="1"/>
      <c r="B62" s="1"/>
      <c r="C62" s="1"/>
      <c r="D62" s="1"/>
      <c r="E62" s="1"/>
      <c r="F62" s="1"/>
      <c r="G62" s="1"/>
    </row>
    <row r="63" spans="1:7" x14ac:dyDescent="0.3">
      <c r="B63" s="20"/>
      <c r="C63" s="20"/>
      <c r="D63" s="20"/>
      <c r="E63" s="20"/>
      <c r="F63" s="20"/>
    </row>
    <row r="64" spans="1:7" x14ac:dyDescent="0.3">
      <c r="B64" s="20"/>
      <c r="C64" s="20"/>
      <c r="E64" s="20"/>
      <c r="F64" s="20"/>
    </row>
  </sheetData>
  <mergeCells count="6">
    <mergeCell ref="M3:N3"/>
    <mergeCell ref="A18:F18"/>
    <mergeCell ref="A10:F10"/>
    <mergeCell ref="A47:F47"/>
    <mergeCell ref="B49:F49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65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2026-05-11T15:05:19Z</cp:lastPrinted>
  <dcterms:created xsi:type="dcterms:W3CDTF">2013-03-19T12:54:14Z</dcterms:created>
  <dcterms:modified xsi:type="dcterms:W3CDTF">2026-05-11T15:08:36Z</dcterms:modified>
</cp:coreProperties>
</file>