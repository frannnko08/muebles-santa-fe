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AFEE0465-C903-448E-A1F2-072E5FAA6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'4637'!$A$1:$H$32</definedName>
    <definedName name="_xlnm.Print_Area" localSheetId="2">CUBIERTA!$A$1:$F$25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B53" i="3"/>
  <c r="C53" i="3"/>
  <c r="D53" i="3"/>
  <c r="E53" i="3"/>
  <c r="F53" i="3"/>
  <c r="K24" i="3"/>
  <c r="K15" i="3" s="1"/>
  <c r="E15" i="3" s="1"/>
  <c r="B31" i="3"/>
  <c r="I24" i="3" s="1"/>
  <c r="C31" i="3"/>
  <c r="F15" i="3" s="1"/>
  <c r="D31" i="3"/>
  <c r="J24" i="3" s="1"/>
  <c r="E31" i="3"/>
  <c r="F31" i="3"/>
  <c r="H22" i="4"/>
  <c r="B54" i="3"/>
  <c r="C54" i="3"/>
  <c r="D54" i="3"/>
  <c r="E54" i="3"/>
  <c r="F54" i="3"/>
  <c r="B32" i="3"/>
  <c r="I25" i="3" s="1"/>
  <c r="C32" i="3"/>
  <c r="F25" i="3" s="1"/>
  <c r="D32" i="3"/>
  <c r="J25" i="3" s="1"/>
  <c r="E32" i="3"/>
  <c r="K25" i="3" s="1"/>
  <c r="F32" i="3"/>
  <c r="H23" i="4"/>
  <c r="H21" i="4"/>
  <c r="B24" i="3" l="1"/>
  <c r="I15" i="3"/>
  <c r="B15" i="3" s="1"/>
  <c r="J15" i="3"/>
  <c r="D15" i="3" s="1"/>
  <c r="D24" i="3"/>
  <c r="F24" i="3"/>
  <c r="E24" i="3"/>
  <c r="I16" i="3"/>
  <c r="B16" i="3" s="1"/>
  <c r="B25" i="3"/>
  <c r="D25" i="3"/>
  <c r="J16" i="3"/>
  <c r="D16" i="3" s="1"/>
  <c r="E25" i="3"/>
  <c r="K16" i="3"/>
  <c r="E16" i="3" s="1"/>
  <c r="F16" i="3"/>
  <c r="B30" i="3"/>
  <c r="I23" i="3" s="1"/>
  <c r="I14" i="3" s="1"/>
  <c r="B14" i="3" s="1"/>
  <c r="C30" i="3"/>
  <c r="F14" i="3" s="1"/>
  <c r="D30" i="3"/>
  <c r="J23" i="3" s="1"/>
  <c r="J14" i="3" s="1"/>
  <c r="D14" i="3" s="1"/>
  <c r="E30" i="3"/>
  <c r="F30" i="3"/>
  <c r="B52" i="3"/>
  <c r="C52" i="3"/>
  <c r="D52" i="3"/>
  <c r="E52" i="3"/>
  <c r="F52" i="3"/>
  <c r="H26" i="4"/>
  <c r="K23" i="3" l="1"/>
  <c r="D23" i="3"/>
  <c r="B23" i="3"/>
  <c r="F23" i="3"/>
  <c r="K14" i="3" l="1"/>
  <c r="E14" i="3" s="1"/>
  <c r="E23" i="3"/>
  <c r="H27" i="4"/>
  <c r="H28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<sst xmlns="http://schemas.openxmlformats.org/spreadsheetml/2006/main" count="253" uniqueCount="147">
  <si>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</si>
  <si>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</si>
  <si>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</si>
  <si>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</si>
  <si>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</si>
  <si>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</si>
  <si>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</si>
  <si>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</si>
  <si>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</si>
  <si>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</si>
  <si>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</si>
  <si>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</si>
  <si>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</si>
  <si>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</si>
  <si>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</si>
  <si>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</si>
  <si>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</si>
  <si>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</si>
  <si>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</si>
  <si>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</si>
  <si>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</si>
  <si>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</si>
  <si>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</si>
  <si>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</si>
  <si>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</si>
  <si>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</si>
  <si>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</si>
  <si>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</si>
  <si>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</si>
  <si>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</si>
  <si>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</si>
  <si>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</si>
  <si>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</si>
  <si>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</si>
  <si>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</si>
  <si>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</si>
  <si>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</si>
  <si>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</si>
  <si>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</si>
  <si>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</si>
  <si>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</si>
  <si>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</si>
  <si>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</si>
  <si>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</si>
  <si>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</si>
  <si>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</si>
  <si>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</si>
  <si>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</si>
  <si>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</si>
  <si>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</si>
  <si>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</si>
  <si>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</si>
  <si>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</si>
  <si>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</si>
  <si>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</si>
  <si>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</si>
  <si>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</si>
  <si>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</si>
  <si>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</si>
  <si>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</si>
  <si>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</si>
  <si>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</si>
  <si>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</si>
  <si>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</si>
  <si>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</si>
  <si>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</si>
  <si>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</si>
  <si>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</si>
  <si>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</si>
  <si>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</si>
  <si>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</si>
  <si>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</si>
  <si>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</si>
  <si>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</si>
  <si>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</si>
  <si>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</si>
  <si>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</si>
  <si>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</si>
  <si>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</si>
  <si>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</si>
  <si>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</si>
  <si>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</si>
  <si>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</si>
  <si>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</si>
  <si>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</si>
  <si>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</si>
  <si>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</si>
  <si>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</si>
  <si>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</si>
  <si>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</si>
  <si>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</si>
  <si>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</si>
  <si>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</si>
  <si>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</si>
  <si>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</si>
  <si>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</si>
  <si>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</si>
  <si>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</si>
  <si>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</si>
  <si>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</si>
  <si>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</si>
  <si>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</si>
  <si>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</si>
  <si>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</si>
  <si>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</si>
  <si>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</si>
  <si>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</si>
  <si>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</si>
  <si>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</si>
  <si>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</si>
  <si>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</si>
  <si>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</si>
  <si>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</si>
  <si>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</si>
  <si>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</si>
  <si>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</si>
  <si>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</si>
  <si>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</si>
  <si>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</si>
  <si>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</si>
  <si>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</si>
  <si>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</si>
  <si>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</si>
  <si>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</si>
  <si>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</si>
  <si>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</si>
  <si>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</si>
  <si>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</si>
  <si>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</si>
  <si>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</si>
  <si>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</si>
  <si>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</si>
  <si>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O/C 30 DIAS</t>
  </si>
  <si>
    <t>MDF30MM</t>
  </si>
  <si>
    <t>NO</t>
  </si>
  <si>
    <t>GERO MATTE</t>
  </si>
  <si>
    <t>N° 12141</t>
  </si>
  <si>
    <t>+569 8143 5444</t>
  </si>
  <si>
    <t>CUB S/R FTE ESPAÑOL</t>
  </si>
  <si>
    <t>CUB S/R FTE ESPAÑOL 2 LADOS</t>
  </si>
  <si>
    <t>DUSKBERG MARBLE 40476 SF</t>
  </si>
  <si>
    <t>MDF15MM</t>
  </si>
  <si>
    <t>COTIZACION</t>
  </si>
  <si>
    <t>NOTA DE VENTA</t>
  </si>
  <si>
    <t>NOMBRE</t>
  </si>
  <si>
    <t>FECHA</t>
  </si>
  <si>
    <t>LA 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</si>
</sst>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4" fontId="0" fillId="0" borderId="0" xfId="0" applyNumberFormat="1"/>
    <xf numFmtId="42" fontId="0" fillId="0" borderId="0" xfId="3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5967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$200.000 EL 25-05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SUSTRATO MDF 15MM MAS REGRUESO 15MM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SUSTRATO MDF 15MM MAS REGRUESO 15MM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556018</xdr:colOff>
      <xdr:row>46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7" workbookViewId="0">
      <selection activeCell="C17" sqref="C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5" width="9.109375" customWidth="1"/>
    <col min="6" max="6" width="28.88671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136</v>
      </c>
      <c r="E8" s="1"/>
      <c r="F8" s="93" t="s">
        <v>27</v>
      </c>
      <c r="G8" s="94">
        <v>7472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46167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46171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131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 t="s">
        <v>137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132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146</v>
      </c>
      <c r="D16" s="69"/>
      <c r="E16" s="70"/>
      <c r="F16" s="122" t="s">
        <v>18</v>
      </c>
      <c r="G16" s="122"/>
      <c r="H16" s="12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6" t="s">
        <v>138</v>
      </c>
      <c r="D21" s="107">
        <v>1250</v>
      </c>
      <c r="E21" s="107">
        <v>600</v>
      </c>
      <c r="F21" s="106" t="s">
        <v>140</v>
      </c>
      <c r="G21" s="108">
        <v>73347</v>
      </c>
      <c r="H21" s="109">
        <f t="shared" ref="H21" si="0">G21*B21</f>
        <v>73347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5">
        <v>1</v>
      </c>
      <c r="C22" s="116" t="s">
        <v>138</v>
      </c>
      <c r="D22" s="117">
        <v>2750</v>
      </c>
      <c r="E22" s="117">
        <v>600</v>
      </c>
      <c r="F22" s="116" t="s">
        <v>140</v>
      </c>
      <c r="G22" s="118">
        <v>152685</v>
      </c>
      <c r="H22" s="119">
        <f>G22*B22</f>
        <v>152685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0">
        <v>1</v>
      </c>
      <c r="C23" s="111" t="s">
        <v>139</v>
      </c>
      <c r="D23" s="112">
        <v>1500</v>
      </c>
      <c r="E23" s="112">
        <v>780</v>
      </c>
      <c r="F23" s="111" t="s">
        <v>140</v>
      </c>
      <c r="G23" s="113">
        <v>111641</v>
      </c>
      <c r="H23" s="114">
        <f>G23*B23</f>
        <v>111641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3"/>
      <c r="C24" s="103"/>
      <c r="D24" s="104"/>
      <c r="E24" s="104"/>
      <c r="F24" s="103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337673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64157.87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401830.87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8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activeCell="D14" sqref="D1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9" t="s">
        <v>61</v>
      </c>
      <c r="L3" s="129"/>
      <c r="M3" s="129" t="s">
        <v>14</v>
      </c>
      <c r="N3" s="129"/>
    </row>
    <row r="4" spans="1:14" ht="15.75" customHeight="1" x14ac:dyDescent="0.3">
      <c r="A4" s="1"/>
      <c r="B4" s="1"/>
      <c r="C4" s="40" t="s">
        <v>27</v>
      </c>
      <c r="D4" s="14">
        <f>'4637'!G8</f>
        <v>7472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GERO MATTE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0" t="s">
        <v>61</v>
      </c>
      <c r="B10" s="130"/>
      <c r="C10" s="130"/>
      <c r="D10" s="130"/>
      <c r="E10" s="130"/>
      <c r="F10" s="13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141</v>
      </c>
      <c r="B14" s="25">
        <f t="shared" ref="B14" si="0">I14</f>
        <v>1</v>
      </c>
      <c r="C14" s="25"/>
      <c r="D14" s="25">
        <f t="shared" ref="D14:E16" si="1">J14+D$13</f>
        <v>1330</v>
      </c>
      <c r="E14" s="35">
        <f t="shared" si="1"/>
        <v>600</v>
      </c>
      <c r="F14" s="99" t="str">
        <f>C30</f>
        <v>CUB S/R FTE ESPAÑOL</v>
      </c>
      <c r="G14" s="1"/>
      <c r="I14" s="89">
        <f t="shared" ref="I14:K15" si="2">I23</f>
        <v>1</v>
      </c>
      <c r="J14" s="4">
        <f t="shared" si="2"/>
        <v>1250</v>
      </c>
      <c r="K14" s="4">
        <f t="shared" si="2"/>
        <v>600</v>
      </c>
    </row>
    <row r="15" spans="1:14" ht="15.6" x14ac:dyDescent="0.3">
      <c r="A15" s="95"/>
      <c r="B15" s="25">
        <f t="shared" ref="B15" si="3">I15</f>
        <v>1</v>
      </c>
      <c r="C15" s="25"/>
      <c r="D15" s="25">
        <f t="shared" si="1"/>
        <v>2830</v>
      </c>
      <c r="E15" s="35">
        <f t="shared" si="1"/>
        <v>600</v>
      </c>
      <c r="F15" s="99" t="str">
        <f>C31</f>
        <v>CUB S/R FTE ESPAÑOL</v>
      </c>
      <c r="G15" s="1"/>
      <c r="I15" s="89">
        <f t="shared" si="2"/>
        <v>1</v>
      </c>
      <c r="J15" s="4">
        <f t="shared" si="2"/>
        <v>2750</v>
      </c>
      <c r="K15" s="4">
        <f t="shared" si="2"/>
        <v>600</v>
      </c>
    </row>
    <row r="16" spans="1:14" ht="15.6" x14ac:dyDescent="0.3">
      <c r="A16" s="95"/>
      <c r="B16" s="25">
        <f t="shared" ref="B16" si="4">I16</f>
        <v>1</v>
      </c>
      <c r="C16" s="25"/>
      <c r="D16" s="25">
        <f t="shared" si="1"/>
        <v>1580</v>
      </c>
      <c r="E16" s="35">
        <f t="shared" si="1"/>
        <v>780</v>
      </c>
      <c r="F16" s="99" t="str">
        <f>C32</f>
        <v>CUB S/R FTE ESPAÑOL 2 LADOS</v>
      </c>
      <c r="G16" s="1"/>
      <c r="I16" s="89">
        <f t="shared" ref="I16:K16" si="5">I25</f>
        <v>1</v>
      </c>
      <c r="J16" s="4">
        <f t="shared" si="5"/>
        <v>1500</v>
      </c>
      <c r="K16" s="4">
        <f t="shared" si="5"/>
        <v>780</v>
      </c>
    </row>
    <row r="17" spans="1:11" ht="15.6" x14ac:dyDescent="0.3">
      <c r="A17" s="52"/>
      <c r="B17" s="6"/>
      <c r="C17" s="6"/>
      <c r="D17" s="6"/>
      <c r="E17" s="102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0" t="s">
        <v>14</v>
      </c>
      <c r="B19" s="130"/>
      <c r="C19" s="130"/>
      <c r="D19" s="130"/>
      <c r="E19" s="130"/>
      <c r="F19" s="13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6">I23</f>
        <v>1</v>
      </c>
      <c r="C23" s="16"/>
      <c r="D23" s="16">
        <f t="shared" ref="D23" si="7">J23+D$22</f>
        <v>1290</v>
      </c>
      <c r="E23" s="16">
        <f>K23+$E$22</f>
        <v>710</v>
      </c>
      <c r="F23" s="100" t="str">
        <f>C30</f>
        <v>CUB S/R FTE ESPAÑOL</v>
      </c>
      <c r="G23" s="1"/>
      <c r="I23" s="3">
        <f>B30</f>
        <v>1</v>
      </c>
      <c r="J23" s="4">
        <f>D30</f>
        <v>1250</v>
      </c>
      <c r="K23" s="4">
        <f t="shared" ref="K23" si="8">E30</f>
        <v>600</v>
      </c>
    </row>
    <row r="24" spans="1:11" ht="15.6" x14ac:dyDescent="0.3">
      <c r="A24" s="95"/>
      <c r="B24" s="16">
        <f t="shared" ref="B24" si="9">I24</f>
        <v>1</v>
      </c>
      <c r="C24" s="16"/>
      <c r="D24" s="16">
        <f t="shared" ref="D24" si="10">J24+D$22</f>
        <v>2790</v>
      </c>
      <c r="E24" s="16">
        <f>K24+$E$22</f>
        <v>710</v>
      </c>
      <c r="F24" s="100" t="str">
        <f>C31</f>
        <v>CUB S/R FTE ESPAÑOL</v>
      </c>
      <c r="G24" s="1"/>
      <c r="I24" s="3">
        <f>B31</f>
        <v>1</v>
      </c>
      <c r="J24" s="4">
        <f>D31</f>
        <v>2750</v>
      </c>
      <c r="K24" s="4">
        <f t="shared" ref="K24" si="11">E31</f>
        <v>600</v>
      </c>
    </row>
    <row r="25" spans="1:11" ht="15.6" x14ac:dyDescent="0.3">
      <c r="A25" s="95"/>
      <c r="B25" s="16">
        <f t="shared" ref="B25" si="12">I25</f>
        <v>1</v>
      </c>
      <c r="C25" s="16"/>
      <c r="D25" s="16">
        <f t="shared" ref="D25" si="13">J25+D$22</f>
        <v>1540</v>
      </c>
      <c r="E25" s="16">
        <f>K25+$E$22</f>
        <v>890</v>
      </c>
      <c r="F25" s="100" t="str">
        <f>C32</f>
        <v>CUB S/R FTE ESPAÑOL 2 LADOS</v>
      </c>
      <c r="G25" s="1"/>
      <c r="I25" s="3">
        <f>B32</f>
        <v>1</v>
      </c>
      <c r="J25" s="4">
        <f>D32</f>
        <v>1500</v>
      </c>
      <c r="K25" s="4">
        <f t="shared" ref="K25" si="14">E32</f>
        <v>780</v>
      </c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5" t="s">
        <v>141</v>
      </c>
      <c r="B30" s="25">
        <f>'4637'!B21</f>
        <v>1</v>
      </c>
      <c r="C30" s="99" t="str">
        <f>'4637'!C21</f>
        <v>CUB S/R FTE ESPAÑOL</v>
      </c>
      <c r="D30" s="25">
        <f>'4637'!D21</f>
        <v>1250</v>
      </c>
      <c r="E30" s="25">
        <f>'4637'!E21</f>
        <v>600</v>
      </c>
      <c r="F30" s="25" t="str">
        <f>'4637'!F21</f>
        <v>DUSKBERG MARBLE 40476 SF</v>
      </c>
      <c r="G30" s="1"/>
    </row>
    <row r="31" spans="1:11" ht="15.6" x14ac:dyDescent="0.3">
      <c r="A31" s="95"/>
      <c r="B31" s="25">
        <f>'4637'!B22</f>
        <v>1</v>
      </c>
      <c r="C31" s="99" t="str">
        <f>'4637'!C22</f>
        <v>CUB S/R FTE ESPAÑOL</v>
      </c>
      <c r="D31" s="25">
        <f>'4637'!D22</f>
        <v>2750</v>
      </c>
      <c r="E31" s="25">
        <f>'4637'!E22</f>
        <v>600</v>
      </c>
      <c r="F31" s="25" t="str">
        <f>'4637'!F22</f>
        <v>DUSKBERG MARBLE 40476 SF</v>
      </c>
      <c r="G31" s="1"/>
    </row>
    <row r="32" spans="1:11" ht="15.6" x14ac:dyDescent="0.3">
      <c r="A32" s="95"/>
      <c r="B32" s="25">
        <f>'4637'!B23</f>
        <v>1</v>
      </c>
      <c r="C32" s="99" t="str">
        <f>'4637'!C23</f>
        <v>CUB S/R FTE ESPAÑOL 2 LADOS</v>
      </c>
      <c r="D32" s="25">
        <f>'4637'!D23</f>
        <v>1500</v>
      </c>
      <c r="E32" s="25">
        <f>'4637'!E23</f>
        <v>780</v>
      </c>
      <c r="F32" s="25" t="str">
        <f>'4637'!F23</f>
        <v>DUSKBERG MARBLE 40476 SF</v>
      </c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7472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GERO MATTE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46171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30" t="s">
        <v>68</v>
      </c>
      <c r="B48" s="130"/>
      <c r="C48" s="130"/>
      <c r="D48" s="130"/>
      <c r="E48" s="130"/>
      <c r="F48" s="130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31" t="s">
        <v>69</v>
      </c>
      <c r="C50" s="132"/>
      <c r="D50" s="133"/>
      <c r="E50" s="133"/>
      <c r="F50" s="134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5" t="s">
        <v>133</v>
      </c>
      <c r="B52" s="38">
        <f>'4637'!B21</f>
        <v>1</v>
      </c>
      <c r="C52" s="98" t="str">
        <f>'4637'!C21</f>
        <v>CUB S/R FTE ESPAÑOL</v>
      </c>
      <c r="D52" s="39">
        <f>'4637'!D21</f>
        <v>1250</v>
      </c>
      <c r="E52" s="39">
        <f>'4637'!E21</f>
        <v>600</v>
      </c>
      <c r="F52" s="38" t="str">
        <f>'4637'!F21</f>
        <v>DUSKBERG MARBLE 40476 SF</v>
      </c>
      <c r="G52" s="1"/>
    </row>
    <row r="53" spans="1:7" s="15" customFormat="1" ht="15" customHeight="1" x14ac:dyDescent="0.3">
      <c r="A53" s="95"/>
      <c r="B53" s="38">
        <f>'4637'!B22</f>
        <v>1</v>
      </c>
      <c r="C53" s="98" t="str">
        <f>'4637'!C22</f>
        <v>CUB S/R FTE ESPAÑOL</v>
      </c>
      <c r="D53" s="39">
        <f>'4637'!D22</f>
        <v>2750</v>
      </c>
      <c r="E53" s="39">
        <f>'4637'!E22</f>
        <v>600</v>
      </c>
      <c r="F53" s="38" t="str">
        <f>'4637'!F22</f>
        <v>DUSKBERG MARBLE 40476 SF</v>
      </c>
      <c r="G53" s="1"/>
    </row>
    <row r="54" spans="1:7" s="15" customFormat="1" ht="15" customHeight="1" x14ac:dyDescent="0.3">
      <c r="B54" s="38">
        <f>'4637'!B23</f>
        <v>1</v>
      </c>
      <c r="C54" s="98" t="str">
        <f>'4637'!C23</f>
        <v>CUB S/R FTE ESPAÑOL 2 LADOS</v>
      </c>
      <c r="D54" s="39">
        <f>'4637'!D23</f>
        <v>1500</v>
      </c>
      <c r="E54" s="39">
        <f>'4637'!E23</f>
        <v>780</v>
      </c>
      <c r="F54" s="38" t="str">
        <f>'4637'!F23</f>
        <v>DUSKBERG MARBLE 40476 SF</v>
      </c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5044-D9F9-4102-B61C-7735E7D1641C}">
  <dimension ref="A1:E2"/>
  <sheetViews>
    <sheetView workbookViewId="0">
      <selection activeCell="H9" sqref="H9"/>
    </sheetView>
  </sheetViews>
  <sheetFormatPr baseColWidth="10" defaultRowHeight="14.4" x14ac:dyDescent="0.3"/>
  <cols>
    <col min="2" max="2" width="14.44140625" bestFit="1" customWidth="1"/>
    <col min="3" max="3" width="49.6640625" customWidth="1"/>
  </cols>
  <sheetData>
    <row r="1" spans="1:5" x14ac:dyDescent="0.3">
      <c r="A1" t="s">
        <v>142</v>
      </c>
      <c r="B1" t="s">
        <v>143</v>
      </c>
      <c r="C1" t="s">
        <v>144</v>
      </c>
      <c r="D1" t="s">
        <v>145</v>
      </c>
      <c r="E1" t="s">
        <v>4</v>
      </c>
    </row>
    <row r="2" spans="1:5" x14ac:dyDescent="0.3">
      <c r="A2" t="str">
        <f>'4637'!D8</f>
        <v>N° 12141</v>
      </c>
      <c r="B2">
        <f>'4637'!G8</f>
        <v>7472</v>
      </c>
      <c r="C2" t="str">
        <f>'4637'!C10</f>
        <v>GERO MATTE</v>
      </c>
      <c r="D2" s="120">
        <f>'4637'!G10</f>
        <v>46167</v>
      </c>
      <c r="E2" s="121">
        <f>'4637'!H28</f>
        <v>401830.87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2026-05-20T19:21:42Z</cp:lastPrinted>
  <dcterms:created xsi:type="dcterms:W3CDTF">2013-03-19T12:54:14Z</dcterms:created>
  <dcterms:modified xsi:type="dcterms:W3CDTF">2026-05-27T13:44:11Z</dcterms:modified>
</cp:coreProperties>
</file>